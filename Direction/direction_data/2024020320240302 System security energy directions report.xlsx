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07"/>
  <workbookPr codeName="ThisWorkbook" hidePivotFieldList="1"/>
  <mc:AlternateContent xmlns:mc="http://schemas.openxmlformats.org/markup-compatibility/2006">
    <mc:Choice Requires="x15">
      <x15ac:absPath xmlns:x15ac="http://schemas.microsoft.com/office/spreadsheetml/2010/11/ac" url="https://aemocloud.sharepoint.com/sites/ElectricityMarketManagement/Shared Documents/Event Reports/Directions/Summary data and reports/Directions monthly reporting/20240203-20240302_Feb 24/"/>
    </mc:Choice>
  </mc:AlternateContent>
  <xr:revisionPtr revIDLastSave="0" documentId="8_{453988C3-5543-473E-AB6E-E8EC9022A538}" xr6:coauthVersionLast="47" xr6:coauthVersionMax="47" xr10:uidLastSave="{00000000-0000-0000-0000-000000000000}"/>
  <bookViews>
    <workbookView xWindow="-120" yWindow="-120" windowWidth="29040" windowHeight="15840" tabRatio="814" xr2:uid="{87A305CA-387B-4955-BF9D-79D8D97648E2}"/>
  </bookViews>
  <sheets>
    <sheet name="Introduction" sheetId="33" r:id="rId1"/>
    <sheet name="Directions summary" sheetId="7" r:id="rId2"/>
    <sheet name="Directions process adequacy" sheetId="29" r:id="rId3"/>
    <sheet name="Directions recovery rates" sheetId="9" r:id="rId4"/>
    <sheet name="Version history" sheetId="31" r:id="rId5"/>
    <sheet name="mockup public report" sheetId="6" state="hidden" r:id="rId6"/>
  </sheets>
  <definedNames>
    <definedName name="_xlnm._FilterDatabase" localSheetId="3" hidden="1">'Directions recovery rates'!$E$5:$J$7002</definedName>
    <definedName name="_xlnm._FilterDatabase" localSheetId="0" hidden="1">Introduction!$B$38:$I$38</definedName>
    <definedName name="_xlnm._FilterDatabase" localSheetId="5" hidden="1">'mockup public report'!$B$4:$J$1373</definedName>
    <definedName name="D2021454" localSheetId="2">#REF!</definedName>
    <definedName name="D2021454" localSheetId="0">#REF!</definedName>
    <definedName name="D2021454" localSheetId="4">#REF!</definedName>
    <definedName name="D2021454">#REF!</definedName>
    <definedName name="D2021455" localSheetId="2">#REF!</definedName>
    <definedName name="D2021455" localSheetId="0">#REF!</definedName>
    <definedName name="D2021455" localSheetId="4">#REF!</definedName>
    <definedName name="D2021455">#REF!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1" i="7" l="1"/>
  <c r="C2" i="6"/>
  <c r="L6" i="6" s="1" a="1"/>
  <c r="S104" i="6" s="1"/>
  <c r="T104" i="6"/>
  <c r="L6" i="6"/>
  <c r="B5" i="6" a="1"/>
  <c r="D29" i="6" s="1"/>
  <c r="F185" i="6" l="1"/>
  <c r="F492" i="6"/>
  <c r="J1219" i="6"/>
  <c r="F621" i="6"/>
  <c r="I789" i="6"/>
  <c r="E918" i="6"/>
  <c r="F642" i="6"/>
  <c r="D957" i="6"/>
  <c r="F443" i="6"/>
  <c r="C887" i="6"/>
  <c r="F894" i="6"/>
  <c r="E448" i="6"/>
  <c r="I279" i="6"/>
  <c r="F603" i="6"/>
  <c r="I1052" i="6"/>
  <c r="E764" i="6"/>
  <c r="C1051" i="6"/>
  <c r="C1188" i="6"/>
  <c r="E774" i="6"/>
  <c r="E1007" i="6"/>
  <c r="D871" i="6"/>
  <c r="C1328" i="6"/>
  <c r="D369" i="6"/>
  <c r="D858" i="6"/>
  <c r="E1124" i="6"/>
  <c r="I875" i="6"/>
  <c r="E503" i="6"/>
  <c r="J1119" i="6"/>
  <c r="J670" i="6"/>
  <c r="F960" i="6"/>
  <c r="F537" i="6"/>
  <c r="E910" i="6"/>
  <c r="I521" i="6"/>
  <c r="J72" i="6"/>
  <c r="J858" i="6"/>
  <c r="J22" i="6"/>
  <c r="C1206" i="6"/>
  <c r="F215" i="6"/>
  <c r="C1002" i="6"/>
  <c r="E1369" i="6"/>
  <c r="F922" i="6"/>
  <c r="I1352" i="6"/>
  <c r="J321" i="6"/>
  <c r="C41" i="6"/>
  <c r="I1074" i="6"/>
  <c r="D863" i="6"/>
  <c r="F194" i="6"/>
  <c r="C136" i="6"/>
  <c r="I1184" i="6"/>
  <c r="E803" i="6"/>
  <c r="E245" i="6"/>
  <c r="E972" i="6"/>
  <c r="E611" i="6"/>
  <c r="F653" i="6"/>
  <c r="J1190" i="6"/>
  <c r="J475" i="6"/>
  <c r="J824" i="6"/>
  <c r="D1200" i="6"/>
  <c r="F853" i="6"/>
  <c r="C1211" i="6"/>
  <c r="I605" i="6"/>
  <c r="C1132" i="6"/>
  <c r="I745" i="6"/>
  <c r="J1223" i="6"/>
  <c r="F1119" i="6"/>
  <c r="E1175" i="6"/>
  <c r="J681" i="6"/>
  <c r="E599" i="6"/>
  <c r="E617" i="6"/>
  <c r="I1124" i="6"/>
  <c r="F715" i="6"/>
  <c r="F1231" i="6"/>
  <c r="D892" i="6"/>
  <c r="J1145" i="6"/>
  <c r="I1243" i="6"/>
  <c r="D567" i="6"/>
  <c r="F606" i="6"/>
  <c r="C1288" i="6"/>
  <c r="D1338" i="6"/>
  <c r="D71" i="6"/>
  <c r="I1119" i="6"/>
  <c r="F597" i="6"/>
  <c r="C194" i="6"/>
  <c r="I284" i="6"/>
  <c r="D820" i="6"/>
  <c r="F975" i="6"/>
  <c r="C929" i="6"/>
  <c r="C230" i="6"/>
  <c r="D201" i="6"/>
  <c r="J292" i="6"/>
  <c r="F77" i="6"/>
  <c r="D452" i="6"/>
  <c r="C37" i="6"/>
  <c r="D261" i="6"/>
  <c r="D967" i="6"/>
  <c r="D173" i="6"/>
  <c r="I473" i="6"/>
  <c r="F1015" i="6"/>
  <c r="C947" i="6"/>
  <c r="E114" i="6"/>
  <c r="E701" i="6"/>
  <c r="E94" i="6"/>
  <c r="E652" i="6"/>
  <c r="I931" i="6"/>
  <c r="E1355" i="6"/>
  <c r="F952" i="6"/>
  <c r="J318" i="6"/>
  <c r="D591" i="6"/>
  <c r="E770" i="6"/>
  <c r="E628" i="6"/>
  <c r="D1224" i="6"/>
  <c r="J480" i="6"/>
  <c r="C758" i="6"/>
  <c r="F1263" i="6"/>
  <c r="J1136" i="6"/>
  <c r="J265" i="6"/>
  <c r="I712" i="6"/>
  <c r="D843" i="6"/>
  <c r="E814" i="6"/>
  <c r="F1279" i="6"/>
  <c r="C329" i="6"/>
  <c r="J1153" i="6"/>
  <c r="I430" i="6"/>
  <c r="I1339" i="6"/>
  <c r="I533" i="6"/>
  <c r="E283" i="6"/>
  <c r="I483" i="6"/>
  <c r="E1074" i="6"/>
  <c r="D36" i="6"/>
  <c r="F587" i="6"/>
  <c r="F620" i="6"/>
  <c r="C1174" i="6"/>
  <c r="F836" i="6"/>
  <c r="C823" i="6"/>
  <c r="J1061" i="6"/>
  <c r="F488" i="6"/>
  <c r="J1111" i="6"/>
  <c r="I1111" i="6"/>
  <c r="C1139" i="6"/>
  <c r="F89" i="6"/>
  <c r="J741" i="6"/>
  <c r="C291" i="6"/>
  <c r="I834" i="6"/>
  <c r="I275" i="6"/>
  <c r="J1060" i="6"/>
  <c r="E1111" i="6"/>
  <c r="D584" i="6"/>
  <c r="F1163" i="6"/>
  <c r="J304" i="6"/>
  <c r="D1344" i="6"/>
  <c r="F707" i="6"/>
  <c r="E438" i="6"/>
  <c r="D150" i="6"/>
  <c r="F1087" i="6"/>
  <c r="J352" i="6"/>
  <c r="D1125" i="6"/>
  <c r="J568" i="6"/>
  <c r="J790" i="6"/>
  <c r="C1233" i="6"/>
  <c r="E137" i="6"/>
  <c r="D41" i="6"/>
  <c r="C976" i="6"/>
  <c r="E1306" i="6"/>
  <c r="I320" i="6"/>
  <c r="D55" i="6"/>
  <c r="E1295" i="6"/>
  <c r="I612" i="6"/>
  <c r="F1062" i="6"/>
  <c r="I780" i="6"/>
  <c r="J876" i="6"/>
  <c r="I822" i="6"/>
  <c r="D973" i="6"/>
  <c r="F687" i="6"/>
  <c r="J453" i="6"/>
  <c r="J685" i="6"/>
  <c r="J1130" i="6"/>
  <c r="F1314" i="6"/>
  <c r="C471" i="6"/>
  <c r="I1053" i="6"/>
  <c r="C267" i="6"/>
  <c r="J124" i="6"/>
  <c r="F436" i="6"/>
  <c r="J327" i="6"/>
  <c r="J135" i="6"/>
  <c r="E909" i="6"/>
  <c r="E572" i="6"/>
  <c r="I735" i="6"/>
  <c r="F1136" i="6"/>
  <c r="D1041" i="6"/>
  <c r="J1226" i="6"/>
  <c r="F197" i="6"/>
  <c r="J774" i="6"/>
  <c r="C423" i="6"/>
  <c r="F1110" i="6"/>
  <c r="C1110" i="6"/>
  <c r="C464" i="6"/>
  <c r="I122" i="6"/>
  <c r="J272" i="6"/>
  <c r="D1216" i="6"/>
  <c r="E1303" i="6"/>
  <c r="E723" i="6"/>
  <c r="F422" i="6"/>
  <c r="F325" i="6"/>
  <c r="F908" i="6"/>
  <c r="J1272" i="6"/>
  <c r="F521" i="6"/>
  <c r="F927" i="6"/>
  <c r="J963" i="6"/>
  <c r="I344" i="6"/>
  <c r="I1203" i="6"/>
  <c r="E1212" i="6"/>
  <c r="F1022" i="6"/>
  <c r="I365" i="6"/>
  <c r="C1209" i="6"/>
  <c r="E674" i="6"/>
  <c r="E596" i="6"/>
  <c r="E190" i="6"/>
  <c r="E32" i="6"/>
  <c r="E286" i="6"/>
  <c r="E1135" i="6"/>
  <c r="I944" i="6"/>
  <c r="E437" i="6"/>
  <c r="F592" i="6"/>
  <c r="J569" i="6"/>
  <c r="F539" i="6"/>
  <c r="D811" i="6"/>
  <c r="D1261" i="6"/>
  <c r="F1078" i="6"/>
  <c r="C642" i="6"/>
  <c r="E393" i="6"/>
  <c r="E511" i="6"/>
  <c r="E1220" i="6"/>
  <c r="J309" i="6"/>
  <c r="F744" i="6"/>
  <c r="I879" i="6"/>
  <c r="I896" i="6"/>
  <c r="J675" i="6"/>
  <c r="J573" i="6"/>
  <c r="F201" i="6"/>
  <c r="C793" i="6"/>
  <c r="C73" i="6"/>
  <c r="I34" i="6"/>
  <c r="D339" i="6"/>
  <c r="J1225" i="6"/>
  <c r="D258" i="6"/>
  <c r="C622" i="6"/>
  <c r="I39" i="6"/>
  <c r="D1100" i="6"/>
  <c r="D1068" i="6"/>
  <c r="E390" i="6"/>
  <c r="E889" i="6"/>
  <c r="E693" i="6"/>
  <c r="J852" i="6"/>
  <c r="F725" i="6"/>
  <c r="C663" i="6"/>
  <c r="J1077" i="6"/>
  <c r="J185" i="6"/>
  <c r="D57" i="6"/>
  <c r="C1277" i="6"/>
  <c r="I324" i="6"/>
  <c r="F588" i="6"/>
  <c r="C1024" i="6"/>
  <c r="D363" i="6"/>
  <c r="E698" i="6"/>
  <c r="E264" i="6"/>
  <c r="F455" i="6"/>
  <c r="F115" i="6"/>
  <c r="J429" i="6"/>
  <c r="F177" i="6"/>
  <c r="F94" i="6"/>
  <c r="D423" i="6"/>
  <c r="J161" i="6"/>
  <c r="J51" i="6"/>
  <c r="C705" i="6"/>
  <c r="E241" i="6"/>
  <c r="D1096" i="6"/>
  <c r="E1358" i="6"/>
  <c r="E343" i="6"/>
  <c r="C587" i="6"/>
  <c r="F360" i="6"/>
  <c r="C82" i="6"/>
  <c r="D194" i="6"/>
  <c r="C727" i="6"/>
  <c r="D1132" i="6"/>
  <c r="C1087" i="6"/>
  <c r="D605" i="6"/>
  <c r="D1071" i="6"/>
  <c r="C225" i="6"/>
  <c r="D270" i="6"/>
  <c r="D108" i="6"/>
  <c r="I272" i="6"/>
  <c r="J656" i="6"/>
  <c r="C422" i="6"/>
  <c r="E806" i="6"/>
  <c r="E394" i="6"/>
  <c r="E895" i="6"/>
  <c r="E1091" i="6"/>
  <c r="I137" i="6"/>
  <c r="D1237" i="6"/>
  <c r="J266" i="6"/>
  <c r="D759" i="6"/>
  <c r="J764" i="6"/>
  <c r="J1101" i="6"/>
  <c r="C1355" i="6"/>
  <c r="I394" i="6"/>
  <c r="D678" i="6"/>
  <c r="I672" i="6"/>
  <c r="C958" i="6"/>
  <c r="C501" i="6"/>
  <c r="C226" i="6"/>
  <c r="J1013" i="6"/>
  <c r="C152" i="6"/>
  <c r="C803" i="6"/>
  <c r="F45" i="6"/>
  <c r="C257" i="6"/>
  <c r="I206" i="6"/>
  <c r="I929" i="6"/>
  <c r="F386" i="6"/>
  <c r="J908" i="6"/>
  <c r="F388" i="6"/>
  <c r="E740" i="6"/>
  <c r="E712" i="6"/>
  <c r="F1178" i="6"/>
  <c r="J1058" i="6"/>
  <c r="C794" i="6"/>
  <c r="C239" i="6"/>
  <c r="J1278" i="6"/>
  <c r="I1064" i="6"/>
  <c r="C245" i="6"/>
  <c r="J207" i="6"/>
  <c r="D67" i="6"/>
  <c r="E1239" i="6"/>
  <c r="I136" i="6"/>
  <c r="C666" i="6"/>
  <c r="I706" i="6"/>
  <c r="I721" i="6"/>
  <c r="I977" i="6"/>
  <c r="E854" i="6"/>
  <c r="F445" i="6"/>
  <c r="J687" i="6"/>
  <c r="J507" i="6"/>
  <c r="D827" i="6"/>
  <c r="D1193" i="6"/>
  <c r="D481" i="6"/>
  <c r="J578" i="6"/>
  <c r="E335" i="6"/>
  <c r="J204" i="6"/>
  <c r="C172" i="6"/>
  <c r="I1356" i="6"/>
  <c r="E548" i="6"/>
  <c r="I893" i="6"/>
  <c r="J902" i="6"/>
  <c r="F110" i="6"/>
  <c r="F945" i="6"/>
  <c r="F613" i="6"/>
  <c r="F1274" i="6"/>
  <c r="D795" i="6"/>
  <c r="C833" i="6"/>
  <c r="C1239" i="6"/>
  <c r="C763" i="6"/>
  <c r="E161" i="6"/>
  <c r="J1078" i="6"/>
  <c r="D318" i="6"/>
  <c r="E239" i="6"/>
  <c r="J1165" i="6"/>
  <c r="J702" i="6"/>
  <c r="F661" i="6"/>
  <c r="F727" i="6"/>
  <c r="C1371" i="6"/>
  <c r="D977" i="6"/>
  <c r="D552" i="6"/>
  <c r="D780" i="6"/>
  <c r="C527" i="6"/>
  <c r="I19" i="6"/>
  <c r="I1324" i="6"/>
  <c r="I1289" i="6"/>
  <c r="D170" i="6"/>
  <c r="I983" i="6"/>
  <c r="E710" i="6"/>
  <c r="E128" i="6"/>
  <c r="I1092" i="6"/>
  <c r="E534" i="6"/>
  <c r="E907" i="6"/>
  <c r="F775" i="6"/>
  <c r="F435" i="6"/>
  <c r="J89" i="6"/>
  <c r="J106" i="6"/>
  <c r="F222" i="6"/>
  <c r="F132" i="6"/>
  <c r="J1055" i="6"/>
  <c r="I567" i="6"/>
  <c r="C321" i="6"/>
  <c r="E487" i="6"/>
  <c r="D1346" i="6"/>
  <c r="D51" i="6"/>
  <c r="I32" i="6"/>
  <c r="F380" i="6"/>
  <c r="F166" i="6"/>
  <c r="D1239" i="6"/>
  <c r="I126" i="6"/>
  <c r="F1312" i="6"/>
  <c r="E970" i="6"/>
  <c r="E1103" i="6"/>
  <c r="F901" i="6"/>
  <c r="J181" i="6"/>
  <c r="D754" i="6"/>
  <c r="E603" i="6"/>
  <c r="I496" i="6"/>
  <c r="D571" i="6"/>
  <c r="I1282" i="6"/>
  <c r="D1129" i="6"/>
  <c r="D224" i="6"/>
  <c r="C1140" i="6"/>
  <c r="E73" i="6"/>
  <c r="D175" i="6"/>
  <c r="J1158" i="6"/>
  <c r="C205" i="6"/>
  <c r="D510" i="6"/>
  <c r="I527" i="6"/>
  <c r="J812" i="6"/>
  <c r="E1211" i="6"/>
  <c r="I373" i="6"/>
  <c r="E1050" i="6"/>
  <c r="D428" i="6"/>
  <c r="F734" i="6"/>
  <c r="F164" i="6"/>
  <c r="F18" i="6"/>
  <c r="D1147" i="6"/>
  <c r="F1275" i="6"/>
  <c r="C534" i="6"/>
  <c r="C813" i="6"/>
  <c r="F419" i="6"/>
  <c r="C348" i="6"/>
  <c r="D93" i="6"/>
  <c r="C38" i="6"/>
  <c r="E949" i="6"/>
  <c r="E376" i="6"/>
  <c r="F151" i="6"/>
  <c r="C1278" i="6"/>
  <c r="D717" i="6"/>
  <c r="F691" i="6"/>
  <c r="J226" i="6"/>
  <c r="C282" i="6"/>
  <c r="D1001" i="6"/>
  <c r="J471" i="6"/>
  <c r="D102" i="6"/>
  <c r="J293" i="6"/>
  <c r="D850" i="6"/>
  <c r="E1240" i="6"/>
  <c r="E790" i="6"/>
  <c r="F26" i="6"/>
  <c r="C733" i="6"/>
  <c r="J878" i="6"/>
  <c r="I1199" i="6"/>
  <c r="D990" i="6"/>
  <c r="D367" i="6"/>
  <c r="C229" i="6"/>
  <c r="C397" i="6"/>
  <c r="C276" i="6"/>
  <c r="C1329" i="6"/>
  <c r="E1203" i="6"/>
  <c r="I213" i="6"/>
  <c r="J150" i="6"/>
  <c r="E51" i="6"/>
  <c r="I1141" i="6"/>
  <c r="E328" i="6"/>
  <c r="I639" i="6"/>
  <c r="I898" i="6"/>
  <c r="E934" i="6"/>
  <c r="F1336" i="6"/>
  <c r="F925" i="6"/>
  <c r="F786" i="6"/>
  <c r="J1016" i="6"/>
  <c r="D799" i="6"/>
  <c r="D1013" i="6"/>
  <c r="C828" i="6"/>
  <c r="E225" i="6"/>
  <c r="C1156" i="6"/>
  <c r="E143" i="6"/>
  <c r="C531" i="6"/>
  <c r="C102" i="6"/>
  <c r="I480" i="6"/>
  <c r="D1170" i="6"/>
  <c r="I368" i="6"/>
  <c r="C939" i="6"/>
  <c r="J877" i="6"/>
  <c r="E560" i="6"/>
  <c r="E867" i="6"/>
  <c r="F990" i="6"/>
  <c r="F1003" i="6"/>
  <c r="C963" i="6"/>
  <c r="E1146" i="6"/>
  <c r="E310" i="6"/>
  <c r="C1266" i="6"/>
  <c r="I1277" i="6"/>
  <c r="J70" i="6"/>
  <c r="C116" i="6"/>
  <c r="D651" i="6"/>
  <c r="E9" i="6"/>
  <c r="I236" i="6"/>
  <c r="C1201" i="6"/>
  <c r="C314" i="6"/>
  <c r="C42" i="6"/>
  <c r="D338" i="6"/>
  <c r="C1204" i="6"/>
  <c r="I1303" i="6"/>
  <c r="I1160" i="6"/>
  <c r="I865" i="6"/>
  <c r="I634" i="6"/>
  <c r="F665" i="6"/>
  <c r="F1123" i="6"/>
  <c r="J1095" i="6"/>
  <c r="D460" i="6"/>
  <c r="D1182" i="6"/>
  <c r="E1256" i="6"/>
  <c r="C190" i="6"/>
  <c r="J946" i="6"/>
  <c r="C955" i="6"/>
  <c r="D254" i="6"/>
  <c r="F149" i="6"/>
  <c r="E943" i="6"/>
  <c r="I617" i="6"/>
  <c r="J746" i="6"/>
  <c r="J850" i="6"/>
  <c r="C832" i="6"/>
  <c r="J994" i="6"/>
  <c r="C1161" i="6"/>
  <c r="D395" i="6"/>
  <c r="C1027" i="6"/>
  <c r="J971" i="6"/>
  <c r="C171" i="6"/>
  <c r="J523" i="6"/>
  <c r="C1004" i="6"/>
  <c r="F995" i="6"/>
  <c r="F999" i="6"/>
  <c r="F743" i="6"/>
  <c r="C1010" i="6"/>
  <c r="J142" i="6"/>
  <c r="I11" i="6"/>
  <c r="C121" i="6"/>
  <c r="C11" i="6"/>
  <c r="D182" i="6"/>
  <c r="D421" i="6"/>
  <c r="D802" i="6"/>
  <c r="J1215" i="6"/>
  <c r="I113" i="6"/>
  <c r="I463" i="6"/>
  <c r="E18" i="6"/>
  <c r="E147" i="6"/>
  <c r="I1077" i="6"/>
  <c r="E435" i="6"/>
  <c r="I437" i="6"/>
  <c r="E876" i="6"/>
  <c r="I880" i="6"/>
  <c r="J414" i="6"/>
  <c r="E58" i="6"/>
  <c r="J21" i="6"/>
  <c r="D988" i="6"/>
  <c r="E1029" i="6"/>
  <c r="F686" i="6"/>
  <c r="J109" i="6"/>
  <c r="C849" i="6"/>
  <c r="D1242" i="6"/>
  <c r="C782" i="6"/>
  <c r="C694" i="6"/>
  <c r="D188" i="6"/>
  <c r="J509" i="6"/>
  <c r="C805" i="6"/>
  <c r="E516" i="6"/>
  <c r="F182" i="6"/>
  <c r="E99" i="6"/>
  <c r="J497" i="6"/>
  <c r="J1123" i="6"/>
  <c r="F273" i="6"/>
  <c r="D274" i="6"/>
  <c r="E1307" i="6"/>
  <c r="J455" i="6"/>
  <c r="D39" i="6"/>
  <c r="I862" i="6"/>
  <c r="I833" i="6"/>
  <c r="J1126" i="6"/>
  <c r="J30" i="6"/>
  <c r="F1207" i="6"/>
  <c r="C1276" i="6"/>
  <c r="J1362" i="6"/>
  <c r="D379" i="6"/>
  <c r="I771" i="6"/>
  <c r="C1006" i="6"/>
  <c r="I532" i="6"/>
  <c r="C911" i="6"/>
  <c r="C573" i="6"/>
  <c r="C65" i="6"/>
  <c r="C669" i="6"/>
  <c r="F363" i="6"/>
  <c r="J807" i="6"/>
  <c r="F861" i="6"/>
  <c r="D785" i="6"/>
  <c r="C785" i="6"/>
  <c r="I561" i="6"/>
  <c r="D119" i="6"/>
  <c r="I554" i="6"/>
  <c r="E924" i="6"/>
  <c r="E645" i="6"/>
  <c r="J845" i="6"/>
  <c r="F99" i="6"/>
  <c r="F763" i="6"/>
  <c r="D1053" i="6"/>
  <c r="C191" i="6"/>
  <c r="I58" i="6"/>
  <c r="C301" i="6"/>
  <c r="F440" i="6"/>
  <c r="D216" i="6"/>
  <c r="I256" i="6"/>
  <c r="C533" i="6"/>
  <c r="C299" i="6"/>
  <c r="D628" i="6"/>
  <c r="J588" i="6"/>
  <c r="E442" i="6"/>
  <c r="C529" i="6"/>
  <c r="I1088" i="6"/>
  <c r="E571" i="6"/>
  <c r="E176" i="6"/>
  <c r="E550" i="6"/>
  <c r="I892" i="6"/>
  <c r="I1128" i="6"/>
  <c r="E280" i="6"/>
  <c r="F30" i="6"/>
  <c r="F150" i="6"/>
  <c r="J646" i="6"/>
  <c r="J1026" i="6"/>
  <c r="J760" i="6"/>
  <c r="F1059" i="6"/>
  <c r="J562" i="6"/>
  <c r="F1239" i="6"/>
  <c r="D634" i="6"/>
  <c r="F563" i="6"/>
  <c r="C821" i="6"/>
  <c r="D129" i="6"/>
  <c r="J1208" i="6"/>
  <c r="C488" i="6"/>
  <c r="E988" i="6"/>
  <c r="E291" i="6"/>
  <c r="J270" i="6"/>
  <c r="D1227" i="6"/>
  <c r="E1027" i="6"/>
  <c r="D1099" i="6"/>
  <c r="J612" i="6"/>
  <c r="D437" i="6"/>
  <c r="D272" i="6"/>
  <c r="C1311" i="6"/>
  <c r="C1181" i="6"/>
  <c r="D146" i="6"/>
  <c r="C466" i="6"/>
  <c r="C630" i="6"/>
  <c r="E189" i="6"/>
  <c r="E555" i="6"/>
  <c r="I479" i="6"/>
  <c r="F736" i="6"/>
  <c r="F337" i="6"/>
  <c r="J230" i="6"/>
  <c r="D75" i="6"/>
  <c r="C476" i="6"/>
  <c r="C989" i="6"/>
  <c r="I86" i="6"/>
  <c r="E913" i="6"/>
  <c r="E460" i="6"/>
  <c r="J476" i="6"/>
  <c r="F923" i="6"/>
  <c r="D1137" i="6"/>
  <c r="C1365" i="6"/>
  <c r="C961" i="6"/>
  <c r="C1253" i="6"/>
  <c r="I1013" i="6"/>
  <c r="C1321" i="6"/>
  <c r="I649" i="6"/>
  <c r="J275" i="6"/>
  <c r="D994" i="6"/>
  <c r="D275" i="6"/>
  <c r="E1275" i="6"/>
  <c r="J503" i="6"/>
  <c r="J887" i="6"/>
  <c r="F200" i="6"/>
  <c r="D747" i="6"/>
  <c r="C580" i="6"/>
  <c r="I358" i="6"/>
  <c r="E294" i="6"/>
  <c r="I347" i="6"/>
  <c r="E839" i="6"/>
  <c r="E847" i="6"/>
  <c r="J628" i="6"/>
  <c r="J457" i="6"/>
  <c r="D1296" i="6"/>
  <c r="C79" i="6"/>
  <c r="F599" i="6"/>
  <c r="I801" i="6"/>
  <c r="C370" i="6"/>
  <c r="J549" i="6"/>
  <c r="D239" i="6"/>
  <c r="I610" i="6"/>
  <c r="F1120" i="6"/>
  <c r="C47" i="6"/>
  <c r="D522" i="6"/>
  <c r="J899" i="6"/>
  <c r="I611" i="6"/>
  <c r="J658" i="6"/>
  <c r="I507" i="6"/>
  <c r="E989" i="6"/>
  <c r="E354" i="6"/>
  <c r="I949" i="6"/>
  <c r="E1123" i="6"/>
  <c r="I189" i="6"/>
  <c r="I1126" i="6"/>
  <c r="J1267" i="6"/>
  <c r="F225" i="6"/>
  <c r="J193" i="6"/>
  <c r="J460" i="6"/>
  <c r="J1217" i="6"/>
  <c r="F855" i="6"/>
  <c r="D1322" i="6"/>
  <c r="I1280" i="6"/>
  <c r="C876" i="6"/>
  <c r="J595" i="6"/>
  <c r="D587" i="6"/>
  <c r="I1343" i="6"/>
  <c r="F240" i="6"/>
  <c r="I297" i="6"/>
  <c r="E715" i="6"/>
  <c r="I1329" i="6"/>
  <c r="F625" i="6"/>
  <c r="E1112" i="6"/>
  <c r="J1344" i="6"/>
  <c r="D1027" i="6"/>
  <c r="D436" i="6"/>
  <c r="C560" i="6"/>
  <c r="C923" i="6"/>
  <c r="F790" i="6"/>
  <c r="F1304" i="6"/>
  <c r="I333" i="6"/>
  <c r="I57" i="6"/>
  <c r="I629" i="6"/>
  <c r="E852" i="6"/>
  <c r="F1112" i="6"/>
  <c r="F858" i="6"/>
  <c r="D276" i="6"/>
  <c r="F300" i="6"/>
  <c r="I810" i="6"/>
  <c r="C163" i="6"/>
  <c r="J1039" i="6"/>
  <c r="J1331" i="6"/>
  <c r="I472" i="6"/>
  <c r="E395" i="6"/>
  <c r="J271" i="6"/>
  <c r="J169" i="6"/>
  <c r="D1258" i="6"/>
  <c r="D385" i="6"/>
  <c r="D569" i="6"/>
  <c r="J1100" i="6"/>
  <c r="E81" i="6"/>
  <c r="C514" i="6"/>
  <c r="I1132" i="6"/>
  <c r="D519" i="6"/>
  <c r="C330" i="6"/>
  <c r="E1360" i="6"/>
  <c r="E1335" i="6"/>
  <c r="D1093" i="6"/>
  <c r="D400" i="6"/>
  <c r="F304" i="6"/>
  <c r="F992" i="6"/>
  <c r="E1255" i="6"/>
  <c r="E1342" i="6"/>
  <c r="I622" i="6"/>
  <c r="D43" i="6"/>
  <c r="E195" i="6"/>
  <c r="E299" i="6"/>
  <c r="F1041" i="6"/>
  <c r="J163" i="6"/>
  <c r="C1349" i="6"/>
  <c r="D347" i="6"/>
  <c r="J875" i="6"/>
  <c r="F152" i="6"/>
  <c r="C175" i="6"/>
  <c r="F155" i="6"/>
  <c r="E1238" i="6"/>
  <c r="D976" i="6"/>
  <c r="I1353" i="6"/>
  <c r="E1199" i="6"/>
  <c r="C944" i="6"/>
  <c r="C521" i="6"/>
  <c r="D512" i="6"/>
  <c r="E222" i="6"/>
  <c r="D453" i="6"/>
  <c r="I846" i="6"/>
  <c r="E810" i="6"/>
  <c r="E938" i="6"/>
  <c r="E1110" i="6"/>
  <c r="E406" i="6"/>
  <c r="J749" i="6"/>
  <c r="F834" i="6"/>
  <c r="J37" i="6"/>
  <c r="F73" i="6"/>
  <c r="J699" i="6"/>
  <c r="F791" i="6"/>
  <c r="J950" i="6"/>
  <c r="C992" i="6"/>
  <c r="F1313" i="6"/>
  <c r="C747" i="6"/>
  <c r="F313" i="6"/>
  <c r="D1241" i="6"/>
  <c r="C110" i="6"/>
  <c r="I1273" i="6"/>
  <c r="C511" i="6"/>
  <c r="E240" i="6"/>
  <c r="C1214" i="6"/>
  <c r="I969" i="6"/>
  <c r="I647" i="6"/>
  <c r="J810" i="6"/>
  <c r="C860" i="6"/>
  <c r="F179" i="6"/>
  <c r="D336" i="6"/>
  <c r="D293" i="6"/>
  <c r="J1180" i="6"/>
  <c r="J328" i="6"/>
  <c r="I1302" i="6"/>
  <c r="I168" i="6"/>
  <c r="I65" i="6"/>
  <c r="C48" i="6"/>
  <c r="J654" i="6"/>
  <c r="J1105" i="6"/>
  <c r="C1261" i="6"/>
  <c r="D1362" i="6"/>
  <c r="I1144" i="6"/>
  <c r="E1206" i="6"/>
  <c r="D851" i="6"/>
  <c r="J941" i="6"/>
  <c r="E1100" i="6"/>
  <c r="E248" i="6"/>
  <c r="F165" i="6"/>
  <c r="J54" i="6"/>
  <c r="C700" i="6"/>
  <c r="C7" i="6"/>
  <c r="D1110" i="6"/>
  <c r="D319" i="6"/>
  <c r="F887" i="6"/>
  <c r="C280" i="6"/>
  <c r="E423" i="6"/>
  <c r="D1342" i="6"/>
  <c r="C1100" i="6"/>
  <c r="I118" i="6"/>
  <c r="I1317" i="6"/>
  <c r="D812" i="6"/>
  <c r="I1278" i="6"/>
  <c r="C845" i="6"/>
  <c r="I239" i="6"/>
  <c r="F1344" i="6"/>
  <c r="D507" i="6"/>
  <c r="I415" i="6"/>
  <c r="F523" i="6"/>
  <c r="E828" i="6"/>
  <c r="E196" i="6"/>
  <c r="F446" i="6"/>
  <c r="F1140" i="6"/>
  <c r="J412" i="6"/>
  <c r="C349" i="6"/>
  <c r="C812" i="6"/>
  <c r="C1273" i="6"/>
  <c r="E1313" i="6"/>
  <c r="J324" i="6"/>
  <c r="E1197" i="6"/>
  <c r="C695" i="6"/>
  <c r="D933" i="6"/>
  <c r="D1363" i="6"/>
  <c r="D503" i="6"/>
  <c r="I791" i="6"/>
  <c r="D1040" i="6"/>
  <c r="E422" i="6"/>
  <c r="J1011" i="6"/>
  <c r="E954" i="6"/>
  <c r="I939" i="6"/>
  <c r="E1003" i="6"/>
  <c r="I870" i="6"/>
  <c r="D1045" i="6"/>
  <c r="F22" i="6"/>
  <c r="I1296" i="6"/>
  <c r="F668" i="6"/>
  <c r="F1259" i="6"/>
  <c r="J1008" i="6"/>
  <c r="J892" i="6"/>
  <c r="F1244" i="6"/>
  <c r="C748" i="6"/>
  <c r="J1092" i="6"/>
  <c r="C871" i="6"/>
  <c r="J666" i="6"/>
  <c r="D677" i="6"/>
  <c r="J1098" i="6"/>
  <c r="J386" i="6"/>
  <c r="D1328" i="6"/>
  <c r="C335" i="6"/>
  <c r="I970" i="6"/>
  <c r="F249" i="6"/>
  <c r="J1261" i="6"/>
  <c r="F976" i="6"/>
  <c r="F1248" i="6"/>
  <c r="J46" i="6"/>
  <c r="F608" i="6"/>
  <c r="D1217" i="6"/>
  <c r="E401" i="6"/>
  <c r="I1130" i="6"/>
  <c r="J837" i="6"/>
  <c r="I1198" i="6"/>
  <c r="D346" i="6"/>
  <c r="I359" i="6"/>
  <c r="I659" i="6"/>
  <c r="E992" i="6"/>
  <c r="J1301" i="6"/>
  <c r="F671" i="6"/>
  <c r="D921" i="6"/>
  <c r="J997" i="6"/>
  <c r="F1148" i="6"/>
  <c r="D630" i="6"/>
  <c r="F359" i="6"/>
  <c r="C130" i="6"/>
  <c r="I925" i="6"/>
  <c r="F1006" i="6"/>
  <c r="J47" i="6"/>
  <c r="F309" i="6"/>
  <c r="J290" i="6"/>
  <c r="F214" i="6"/>
  <c r="J901" i="6"/>
  <c r="I1251" i="6"/>
  <c r="J833" i="6"/>
  <c r="F719" i="6"/>
  <c r="D882" i="6"/>
  <c r="J157" i="6"/>
  <c r="D703" i="6"/>
  <c r="J805" i="6"/>
  <c r="C1014" i="6"/>
  <c r="I112" i="6"/>
  <c r="C848" i="6"/>
  <c r="C238" i="6"/>
  <c r="D838" i="6"/>
  <c r="C442" i="6"/>
  <c r="I1102" i="6"/>
  <c r="E529" i="6"/>
  <c r="E1188" i="6"/>
  <c r="I1078" i="6"/>
  <c r="F1005" i="6"/>
  <c r="J939" i="6"/>
  <c r="C1059" i="6"/>
  <c r="F140" i="6"/>
  <c r="C721" i="6"/>
  <c r="D190" i="6"/>
  <c r="F1232" i="6"/>
  <c r="E311" i="6"/>
  <c r="F924" i="6"/>
  <c r="C385" i="6"/>
  <c r="C545" i="6"/>
  <c r="I599" i="6"/>
  <c r="C1230" i="6"/>
  <c r="I1068" i="6"/>
  <c r="D1299" i="6"/>
  <c r="E730" i="6"/>
  <c r="J969" i="6"/>
  <c r="I166" i="6"/>
  <c r="E1035" i="6"/>
  <c r="E886" i="6"/>
  <c r="E911" i="6"/>
  <c r="E818" i="6"/>
  <c r="F761" i="6"/>
  <c r="F432" i="6"/>
  <c r="F328" i="6"/>
  <c r="J1286" i="6"/>
  <c r="F1335" i="6"/>
  <c r="F905" i="6"/>
  <c r="I1218" i="6"/>
  <c r="J1080" i="6"/>
  <c r="J1364" i="6"/>
  <c r="J1345" i="6"/>
  <c r="J856" i="6"/>
  <c r="D1228" i="6"/>
  <c r="D435" i="6"/>
  <c r="F947" i="6"/>
  <c r="C1267" i="6"/>
  <c r="F1077" i="6"/>
  <c r="I1261" i="6"/>
  <c r="J880" i="6"/>
  <c r="J925" i="6"/>
  <c r="C1350" i="6"/>
  <c r="I428" i="6"/>
  <c r="D563" i="6"/>
  <c r="D837" i="6"/>
  <c r="I289" i="6"/>
  <c r="E1148" i="6"/>
  <c r="D1011" i="6"/>
  <c r="E1334" i="6"/>
  <c r="E353" i="6"/>
  <c r="D1359" i="6"/>
  <c r="C750" i="6"/>
  <c r="I885" i="6"/>
  <c r="J980" i="6"/>
  <c r="C1327" i="6"/>
  <c r="E1297" i="6"/>
  <c r="C221" i="6"/>
  <c r="C1221" i="6"/>
  <c r="E159" i="6"/>
  <c r="C618" i="6"/>
  <c r="I342" i="6"/>
  <c r="I1291" i="6"/>
  <c r="J556" i="6"/>
  <c r="I349" i="6"/>
  <c r="I471" i="6"/>
  <c r="I1024" i="6"/>
  <c r="C538" i="6"/>
  <c r="I95" i="6"/>
  <c r="J730" i="6"/>
  <c r="C1107" i="6"/>
  <c r="C1001" i="6"/>
  <c r="F1229" i="6"/>
  <c r="F573" i="6"/>
  <c r="D221" i="6"/>
  <c r="F1224" i="6"/>
  <c r="C222" i="6"/>
  <c r="I632" i="6"/>
  <c r="E379" i="6"/>
  <c r="E318" i="6"/>
  <c r="E942" i="6"/>
  <c r="E1031" i="6"/>
  <c r="E165" i="6"/>
  <c r="J607" i="6"/>
  <c r="F1152" i="6"/>
  <c r="J648" i="6"/>
  <c r="F224" i="6"/>
  <c r="C1022" i="6"/>
  <c r="F712" i="6"/>
  <c r="C660" i="6"/>
  <c r="D870" i="6"/>
  <c r="F223" i="6"/>
  <c r="C589" i="6"/>
  <c r="C1120" i="6"/>
  <c r="C253" i="6"/>
  <c r="I50" i="6"/>
  <c r="E233" i="6"/>
  <c r="J745" i="6"/>
  <c r="C1056" i="6"/>
  <c r="D81" i="6"/>
  <c r="I212" i="6"/>
  <c r="E71" i="6"/>
  <c r="C771" i="6"/>
  <c r="D1229" i="6"/>
  <c r="C790" i="6"/>
  <c r="D814" i="6"/>
  <c r="C719" i="6"/>
  <c r="C63" i="6"/>
  <c r="F302" i="6"/>
  <c r="D441" i="6"/>
  <c r="F352" i="6"/>
  <c r="F934" i="6"/>
  <c r="I1357" i="6"/>
  <c r="C1148" i="6"/>
  <c r="F1364" i="6"/>
  <c r="D648" i="6"/>
  <c r="F69" i="6"/>
  <c r="J958" i="6"/>
  <c r="I540" i="6"/>
  <c r="I351" i="6"/>
  <c r="I651" i="6"/>
  <c r="I625" i="6"/>
  <c r="E724" i="6"/>
  <c r="C1231" i="6"/>
  <c r="D235" i="6"/>
  <c r="I656" i="6"/>
  <c r="I1127" i="6"/>
  <c r="E985" i="6"/>
  <c r="E499" i="6"/>
  <c r="E277" i="6"/>
  <c r="F542" i="6"/>
  <c r="J1142" i="6"/>
  <c r="F199" i="6"/>
  <c r="C1030" i="6"/>
  <c r="D1303" i="6"/>
  <c r="D1113" i="6"/>
  <c r="F1306" i="6"/>
  <c r="C28" i="6"/>
  <c r="C496" i="6"/>
  <c r="E313" i="6"/>
  <c r="F1280" i="6"/>
  <c r="I220" i="6"/>
  <c r="D1128" i="6"/>
  <c r="D1184" i="6"/>
  <c r="C104" i="6"/>
  <c r="I1238" i="6"/>
  <c r="C866" i="6"/>
  <c r="I27" i="6"/>
  <c r="C1332" i="6"/>
  <c r="D653" i="6"/>
  <c r="D600" i="6"/>
  <c r="I723" i="6"/>
  <c r="I749" i="6"/>
  <c r="E12" i="6"/>
  <c r="I843" i="6"/>
  <c r="E789" i="6"/>
  <c r="I953" i="6"/>
  <c r="E91" i="6"/>
  <c r="F805" i="6"/>
  <c r="E948" i="6"/>
  <c r="E1093" i="6"/>
  <c r="I894" i="6"/>
  <c r="E973" i="6"/>
  <c r="I919" i="6"/>
  <c r="E610" i="6"/>
  <c r="J732" i="6"/>
  <c r="F1216" i="6"/>
  <c r="C1331" i="6"/>
  <c r="F441" i="6"/>
  <c r="J601" i="6"/>
  <c r="F355" i="6"/>
  <c r="C218" i="6"/>
  <c r="C979" i="6"/>
  <c r="C1000" i="6"/>
  <c r="C547" i="6"/>
  <c r="D1117" i="6"/>
  <c r="D136" i="6"/>
  <c r="E369" i="6"/>
  <c r="C1256" i="6"/>
  <c r="D929" i="6"/>
  <c r="E439" i="6"/>
  <c r="C373" i="6"/>
  <c r="D1074" i="6"/>
  <c r="F1345" i="6"/>
  <c r="D388" i="6"/>
  <c r="D1152" i="6"/>
  <c r="D859" i="6"/>
  <c r="D264" i="6"/>
  <c r="D750" i="6"/>
  <c r="J1003" i="6"/>
  <c r="I195" i="6"/>
  <c r="J264" i="6"/>
  <c r="I803" i="6"/>
  <c r="F270" i="6"/>
  <c r="E679" i="6"/>
  <c r="E107" i="6"/>
  <c r="I345" i="6"/>
  <c r="E980" i="6"/>
  <c r="E950" i="6"/>
  <c r="I187" i="6"/>
  <c r="E615" i="6"/>
  <c r="E994" i="6"/>
  <c r="F552" i="6"/>
  <c r="E1017" i="6"/>
  <c r="F936" i="6"/>
  <c r="J410" i="6"/>
  <c r="D1101" i="6"/>
  <c r="I638" i="6"/>
  <c r="C216" i="6"/>
  <c r="D598" i="6"/>
  <c r="E368" i="6"/>
  <c r="E483" i="6"/>
  <c r="F770" i="6"/>
  <c r="D449" i="6"/>
  <c r="E281" i="6"/>
  <c r="J657" i="6"/>
  <c r="C309" i="6"/>
  <c r="E1071" i="6"/>
  <c r="F584" i="6"/>
  <c r="C1226" i="6"/>
  <c r="F830" i="6"/>
  <c r="D386" i="6"/>
  <c r="F116" i="6"/>
  <c r="F877" i="6"/>
  <c r="C754" i="6"/>
  <c r="I448" i="6"/>
  <c r="F607" i="6"/>
  <c r="D627" i="6"/>
  <c r="C384" i="6"/>
  <c r="E314" i="6"/>
  <c r="I217" i="6"/>
  <c r="I966" i="6"/>
  <c r="I848" i="6"/>
  <c r="C818" i="6"/>
  <c r="D813" i="6"/>
  <c r="D1192" i="6"/>
  <c r="F605" i="6"/>
  <c r="C1063" i="6"/>
  <c r="C74" i="6"/>
  <c r="C802" i="6"/>
  <c r="D65" i="6"/>
  <c r="I229" i="6"/>
  <c r="I1071" i="6"/>
  <c r="E414" i="6"/>
  <c r="E508" i="6"/>
  <c r="E932" i="6"/>
  <c r="E27" i="6"/>
  <c r="F551" i="6"/>
  <c r="I1315" i="6"/>
  <c r="J1270" i="6"/>
  <c r="C1096" i="6"/>
  <c r="D212" i="6"/>
  <c r="D1277" i="6"/>
  <c r="F568" i="6"/>
  <c r="C20" i="6"/>
  <c r="D647" i="6"/>
  <c r="J896" i="6"/>
  <c r="D714" i="6"/>
  <c r="D942" i="6"/>
  <c r="I130" i="6"/>
  <c r="E153" i="6"/>
  <c r="F994" i="6"/>
  <c r="C686" i="6"/>
  <c r="C936" i="6"/>
  <c r="I292" i="6"/>
  <c r="E776" i="6"/>
  <c r="C1212" i="6"/>
  <c r="F536" i="6"/>
  <c r="J279" i="6"/>
  <c r="D443" i="6"/>
  <c r="C652" i="6"/>
  <c r="D94" i="6"/>
  <c r="J960" i="6"/>
  <c r="C44" i="6"/>
  <c r="D1121" i="6"/>
  <c r="J416" i="6"/>
  <c r="J430" i="6"/>
  <c r="C279" i="6"/>
  <c r="J834" i="6"/>
  <c r="I1335" i="6"/>
  <c r="D1326" i="6"/>
  <c r="J996" i="6"/>
  <c r="I724" i="6"/>
  <c r="I477" i="6"/>
  <c r="I451" i="6"/>
  <c r="I754" i="6"/>
  <c r="E61" i="6"/>
  <c r="E667" i="6"/>
  <c r="C682" i="6"/>
  <c r="I1044" i="6"/>
  <c r="I1153" i="6"/>
  <c r="I959" i="6"/>
  <c r="E871" i="6"/>
  <c r="D121" i="6"/>
  <c r="F349" i="6"/>
  <c r="J513" i="6"/>
  <c r="J574" i="6"/>
  <c r="C359" i="6"/>
  <c r="J1081" i="6"/>
  <c r="C723" i="6"/>
  <c r="J1211" i="6"/>
  <c r="J77" i="6"/>
  <c r="C619" i="6"/>
  <c r="E145" i="6"/>
  <c r="C1098" i="6"/>
  <c r="I388" i="6"/>
  <c r="J482" i="6"/>
  <c r="C588" i="6"/>
  <c r="C765" i="6"/>
  <c r="C332" i="6"/>
  <c r="D758" i="6"/>
  <c r="I259" i="6"/>
  <c r="C816" i="6"/>
  <c r="I1253" i="6"/>
  <c r="E1244" i="6"/>
  <c r="I91" i="6"/>
  <c r="I774" i="6"/>
  <c r="E214" i="6"/>
  <c r="E1045" i="6"/>
  <c r="I985" i="6"/>
  <c r="E817" i="6"/>
  <c r="E1000" i="6"/>
  <c r="I1005" i="6"/>
  <c r="E951" i="6"/>
  <c r="I1009" i="6"/>
  <c r="E1053" i="6"/>
  <c r="E941" i="6"/>
  <c r="E1154" i="6"/>
  <c r="I249" i="6"/>
  <c r="F564" i="6"/>
  <c r="F1129" i="6"/>
  <c r="J392" i="6"/>
  <c r="F1074" i="6"/>
  <c r="F303" i="6"/>
  <c r="F639" i="6"/>
  <c r="C1154" i="6"/>
  <c r="D1097" i="6"/>
  <c r="D457" i="6"/>
  <c r="C1033" i="6"/>
  <c r="J357" i="6"/>
  <c r="E1243" i="6"/>
  <c r="E217" i="6"/>
  <c r="C753" i="6"/>
  <c r="E1253" i="6"/>
  <c r="E295" i="6"/>
  <c r="J846" i="6"/>
  <c r="J222" i="6"/>
  <c r="I1362" i="6"/>
  <c r="C106" i="6"/>
  <c r="D806" i="6"/>
  <c r="D232" i="6"/>
  <c r="F570" i="6"/>
  <c r="D92" i="6"/>
  <c r="I1176" i="6"/>
  <c r="I419" i="6"/>
  <c r="D609" i="6"/>
  <c r="I613" i="6"/>
  <c r="I991" i="6"/>
  <c r="E84" i="6"/>
  <c r="E285" i="6"/>
  <c r="I79" i="6"/>
  <c r="E721" i="6"/>
  <c r="E894" i="6"/>
  <c r="I978" i="6"/>
  <c r="E963" i="6"/>
  <c r="E677" i="6"/>
  <c r="E885" i="6"/>
  <c r="I957" i="6"/>
  <c r="J140" i="6"/>
  <c r="F369" i="6"/>
  <c r="F239" i="6"/>
  <c r="I989" i="6"/>
  <c r="J725" i="6"/>
  <c r="E883" i="6"/>
  <c r="J1312" i="6"/>
  <c r="D359" i="6"/>
  <c r="D578" i="6"/>
  <c r="E455" i="6"/>
  <c r="D739" i="6"/>
  <c r="F973" i="6"/>
  <c r="C346" i="6"/>
  <c r="E461" i="6"/>
  <c r="F818" i="6"/>
  <c r="C403" i="6"/>
  <c r="J312" i="6"/>
  <c r="D1091" i="6"/>
  <c r="E1195" i="6"/>
  <c r="F1046" i="6"/>
  <c r="F1125" i="6"/>
  <c r="C739" i="6"/>
  <c r="F1124" i="6"/>
  <c r="E1292" i="6"/>
  <c r="D659" i="6"/>
  <c r="C441" i="6"/>
  <c r="D238" i="6"/>
  <c r="C692" i="6"/>
  <c r="C275" i="6"/>
  <c r="C621" i="6"/>
  <c r="I662" i="6"/>
  <c r="I703" i="6"/>
  <c r="D948" i="6"/>
  <c r="E986" i="6"/>
  <c r="I727" i="6"/>
  <c r="J1169" i="6"/>
  <c r="D1080" i="6"/>
  <c r="D1036" i="6"/>
  <c r="C452" i="6"/>
  <c r="D1356" i="6"/>
  <c r="D156" i="6"/>
  <c r="C458" i="6"/>
  <c r="D1297" i="6"/>
  <c r="C558" i="6"/>
  <c r="E20" i="6"/>
  <c r="F23" i="6"/>
  <c r="E831" i="6"/>
  <c r="E733" i="6"/>
  <c r="E797" i="6"/>
  <c r="F1159" i="6"/>
  <c r="D1050" i="6"/>
  <c r="F323" i="6"/>
  <c r="J814" i="6"/>
  <c r="C688" i="6"/>
  <c r="D902" i="6"/>
  <c r="C505" i="6"/>
  <c r="C549" i="6"/>
  <c r="D635" i="6"/>
  <c r="F985" i="6"/>
  <c r="J322" i="6"/>
  <c r="D514" i="6"/>
  <c r="I298" i="6"/>
  <c r="E778" i="6"/>
  <c r="F6" i="6"/>
  <c r="C935" i="6"/>
  <c r="E1245" i="6"/>
  <c r="I460" i="6"/>
  <c r="F232" i="6"/>
  <c r="C1244" i="6"/>
  <c r="D971" i="6"/>
  <c r="J853" i="6"/>
  <c r="E1302" i="6"/>
  <c r="D1079" i="6"/>
  <c r="E1368" i="6"/>
  <c r="J1372" i="6"/>
  <c r="D1234" i="6"/>
  <c r="D984" i="6"/>
  <c r="D745" i="6"/>
  <c r="I15" i="6"/>
  <c r="D1098" i="6"/>
  <c r="I1219" i="6"/>
  <c r="E1194" i="6"/>
  <c r="C1040" i="6"/>
  <c r="D689" i="6"/>
  <c r="F324" i="6"/>
  <c r="J11" i="6"/>
  <c r="I47" i="6"/>
  <c r="I334" i="6"/>
  <c r="E253" i="6"/>
  <c r="E106" i="6"/>
  <c r="I992" i="6"/>
  <c r="I526" i="6"/>
  <c r="I618" i="6"/>
  <c r="I842" i="6"/>
  <c r="E858" i="6"/>
  <c r="E807" i="6"/>
  <c r="F467" i="6"/>
  <c r="F230" i="6"/>
  <c r="J1243" i="6"/>
  <c r="D1210" i="6"/>
  <c r="D654" i="6"/>
  <c r="C500" i="6"/>
  <c r="J1369" i="6"/>
  <c r="F131" i="6"/>
  <c r="D497" i="6"/>
  <c r="F192" i="6"/>
  <c r="C1162" i="6"/>
  <c r="I808" i="6"/>
  <c r="F1043" i="6"/>
  <c r="C1142" i="6"/>
  <c r="C562" i="6"/>
  <c r="C858" i="6"/>
  <c r="E1345" i="6"/>
  <c r="C1339" i="6"/>
  <c r="C101" i="6"/>
  <c r="I251" i="6"/>
  <c r="I240" i="6"/>
  <c r="I829" i="6"/>
  <c r="C293" i="6"/>
  <c r="I795" i="6"/>
  <c r="E1094" i="6"/>
  <c r="E946" i="6"/>
  <c r="I924" i="6"/>
  <c r="I255" i="6"/>
  <c r="E961" i="6"/>
  <c r="E773" i="6"/>
  <c r="E1127" i="6"/>
  <c r="E564" i="6"/>
  <c r="E987" i="6"/>
  <c r="I824" i="6"/>
  <c r="I645" i="6"/>
  <c r="I1229" i="6"/>
  <c r="F387" i="6"/>
  <c r="F632" i="6"/>
  <c r="F1023" i="6"/>
  <c r="F1211" i="6"/>
  <c r="F307" i="6"/>
  <c r="D685" i="6"/>
  <c r="C690" i="6"/>
  <c r="J137" i="6"/>
  <c r="E1364" i="6"/>
  <c r="C451" i="6"/>
  <c r="J518" i="6"/>
  <c r="E720" i="6"/>
  <c r="F95" i="6"/>
  <c r="C96" i="6"/>
  <c r="E23" i="6"/>
  <c r="C1093" i="6"/>
  <c r="C862" i="6"/>
  <c r="C922" i="6"/>
  <c r="I43" i="6"/>
  <c r="C1192" i="6"/>
  <c r="C19" i="6"/>
  <c r="I63" i="6"/>
  <c r="F902" i="6"/>
  <c r="F1050" i="6"/>
  <c r="C1029" i="6"/>
  <c r="E1314" i="6"/>
  <c r="J411" i="6"/>
  <c r="E643" i="6"/>
  <c r="E434" i="6"/>
  <c r="I1086" i="6"/>
  <c r="J823" i="6"/>
  <c r="E859" i="6"/>
  <c r="I858" i="6"/>
  <c r="I1051" i="6"/>
  <c r="E998" i="6"/>
  <c r="E1049" i="6"/>
  <c r="E384" i="6"/>
  <c r="E227" i="6"/>
  <c r="F680" i="6"/>
  <c r="F407" i="6"/>
  <c r="J728" i="6"/>
  <c r="I889" i="6"/>
  <c r="F1095" i="6"/>
  <c r="E893" i="6"/>
  <c r="F13" i="6"/>
  <c r="F1144" i="6"/>
  <c r="D172" i="6"/>
  <c r="E804" i="6"/>
  <c r="D1294" i="6"/>
  <c r="D626" i="6"/>
  <c r="E761" i="6"/>
  <c r="I360" i="6"/>
  <c r="J889" i="6"/>
  <c r="J164" i="6"/>
  <c r="F489" i="6"/>
  <c r="C123" i="6"/>
  <c r="D1341" i="6"/>
  <c r="F1329" i="6"/>
  <c r="F1246" i="6"/>
  <c r="J536" i="6"/>
  <c r="J246" i="6"/>
  <c r="I1217" i="6"/>
  <c r="D285" i="6"/>
  <c r="D1174" i="6"/>
  <c r="D139" i="6"/>
  <c r="D1076" i="6"/>
  <c r="F413" i="6"/>
  <c r="E1350" i="6"/>
  <c r="I633" i="6"/>
  <c r="I784" i="6"/>
  <c r="C867" i="6"/>
  <c r="E1105" i="6"/>
  <c r="J1212" i="6"/>
  <c r="J1137" i="6"/>
  <c r="C916" i="6"/>
  <c r="D480" i="6"/>
  <c r="C554" i="6"/>
  <c r="J560" i="6"/>
  <c r="C83" i="6"/>
  <c r="I149" i="6"/>
  <c r="I390" i="6"/>
  <c r="C315" i="6"/>
  <c r="I732" i="6"/>
  <c r="E1034" i="6"/>
  <c r="E930" i="6"/>
  <c r="E594" i="6"/>
  <c r="E208" i="6"/>
  <c r="J1125" i="6"/>
  <c r="J1085" i="6"/>
  <c r="J593" i="6"/>
  <c r="D889" i="6"/>
  <c r="C418" i="6"/>
  <c r="J423" i="6"/>
  <c r="J1300" i="6"/>
  <c r="C283" i="6"/>
  <c r="D662" i="6"/>
  <c r="J101" i="6"/>
  <c r="C380" i="6"/>
  <c r="C36" i="6"/>
  <c r="I386" i="6"/>
  <c r="I1260" i="6"/>
  <c r="F29" i="6"/>
  <c r="J627" i="6"/>
  <c r="F1070" i="6"/>
  <c r="I551" i="6"/>
  <c r="J984" i="6"/>
  <c r="C337" i="6"/>
  <c r="C1070" i="6"/>
  <c r="C847" i="6"/>
  <c r="C54" i="6"/>
  <c r="D1221" i="6"/>
  <c r="E1232" i="6"/>
  <c r="D1176" i="6"/>
  <c r="E1304" i="6"/>
  <c r="E1216" i="6"/>
  <c r="D562" i="6"/>
  <c r="I125" i="6"/>
  <c r="D189" i="6"/>
  <c r="C468" i="6"/>
  <c r="J1173" i="6"/>
  <c r="E1225" i="6"/>
  <c r="D895" i="6"/>
  <c r="J1025" i="6"/>
  <c r="J108" i="6"/>
  <c r="D74" i="6"/>
  <c r="I134" i="6"/>
  <c r="E357" i="6"/>
  <c r="E202" i="6"/>
  <c r="E533" i="6"/>
  <c r="I327" i="6"/>
  <c r="I413" i="6"/>
  <c r="E1149" i="6"/>
  <c r="E842" i="6"/>
  <c r="I653" i="6"/>
  <c r="F657" i="6"/>
  <c r="F662" i="6"/>
  <c r="F932" i="6"/>
  <c r="F55" i="6"/>
  <c r="J194" i="6"/>
  <c r="D815" i="6"/>
  <c r="J79" i="6"/>
  <c r="J147" i="6"/>
  <c r="C453" i="6"/>
  <c r="J396" i="6"/>
  <c r="C85" i="6"/>
  <c r="I1048" i="6"/>
  <c r="F181" i="6"/>
  <c r="C770" i="6"/>
  <c r="D548" i="6"/>
  <c r="D513" i="6"/>
  <c r="J1352" i="6"/>
  <c r="F1370" i="6"/>
  <c r="C731" i="6"/>
  <c r="I517" i="6"/>
  <c r="I493" i="6"/>
  <c r="E742" i="6"/>
  <c r="J613" i="6"/>
  <c r="I369" i="6"/>
  <c r="I973" i="6"/>
  <c r="C295" i="6"/>
  <c r="E657" i="6"/>
  <c r="E614" i="6"/>
  <c r="I165" i="6"/>
  <c r="E912" i="6"/>
  <c r="C64" i="6"/>
  <c r="I341" i="6"/>
  <c r="E561" i="6"/>
  <c r="E856" i="6"/>
  <c r="D1161" i="6"/>
  <c r="J238" i="6"/>
  <c r="F1356" i="6"/>
  <c r="J447" i="6"/>
  <c r="F942" i="6"/>
  <c r="F940" i="6"/>
  <c r="F80" i="6"/>
  <c r="F1036" i="6"/>
  <c r="D326" i="6"/>
  <c r="J337" i="6"/>
  <c r="C1007" i="6"/>
  <c r="C331" i="6"/>
  <c r="I1338" i="6"/>
  <c r="J1040" i="6"/>
  <c r="C356" i="6"/>
  <c r="I1221" i="6"/>
  <c r="J44" i="6"/>
  <c r="J1296" i="6"/>
  <c r="C941" i="6"/>
  <c r="J1302" i="6"/>
  <c r="I203" i="6"/>
  <c r="C198" i="6"/>
  <c r="D262" i="6"/>
  <c r="I209" i="6"/>
  <c r="F1099" i="6"/>
  <c r="D1315" i="6"/>
  <c r="C789" i="6"/>
  <c r="F889" i="6"/>
  <c r="D1146" i="6"/>
  <c r="E757" i="6"/>
  <c r="I1049" i="6"/>
  <c r="I679" i="6"/>
  <c r="E903" i="6"/>
  <c r="I78" i="6"/>
  <c r="E1080" i="6"/>
  <c r="F139" i="6"/>
  <c r="E673" i="6"/>
  <c r="E636" i="6"/>
  <c r="J991" i="6"/>
  <c r="E653" i="6"/>
  <c r="F578" i="6"/>
  <c r="J434" i="6"/>
  <c r="F1308" i="6"/>
  <c r="C113" i="6"/>
  <c r="F1243" i="6"/>
  <c r="C125" i="6"/>
  <c r="I389" i="6"/>
  <c r="F72" i="6"/>
  <c r="C948" i="6"/>
  <c r="D1158" i="6"/>
  <c r="I100" i="6"/>
  <c r="D985" i="6"/>
  <c r="E568" i="6"/>
  <c r="F802" i="6"/>
  <c r="D1295" i="6"/>
  <c r="C544" i="6"/>
  <c r="J317" i="6"/>
  <c r="I1135" i="6"/>
  <c r="E1164" i="6"/>
  <c r="C1269" i="6"/>
  <c r="D833" i="6"/>
  <c r="E1167" i="6"/>
  <c r="F998" i="6"/>
  <c r="J655" i="6"/>
  <c r="I72" i="6"/>
  <c r="I764" i="6"/>
  <c r="F629" i="6"/>
  <c r="E531" i="6"/>
  <c r="F285" i="6"/>
  <c r="D1335" i="6"/>
  <c r="F1137" i="6"/>
  <c r="F1166" i="6"/>
  <c r="I308" i="6"/>
  <c r="C1193" i="6"/>
  <c r="C217" i="6"/>
  <c r="F463" i="6"/>
  <c r="I1076" i="6"/>
  <c r="E506" i="6"/>
  <c r="E705" i="6"/>
  <c r="I855" i="6"/>
  <c r="E416" i="6"/>
  <c r="E1028" i="6"/>
  <c r="E784" i="6"/>
  <c r="J477" i="6"/>
  <c r="J688" i="6"/>
  <c r="F1019" i="6"/>
  <c r="D828" i="6"/>
  <c r="J1239" i="6"/>
  <c r="D1238" i="6"/>
  <c r="D979" i="6"/>
  <c r="F688" i="6"/>
  <c r="D879" i="6"/>
  <c r="F717" i="6"/>
  <c r="C161" i="6"/>
  <c r="J1140" i="6"/>
  <c r="I1029" i="6"/>
  <c r="J60" i="6"/>
  <c r="C503" i="6"/>
  <c r="D142" i="6"/>
  <c r="E1309" i="6"/>
  <c r="I1156" i="6"/>
  <c r="I1287" i="6"/>
  <c r="D1313" i="6"/>
  <c r="J183" i="6"/>
  <c r="C795" i="6"/>
  <c r="F729" i="6"/>
  <c r="D831" i="6"/>
  <c r="I352" i="6"/>
  <c r="C1200" i="6"/>
  <c r="F1353" i="6"/>
  <c r="D155" i="6"/>
  <c r="D68" i="6"/>
  <c r="J693" i="6"/>
  <c r="D576" i="6"/>
  <c r="D77" i="6"/>
  <c r="C991" i="6"/>
  <c r="I111" i="6"/>
  <c r="I127" i="6"/>
  <c r="D143" i="6"/>
  <c r="C264" i="6"/>
  <c r="E124" i="6"/>
  <c r="E496" i="6"/>
  <c r="I486" i="6"/>
  <c r="I798" i="6"/>
  <c r="E43" i="6"/>
  <c r="E758" i="6"/>
  <c r="F867" i="6"/>
  <c r="E1062" i="6"/>
  <c r="E726" i="6"/>
  <c r="F203" i="6"/>
  <c r="J1232" i="6"/>
  <c r="F817" i="6"/>
  <c r="F884" i="6"/>
  <c r="J596" i="6"/>
  <c r="J102" i="6"/>
  <c r="D488" i="6"/>
  <c r="C839" i="6"/>
  <c r="C639" i="6"/>
  <c r="I314" i="6"/>
  <c r="J291" i="6"/>
  <c r="C168" i="6"/>
  <c r="J374" i="6"/>
  <c r="D705" i="6"/>
  <c r="F1094" i="6"/>
  <c r="I139" i="6"/>
  <c r="F710" i="6"/>
  <c r="C328" i="6"/>
  <c r="C987" i="6"/>
  <c r="D935" i="6"/>
  <c r="I407" i="6"/>
  <c r="I8" i="6"/>
  <c r="I37" i="6"/>
  <c r="E360" i="6"/>
  <c r="I816" i="6"/>
  <c r="E1145" i="6"/>
  <c r="E809" i="6"/>
  <c r="I932" i="6"/>
  <c r="E875" i="6"/>
  <c r="E554" i="6"/>
  <c r="E1001" i="6"/>
  <c r="I999" i="6"/>
  <c r="E1065" i="6"/>
  <c r="E717" i="6"/>
  <c r="E1090" i="6"/>
  <c r="I318" i="6"/>
  <c r="F1012" i="6"/>
  <c r="F1195" i="6"/>
  <c r="F1325" i="6"/>
  <c r="F1277" i="6"/>
  <c r="D900" i="6"/>
  <c r="J1088" i="6"/>
  <c r="C1205" i="6"/>
  <c r="D1178" i="6"/>
  <c r="F1067" i="6"/>
  <c r="F1192" i="6"/>
  <c r="C115" i="6"/>
  <c r="I426" i="6"/>
  <c r="F1193" i="6"/>
  <c r="E1312" i="6"/>
  <c r="I348" i="6"/>
  <c r="C1330" i="6"/>
  <c r="D1123" i="6"/>
  <c r="C341" i="6"/>
  <c r="C557" i="6"/>
  <c r="F1089" i="6"/>
  <c r="E1173" i="6"/>
  <c r="C1178" i="6"/>
  <c r="J376" i="6"/>
  <c r="C300" i="6"/>
  <c r="C1251" i="6"/>
  <c r="I294" i="6"/>
  <c r="C1224" i="6"/>
  <c r="I1075" i="6"/>
  <c r="I1037" i="6"/>
  <c r="C1319" i="6"/>
  <c r="E130" i="6"/>
  <c r="E906" i="6"/>
  <c r="I836" i="6"/>
  <c r="E513" i="6"/>
  <c r="J360" i="6"/>
  <c r="I946" i="6"/>
  <c r="E633" i="6"/>
  <c r="E1095" i="6"/>
  <c r="E364" i="6"/>
  <c r="J43" i="6"/>
  <c r="J1224" i="6"/>
  <c r="F586" i="6"/>
  <c r="J479" i="6"/>
  <c r="F730" i="6"/>
  <c r="J432" i="6"/>
  <c r="J284" i="6"/>
  <c r="J1012" i="6"/>
  <c r="F970" i="6"/>
  <c r="J1192" i="6"/>
  <c r="D978" i="6"/>
  <c r="D502" i="6"/>
  <c r="I844" i="6"/>
  <c r="F64" i="6"/>
  <c r="C607" i="6"/>
  <c r="I42" i="6"/>
  <c r="I204" i="6"/>
  <c r="J660" i="6"/>
  <c r="D116" i="6"/>
  <c r="D1024" i="6"/>
  <c r="I1050" i="6"/>
  <c r="I744" i="6"/>
  <c r="E706" i="6"/>
  <c r="F1086" i="6"/>
  <c r="D726" i="6"/>
  <c r="E759" i="6"/>
  <c r="D554" i="6"/>
  <c r="C162" i="6"/>
  <c r="E346" i="6"/>
  <c r="E108" i="6"/>
  <c r="E968" i="6"/>
  <c r="E501" i="6"/>
  <c r="J198" i="6"/>
  <c r="J344" i="6"/>
  <c r="F377" i="6"/>
  <c r="J126" i="6"/>
  <c r="D941" i="6"/>
  <c r="C1372" i="6"/>
  <c r="J575" i="6"/>
  <c r="D425" i="6"/>
  <c r="E65" i="6"/>
  <c r="D674" i="6"/>
  <c r="D115" i="6"/>
  <c r="E319" i="6"/>
  <c r="J1198" i="6"/>
  <c r="D1151" i="6"/>
  <c r="C98" i="6"/>
  <c r="I1300" i="6"/>
  <c r="C390" i="6"/>
  <c r="D772" i="6"/>
  <c r="D344" i="6"/>
  <c r="D424" i="6"/>
  <c r="D271" i="6"/>
  <c r="I1244" i="6"/>
  <c r="I518" i="6"/>
  <c r="C153" i="6"/>
  <c r="I1133" i="6"/>
  <c r="I685" i="6"/>
  <c r="F405" i="6"/>
  <c r="E98" i="6"/>
  <c r="E1063" i="6"/>
  <c r="E112" i="6"/>
  <c r="F333" i="6"/>
  <c r="J105" i="6"/>
  <c r="F298" i="6"/>
  <c r="J819" i="6"/>
  <c r="D268" i="6"/>
  <c r="C62" i="6"/>
  <c r="J967" i="6"/>
  <c r="E399" i="6"/>
  <c r="J873" i="6"/>
  <c r="E1236" i="6"/>
  <c r="F287" i="6"/>
  <c r="D470" i="6"/>
  <c r="C880" i="6"/>
  <c r="D166" i="6"/>
  <c r="I353" i="6"/>
  <c r="E824" i="6"/>
  <c r="I1004" i="6"/>
  <c r="E260" i="6"/>
  <c r="I895" i="6"/>
  <c r="E598" i="6"/>
  <c r="I1122" i="6"/>
  <c r="E607" i="6"/>
  <c r="E332" i="6"/>
  <c r="J570" i="6"/>
  <c r="J469" i="6"/>
  <c r="D1369" i="6"/>
  <c r="D1213" i="6"/>
  <c r="D225" i="6"/>
  <c r="D657" i="6"/>
  <c r="D964" i="6"/>
  <c r="I598" i="6"/>
  <c r="D650" i="6"/>
  <c r="E167" i="6"/>
  <c r="D992" i="6"/>
  <c r="J703" i="6"/>
  <c r="J165" i="6"/>
  <c r="J449" i="6"/>
  <c r="C644" i="6"/>
  <c r="I1168" i="6"/>
  <c r="J144" i="6"/>
  <c r="E366" i="6"/>
  <c r="E254" i="6"/>
  <c r="E262" i="6"/>
  <c r="E527" i="6"/>
  <c r="E290" i="6"/>
  <c r="E1087" i="6"/>
  <c r="I910" i="6"/>
  <c r="E1068" i="6"/>
  <c r="F233" i="6"/>
  <c r="F1008" i="6"/>
  <c r="F781" i="6"/>
  <c r="F793" i="6"/>
  <c r="D744" i="6"/>
  <c r="C343" i="6"/>
  <c r="C197" i="6"/>
  <c r="D1209" i="6"/>
  <c r="C696" i="6"/>
  <c r="I1164" i="6"/>
  <c r="F126" i="6"/>
  <c r="D434" i="6"/>
  <c r="I702" i="6"/>
  <c r="D668" i="6"/>
  <c r="J1059" i="6"/>
  <c r="C956" i="6"/>
  <c r="I438" i="6"/>
  <c r="J301" i="6"/>
  <c r="D1171" i="6"/>
  <c r="E870" i="6"/>
  <c r="E920" i="6"/>
  <c r="E830" i="6"/>
  <c r="J441" i="6"/>
  <c r="F1204" i="6"/>
  <c r="J305" i="6"/>
  <c r="J783" i="6"/>
  <c r="C724" i="6"/>
  <c r="C1363" i="6"/>
  <c r="C142" i="6"/>
  <c r="C439" i="6"/>
  <c r="D907" i="6"/>
  <c r="I623" i="6"/>
  <c r="C1254" i="6"/>
  <c r="I76" i="6"/>
  <c r="D482" i="6"/>
  <c r="C1103" i="6"/>
  <c r="D501" i="6"/>
  <c r="D788" i="6"/>
  <c r="C831" i="6"/>
  <c r="I319" i="6"/>
  <c r="J791" i="6"/>
  <c r="J597" i="6"/>
  <c r="I1089" i="6"/>
  <c r="I1047" i="6"/>
  <c r="E1044" i="6"/>
  <c r="E470" i="6"/>
  <c r="I1298" i="6"/>
  <c r="F753" i="6"/>
  <c r="F854" i="6"/>
  <c r="D1143" i="6"/>
  <c r="F655" i="6"/>
  <c r="D149" i="6"/>
  <c r="D955" i="6"/>
  <c r="D364" i="6"/>
  <c r="I1226" i="6"/>
  <c r="C365" i="6"/>
  <c r="E775" i="6"/>
  <c r="F382" i="6"/>
  <c r="J762" i="6"/>
  <c r="E1372" i="6"/>
  <c r="D516" i="6"/>
  <c r="C905" i="6"/>
  <c r="I1188" i="6"/>
  <c r="I1058" i="6"/>
  <c r="F821" i="6"/>
  <c r="I1333" i="6"/>
  <c r="J342" i="6"/>
  <c r="J716" i="6"/>
  <c r="J669" i="6"/>
  <c r="C654" i="6"/>
  <c r="J900" i="6"/>
  <c r="F1090" i="6"/>
  <c r="J84" i="6"/>
  <c r="E1118" i="6"/>
  <c r="J554" i="6"/>
  <c r="I1351" i="6"/>
  <c r="I282" i="6"/>
  <c r="I372" i="6"/>
  <c r="C479" i="6"/>
  <c r="C530" i="6"/>
  <c r="C228" i="6"/>
  <c r="E410" i="6"/>
  <c r="E86" i="6"/>
  <c r="F1309" i="6"/>
  <c r="F266" i="6"/>
  <c r="C1079" i="6"/>
  <c r="F8" i="6"/>
  <c r="C581" i="6"/>
  <c r="J680" i="6"/>
  <c r="I313" i="6"/>
  <c r="I1093" i="6"/>
  <c r="E649" i="6"/>
  <c r="I773" i="6"/>
  <c r="F1122" i="6"/>
  <c r="J553" i="6"/>
  <c r="J214" i="6"/>
  <c r="C416" i="6"/>
  <c r="C427" i="6"/>
  <c r="D835" i="6"/>
  <c r="C957" i="6"/>
  <c r="F954" i="6"/>
  <c r="J179" i="6"/>
  <c r="J439" i="6"/>
  <c r="D206" i="6"/>
  <c r="E231" i="6"/>
  <c r="J934" i="6"/>
  <c r="J563" i="6"/>
  <c r="E1209" i="6"/>
  <c r="C262" i="6"/>
  <c r="D1052" i="6"/>
  <c r="D80" i="6"/>
  <c r="D1190" i="6"/>
  <c r="D463" i="6"/>
  <c r="D37" i="6"/>
  <c r="I1274" i="6"/>
  <c r="I678" i="6"/>
  <c r="D303" i="6"/>
  <c r="I536" i="6"/>
  <c r="I287" i="6"/>
  <c r="E597" i="6"/>
  <c r="E194" i="6"/>
  <c r="I1010" i="6"/>
  <c r="I273" i="6"/>
  <c r="J893" i="6"/>
  <c r="F953" i="6"/>
  <c r="J1172" i="6"/>
  <c r="C510" i="6"/>
  <c r="J594" i="6"/>
  <c r="C170" i="6"/>
  <c r="D897" i="6"/>
  <c r="E223" i="6"/>
  <c r="J504" i="6"/>
  <c r="J874" i="6"/>
  <c r="D1304" i="6"/>
  <c r="E1276" i="6"/>
  <c r="E1179" i="6"/>
  <c r="I1045" i="6"/>
  <c r="E541" i="6"/>
  <c r="E851" i="6"/>
  <c r="E863" i="6"/>
  <c r="E510" i="6"/>
  <c r="E1125" i="6"/>
  <c r="I852" i="6"/>
  <c r="E857" i="6"/>
  <c r="E323" i="6"/>
  <c r="E278" i="6"/>
  <c r="J283" i="6"/>
  <c r="F350" i="6"/>
  <c r="C1177" i="6"/>
  <c r="F827" i="6"/>
  <c r="D947" i="6"/>
  <c r="D1173" i="6"/>
  <c r="C414" i="6"/>
  <c r="E97" i="6"/>
  <c r="D416" i="6"/>
  <c r="J490" i="6"/>
  <c r="F740" i="6"/>
  <c r="C759" i="6"/>
  <c r="D602" i="6"/>
  <c r="F278" i="6"/>
  <c r="D331" i="6"/>
  <c r="D1095" i="6"/>
  <c r="D48" i="6"/>
  <c r="I1113" i="6"/>
  <c r="I698" i="6"/>
  <c r="E436" i="6"/>
  <c r="I951" i="6"/>
  <c r="I367" i="6"/>
  <c r="I14" i="6"/>
  <c r="E1032" i="6"/>
  <c r="E1088" i="6"/>
  <c r="J1318" i="6"/>
  <c r="F1160" i="6"/>
  <c r="J1018" i="6"/>
  <c r="C443" i="6"/>
  <c r="D308" i="6"/>
  <c r="D920" i="6"/>
  <c r="D414" i="6"/>
  <c r="F862" i="6"/>
  <c r="D919" i="6"/>
  <c r="I90" i="6"/>
  <c r="J184" i="6"/>
  <c r="C187" i="6"/>
  <c r="I725" i="6"/>
  <c r="F1368" i="6"/>
  <c r="D1264" i="6"/>
  <c r="D1225" i="6"/>
  <c r="I666" i="6"/>
  <c r="I1177" i="6"/>
  <c r="D1069" i="6"/>
  <c r="E1143" i="6"/>
  <c r="E1009" i="6"/>
  <c r="E1085" i="6"/>
  <c r="F1331" i="6"/>
  <c r="F534" i="6"/>
  <c r="J391" i="6"/>
  <c r="F483" i="6"/>
  <c r="D1248" i="6"/>
  <c r="J835" i="6"/>
  <c r="D355" i="6"/>
  <c r="C751" i="6"/>
  <c r="D684" i="6"/>
  <c r="E433" i="6"/>
  <c r="D686" i="6"/>
  <c r="I260" i="6"/>
  <c r="C749" i="6"/>
  <c r="C884" i="6"/>
  <c r="C1237" i="6"/>
  <c r="C375" i="6"/>
  <c r="C863" i="6"/>
  <c r="I555" i="6"/>
  <c r="C934" i="6"/>
  <c r="D348" i="6"/>
  <c r="I1100" i="6"/>
  <c r="I785" i="6"/>
  <c r="I825" i="6"/>
  <c r="E1026" i="6"/>
  <c r="J1062" i="6"/>
  <c r="C893" i="6"/>
  <c r="J125" i="6"/>
  <c r="F989" i="6"/>
  <c r="F332" i="6"/>
  <c r="D440" i="6"/>
  <c r="D912" i="6"/>
  <c r="C1115" i="6"/>
  <c r="F755" i="6"/>
  <c r="F1072" i="6"/>
  <c r="C825" i="6"/>
  <c r="J236" i="6"/>
  <c r="D1175" i="6"/>
  <c r="C1300" i="6"/>
  <c r="F1220" i="6"/>
  <c r="D742" i="6"/>
  <c r="F1187" i="6"/>
  <c r="C266" i="6"/>
  <c r="E896" i="6"/>
  <c r="F580" i="6"/>
  <c r="F618" i="6"/>
  <c r="D330" i="6"/>
  <c r="J189" i="6"/>
  <c r="D353" i="6"/>
  <c r="E668" i="6"/>
  <c r="J529" i="6"/>
  <c r="D595" i="6"/>
  <c r="D667" i="6"/>
  <c r="E962" i="6"/>
  <c r="C915" i="6"/>
  <c r="D538" i="6"/>
  <c r="I646" i="6"/>
  <c r="D886" i="6"/>
  <c r="D599" i="6"/>
  <c r="D90" i="6"/>
  <c r="I1170" i="6"/>
  <c r="E536" i="6"/>
  <c r="I1140" i="6"/>
  <c r="J100" i="6"/>
  <c r="C1111" i="6"/>
  <c r="C645" i="6"/>
  <c r="C924" i="6"/>
  <c r="D28" i="6"/>
  <c r="D546" i="6"/>
  <c r="E608" i="6"/>
  <c r="E927" i="6"/>
  <c r="E547" i="6"/>
  <c r="I628" i="6"/>
  <c r="F935" i="6"/>
  <c r="J548" i="6"/>
  <c r="J132" i="6"/>
  <c r="C1362" i="6"/>
  <c r="D40" i="6"/>
  <c r="D690" i="6"/>
  <c r="J196" i="6"/>
  <c r="J120" i="6"/>
  <c r="C842" i="6"/>
  <c r="F1198" i="6"/>
  <c r="I1258" i="6"/>
  <c r="F859" i="6"/>
  <c r="J1209" i="6"/>
  <c r="D1072" i="6"/>
  <c r="J294" i="6"/>
  <c r="I22" i="6"/>
  <c r="E1328" i="6"/>
  <c r="D333" i="6"/>
  <c r="E1336" i="6"/>
  <c r="D281" i="6"/>
  <c r="I1241" i="6"/>
  <c r="I238" i="6"/>
  <c r="D982" i="6"/>
  <c r="E1193" i="6"/>
  <c r="C180" i="6"/>
  <c r="C132" i="6"/>
  <c r="E766" i="6"/>
  <c r="E404" i="6"/>
  <c r="I907" i="6"/>
  <c r="I1137" i="6"/>
  <c r="F170" i="6"/>
  <c r="J186" i="6"/>
  <c r="J726" i="6"/>
  <c r="D1208" i="6"/>
  <c r="C579" i="6"/>
  <c r="E1184" i="6"/>
  <c r="C1135" i="6"/>
  <c r="F171" i="6"/>
  <c r="C990" i="6"/>
  <c r="I363" i="6"/>
  <c r="F846" i="6"/>
  <c r="D218" i="6"/>
  <c r="C417" i="6"/>
  <c r="E38" i="6"/>
  <c r="E781" i="6"/>
  <c r="E926" i="6"/>
  <c r="E897" i="6"/>
  <c r="I881" i="6"/>
  <c r="E174" i="6"/>
  <c r="E622" i="6"/>
  <c r="I765" i="6"/>
  <c r="E312" i="6"/>
  <c r="E101" i="6"/>
  <c r="J1337" i="6"/>
  <c r="J1009" i="6"/>
  <c r="J1273" i="6"/>
  <c r="D956" i="6"/>
  <c r="E1300" i="6"/>
  <c r="C1275" i="6"/>
  <c r="C32" i="6"/>
  <c r="J346" i="6"/>
  <c r="D1021" i="6"/>
  <c r="F590" i="6"/>
  <c r="J483" i="6"/>
  <c r="D816" i="6"/>
  <c r="D476" i="6"/>
  <c r="D915" i="6"/>
  <c r="F863" i="6"/>
  <c r="C1015" i="6"/>
  <c r="I296" i="6"/>
  <c r="I201" i="6"/>
  <c r="I81" i="6"/>
  <c r="I696" i="6"/>
  <c r="E762" i="6"/>
  <c r="E795" i="6"/>
  <c r="E1055" i="6"/>
  <c r="I859" i="6"/>
  <c r="D720" i="6"/>
  <c r="F1164" i="6"/>
  <c r="F390" i="6"/>
  <c r="F191" i="6"/>
  <c r="E862" i="6"/>
  <c r="F490" i="6"/>
  <c r="J212" i="6"/>
  <c r="D1005" i="6"/>
  <c r="D934" i="6"/>
  <c r="I1373" i="6"/>
  <c r="E164" i="6"/>
  <c r="D760" i="6"/>
  <c r="C1009" i="6"/>
  <c r="J1323" i="6"/>
  <c r="E760" i="6"/>
  <c r="C583" i="6"/>
  <c r="F384" i="6"/>
  <c r="F1305" i="6"/>
  <c r="C684" i="6"/>
  <c r="D526" i="6"/>
  <c r="I1158" i="6"/>
  <c r="I97" i="6"/>
  <c r="E243" i="6"/>
  <c r="I232" i="6"/>
  <c r="F504" i="6"/>
  <c r="F1030" i="6"/>
  <c r="F226" i="6"/>
  <c r="F279" i="6"/>
  <c r="F134" i="6"/>
  <c r="D82" i="6"/>
  <c r="E725" i="6"/>
  <c r="I916" i="6"/>
  <c r="E869" i="6"/>
  <c r="I230" i="6"/>
  <c r="F771" i="6"/>
  <c r="F1284" i="6"/>
  <c r="D804" i="6"/>
  <c r="F788" i="6"/>
  <c r="C593" i="6"/>
  <c r="D1232" i="6"/>
  <c r="D940" i="6"/>
  <c r="E1200" i="6"/>
  <c r="J956" i="6"/>
  <c r="C285" i="6"/>
  <c r="F394" i="6"/>
  <c r="F756" i="6"/>
  <c r="D471" i="6"/>
  <c r="D906" i="6"/>
  <c r="D1268" i="6"/>
  <c r="I128" i="6"/>
  <c r="D932" i="6"/>
  <c r="D398" i="6"/>
  <c r="F330" i="6"/>
  <c r="F264" i="6"/>
  <c r="C1289" i="6"/>
  <c r="I361" i="6"/>
  <c r="D1112" i="6"/>
  <c r="I1027" i="6"/>
  <c r="D148" i="6"/>
  <c r="C834" i="6"/>
  <c r="E727" i="6"/>
  <c r="I1015" i="6"/>
  <c r="E78" i="6"/>
  <c r="F1048" i="6"/>
  <c r="I1367" i="6"/>
  <c r="F39" i="6"/>
  <c r="J409" i="6"/>
  <c r="E1226" i="6"/>
  <c r="D622" i="6"/>
  <c r="I138" i="6"/>
  <c r="D289" i="6"/>
  <c r="J113" i="6"/>
  <c r="D27" i="6"/>
  <c r="I769" i="6"/>
  <c r="D908" i="6"/>
  <c r="F217" i="6"/>
  <c r="D269" i="6"/>
  <c r="I578" i="6"/>
  <c r="E149" i="6"/>
  <c r="I860" i="6"/>
  <c r="I1006" i="6"/>
  <c r="I857" i="6"/>
  <c r="E841" i="6"/>
  <c r="I845" i="6"/>
  <c r="E933" i="6"/>
  <c r="E515" i="6"/>
  <c r="I572" i="6"/>
  <c r="J17" i="6"/>
  <c r="J56" i="6"/>
  <c r="C415" i="6"/>
  <c r="F209" i="6"/>
  <c r="C1131" i="6"/>
  <c r="J526" i="6"/>
  <c r="D316" i="6"/>
  <c r="F143" i="6"/>
  <c r="D431" i="6"/>
  <c r="F37" i="6"/>
  <c r="J644" i="6"/>
  <c r="D237" i="6"/>
  <c r="D30" i="6"/>
  <c r="C525" i="6"/>
  <c r="J502" i="6"/>
  <c r="I1235" i="6"/>
  <c r="I519" i="6"/>
  <c r="D21" i="6"/>
  <c r="D294" i="6"/>
  <c r="C86" i="6"/>
  <c r="E861" i="6"/>
  <c r="I1138" i="6"/>
  <c r="I343" i="6"/>
  <c r="E1156" i="6"/>
  <c r="I766" i="6"/>
  <c r="F362" i="6"/>
  <c r="J667" i="6"/>
  <c r="F268" i="6"/>
  <c r="D1145" i="6"/>
  <c r="C516" i="6"/>
  <c r="C710" i="6"/>
  <c r="J343" i="6"/>
  <c r="D1015" i="6"/>
  <c r="D134" i="6"/>
  <c r="I530" i="6"/>
  <c r="J33" i="6"/>
  <c r="C297" i="6"/>
  <c r="E183" i="6"/>
  <c r="J676" i="6"/>
  <c r="C345" i="6"/>
  <c r="D998" i="6"/>
  <c r="F58" i="6"/>
  <c r="D282" i="6"/>
  <c r="D16" i="6"/>
  <c r="E582" i="6"/>
  <c r="E820" i="6"/>
  <c r="E751" i="6"/>
  <c r="F162" i="6"/>
  <c r="J1072" i="6"/>
  <c r="F841" i="6"/>
  <c r="C1095" i="6"/>
  <c r="J491" i="6"/>
  <c r="C1234" i="6"/>
  <c r="J182" i="6"/>
  <c r="C981" i="6"/>
  <c r="I1283" i="6"/>
  <c r="J1033" i="6"/>
  <c r="C713" i="6"/>
  <c r="I1149" i="6"/>
  <c r="J1082" i="6"/>
  <c r="D477" i="6"/>
  <c r="C192" i="6"/>
  <c r="D826" i="6"/>
  <c r="J426" i="6"/>
  <c r="C1076" i="6"/>
  <c r="D588" i="6"/>
  <c r="I181" i="6"/>
  <c r="D1054" i="6"/>
  <c r="E902" i="6"/>
  <c r="I938" i="6"/>
  <c r="E56" i="6"/>
  <c r="J1189" i="6"/>
  <c r="J329" i="6"/>
  <c r="F375" i="6"/>
  <c r="F933" i="6"/>
  <c r="J85" i="6"/>
  <c r="F1282" i="6"/>
  <c r="F1348" i="6"/>
  <c r="F635" i="6"/>
  <c r="F1327" i="6"/>
  <c r="C144" i="6"/>
  <c r="D297" i="6"/>
  <c r="C1042" i="6"/>
  <c r="D309" i="6"/>
  <c r="D277" i="6"/>
  <c r="D298" i="6"/>
  <c r="I1262" i="6"/>
  <c r="F1199" i="6"/>
  <c r="E825" i="6"/>
  <c r="C572" i="6"/>
  <c r="I1265" i="6"/>
  <c r="C27" i="6"/>
  <c r="E334" i="6"/>
  <c r="F731" i="6"/>
  <c r="F1126" i="6"/>
  <c r="D1230" i="6"/>
  <c r="D1104" i="6"/>
  <c r="D419" i="6"/>
  <c r="C1080" i="6"/>
  <c r="F1276" i="6"/>
  <c r="D76" i="6"/>
  <c r="C596" i="6"/>
  <c r="D755" i="6"/>
  <c r="D32" i="6"/>
  <c r="D550" i="6"/>
  <c r="I109" i="6"/>
  <c r="E995" i="6"/>
  <c r="J932" i="6"/>
  <c r="J287" i="6"/>
  <c r="C714" i="6"/>
  <c r="J576" i="6"/>
  <c r="C1227" i="6"/>
  <c r="I366" i="6"/>
  <c r="D63" i="6"/>
  <c r="I976" i="6"/>
  <c r="E355" i="6"/>
  <c r="J405" i="6"/>
  <c r="F544" i="6"/>
  <c r="F1105" i="6"/>
  <c r="J1236" i="6"/>
  <c r="F1271" i="6"/>
  <c r="F371" i="6"/>
  <c r="J20" i="6"/>
  <c r="D1134" i="6"/>
  <c r="I788" i="6"/>
  <c r="F1235" i="6"/>
  <c r="D287" i="6"/>
  <c r="I660" i="6"/>
  <c r="J88" i="6"/>
  <c r="D953" i="6"/>
  <c r="D767" i="6"/>
  <c r="J864" i="6"/>
  <c r="J404" i="6"/>
  <c r="D127" i="6"/>
  <c r="C1326" i="6"/>
  <c r="J724" i="6"/>
  <c r="D1007" i="6"/>
  <c r="E1366" i="6"/>
  <c r="D112" i="6"/>
  <c r="I102" i="6"/>
  <c r="E678" i="6"/>
  <c r="E714" i="6"/>
  <c r="I1042" i="6"/>
  <c r="I720" i="6"/>
  <c r="E981" i="6"/>
  <c r="E494" i="6"/>
  <c r="F869" i="6"/>
  <c r="F32" i="6"/>
  <c r="C670" i="6"/>
  <c r="F345" i="6"/>
  <c r="F41" i="6"/>
  <c r="C658" i="6"/>
  <c r="E750" i="6"/>
  <c r="C325" i="6"/>
  <c r="J813" i="6"/>
  <c r="J968" i="6"/>
  <c r="C629" i="6"/>
  <c r="D78" i="6"/>
  <c r="E1178" i="6"/>
  <c r="D966" i="6"/>
  <c r="I467" i="6"/>
  <c r="I608" i="6"/>
  <c r="E756" i="6"/>
  <c r="F553" i="6"/>
  <c r="E626" i="6"/>
  <c r="I1269" i="6"/>
  <c r="E397" i="6"/>
  <c r="I912" i="6"/>
  <c r="I943" i="6"/>
  <c r="J190" i="6"/>
  <c r="F238" i="6"/>
  <c r="J1166" i="6"/>
  <c r="J446" i="6"/>
  <c r="F1063" i="6"/>
  <c r="D1188" i="6"/>
  <c r="J428" i="6"/>
  <c r="I170" i="6"/>
  <c r="J384" i="6"/>
  <c r="I228" i="6"/>
  <c r="F716" i="6"/>
  <c r="C541" i="6"/>
  <c r="I395" i="6"/>
  <c r="J970" i="6"/>
  <c r="F297" i="6"/>
  <c r="E1296" i="6"/>
  <c r="J269" i="6"/>
  <c r="I1167" i="6"/>
  <c r="I734" i="6"/>
  <c r="E413" i="6"/>
  <c r="E1002" i="6"/>
  <c r="E1070" i="6"/>
  <c r="E900" i="6"/>
  <c r="E990" i="6"/>
  <c r="E915" i="6"/>
  <c r="I387" i="6"/>
  <c r="J619" i="6"/>
  <c r="F741" i="6"/>
  <c r="F1315" i="6"/>
  <c r="F1256" i="6"/>
  <c r="C1264" i="6"/>
  <c r="C1084" i="6"/>
  <c r="J59" i="6"/>
  <c r="J544" i="6"/>
  <c r="C755" i="6"/>
  <c r="E129" i="6"/>
  <c r="D601" i="6"/>
  <c r="I1166" i="6"/>
  <c r="F7" i="6"/>
  <c r="C946" i="6"/>
  <c r="C112" i="6"/>
  <c r="D107" i="6"/>
  <c r="C129" i="6"/>
  <c r="C127" i="6"/>
  <c r="I515" i="6"/>
  <c r="E1014" i="6"/>
  <c r="E1101" i="6"/>
  <c r="E418" i="6"/>
  <c r="F875" i="6"/>
  <c r="F1002" i="6"/>
  <c r="J581" i="6"/>
  <c r="C372" i="6"/>
  <c r="C648" i="6"/>
  <c r="D248" i="6"/>
  <c r="C855" i="6"/>
  <c r="C636" i="6"/>
  <c r="I1159" i="6"/>
  <c r="J468" i="6"/>
  <c r="C561" i="6"/>
  <c r="F248" i="6"/>
  <c r="J68" i="6"/>
  <c r="F1214" i="6"/>
  <c r="I107" i="6"/>
  <c r="D18" i="6"/>
  <c r="D525" i="6"/>
  <c r="C586" i="6"/>
  <c r="C693" i="6"/>
  <c r="D197" i="6"/>
  <c r="F826" i="6"/>
  <c r="E816" i="6"/>
  <c r="E1092" i="6"/>
  <c r="I740" i="6"/>
  <c r="J692" i="6"/>
  <c r="J1071" i="6"/>
  <c r="C1301" i="6"/>
  <c r="J487" i="6"/>
  <c r="C932" i="6"/>
  <c r="J1230" i="6"/>
  <c r="C900" i="6"/>
  <c r="I680" i="6"/>
  <c r="C1215" i="6"/>
  <c r="I579" i="6"/>
  <c r="J1183" i="6"/>
  <c r="D351" i="6"/>
  <c r="I75" i="6"/>
  <c r="F815" i="6"/>
  <c r="I51" i="6"/>
  <c r="C608" i="6"/>
  <c r="F138" i="6"/>
  <c r="D56" i="6"/>
  <c r="E92" i="6"/>
  <c r="I802" i="6"/>
  <c r="E525" i="6"/>
  <c r="I1094" i="6"/>
  <c r="E821" i="6"/>
  <c r="F93" i="6"/>
  <c r="C801" i="6"/>
  <c r="F898" i="6"/>
  <c r="D1262" i="6"/>
  <c r="C1280" i="6"/>
  <c r="F1027" i="6"/>
  <c r="F1069" i="6"/>
  <c r="C174" i="6"/>
  <c r="F392" i="6"/>
  <c r="E1214" i="6"/>
  <c r="C1196" i="6"/>
  <c r="J203" i="6"/>
  <c r="D1023" i="6"/>
  <c r="C134" i="6"/>
  <c r="D961" i="6"/>
  <c r="D366" i="6"/>
  <c r="D72" i="6"/>
  <c r="I433" i="6"/>
  <c r="I811" i="6"/>
  <c r="E584" i="6"/>
  <c r="I694" i="6"/>
  <c r="I1187" i="6"/>
  <c r="E952" i="6"/>
  <c r="F1326" i="6"/>
  <c r="F919" i="6"/>
  <c r="J844" i="6"/>
  <c r="J913" i="6"/>
  <c r="J224" i="6"/>
  <c r="J1157" i="6"/>
  <c r="J849" i="6"/>
  <c r="D183" i="6"/>
  <c r="F921" i="6"/>
  <c r="E1371" i="6"/>
  <c r="F234" i="6"/>
  <c r="F59" i="6"/>
  <c r="C1265" i="6"/>
  <c r="C474" i="6"/>
  <c r="C664" i="6"/>
  <c r="C428" i="6"/>
  <c r="C298" i="6"/>
  <c r="I197" i="6"/>
  <c r="J863" i="6"/>
  <c r="I982" i="6"/>
  <c r="E454" i="6"/>
  <c r="I261" i="6"/>
  <c r="I411" i="6"/>
  <c r="J255" i="6"/>
  <c r="J929" i="6"/>
  <c r="D1130" i="6"/>
  <c r="C1039" i="6"/>
  <c r="I434" i="6"/>
  <c r="E1305" i="6"/>
  <c r="D1256" i="6"/>
  <c r="C743" i="6"/>
  <c r="D106" i="6"/>
  <c r="C543" i="6"/>
  <c r="I85" i="6"/>
  <c r="E378" i="6"/>
  <c r="I464" i="6"/>
  <c r="E36" i="6"/>
  <c r="J1124" i="6"/>
  <c r="F1346" i="6"/>
  <c r="C459" i="6"/>
  <c r="J1246" i="6"/>
  <c r="F75" i="6"/>
  <c r="C874" i="6"/>
  <c r="D727" i="6"/>
  <c r="J695" i="6"/>
  <c r="E1317" i="6"/>
  <c r="C344" i="6"/>
  <c r="I208" i="6"/>
  <c r="I591" i="6"/>
  <c r="D1372" i="6"/>
  <c r="E340" i="6"/>
  <c r="J1274" i="6"/>
  <c r="F469" i="6"/>
  <c r="F68" i="6"/>
  <c r="D397" i="6"/>
  <c r="C960" i="6"/>
  <c r="J758" i="6"/>
  <c r="E271" i="6"/>
  <c r="I1368" i="6"/>
  <c r="C316" i="6"/>
  <c r="I174" i="6"/>
  <c r="C243" i="6"/>
  <c r="I550" i="6"/>
  <c r="E125" i="6"/>
  <c r="I670" i="6"/>
  <c r="I120" i="6"/>
  <c r="J1220" i="6"/>
  <c r="J1079" i="6"/>
  <c r="D1116" i="6"/>
  <c r="D960" i="6"/>
  <c r="I1039" i="6"/>
  <c r="I1230" i="6"/>
  <c r="F598" i="6"/>
  <c r="C360" i="6"/>
  <c r="F540" i="6"/>
  <c r="D724" i="6"/>
  <c r="F982" i="6"/>
  <c r="J248" i="6"/>
  <c r="E1293" i="6"/>
  <c r="D451" i="6"/>
  <c r="C578" i="6"/>
  <c r="C649" i="6"/>
  <c r="J822" i="6"/>
  <c r="I443" i="6"/>
  <c r="J775" i="6"/>
  <c r="J587" i="6"/>
  <c r="F1228" i="6"/>
  <c r="F454" i="6"/>
  <c r="J98" i="6"/>
  <c r="J201" i="6"/>
  <c r="J1342" i="6"/>
  <c r="I436" i="6"/>
  <c r="J756" i="6"/>
  <c r="I682" i="6"/>
  <c r="C601" i="6"/>
  <c r="I1194" i="6"/>
  <c r="C597" i="6"/>
  <c r="E514" i="6"/>
  <c r="E794" i="6"/>
  <c r="J586" i="6"/>
  <c r="I242" i="6"/>
  <c r="I1205" i="6"/>
  <c r="F393" i="6"/>
  <c r="I286" i="6"/>
  <c r="J999" i="6"/>
  <c r="J1315" i="6"/>
  <c r="I534" i="6"/>
  <c r="E1241" i="6"/>
  <c r="D543" i="6"/>
  <c r="F74" i="6"/>
  <c r="E463" i="6"/>
  <c r="E1301" i="6"/>
  <c r="I401" i="6"/>
  <c r="J1264" i="6"/>
  <c r="F829" i="6"/>
  <c r="D1306" i="6"/>
  <c r="D845" i="6"/>
  <c r="J1084" i="6"/>
  <c r="F518" i="6"/>
  <c r="J1234" i="6"/>
  <c r="I96" i="6"/>
  <c r="J530" i="6"/>
  <c r="I237" i="6"/>
  <c r="J964" i="6"/>
  <c r="I607" i="6"/>
  <c r="D798" i="6"/>
  <c r="C342" i="6"/>
  <c r="F114" i="6"/>
  <c r="F1177" i="6"/>
  <c r="J1037" i="6"/>
  <c r="J1141" i="6"/>
  <c r="F1197" i="6"/>
  <c r="I1252" i="6"/>
  <c r="D564" i="6"/>
  <c r="D881" i="6"/>
  <c r="I630" i="6"/>
  <c r="E446" i="6"/>
  <c r="I903" i="6"/>
  <c r="D706" i="6"/>
  <c r="F86" i="6"/>
  <c r="E832" i="6"/>
  <c r="D517" i="6"/>
  <c r="C1236" i="6"/>
  <c r="J972" i="6"/>
  <c r="C1271" i="6"/>
  <c r="I124" i="6"/>
  <c r="C430" i="6"/>
  <c r="D381" i="6"/>
  <c r="I1178" i="6"/>
  <c r="J401" i="6"/>
  <c r="D1108" i="6"/>
  <c r="C1046" i="6"/>
  <c r="D99" i="6"/>
  <c r="I585" i="6"/>
  <c r="E1144" i="6"/>
  <c r="F912" i="6"/>
  <c r="J254" i="6"/>
  <c r="F281" i="6"/>
  <c r="F918" i="6"/>
  <c r="J1258" i="6"/>
  <c r="I466" i="6"/>
  <c r="J922" i="6"/>
  <c r="I132" i="6"/>
  <c r="F20" i="6"/>
  <c r="D256" i="6"/>
  <c r="I1206" i="6"/>
  <c r="E1205" i="6"/>
  <c r="I247" i="6"/>
  <c r="C407" i="6"/>
  <c r="J40" i="6"/>
  <c r="C1137" i="6"/>
  <c r="E600" i="6"/>
  <c r="J988" i="6"/>
  <c r="C870" i="6"/>
  <c r="E552" i="6"/>
  <c r="J1200" i="6"/>
  <c r="C1342" i="6"/>
  <c r="I1308" i="6"/>
  <c r="I669" i="6"/>
  <c r="I60" i="6"/>
  <c r="D131" i="6"/>
  <c r="F663" i="6"/>
  <c r="I1313" i="6"/>
  <c r="I425" i="6"/>
  <c r="J250" i="6"/>
  <c r="E877" i="6"/>
  <c r="E1008" i="6"/>
  <c r="D970" i="6"/>
  <c r="E925" i="6"/>
  <c r="F426" i="6"/>
  <c r="F457" i="6"/>
  <c r="I1228" i="6"/>
  <c r="C1085" i="6"/>
  <c r="J624" i="6"/>
  <c r="F849" i="6"/>
  <c r="I616" i="6"/>
  <c r="C798" i="6"/>
  <c r="F600" i="6"/>
  <c r="J794" i="6"/>
  <c r="D137" i="6"/>
  <c r="D265" i="6"/>
  <c r="I440" i="6"/>
  <c r="E546" i="6"/>
  <c r="D541" i="6"/>
  <c r="I922" i="6"/>
  <c r="E123" i="6"/>
  <c r="F105" i="6"/>
  <c r="F348" i="6"/>
  <c r="F965" i="6"/>
  <c r="D291" i="6"/>
  <c r="J1103" i="6"/>
  <c r="D821" i="6"/>
  <c r="E449" i="6"/>
  <c r="C791" i="6"/>
  <c r="E15" i="6"/>
  <c r="F1131" i="6"/>
  <c r="C808" i="6"/>
  <c r="C919" i="6"/>
  <c r="J650" i="6"/>
  <c r="C322" i="6"/>
  <c r="E1024" i="6"/>
  <c r="F52" i="6"/>
  <c r="J894" i="6"/>
  <c r="J520" i="6"/>
  <c r="C604" i="6"/>
  <c r="D1094" i="6"/>
  <c r="D249" i="6"/>
  <c r="F837" i="6"/>
  <c r="J985" i="6"/>
  <c r="I807" i="6"/>
  <c r="D377" i="6"/>
  <c r="D847" i="6"/>
  <c r="D958" i="6"/>
  <c r="F260" i="6"/>
  <c r="D12" i="6"/>
  <c r="E1222" i="6"/>
  <c r="I974" i="6"/>
  <c r="E646" i="6"/>
  <c r="F809" i="6"/>
  <c r="J1348" i="6"/>
  <c r="D1211" i="6"/>
  <c r="J539" i="6"/>
  <c r="D1364" i="6"/>
  <c r="D44" i="6"/>
  <c r="F460" i="6"/>
  <c r="I1114" i="6"/>
  <c r="J911" i="6"/>
  <c r="I1275" i="6"/>
  <c r="D1198" i="6"/>
  <c r="I1182" i="6"/>
  <c r="C338" i="6"/>
  <c r="I184" i="6"/>
  <c r="I1023" i="6"/>
  <c r="C1324" i="6"/>
  <c r="E467" i="6"/>
  <c r="E1052" i="6"/>
  <c r="J859" i="6"/>
  <c r="F751" i="6"/>
  <c r="F602" i="6"/>
  <c r="D718" i="6"/>
  <c r="J599" i="6"/>
  <c r="D607" i="6"/>
  <c r="F1209" i="6"/>
  <c r="F1117" i="6"/>
  <c r="J104" i="6"/>
  <c r="I92" i="6"/>
  <c r="F1020" i="6"/>
  <c r="D464" i="6"/>
  <c r="I214" i="6"/>
  <c r="C925" i="6"/>
  <c r="J1127" i="6"/>
  <c r="C246" i="6"/>
  <c r="D582" i="6"/>
  <c r="D810" i="6"/>
  <c r="D1345" i="6"/>
  <c r="E444" i="6"/>
  <c r="D1031" i="6"/>
  <c r="I455" i="6"/>
  <c r="F1037" i="6"/>
  <c r="J1175" i="6"/>
  <c r="J827" i="6"/>
  <c r="F410" i="6"/>
  <c r="D1291" i="6"/>
  <c r="D936" i="6"/>
  <c r="C877" i="6"/>
  <c r="E33" i="6"/>
  <c r="D658" i="6"/>
  <c r="J904" i="6"/>
  <c r="F549" i="6"/>
  <c r="E1332" i="6"/>
  <c r="D878" i="6"/>
  <c r="D493" i="6"/>
  <c r="J722" i="6"/>
  <c r="C368" i="6"/>
  <c r="D373" i="6"/>
  <c r="E252" i="6"/>
  <c r="I375" i="6"/>
  <c r="E21" i="6"/>
  <c r="E120" i="6"/>
  <c r="J1067" i="6"/>
  <c r="F519" i="6"/>
  <c r="F178" i="6"/>
  <c r="D792" i="6"/>
  <c r="E377" i="6"/>
  <c r="I164" i="6"/>
  <c r="J128" i="6"/>
  <c r="C829" i="6"/>
  <c r="I77" i="6"/>
  <c r="D1360" i="6"/>
  <c r="C617" i="6"/>
  <c r="I219" i="6"/>
  <c r="E330" i="6"/>
  <c r="J614" i="6"/>
  <c r="F247" i="6"/>
  <c r="D633" i="6"/>
  <c r="J315" i="6"/>
  <c r="J1249" i="6"/>
  <c r="E1215" i="6"/>
  <c r="D1286" i="6"/>
  <c r="D42" i="6"/>
  <c r="C857" i="6"/>
  <c r="C105" i="6"/>
  <c r="D404" i="6"/>
  <c r="E796" i="6"/>
  <c r="I1109" i="6"/>
  <c r="I1346" i="6"/>
  <c r="J1281" i="6"/>
  <c r="D1325" i="6"/>
  <c r="D361" i="6"/>
  <c r="D456" i="6"/>
  <c r="F43" i="6"/>
  <c r="C1312" i="6"/>
  <c r="F822" i="6"/>
  <c r="D1354" i="6"/>
  <c r="J93" i="6"/>
  <c r="I155" i="6"/>
  <c r="I705" i="6"/>
  <c r="E267" i="6"/>
  <c r="E322" i="6"/>
  <c r="J953" i="6"/>
  <c r="D1307" i="6"/>
  <c r="C1106" i="6"/>
  <c r="F1316" i="6"/>
  <c r="E344" i="6"/>
  <c r="F931" i="6"/>
  <c r="D711" i="6"/>
  <c r="C1028" i="6"/>
  <c r="D33" i="6"/>
  <c r="E169" i="6"/>
  <c r="I412" i="6"/>
  <c r="D504" i="6"/>
  <c r="D236" i="6"/>
  <c r="I392" i="6"/>
  <c r="C1242" i="6"/>
  <c r="I814" i="6"/>
  <c r="E675" i="6"/>
  <c r="I553" i="6"/>
  <c r="F1278" i="6"/>
  <c r="F1272" i="6"/>
  <c r="D1331" i="6"/>
  <c r="C1348" i="6"/>
  <c r="J314" i="6"/>
  <c r="D438" i="6"/>
  <c r="D903" i="6"/>
  <c r="C70" i="6"/>
  <c r="F677" i="6"/>
  <c r="D494" i="6"/>
  <c r="E1171" i="6"/>
  <c r="E83" i="6"/>
  <c r="I574" i="6"/>
  <c r="J643" i="6"/>
  <c r="D335" i="6"/>
  <c r="F1073" i="6"/>
  <c r="I1055" i="6"/>
  <c r="I301" i="6"/>
  <c r="D1265" i="6"/>
  <c r="D223" i="6"/>
  <c r="D779" i="6"/>
  <c r="E747" i="6"/>
  <c r="F458" i="6"/>
  <c r="F979" i="6"/>
  <c r="I185" i="6"/>
  <c r="E580" i="6"/>
  <c r="J1275" i="6"/>
  <c r="C907" i="6"/>
  <c r="C708" i="6"/>
  <c r="I254" i="6"/>
  <c r="E68" i="6"/>
  <c r="J744" i="6"/>
  <c r="D245" i="6"/>
  <c r="F1262" i="6"/>
  <c r="C903" i="6"/>
  <c r="D1357" i="6"/>
  <c r="E111" i="6"/>
  <c r="C67" i="6"/>
  <c r="C126" i="6"/>
  <c r="C757" i="6"/>
  <c r="F641" i="6"/>
  <c r="F1183" i="6"/>
  <c r="I157" i="6"/>
  <c r="F1369" i="6"/>
  <c r="D561" i="6"/>
  <c r="E1352" i="6"/>
  <c r="J1335" i="6"/>
  <c r="E371" i="6"/>
  <c r="I850" i="6"/>
  <c r="E765" i="6"/>
  <c r="J334" i="6"/>
  <c r="D259" i="6"/>
  <c r="E634" i="6"/>
  <c r="D1075" i="6"/>
  <c r="D418" i="6"/>
  <c r="F676" i="6"/>
  <c r="C260" i="6"/>
  <c r="I1108" i="6"/>
  <c r="F1218" i="6"/>
  <c r="I223" i="6"/>
  <c r="E589" i="6"/>
  <c r="J437" i="6"/>
  <c r="C1097" i="6"/>
  <c r="C21" i="6"/>
  <c r="E1319" i="6"/>
  <c r="I151" i="6"/>
  <c r="E840" i="6"/>
  <c r="J1213" i="6"/>
  <c r="J1199" i="6"/>
  <c r="J166" i="6"/>
  <c r="J538" i="6"/>
  <c r="C1068" i="6"/>
  <c r="I558" i="6"/>
  <c r="C1197" i="6"/>
  <c r="I380" i="6"/>
  <c r="C1054" i="6"/>
  <c r="C875" i="6"/>
  <c r="I246" i="6"/>
  <c r="J462" i="6"/>
  <c r="I357" i="6"/>
  <c r="C87" i="6"/>
  <c r="D790" i="6"/>
  <c r="D321" i="6"/>
  <c r="E704" i="6"/>
  <c r="E656" i="6"/>
  <c r="E1104" i="6"/>
  <c r="F310" i="6"/>
  <c r="F525" i="6"/>
  <c r="C792" i="6"/>
  <c r="J1328" i="6"/>
  <c r="I739" i="6"/>
  <c r="I569" i="6"/>
  <c r="J545" i="6"/>
  <c r="E1357" i="6"/>
  <c r="J965" i="6"/>
  <c r="D768" i="6"/>
  <c r="C481" i="6"/>
  <c r="E1108" i="6"/>
  <c r="E836" i="6"/>
  <c r="E826" i="6"/>
  <c r="I119" i="6"/>
  <c r="F1038" i="6"/>
  <c r="C906" i="6"/>
  <c r="J531" i="6"/>
  <c r="D243" i="6"/>
  <c r="J63" i="6"/>
  <c r="J920" i="6"/>
  <c r="I661" i="6"/>
  <c r="D1014" i="6"/>
  <c r="J867" i="6"/>
  <c r="I405" i="6"/>
  <c r="D898" i="6"/>
  <c r="I315" i="6"/>
  <c r="E495" i="6"/>
  <c r="E1157" i="6"/>
  <c r="E396" i="6"/>
  <c r="E1081" i="6"/>
  <c r="I144" i="6"/>
  <c r="J1319" i="6"/>
  <c r="F913" i="6"/>
  <c r="J402" i="6"/>
  <c r="D1118" i="6"/>
  <c r="F1133" i="6"/>
  <c r="D1153" i="6"/>
  <c r="E297" i="6"/>
  <c r="D1018" i="6"/>
  <c r="J930" i="6"/>
  <c r="J552" i="6"/>
  <c r="D875" i="6"/>
  <c r="C1026" i="6"/>
  <c r="C1043" i="6"/>
  <c r="E936" i="6"/>
  <c r="E122" i="6"/>
  <c r="F757" i="6"/>
  <c r="J1196" i="6"/>
  <c r="F885" i="6"/>
  <c r="C1294" i="6"/>
  <c r="D113" i="6"/>
  <c r="C566" i="6"/>
  <c r="F159" i="6"/>
  <c r="F651" i="6"/>
  <c r="E359" i="6"/>
  <c r="F318" i="6"/>
  <c r="C111" i="6"/>
  <c r="C469" i="6"/>
  <c r="I88" i="6"/>
  <c r="J517" i="6"/>
  <c r="I41" i="6"/>
  <c r="I975" i="6"/>
  <c r="I546" i="6"/>
  <c r="F562" i="6"/>
  <c r="F694" i="6"/>
  <c r="D1077" i="6"/>
  <c r="D1089" i="6"/>
  <c r="F102" i="6"/>
  <c r="D352" i="6"/>
  <c r="J914" i="6"/>
  <c r="I1084" i="6"/>
  <c r="D1311" i="6"/>
  <c r="F943" i="6"/>
  <c r="E1318" i="6"/>
  <c r="F968" i="6"/>
  <c r="I167" i="6"/>
  <c r="I449" i="6"/>
  <c r="I590" i="6"/>
  <c r="E687" i="6"/>
  <c r="I751" i="6"/>
  <c r="I635" i="6"/>
  <c r="F747" i="6"/>
  <c r="J1309" i="6"/>
  <c r="J736" i="6"/>
  <c r="D1189" i="6"/>
  <c r="J1090" i="6"/>
  <c r="J697" i="6"/>
  <c r="J382" i="6"/>
  <c r="E1176" i="6"/>
  <c r="C685" i="6"/>
  <c r="I276" i="6"/>
  <c r="J777" i="6"/>
  <c r="C146" i="6"/>
  <c r="I512" i="6"/>
  <c r="D384" i="6"/>
  <c r="J9" i="6"/>
  <c r="I1224" i="6"/>
  <c r="E1268" i="6"/>
  <c r="E1223" i="6"/>
  <c r="I996" i="6"/>
  <c r="I641" i="6"/>
  <c r="E44" i="6"/>
  <c r="I691" i="6"/>
  <c r="J1367" i="6"/>
  <c r="J228" i="6"/>
  <c r="J39" i="6"/>
  <c r="D1159" i="6"/>
  <c r="D505" i="6"/>
  <c r="C364" i="6"/>
  <c r="D1122" i="6"/>
  <c r="F1169" i="6"/>
  <c r="D738" i="6"/>
  <c r="D825" i="6"/>
  <c r="C1134" i="6"/>
  <c r="D429" i="6"/>
  <c r="I1270" i="6"/>
  <c r="E1359" i="6"/>
  <c r="C950" i="6"/>
  <c r="I1215" i="6"/>
  <c r="C294" i="6"/>
  <c r="E398" i="6"/>
  <c r="I1191" i="6"/>
  <c r="E203" i="6"/>
  <c r="E887" i="6"/>
  <c r="C1272" i="6"/>
  <c r="J983" i="6"/>
  <c r="J632" i="6"/>
  <c r="J1054" i="6"/>
  <c r="E105" i="6"/>
  <c r="I444" i="6"/>
  <c r="C523" i="6"/>
  <c r="C971" i="6"/>
  <c r="I441" i="6"/>
  <c r="D715" i="6"/>
  <c r="I1312" i="6"/>
  <c r="E1283" i="6"/>
  <c r="I704" i="6"/>
  <c r="J1043" i="6"/>
  <c r="F242" i="6"/>
  <c r="J1181" i="6"/>
  <c r="J53" i="6"/>
  <c r="I114" i="6"/>
  <c r="F640" i="6"/>
  <c r="C1017" i="6"/>
  <c r="I1186" i="6"/>
  <c r="D1061" i="6"/>
  <c r="I17" i="6"/>
  <c r="I24" i="6"/>
  <c r="E115" i="6"/>
  <c r="I439" i="6"/>
  <c r="F1321" i="6"/>
  <c r="F81" i="6"/>
  <c r="C1170" i="6"/>
  <c r="F24" i="6"/>
  <c r="D401" i="6"/>
  <c r="C1159" i="6"/>
  <c r="D763" i="6"/>
  <c r="D1043" i="6"/>
  <c r="D20" i="6"/>
  <c r="D1033" i="6"/>
  <c r="I594" i="6"/>
  <c r="I46" i="6"/>
  <c r="E729" i="6"/>
  <c r="E154" i="6"/>
  <c r="J1333" i="6"/>
  <c r="F871" i="6"/>
  <c r="D732" i="6"/>
  <c r="J1256" i="6"/>
  <c r="E1191" i="6"/>
  <c r="F1351" i="6"/>
  <c r="C1359" i="6"/>
  <c r="C937" i="6"/>
  <c r="J123" i="6"/>
  <c r="J489" i="6"/>
  <c r="I1096" i="6"/>
  <c r="C1013" i="6"/>
  <c r="D862" i="6"/>
  <c r="F522" i="6"/>
  <c r="I21" i="6"/>
  <c r="I205" i="6"/>
  <c r="E180" i="6"/>
  <c r="I55" i="6"/>
  <c r="F1098" i="6"/>
  <c r="J952" i="6"/>
  <c r="F1011" i="6"/>
  <c r="C1144" i="6"/>
  <c r="I74" i="6"/>
  <c r="C872" i="6"/>
  <c r="D1166" i="6"/>
  <c r="D154" i="6"/>
  <c r="D880" i="6"/>
  <c r="J243" i="6"/>
  <c r="I325" i="6"/>
  <c r="E315" i="6"/>
  <c r="E1169" i="6"/>
  <c r="D1245" i="6"/>
  <c r="I1161" i="6"/>
  <c r="C250" i="6"/>
  <c r="E686" i="6"/>
  <c r="J510" i="6"/>
  <c r="E1324" i="6"/>
  <c r="F450" i="6"/>
  <c r="C319" i="6"/>
  <c r="E477" i="6"/>
  <c r="D100" i="6"/>
  <c r="C1353" i="6"/>
  <c r="C1216" i="6"/>
  <c r="E293" i="6"/>
  <c r="F120" i="6"/>
  <c r="C188" i="6"/>
  <c r="F329" i="6"/>
  <c r="C445" i="6"/>
  <c r="F462" i="6"/>
  <c r="D641" i="6"/>
  <c r="E1288" i="6"/>
  <c r="F1108" i="6"/>
  <c r="E117" i="6"/>
  <c r="D1339" i="6"/>
  <c r="D1330" i="6"/>
  <c r="F1241" i="6"/>
  <c r="E792" i="6"/>
  <c r="F628" i="6"/>
  <c r="C292" i="6"/>
  <c r="C308" i="6"/>
  <c r="F690" i="6"/>
  <c r="J720" i="6"/>
  <c r="I1173" i="6"/>
  <c r="D586" i="6"/>
  <c r="I1204" i="6"/>
  <c r="I173" i="6"/>
  <c r="I453" i="6"/>
  <c r="I207" i="6"/>
  <c r="F1215" i="6"/>
  <c r="F290" i="6"/>
  <c r="F1202" i="6"/>
  <c r="C942" i="6"/>
  <c r="D556" i="6"/>
  <c r="F1180" i="6"/>
  <c r="C616" i="6"/>
  <c r="D450" i="6"/>
  <c r="F364" i="6"/>
  <c r="C720" i="6"/>
  <c r="I700" i="6"/>
  <c r="J176" i="6"/>
  <c r="E1273" i="6"/>
  <c r="J721" i="6"/>
  <c r="I142" i="6"/>
  <c r="E256" i="6"/>
  <c r="I884" i="6"/>
  <c r="F937" i="6"/>
  <c r="F831" i="6"/>
  <c r="F420" i="6"/>
  <c r="I1285" i="6"/>
  <c r="D683" i="6"/>
  <c r="I1099" i="6"/>
  <c r="D341" i="6"/>
  <c r="I1043" i="6"/>
  <c r="F891" i="6"/>
  <c r="J454" i="6"/>
  <c r="I596" i="6"/>
  <c r="C675" i="6"/>
  <c r="I583" i="6"/>
  <c r="D79" i="6"/>
  <c r="J618" i="6"/>
  <c r="I753" i="6"/>
  <c r="E464" i="6"/>
  <c r="E235" i="6"/>
  <c r="I984" i="6"/>
  <c r="F509" i="6"/>
  <c r="F966" i="6"/>
  <c r="J767" i="6"/>
  <c r="C1021" i="6"/>
  <c r="J840" i="6"/>
  <c r="F571" i="6"/>
  <c r="C704" i="6"/>
  <c r="D761" i="6"/>
  <c r="F1242" i="6"/>
  <c r="E475" i="6"/>
  <c r="E929" i="6"/>
  <c r="E874" i="6"/>
  <c r="E878" i="6"/>
  <c r="E625" i="6"/>
  <c r="I942" i="6"/>
  <c r="F986" i="6"/>
  <c r="F1352" i="6"/>
  <c r="J119" i="6"/>
  <c r="J829" i="6"/>
  <c r="F112" i="6"/>
  <c r="F978" i="6"/>
  <c r="J527" i="6"/>
  <c r="C139" i="6"/>
  <c r="D114" i="6"/>
  <c r="J561" i="6"/>
  <c r="I593" i="6"/>
  <c r="E50" i="6"/>
  <c r="E768" i="6"/>
  <c r="I839" i="6"/>
  <c r="E983" i="6"/>
  <c r="E1115" i="6"/>
  <c r="J1359" i="6"/>
  <c r="J589" i="6"/>
  <c r="D1160" i="6"/>
  <c r="D981" i="6"/>
  <c r="C707" i="6"/>
  <c r="C800" i="6"/>
  <c r="C676" i="6"/>
  <c r="F1066" i="6"/>
  <c r="D365" i="6"/>
  <c r="J1160" i="6"/>
  <c r="J422" i="6"/>
  <c r="D467" i="6"/>
  <c r="D716" i="6"/>
  <c r="C811" i="6"/>
  <c r="E787" i="6"/>
  <c r="I933" i="6"/>
  <c r="J799" i="6"/>
  <c r="J532" i="6"/>
  <c r="J35" i="6"/>
  <c r="F1225" i="6"/>
  <c r="C396" i="6"/>
  <c r="J1154" i="6"/>
  <c r="I338" i="6"/>
  <c r="C850" i="6"/>
  <c r="E746" i="6"/>
  <c r="D753" i="6"/>
  <c r="E1349" i="6"/>
  <c r="F1154" i="6"/>
  <c r="J23" i="6"/>
  <c r="F256" i="6"/>
  <c r="I548" i="6"/>
  <c r="E602" i="6"/>
  <c r="E229" i="6"/>
  <c r="C1066" i="6"/>
  <c r="J363" i="6"/>
  <c r="D1111" i="6"/>
  <c r="C983" i="6"/>
  <c r="D54" i="6"/>
  <c r="D184" i="6"/>
  <c r="J1297" i="6"/>
  <c r="E95" i="6"/>
  <c r="C1146" i="6"/>
  <c r="I637" i="6"/>
  <c r="C535" i="6"/>
  <c r="C973" i="6"/>
  <c r="J310" i="6"/>
  <c r="C1119" i="6"/>
  <c r="D23" i="6"/>
  <c r="E338" i="6"/>
  <c r="I216" i="6"/>
  <c r="D296" i="6"/>
  <c r="F980" i="6"/>
  <c r="J388" i="6"/>
  <c r="J1251" i="6"/>
  <c r="F1080" i="6"/>
  <c r="F1339" i="6"/>
  <c r="C1268" i="6"/>
  <c r="C1354" i="6"/>
  <c r="I362" i="6"/>
  <c r="C651" i="6"/>
  <c r="I715" i="6"/>
  <c r="J1303" i="6"/>
  <c r="F792" i="6"/>
  <c r="J1052" i="6"/>
  <c r="C196" i="6"/>
  <c r="D288" i="6"/>
  <c r="C1249" i="6"/>
  <c r="I183" i="6"/>
  <c r="I513" i="6"/>
  <c r="E782" i="6"/>
  <c r="E1338" i="6"/>
  <c r="E372" i="6"/>
  <c r="I497" i="6"/>
  <c r="F1168" i="6"/>
  <c r="C379" i="6"/>
  <c r="D1293" i="6"/>
  <c r="D1057" i="6"/>
  <c r="C288" i="6"/>
  <c r="C772" i="6"/>
  <c r="C128" i="6"/>
  <c r="J170" i="6"/>
  <c r="D382" i="6"/>
  <c r="C499" i="6"/>
  <c r="D887" i="6"/>
  <c r="D14" i="6"/>
  <c r="F1311" i="6"/>
  <c r="E1201" i="6"/>
  <c r="C141" i="6"/>
  <c r="I335" i="6"/>
  <c r="I393" i="6"/>
  <c r="I648" i="6"/>
  <c r="E659" i="6"/>
  <c r="I1054" i="6"/>
  <c r="I871" i="6"/>
  <c r="F97" i="6"/>
  <c r="D1274" i="6"/>
  <c r="C595" i="6"/>
  <c r="F16" i="6"/>
  <c r="J622" i="6"/>
  <c r="E303" i="6"/>
  <c r="C522" i="6"/>
  <c r="C23" i="6"/>
  <c r="D527" i="6"/>
  <c r="I141" i="6"/>
  <c r="I93" i="6"/>
  <c r="E284" i="6"/>
  <c r="C131" i="6"/>
  <c r="J755" i="6"/>
  <c r="D1367" i="6"/>
  <c r="D693" i="6"/>
  <c r="C868" i="6"/>
  <c r="I1095" i="6"/>
  <c r="C35" i="6"/>
  <c r="J973" i="6"/>
  <c r="I813" i="6"/>
  <c r="C55" i="6"/>
  <c r="C149" i="6"/>
  <c r="C901" i="6"/>
  <c r="I793" i="6"/>
  <c r="E22" i="6"/>
  <c r="F19" i="6"/>
  <c r="J1314" i="6"/>
  <c r="C444" i="6"/>
  <c r="J444" i="6"/>
  <c r="C140" i="6"/>
  <c r="C671" i="6"/>
  <c r="F158" i="6"/>
  <c r="C556" i="6"/>
  <c r="F1201" i="6"/>
  <c r="D484" i="6"/>
  <c r="C635" i="6"/>
  <c r="E532" i="6"/>
  <c r="E317" i="6"/>
  <c r="J793" i="6"/>
  <c r="F245" i="6"/>
  <c r="F312" i="6"/>
  <c r="D530" i="6"/>
  <c r="D322" i="6"/>
  <c r="I48" i="6"/>
  <c r="F351" i="6"/>
  <c r="F652" i="6"/>
  <c r="D1029" i="6"/>
  <c r="J15" i="6"/>
  <c r="F508" i="6"/>
  <c r="E87" i="6"/>
  <c r="C211" i="6"/>
  <c r="E1298" i="6"/>
  <c r="C227" i="6"/>
  <c r="J1139" i="6"/>
  <c r="E801" i="6"/>
  <c r="I664" i="6"/>
  <c r="E880" i="6"/>
  <c r="J353" i="6"/>
  <c r="C1117" i="6"/>
  <c r="C1335" i="6"/>
  <c r="D952" i="6"/>
  <c r="I1083" i="6"/>
  <c r="F557" i="6"/>
  <c r="J152" i="6"/>
  <c r="J865" i="6"/>
  <c r="E1181" i="6"/>
  <c r="E1183" i="6"/>
  <c r="C357" i="6"/>
  <c r="I355" i="6"/>
  <c r="E246" i="6"/>
  <c r="J223" i="6"/>
  <c r="J494" i="6"/>
  <c r="I1301" i="6"/>
  <c r="F90" i="6"/>
  <c r="J313" i="6"/>
  <c r="E769" i="6"/>
  <c r="D214" i="6"/>
  <c r="I552" i="6"/>
  <c r="F1182" i="6"/>
  <c r="C1314" i="6"/>
  <c r="F754" i="6"/>
  <c r="D1042" i="6"/>
  <c r="E370" i="6"/>
  <c r="J387" i="6"/>
  <c r="I332" i="6"/>
  <c r="F1082" i="6"/>
  <c r="E266" i="6"/>
  <c r="J989" i="6"/>
  <c r="I621" i="6"/>
  <c r="D890" i="6"/>
  <c r="I323" i="6"/>
  <c r="I121" i="6"/>
  <c r="J370" i="6"/>
  <c r="D559" i="6"/>
  <c r="I16" i="6"/>
  <c r="J938" i="6"/>
  <c r="F987" i="6"/>
  <c r="E1344" i="6"/>
  <c r="C1163" i="6"/>
  <c r="E178" i="6"/>
  <c r="F1174" i="6"/>
  <c r="J492" i="6"/>
  <c r="I427" i="6"/>
  <c r="C722" i="6"/>
  <c r="I25" i="6"/>
  <c r="F295" i="6"/>
  <c r="J1147" i="6"/>
  <c r="J713" i="6"/>
  <c r="J1144" i="6"/>
  <c r="I306" i="6"/>
  <c r="F416" i="6"/>
  <c r="F493" i="6"/>
  <c r="C352" i="6"/>
  <c r="C484" i="6"/>
  <c r="D997" i="6"/>
  <c r="C312" i="6"/>
  <c r="E182" i="6"/>
  <c r="C1049" i="6"/>
  <c r="E57" i="6"/>
  <c r="C1078" i="6"/>
  <c r="I531" i="6"/>
  <c r="E456" i="6"/>
  <c r="E1019" i="6"/>
  <c r="F1261" i="6"/>
  <c r="F118" i="6"/>
  <c r="D1298" i="6"/>
  <c r="J148" i="6"/>
  <c r="C12" i="6"/>
  <c r="E489" i="6"/>
  <c r="D743" i="6"/>
  <c r="I1091" i="6"/>
  <c r="D665" i="6"/>
  <c r="F1161" i="6"/>
  <c r="I750" i="6"/>
  <c r="C124" i="6"/>
  <c r="J1349" i="6"/>
  <c r="J338" i="6"/>
  <c r="E1172" i="6"/>
  <c r="I248" i="6"/>
  <c r="I1040" i="6"/>
  <c r="E349" i="6"/>
  <c r="E848" i="6"/>
  <c r="F1064" i="6"/>
  <c r="J277" i="6"/>
  <c r="J400" i="6"/>
  <c r="F208" i="6"/>
  <c r="F1324" i="6"/>
  <c r="D533" i="6"/>
  <c r="C195" i="6"/>
  <c r="I1336" i="6"/>
  <c r="J1203" i="6"/>
  <c r="I1032" i="6"/>
  <c r="E974" i="6"/>
  <c r="E905" i="6"/>
  <c r="E565" i="6"/>
  <c r="E833" i="6"/>
  <c r="I911" i="6"/>
  <c r="F175" i="6"/>
  <c r="J747" i="6"/>
  <c r="F1294" i="6"/>
  <c r="J18" i="6"/>
  <c r="D198" i="6"/>
  <c r="C762" i="6"/>
  <c r="C864" i="6"/>
  <c r="C470" i="6"/>
  <c r="F967" i="6"/>
  <c r="C574" i="6"/>
  <c r="C537" i="6"/>
  <c r="E188" i="6"/>
  <c r="E711" i="6"/>
  <c r="E1020" i="6"/>
  <c r="I897" i="6"/>
  <c r="E502" i="6"/>
  <c r="J522" i="6"/>
  <c r="J1204" i="6"/>
  <c r="D646" i="6"/>
  <c r="C1108" i="6"/>
  <c r="D332" i="6"/>
  <c r="C885" i="6"/>
  <c r="C9" i="6"/>
  <c r="J217" i="6"/>
  <c r="C181" i="6"/>
  <c r="C890" i="6"/>
  <c r="D1105" i="6"/>
  <c r="D73" i="6"/>
  <c r="I1347" i="6"/>
  <c r="F1156" i="6"/>
  <c r="E827" i="6"/>
  <c r="I988" i="6"/>
  <c r="I1263" i="6"/>
  <c r="F1083" i="6"/>
  <c r="C1147" i="6"/>
  <c r="F956" i="6"/>
  <c r="E1228" i="6"/>
  <c r="F589" i="6"/>
  <c r="I506" i="6"/>
  <c r="C962" i="6"/>
  <c r="F1269" i="6"/>
  <c r="D884" i="6"/>
  <c r="F306" i="6"/>
  <c r="J365" i="6"/>
  <c r="C524" i="6"/>
  <c r="D13" i="6"/>
  <c r="F545" i="6"/>
  <c r="E595" i="6"/>
  <c r="E1079" i="6"/>
  <c r="F1219" i="6"/>
  <c r="J1000" i="6"/>
  <c r="J1283" i="6"/>
  <c r="C736" i="6"/>
  <c r="C237" i="6"/>
  <c r="I1360" i="6"/>
  <c r="D861" i="6"/>
  <c r="J1355" i="6"/>
  <c r="F14" i="6"/>
  <c r="J58" i="6"/>
  <c r="D313" i="6"/>
  <c r="D447" i="6"/>
  <c r="C968" i="6"/>
  <c r="C118" i="6"/>
  <c r="J381" i="6"/>
  <c r="E486" i="6"/>
  <c r="D8" i="6"/>
  <c r="E535" i="6"/>
  <c r="F35" i="6"/>
  <c r="F220" i="6"/>
  <c r="J256" i="6"/>
  <c r="F34" i="6"/>
  <c r="J860" i="6"/>
  <c r="F1371" i="6"/>
  <c r="F1088" i="6"/>
  <c r="I595" i="6"/>
  <c r="D593" i="6"/>
  <c r="I1011" i="6"/>
  <c r="C268" i="6"/>
  <c r="F750" i="6"/>
  <c r="F376" i="6"/>
  <c r="D210" i="6"/>
  <c r="C1055" i="6"/>
  <c r="D19" i="6"/>
  <c r="I757" i="6"/>
  <c r="I135" i="6"/>
  <c r="E136" i="6"/>
  <c r="D1139" i="6"/>
  <c r="I1085" i="6"/>
  <c r="I1031" i="6"/>
  <c r="J1284" i="6"/>
  <c r="D1353" i="6"/>
  <c r="C1150" i="6"/>
  <c r="D660" i="6"/>
  <c r="E1353" i="6"/>
  <c r="C926" i="6"/>
  <c r="E1348" i="6"/>
  <c r="F577" i="6"/>
  <c r="I1271" i="6"/>
  <c r="C778" i="6"/>
  <c r="E1343" i="6"/>
  <c r="F760" i="6"/>
  <c r="J253" i="6"/>
  <c r="I271" i="6"/>
  <c r="E1252" i="6"/>
  <c r="J406" i="6"/>
  <c r="J821" i="6"/>
  <c r="I245" i="6"/>
  <c r="E74" i="6"/>
  <c r="I640" i="6"/>
  <c r="D1366" i="6"/>
  <c r="F678" i="6"/>
  <c r="J1245" i="6"/>
  <c r="D986" i="6"/>
  <c r="D1321" i="6"/>
  <c r="F1118" i="6"/>
  <c r="E39" i="6"/>
  <c r="C156" i="6"/>
  <c r="C456" i="6"/>
  <c r="E1242" i="6"/>
  <c r="I544" i="6"/>
  <c r="J534" i="6"/>
  <c r="I1146" i="6"/>
  <c r="E1060" i="6"/>
  <c r="F847" i="6"/>
  <c r="C1171" i="6"/>
  <c r="C640" i="6"/>
  <c r="C1092" i="6"/>
  <c r="E361" i="6"/>
  <c r="I188" i="6"/>
  <c r="J886" i="6"/>
  <c r="C1173" i="6"/>
  <c r="I161" i="6"/>
  <c r="F530" i="6"/>
  <c r="C320" i="6"/>
  <c r="I200" i="6"/>
  <c r="I713" i="6"/>
  <c r="F1165" i="6"/>
  <c r="J1371" i="6"/>
  <c r="C631" i="6"/>
  <c r="F1134" i="6"/>
  <c r="F1065" i="6"/>
  <c r="D311" i="6"/>
  <c r="J910" i="6"/>
  <c r="D200" i="6"/>
  <c r="C1090" i="6"/>
  <c r="B5" i="6"/>
  <c r="E5" i="6" s="1"/>
  <c r="D387" i="6"/>
  <c r="E744" i="6"/>
  <c r="I414" i="6"/>
  <c r="F1338" i="6"/>
  <c r="J590" i="6"/>
  <c r="F723" i="6"/>
  <c r="E1310" i="6"/>
  <c r="D649" i="6"/>
  <c r="D722" i="6"/>
  <c r="F1142" i="6"/>
  <c r="J167" i="6"/>
  <c r="D111" i="6"/>
  <c r="D849" i="6"/>
  <c r="J621" i="6"/>
  <c r="F129" i="6"/>
  <c r="J175" i="6"/>
  <c r="I1171" i="6"/>
  <c r="F244" i="6"/>
  <c r="I1309" i="6"/>
  <c r="E302" i="6"/>
  <c r="I35" i="6"/>
  <c r="E48" i="6"/>
  <c r="C674" i="6"/>
  <c r="C1213" i="6"/>
  <c r="J78" i="6"/>
  <c r="D251" i="6"/>
  <c r="E441" i="6"/>
  <c r="I148" i="6"/>
  <c r="C1149" i="6"/>
  <c r="D972" i="6"/>
  <c r="I417" i="6"/>
  <c r="D1371" i="6"/>
  <c r="F685" i="6"/>
  <c r="D317" i="6"/>
  <c r="I1019" i="6"/>
  <c r="C515" i="6"/>
  <c r="D1249" i="6"/>
  <c r="C1357" i="6"/>
  <c r="E200" i="6"/>
  <c r="F109" i="6"/>
  <c r="J642" i="6"/>
  <c r="D746" i="6"/>
  <c r="D89" i="6"/>
  <c r="E197" i="6"/>
  <c r="J916" i="6"/>
  <c r="F430" i="6"/>
  <c r="C92" i="6"/>
  <c r="I62" i="6"/>
  <c r="J205" i="6"/>
  <c r="E215" i="6"/>
  <c r="D376" i="6"/>
  <c r="I9" i="6"/>
  <c r="F494" i="6"/>
  <c r="F1210" i="6"/>
  <c r="J340" i="6"/>
  <c r="C706" i="6"/>
  <c r="E697" i="6"/>
  <c r="C1019" i="6"/>
  <c r="F682" i="6"/>
  <c r="C590" i="6"/>
  <c r="I748" i="6"/>
  <c r="J1350" i="6"/>
  <c r="I268" i="6"/>
  <c r="F288" i="6"/>
  <c r="I424" i="6"/>
  <c r="J1065" i="6"/>
  <c r="J616" i="6"/>
  <c r="D666" i="6"/>
  <c r="I582" i="6"/>
  <c r="F1200" i="6"/>
  <c r="C745" i="6"/>
  <c r="C965" i="6"/>
  <c r="D782" i="6"/>
  <c r="F125" i="6"/>
  <c r="J91" i="6"/>
  <c r="E1061" i="6"/>
  <c r="J1235" i="6"/>
  <c r="I538" i="6"/>
  <c r="F1287" i="6"/>
  <c r="I222" i="6"/>
  <c r="D572" i="6"/>
  <c r="E1102" i="6"/>
  <c r="J210" i="6"/>
  <c r="J1358" i="6"/>
  <c r="J75" i="6"/>
  <c r="D925" i="6"/>
  <c r="E919" i="6"/>
  <c r="I968" i="6"/>
  <c r="C1179" i="6"/>
  <c r="J1177" i="6"/>
  <c r="F833" i="6"/>
  <c r="D589" i="6"/>
  <c r="D500" i="6"/>
  <c r="E321" i="6"/>
  <c r="C898" i="6"/>
  <c r="E151" i="6"/>
  <c r="F1213" i="6"/>
  <c r="F554" i="6"/>
  <c r="F595" i="6"/>
  <c r="F414" i="6"/>
  <c r="J629" i="6"/>
  <c r="D783" i="6"/>
  <c r="I377" i="6"/>
  <c r="C841" i="6"/>
  <c r="I89" i="6"/>
  <c r="I104" i="6"/>
  <c r="I914" i="6"/>
  <c r="J943" i="6"/>
  <c r="D1164" i="6"/>
  <c r="F128" i="6"/>
  <c r="F42" i="6"/>
  <c r="J1020" i="6"/>
  <c r="D1082" i="6"/>
  <c r="I1175" i="6"/>
  <c r="F322" i="6"/>
  <c r="E1158" i="6"/>
  <c r="E671" i="6"/>
  <c r="E722" i="6"/>
  <c r="E523" i="6"/>
  <c r="J234" i="6"/>
  <c r="E575" i="6"/>
  <c r="I73" i="6"/>
  <c r="F800" i="6"/>
  <c r="J1271" i="6"/>
  <c r="J981" i="6"/>
  <c r="J1070" i="6"/>
  <c r="D6" i="6"/>
  <c r="D454" i="6"/>
  <c r="C327" i="6"/>
  <c r="C1210" i="6"/>
  <c r="C1207" i="6"/>
  <c r="F684" i="6"/>
  <c r="I71" i="6"/>
  <c r="E576" i="6"/>
  <c r="I33" i="6"/>
  <c r="E583" i="6"/>
  <c r="I900" i="6"/>
  <c r="E1082" i="6"/>
  <c r="F331" i="6"/>
  <c r="J662" i="6"/>
  <c r="D1010" i="6"/>
  <c r="J862" i="6"/>
  <c r="C701" i="6"/>
  <c r="C165" i="6"/>
  <c r="E1346" i="6"/>
  <c r="F623" i="6"/>
  <c r="C159" i="6"/>
  <c r="C1360" i="6"/>
  <c r="D1087" i="6"/>
  <c r="I1370" i="6"/>
  <c r="J335" i="6"/>
  <c r="I101" i="6"/>
  <c r="I882" i="6"/>
  <c r="E738" i="6"/>
  <c r="J668" i="6"/>
  <c r="D531" i="6"/>
  <c r="J1191" i="6"/>
  <c r="I1025" i="6"/>
  <c r="D885" i="6"/>
  <c r="I180" i="6"/>
  <c r="F560" i="6"/>
  <c r="C1072" i="6"/>
  <c r="F147" i="6"/>
  <c r="C402" i="6"/>
  <c r="C199" i="6"/>
  <c r="F637" i="6"/>
  <c r="E882" i="6"/>
  <c r="C1005" i="6"/>
  <c r="C31" i="6"/>
  <c r="D740" i="6"/>
  <c r="E682" i="6"/>
  <c r="I958" i="6"/>
  <c r="E709" i="6"/>
  <c r="J649" i="6"/>
  <c r="C1183" i="6"/>
  <c r="D1260" i="6"/>
  <c r="C634" i="6"/>
  <c r="D158" i="6"/>
  <c r="F146" i="6"/>
  <c r="D337" i="6"/>
  <c r="J1298" i="6"/>
  <c r="J244" i="6"/>
  <c r="D329" i="6"/>
  <c r="C353" i="6"/>
  <c r="C1153" i="6"/>
  <c r="E1270" i="6"/>
  <c r="F585" i="6"/>
  <c r="D230" i="6"/>
  <c r="E324" i="6"/>
  <c r="E412" i="6"/>
  <c r="C532" i="6"/>
  <c r="I580" i="6"/>
  <c r="F531" i="6"/>
  <c r="D637" i="6"/>
  <c r="D631" i="6"/>
  <c r="D597" i="6"/>
  <c r="E1266" i="6"/>
  <c r="C463" i="6"/>
  <c r="C1263" i="6"/>
  <c r="C317" i="6"/>
  <c r="F374" i="6"/>
  <c r="E708" i="6"/>
  <c r="I981" i="6"/>
  <c r="E1126" i="6"/>
  <c r="E956" i="6"/>
  <c r="I818" i="6"/>
  <c r="C410" i="6"/>
  <c r="J36" i="6"/>
  <c r="F263" i="6"/>
  <c r="F507" i="6"/>
  <c r="I1306" i="6"/>
  <c r="I274" i="6"/>
  <c r="D191" i="6"/>
  <c r="D787" i="6"/>
  <c r="E1325" i="6"/>
  <c r="C265" i="6"/>
  <c r="C624" i="6"/>
  <c r="I1028" i="6"/>
  <c r="E389" i="6"/>
  <c r="I1116" i="6"/>
  <c r="I917" i="6"/>
  <c r="E497" i="6"/>
  <c r="E966" i="6"/>
  <c r="F895" i="6"/>
  <c r="F728" i="6"/>
  <c r="F769" i="6"/>
  <c r="F636" i="6"/>
  <c r="J41" i="6"/>
  <c r="F404" i="6"/>
  <c r="F851" i="6"/>
  <c r="J979" i="6"/>
  <c r="I196" i="6"/>
  <c r="F1357" i="6"/>
  <c r="F1113" i="6"/>
  <c r="I267" i="6"/>
  <c r="D328" i="6"/>
  <c r="C810" i="6"/>
  <c r="I961" i="6"/>
  <c r="E558" i="6"/>
  <c r="J162" i="6"/>
  <c r="J652" i="6"/>
  <c r="F1283" i="6"/>
  <c r="D1289" i="6"/>
  <c r="D1172" i="6"/>
  <c r="D1012" i="6"/>
  <c r="F53" i="6"/>
  <c r="D168" i="6"/>
  <c r="J626" i="6"/>
  <c r="E1290" i="6"/>
  <c r="F9" i="6"/>
  <c r="C764" i="6"/>
  <c r="F296" i="6"/>
  <c r="D26" i="6"/>
  <c r="I408" i="6"/>
  <c r="E890" i="6"/>
  <c r="C234" i="6"/>
  <c r="F664" i="6"/>
  <c r="F335" i="6"/>
  <c r="C1112" i="6"/>
  <c r="D205" i="6"/>
  <c r="F1081" i="6"/>
  <c r="E385" i="6"/>
  <c r="D176" i="6"/>
  <c r="F785" i="6"/>
  <c r="J361" i="6"/>
  <c r="E1263" i="6"/>
  <c r="J390" i="6"/>
  <c r="D692" i="6"/>
  <c r="I1104" i="6"/>
  <c r="I1325" i="6"/>
  <c r="E221" i="6"/>
  <c r="J473" i="6"/>
  <c r="I525" i="6"/>
  <c r="E492" i="6"/>
  <c r="D1037" i="6"/>
  <c r="J233" i="6"/>
  <c r="I1320" i="6"/>
  <c r="D1343" i="6"/>
  <c r="C1062" i="6"/>
  <c r="D399" i="6"/>
  <c r="D279" i="6"/>
  <c r="F548" i="6"/>
  <c r="D66" i="6"/>
  <c r="J103" i="6"/>
  <c r="F1053" i="6"/>
  <c r="D380" i="6"/>
  <c r="D199" i="6"/>
  <c r="D697" i="6"/>
  <c r="D613" i="6"/>
  <c r="C148" i="6"/>
  <c r="C72" i="6"/>
  <c r="E388" i="6"/>
  <c r="E1162" i="6"/>
  <c r="E192" i="6"/>
  <c r="E206" i="6"/>
  <c r="F515" i="6"/>
  <c r="J1311" i="6"/>
  <c r="J801" i="6"/>
  <c r="J565" i="6"/>
  <c r="F1188" i="6"/>
  <c r="C1286" i="6"/>
  <c r="C1035" i="6"/>
  <c r="I410" i="6"/>
  <c r="C894" i="6"/>
  <c r="I762" i="6"/>
  <c r="D1191" i="6"/>
  <c r="I1200" i="6"/>
  <c r="J339" i="6"/>
  <c r="J1357" i="6"/>
  <c r="D390" i="6"/>
  <c r="D1218" i="6"/>
  <c r="I447" i="6"/>
  <c r="I495" i="6"/>
  <c r="E799" i="6"/>
  <c r="C193" i="6"/>
  <c r="E426" i="6"/>
  <c r="F762" i="6"/>
  <c r="F749" i="6"/>
  <c r="D669" i="6"/>
  <c r="J905" i="6"/>
  <c r="C457" i="6"/>
  <c r="C1232" i="6"/>
  <c r="F526" i="6"/>
  <c r="C305" i="6"/>
  <c r="F1045" i="6"/>
  <c r="C489" i="6"/>
  <c r="C969" i="6"/>
  <c r="E524" i="6"/>
  <c r="E296" i="6"/>
  <c r="F1167" i="6"/>
  <c r="F381" i="6"/>
  <c r="F25" i="6"/>
  <c r="D540" i="6"/>
  <c r="D663" i="6"/>
  <c r="F538" i="6"/>
  <c r="J1005" i="6"/>
  <c r="E1311" i="6"/>
  <c r="C1191" i="6"/>
  <c r="F1056" i="6"/>
  <c r="C143" i="6"/>
  <c r="E452" i="6"/>
  <c r="C465" i="6"/>
  <c r="E142" i="6"/>
  <c r="C399" i="6"/>
  <c r="F423" i="6"/>
  <c r="D1168" i="6"/>
  <c r="J74" i="6"/>
  <c r="E735" i="6"/>
  <c r="I589" i="6"/>
  <c r="C232" i="6"/>
  <c r="D1154" i="6"/>
  <c r="J772" i="6"/>
  <c r="C158" i="6"/>
  <c r="I566" i="6"/>
  <c r="E52" i="6"/>
  <c r="I326" i="6"/>
  <c r="F1240" i="6"/>
  <c r="I1266" i="6"/>
  <c r="J753" i="6"/>
  <c r="J515" i="6"/>
  <c r="E1166" i="6"/>
  <c r="F57" i="6"/>
  <c r="F286" i="6"/>
  <c r="C659" i="6"/>
  <c r="C949" i="6"/>
  <c r="F459" i="6"/>
  <c r="C203" i="6"/>
  <c r="D577" i="6"/>
  <c r="C59" i="6"/>
  <c r="J267" i="6"/>
  <c r="D62" i="6"/>
  <c r="C486" i="6"/>
  <c r="E639" i="6"/>
  <c r="E488" i="6"/>
  <c r="F418" i="6"/>
  <c r="J435" i="6"/>
  <c r="F1091" i="6"/>
  <c r="C186" i="6"/>
  <c r="E1308" i="6"/>
  <c r="F67" i="6"/>
  <c r="J1266" i="6"/>
  <c r="J673" i="6"/>
  <c r="J750" i="6"/>
  <c r="I1279" i="6"/>
  <c r="D676" i="6"/>
  <c r="E356" i="6"/>
  <c r="F1145" i="6"/>
  <c r="J1174" i="6"/>
  <c r="D445" i="6"/>
  <c r="D1179" i="6"/>
  <c r="I293" i="6"/>
  <c r="E1321" i="6"/>
  <c r="J288" i="6"/>
  <c r="F1234" i="6"/>
  <c r="F1332" i="6"/>
  <c r="I821" i="6"/>
  <c r="J543" i="6"/>
  <c r="J408" i="6"/>
  <c r="J213" i="6"/>
  <c r="F283" i="6"/>
  <c r="E736" i="6"/>
  <c r="F852" i="6"/>
  <c r="D302" i="6"/>
  <c r="J1262" i="6"/>
  <c r="E96" i="6"/>
  <c r="J723" i="6"/>
  <c r="E207" i="6"/>
  <c r="E1316" i="6"/>
  <c r="I1196" i="6"/>
  <c r="F718" i="6"/>
  <c r="F900" i="6"/>
  <c r="I160" i="6"/>
  <c r="I336" i="6"/>
  <c r="I103" i="6"/>
  <c r="C277" i="6"/>
  <c r="C540" i="6"/>
  <c r="F880" i="6"/>
  <c r="E734" i="6"/>
  <c r="D372" i="6"/>
  <c r="J535" i="6"/>
  <c r="J1336" i="6"/>
  <c r="E719" i="6"/>
  <c r="F231" i="6"/>
  <c r="J366" i="6"/>
  <c r="E763" i="6"/>
  <c r="C985" i="6"/>
  <c r="C420" i="6"/>
  <c r="F1260" i="6"/>
  <c r="E1058" i="6"/>
  <c r="F1322" i="6"/>
  <c r="C1104" i="6"/>
  <c r="E1099" i="6"/>
  <c r="J115" i="6"/>
  <c r="J936" i="6"/>
  <c r="J332" i="6"/>
  <c r="J1015" i="6"/>
  <c r="E415" i="6"/>
  <c r="D728" i="6"/>
  <c r="D160" i="6"/>
  <c r="E1320" i="6"/>
  <c r="I253" i="6"/>
  <c r="E540" i="6"/>
  <c r="I190" i="6"/>
  <c r="J433" i="6"/>
  <c r="J268" i="6"/>
  <c r="I474" i="6"/>
  <c r="J787" i="6"/>
  <c r="C931" i="6"/>
  <c r="C1023" i="6"/>
  <c r="E1083" i="6"/>
  <c r="I520" i="6"/>
  <c r="I1035" i="6"/>
  <c r="J1028" i="6"/>
  <c r="D1308" i="6"/>
  <c r="I742" i="6"/>
  <c r="D991" i="6"/>
  <c r="C290" i="6"/>
  <c r="D169" i="6"/>
  <c r="I176" i="6"/>
  <c r="E637" i="6"/>
  <c r="E1134" i="6"/>
  <c r="F674" i="6"/>
  <c r="J1159" i="6"/>
  <c r="J1293" i="6"/>
  <c r="D542" i="6"/>
  <c r="D1370" i="6"/>
  <c r="D1340" i="6"/>
  <c r="I54" i="6"/>
  <c r="I1183" i="6"/>
  <c r="E680" i="6"/>
  <c r="F424" i="6"/>
  <c r="E1341" i="6"/>
  <c r="D486" i="6"/>
  <c r="C687" i="6"/>
  <c r="J216" i="6"/>
  <c r="C966" i="6"/>
  <c r="D707" i="6"/>
  <c r="J1279" i="6"/>
  <c r="I30" i="6"/>
  <c r="D962" i="6"/>
  <c r="D35" i="6"/>
  <c r="J915" i="6"/>
  <c r="J674" i="6"/>
  <c r="J436" i="6"/>
  <c r="I442" i="6"/>
  <c r="I340" i="6"/>
  <c r="E1187" i="6"/>
  <c r="F593" i="6"/>
  <c r="D167" i="6"/>
  <c r="D9" i="6"/>
  <c r="I644" i="6"/>
  <c r="E76" i="6"/>
  <c r="E333" i="6"/>
  <c r="F714" i="6"/>
  <c r="D1351" i="6"/>
  <c r="C347" i="6"/>
  <c r="J48" i="6"/>
  <c r="F461" i="6"/>
  <c r="E375" i="6"/>
  <c r="C1270" i="6"/>
  <c r="C856" i="6"/>
  <c r="I198" i="6"/>
  <c r="C546" i="6"/>
  <c r="C1340" i="6"/>
  <c r="I399" i="6"/>
  <c r="E226" i="6"/>
  <c r="F198" i="6"/>
  <c r="J241" i="6"/>
  <c r="F1031" i="6"/>
  <c r="C155" i="6"/>
  <c r="C703" i="6"/>
  <c r="J771" i="6"/>
  <c r="E703" i="6"/>
  <c r="F1172" i="6"/>
  <c r="C164" i="6"/>
  <c r="D866" i="6"/>
  <c r="C967" i="6"/>
  <c r="D439" i="6"/>
  <c r="I1125" i="6"/>
  <c r="I277" i="6"/>
  <c r="J1250" i="6"/>
  <c r="F76" i="6"/>
  <c r="C391" i="6"/>
  <c r="I778" i="6"/>
  <c r="D180" i="6"/>
  <c r="E1260" i="6"/>
  <c r="I7" i="6"/>
  <c r="I819" i="6"/>
  <c r="F1071" i="6"/>
  <c r="C455" i="6"/>
  <c r="J566" i="6"/>
  <c r="J1057" i="6"/>
  <c r="J620" i="6"/>
  <c r="C249" i="6"/>
  <c r="C994" i="6"/>
  <c r="I67" i="6"/>
  <c r="D699" i="6"/>
  <c r="F148" i="6"/>
  <c r="D679" i="6"/>
  <c r="D1059" i="6"/>
  <c r="I244" i="6"/>
  <c r="D389" i="6"/>
  <c r="D1269" i="6"/>
  <c r="I45" i="6"/>
  <c r="I817" i="6"/>
  <c r="F431" i="6"/>
  <c r="F780" i="6"/>
  <c r="C1302" i="6"/>
  <c r="E1004" i="6"/>
  <c r="J686" i="6"/>
  <c r="D1028" i="6"/>
  <c r="I26" i="6"/>
  <c r="D244" i="6"/>
  <c r="I171" i="6"/>
  <c r="C281" i="6"/>
  <c r="F528" i="6"/>
  <c r="E780" i="6"/>
  <c r="F667" i="6"/>
  <c r="F1147" i="6"/>
  <c r="C1152" i="6"/>
  <c r="C611" i="6"/>
  <c r="D774" i="6"/>
  <c r="C568" i="6"/>
  <c r="I56" i="6"/>
  <c r="C376" i="6"/>
  <c r="F1359" i="6"/>
  <c r="D610" i="6"/>
  <c r="D1219" i="6"/>
  <c r="J890" i="6"/>
  <c r="D1102" i="6"/>
  <c r="C807" i="6"/>
  <c r="C1318" i="6"/>
  <c r="I1334" i="6"/>
  <c r="E694" i="6"/>
  <c r="J935" i="6"/>
  <c r="C1291" i="6"/>
  <c r="D490" i="6"/>
  <c r="J501" i="6"/>
  <c r="J808" i="6"/>
  <c r="E216" i="6"/>
  <c r="C1016" i="6"/>
  <c r="I1292" i="6"/>
  <c r="F796" i="6"/>
  <c r="D819" i="6"/>
  <c r="F909" i="6"/>
  <c r="F610" i="6"/>
  <c r="E1254" i="6"/>
  <c r="I588" i="6"/>
  <c r="E696" i="6"/>
  <c r="J828" i="6"/>
  <c r="I796" i="6"/>
  <c r="C248" i="6"/>
  <c r="F33" i="6"/>
  <c r="D468" i="6"/>
  <c r="I53" i="6"/>
  <c r="E630" i="6"/>
  <c r="J651" i="6"/>
  <c r="D778" i="6"/>
  <c r="E1059" i="6"/>
  <c r="F1208" i="6"/>
  <c r="F561" i="6"/>
  <c r="J1019" i="6"/>
  <c r="I1247" i="6"/>
  <c r="F173" i="6"/>
  <c r="D163" i="6"/>
  <c r="C160" i="6"/>
  <c r="E1213" i="6"/>
  <c r="I1038" i="6"/>
  <c r="E157" i="6"/>
  <c r="I1185" i="6"/>
  <c r="J752" i="6"/>
  <c r="F512" i="6"/>
  <c r="E481" i="6"/>
  <c r="E1329" i="6"/>
  <c r="D98" i="6"/>
  <c r="E116" i="6"/>
  <c r="E872" i="6"/>
  <c r="E258" i="6"/>
  <c r="E566" i="6"/>
  <c r="F142" i="6"/>
  <c r="C717" i="6"/>
  <c r="I1012" i="6"/>
  <c r="C653" i="6"/>
  <c r="C448" i="6"/>
  <c r="E1160" i="6"/>
  <c r="C185" i="6"/>
  <c r="E661" i="6"/>
  <c r="E971" i="6"/>
  <c r="F971" i="6"/>
  <c r="C852" i="6"/>
  <c r="F301" i="6"/>
  <c r="E1227" i="6"/>
  <c r="C1003" i="6"/>
  <c r="F276" i="6"/>
  <c r="F308" i="6"/>
  <c r="I307" i="6"/>
  <c r="E853" i="6"/>
  <c r="I1327" i="6"/>
  <c r="D1067" i="6"/>
  <c r="C1067" i="6"/>
  <c r="C899" i="6"/>
  <c r="J1255" i="6"/>
  <c r="C1185" i="6"/>
  <c r="C377" i="6"/>
  <c r="D629" i="6"/>
  <c r="I1256" i="6"/>
  <c r="D807" i="6"/>
  <c r="E1116" i="6"/>
  <c r="F799" i="6"/>
  <c r="C1145" i="6"/>
  <c r="J727" i="6"/>
  <c r="I1117" i="6"/>
  <c r="E287" i="6"/>
  <c r="D1038" i="6"/>
  <c r="C304" i="6"/>
  <c r="J202" i="6"/>
  <c r="I663" i="6"/>
  <c r="I329" i="6"/>
  <c r="E276" i="6"/>
  <c r="E163" i="6"/>
  <c r="F1028" i="6"/>
  <c r="F1146" i="6"/>
  <c r="C980" i="6"/>
  <c r="C865" i="6"/>
  <c r="F1319" i="6"/>
  <c r="E199" i="6"/>
  <c r="C550" i="6"/>
  <c r="C138" i="6"/>
  <c r="I489" i="6"/>
  <c r="D7" i="6"/>
  <c r="F914" i="6"/>
  <c r="D109" i="6"/>
  <c r="I677" i="6"/>
  <c r="F892" i="6"/>
  <c r="F633" i="6"/>
  <c r="C1336" i="6"/>
  <c r="D913" i="6"/>
  <c r="D751" i="6"/>
  <c r="J34" i="6"/>
  <c r="C1250" i="6"/>
  <c r="J1007" i="6"/>
  <c r="F773" i="6"/>
  <c r="C406" i="6"/>
  <c r="C895" i="6"/>
  <c r="J1238" i="6"/>
  <c r="I528" i="6"/>
  <c r="D60" i="6"/>
  <c r="F616" i="6"/>
  <c r="C995" i="6"/>
  <c r="D489" i="6"/>
  <c r="F983" i="6"/>
  <c r="F15" i="6"/>
  <c r="F1017" i="6"/>
  <c r="I435" i="6"/>
  <c r="E613" i="6"/>
  <c r="F104" i="6"/>
  <c r="J127" i="6"/>
  <c r="D1035" i="6"/>
  <c r="D1310" i="6"/>
  <c r="C1050" i="6"/>
  <c r="E1323" i="6"/>
  <c r="D153" i="6"/>
  <c r="F1151" i="6"/>
  <c r="E819" i="6"/>
  <c r="F1252" i="6"/>
  <c r="F611" i="6"/>
  <c r="D211" i="6"/>
  <c r="I809" i="6"/>
  <c r="E1168" i="6"/>
  <c r="D560" i="6"/>
  <c r="C1259" i="6"/>
  <c r="I304" i="6"/>
  <c r="J1288" i="6"/>
  <c r="J1089" i="6"/>
  <c r="C851" i="6"/>
  <c r="E363" i="6"/>
  <c r="F1288" i="6"/>
  <c r="F860" i="6"/>
  <c r="I330" i="6"/>
  <c r="C480" i="6"/>
  <c r="I652" i="6"/>
  <c r="E1340" i="6"/>
  <c r="D1186" i="6"/>
  <c r="E181" i="6"/>
  <c r="C970" i="6"/>
  <c r="J49" i="6"/>
  <c r="J111" i="6"/>
  <c r="C702" i="6"/>
  <c r="I1233" i="6"/>
  <c r="C77" i="6"/>
  <c r="I529" i="6"/>
  <c r="E647" i="6"/>
  <c r="I1056" i="6"/>
  <c r="I692" i="6"/>
  <c r="D1070" i="6"/>
  <c r="J602" i="6"/>
  <c r="C1136" i="6"/>
  <c r="I667" i="6"/>
  <c r="D924" i="6"/>
  <c r="D368" i="6"/>
  <c r="I445" i="6"/>
  <c r="D1000" i="6"/>
  <c r="D917" i="6"/>
  <c r="I797" i="6"/>
  <c r="F1293" i="6"/>
  <c r="D551" i="6"/>
  <c r="J200" i="6"/>
  <c r="F823" i="6"/>
  <c r="I1304" i="6"/>
  <c r="F845" i="6"/>
  <c r="J708" i="6"/>
  <c r="I339" i="6"/>
  <c r="C425" i="6"/>
  <c r="J498" i="6"/>
  <c r="E138" i="6"/>
  <c r="J924" i="6"/>
  <c r="I1267" i="6"/>
  <c r="I805" i="6"/>
  <c r="E31" i="6"/>
  <c r="J843" i="6"/>
  <c r="D939" i="6"/>
  <c r="F91" i="6"/>
  <c r="E1136" i="6"/>
  <c r="J456" i="6"/>
  <c r="E1287" i="6"/>
  <c r="E543" i="6"/>
  <c r="F271" i="6"/>
  <c r="J707" i="6"/>
  <c r="D1008" i="6"/>
  <c r="J641" i="6"/>
  <c r="D1305" i="6"/>
  <c r="C460" i="6"/>
  <c r="J177" i="6"/>
  <c r="J786" i="6"/>
  <c r="J1014" i="6"/>
  <c r="E10" i="6"/>
  <c r="E700" i="6"/>
  <c r="F993" i="6"/>
  <c r="C210" i="6"/>
  <c r="C853" i="6"/>
  <c r="J221" i="6"/>
  <c r="D1361" i="6"/>
  <c r="I1151" i="6"/>
  <c r="E959" i="6"/>
  <c r="E935" i="6"/>
  <c r="F619" i="6"/>
  <c r="C1333" i="6"/>
  <c r="J909" i="6"/>
  <c r="F334" i="6"/>
  <c r="C1045" i="6"/>
  <c r="F1249" i="6"/>
  <c r="I462" i="6"/>
  <c r="E585" i="6"/>
  <c r="E805" i="6"/>
  <c r="I823" i="6"/>
  <c r="D358" i="6"/>
  <c r="C483" i="6"/>
  <c r="F689" i="6"/>
  <c r="I250" i="6"/>
  <c r="I1284" i="6"/>
  <c r="I1363" i="6"/>
  <c r="C355" i="6"/>
  <c r="J306" i="6"/>
  <c r="E1189" i="6"/>
  <c r="J159" i="6"/>
  <c r="F745" i="6"/>
  <c r="D307" i="6"/>
  <c r="D412" i="6"/>
  <c r="C259" i="6"/>
  <c r="C1094" i="6"/>
  <c r="I331" i="6"/>
  <c r="F1373" i="6"/>
  <c r="D1016" i="6"/>
  <c r="C254" i="6"/>
  <c r="J249" i="6"/>
  <c r="F543" i="6"/>
  <c r="F193" i="6"/>
  <c r="D852" i="6"/>
  <c r="E17" i="6"/>
  <c r="C1241" i="6"/>
  <c r="D592" i="6"/>
  <c r="J1167" i="6"/>
  <c r="C673" i="6"/>
  <c r="I383" i="6"/>
  <c r="E148" i="6"/>
  <c r="I145" i="6"/>
  <c r="F92" i="6"/>
  <c r="F503" i="6"/>
  <c r="J923" i="6"/>
  <c r="C363" i="6"/>
  <c r="C715" i="6"/>
  <c r="C830" i="6"/>
  <c r="F988" i="6"/>
  <c r="C179" i="6"/>
  <c r="D448" i="6"/>
  <c r="D17" i="6"/>
  <c r="I321" i="6"/>
  <c r="J240" i="6"/>
  <c r="E62" i="6"/>
  <c r="I1340" i="6"/>
  <c r="F484" i="6"/>
  <c r="F1289" i="6"/>
  <c r="C1322" i="6"/>
  <c r="J615" i="6"/>
  <c r="J1325" i="6"/>
  <c r="D1156" i="6"/>
  <c r="F838" i="6"/>
  <c r="J584" i="6"/>
  <c r="E1235" i="6"/>
  <c r="F425" i="6"/>
  <c r="F643" i="6"/>
  <c r="I1022" i="6"/>
  <c r="J354" i="6"/>
  <c r="J524" i="6"/>
  <c r="C1257" i="6"/>
  <c r="C512" i="6"/>
  <c r="I106" i="6"/>
  <c r="D241" i="6"/>
  <c r="I790" i="6"/>
  <c r="C1168" i="6"/>
  <c r="I688" i="6"/>
  <c r="I755" i="6"/>
  <c r="F1054" i="6"/>
  <c r="F814" i="6"/>
  <c r="F558" i="6"/>
  <c r="D496" i="6"/>
  <c r="D391" i="6"/>
  <c r="I1181" i="6"/>
  <c r="C1036" i="6"/>
  <c r="E421" i="6"/>
  <c r="E270" i="6"/>
  <c r="J399" i="6"/>
  <c r="D575" i="6"/>
  <c r="I498" i="6"/>
  <c r="F49" i="6"/>
  <c r="C1315" i="6"/>
  <c r="E1180" i="6"/>
  <c r="I1098" i="6"/>
  <c r="E64" i="6"/>
  <c r="I1311" i="6"/>
  <c r="C272" i="6"/>
  <c r="C606" i="6"/>
  <c r="J1242" i="6"/>
  <c r="F478" i="6"/>
  <c r="F1052" i="6"/>
  <c r="I716" i="6"/>
  <c r="J16" i="6"/>
  <c r="D996" i="6"/>
  <c r="F840" i="6"/>
  <c r="I1036" i="6"/>
  <c r="I61" i="6"/>
  <c r="J149" i="6"/>
  <c r="D1301" i="6"/>
  <c r="J631" i="6"/>
  <c r="I1331" i="6"/>
  <c r="F344" i="6"/>
  <c r="F569" i="6"/>
  <c r="I23" i="6"/>
  <c r="E691" i="6"/>
  <c r="F559" i="6"/>
  <c r="C1316" i="6"/>
  <c r="C271" i="6"/>
  <c r="J263" i="6"/>
  <c r="D968" i="6"/>
  <c r="I631" i="6"/>
  <c r="J585" i="6"/>
  <c r="D1157" i="6"/>
  <c r="E783" i="6"/>
  <c r="I729" i="6"/>
  <c r="C612" i="6"/>
  <c r="I257" i="6"/>
  <c r="F1253" i="6"/>
  <c r="D680" i="6"/>
  <c r="F883" i="6"/>
  <c r="F1115" i="6"/>
  <c r="E1291" i="6"/>
  <c r="J1053" i="6"/>
  <c r="F475" i="6"/>
  <c r="E485" i="6"/>
  <c r="D442" i="6"/>
  <c r="C959" i="6"/>
  <c r="E545" i="6"/>
  <c r="F294" i="6"/>
  <c r="C1245" i="6"/>
  <c r="I1112" i="6"/>
  <c r="J918" i="6"/>
  <c r="F870" i="6"/>
  <c r="C411" i="6"/>
  <c r="F320" i="6"/>
  <c r="E658" i="6"/>
  <c r="C625" i="6"/>
  <c r="D1163" i="6"/>
  <c r="I930" i="6"/>
  <c r="F1026" i="6"/>
  <c r="C559" i="6"/>
  <c r="C29" i="6"/>
  <c r="J362" i="6"/>
  <c r="C600" i="6"/>
  <c r="C933" i="6"/>
  <c r="D38" i="6"/>
  <c r="D1034" i="6"/>
  <c r="I1213" i="6"/>
  <c r="E316" i="6"/>
  <c r="E676" i="6"/>
  <c r="J31" i="6"/>
  <c r="D165" i="6"/>
  <c r="D46" i="6"/>
  <c r="F183" i="6"/>
  <c r="D299" i="6"/>
  <c r="I697" i="6"/>
  <c r="E1106" i="6"/>
  <c r="I941" i="6"/>
  <c r="F207" i="6"/>
  <c r="C392" i="6"/>
  <c r="J739" i="6"/>
  <c r="F44" i="6"/>
  <c r="C61" i="6"/>
  <c r="C975" i="6"/>
  <c r="I736" i="6"/>
  <c r="I397" i="6"/>
  <c r="E228" i="6"/>
  <c r="E144" i="6"/>
  <c r="J792" i="6"/>
  <c r="C1118" i="6"/>
  <c r="C886" i="6"/>
  <c r="I402" i="6"/>
  <c r="I68" i="6"/>
  <c r="C738" i="6"/>
  <c r="C891" i="6"/>
  <c r="D1120" i="6"/>
  <c r="I794" i="6"/>
  <c r="J160" i="6"/>
  <c r="F1361" i="6"/>
  <c r="J1045" i="6"/>
  <c r="D187" i="6"/>
  <c r="C311" i="6"/>
  <c r="C815" i="6"/>
  <c r="I620" i="6"/>
  <c r="C334" i="6"/>
  <c r="D226" i="6"/>
  <c r="E269" i="6"/>
  <c r="E772" i="6"/>
  <c r="F787" i="6"/>
  <c r="D1235" i="6"/>
  <c r="D910" i="6"/>
  <c r="J171" i="6"/>
  <c r="D950" i="6"/>
  <c r="E1237" i="6"/>
  <c r="I295" i="6"/>
  <c r="I446" i="6"/>
  <c r="C1130" i="6"/>
  <c r="I1030" i="6"/>
  <c r="C107" i="6"/>
  <c r="F962" i="6"/>
  <c r="J872" i="6"/>
  <c r="C539" i="6"/>
  <c r="C927" i="6"/>
  <c r="D1199" i="6"/>
  <c r="C986" i="6"/>
  <c r="C1194" i="6"/>
  <c r="J806" i="6"/>
  <c r="J857" i="6"/>
  <c r="F1291" i="6"/>
  <c r="I577" i="6"/>
  <c r="E6" i="6"/>
  <c r="E244" i="6"/>
  <c r="D1253" i="6"/>
  <c r="F378" i="6"/>
  <c r="J945" i="6"/>
  <c r="J830" i="6"/>
  <c r="J659" i="6"/>
  <c r="I1288" i="6"/>
  <c r="D594" i="6"/>
  <c r="F336" i="6"/>
  <c r="C806" i="6"/>
  <c r="C233" i="6"/>
  <c r="D1206" i="6"/>
  <c r="I782" i="6"/>
  <c r="E1233" i="6"/>
  <c r="E517" i="6"/>
  <c r="F1349" i="6"/>
  <c r="J1365" i="6"/>
  <c r="D350" i="6"/>
  <c r="I733" i="6"/>
  <c r="C883" i="6"/>
  <c r="C1052" i="6"/>
  <c r="D24" i="6"/>
  <c r="E102" i="6"/>
  <c r="I457" i="6"/>
  <c r="J1346" i="6"/>
  <c r="D1285" i="6"/>
  <c r="J461" i="6"/>
  <c r="C502" i="6"/>
  <c r="C119" i="6"/>
  <c r="D145" i="6"/>
  <c r="I99" i="6"/>
  <c r="E30" i="6"/>
  <c r="E754" i="6"/>
  <c r="J1299" i="6"/>
  <c r="D980" i="6"/>
  <c r="I738" i="6"/>
  <c r="C1219" i="6"/>
  <c r="J345" i="6"/>
  <c r="C52" i="6"/>
  <c r="F472" i="6"/>
  <c r="F903" i="6"/>
  <c r="J636" i="6"/>
  <c r="F1039" i="6"/>
  <c r="D1279" i="6"/>
  <c r="F1103" i="6"/>
  <c r="F941" i="6"/>
  <c r="F739" i="6"/>
  <c r="D1247" i="6"/>
  <c r="D1226" i="6"/>
  <c r="C1182" i="6"/>
  <c r="D1046" i="6"/>
  <c r="I400" i="6"/>
  <c r="E172" i="6"/>
  <c r="J443" i="6"/>
  <c r="C1307" i="6"/>
  <c r="D1196" i="6"/>
  <c r="E1219" i="6"/>
  <c r="D1314" i="6"/>
  <c r="F705" i="6"/>
  <c r="I421" i="6"/>
  <c r="E234" i="6"/>
  <c r="F317" i="6"/>
  <c r="D1319" i="6"/>
  <c r="F395" i="6"/>
  <c r="C256" i="6"/>
  <c r="I1220" i="6"/>
  <c r="E232" i="6"/>
  <c r="C1088" i="6"/>
  <c r="D640" i="6"/>
  <c r="I1014" i="6"/>
  <c r="F1337" i="6"/>
  <c r="I1162" i="6"/>
  <c r="E152" i="6"/>
  <c r="I404" i="6"/>
  <c r="C166" i="6"/>
  <c r="J1107" i="6"/>
  <c r="C493" i="6"/>
  <c r="I564" i="6"/>
  <c r="D1323" i="6"/>
  <c r="D492" i="6"/>
  <c r="E380" i="6"/>
  <c r="J1035" i="6"/>
  <c r="F1330" i="6"/>
  <c r="C220" i="6"/>
  <c r="E881" i="6"/>
  <c r="I730" i="6"/>
  <c r="F314" i="6"/>
  <c r="J926" i="6"/>
  <c r="C176" i="6"/>
  <c r="C395" i="6"/>
  <c r="J1269" i="6"/>
  <c r="F213" i="6"/>
  <c r="I476" i="6"/>
  <c r="I13" i="6"/>
  <c r="E635" i="6"/>
  <c r="J617" i="6"/>
  <c r="C775" i="6"/>
  <c r="D179" i="6"/>
  <c r="C433" i="6"/>
  <c r="C224" i="6"/>
  <c r="C25" i="6"/>
  <c r="F938" i="6"/>
  <c r="C854" i="6"/>
  <c r="F583" i="6"/>
  <c r="I606" i="6"/>
  <c r="E331" i="6"/>
  <c r="J297" i="6"/>
  <c r="J450" i="6"/>
  <c r="C122" i="6"/>
  <c r="J1108" i="6"/>
  <c r="J842" i="6"/>
  <c r="I1318" i="6"/>
  <c r="I1000" i="6"/>
  <c r="E386" i="6"/>
  <c r="J237" i="6"/>
  <c r="F1342" i="6"/>
  <c r="F502" i="6"/>
  <c r="D523" i="6"/>
  <c r="F958" i="6"/>
  <c r="D301" i="6"/>
  <c r="J540" i="6"/>
  <c r="F161" i="6"/>
  <c r="E1137" i="6"/>
  <c r="I826" i="6"/>
  <c r="F797" i="6"/>
  <c r="J1064" i="6"/>
  <c r="D681" i="6"/>
  <c r="I1148" i="6"/>
  <c r="I516" i="6"/>
  <c r="C169" i="6"/>
  <c r="E1299" i="6"/>
  <c r="E1047" i="6"/>
  <c r="F1206" i="6"/>
  <c r="J647" i="6"/>
  <c r="J1253" i="6"/>
  <c r="J519" i="6"/>
  <c r="D52" i="6"/>
  <c r="E1279" i="6"/>
  <c r="J854" i="6"/>
  <c r="D343" i="6"/>
  <c r="C324" i="6"/>
  <c r="F698" i="6"/>
  <c r="E944" i="6"/>
  <c r="E482" i="6"/>
  <c r="F1175" i="6"/>
  <c r="C725" i="6"/>
  <c r="J883" i="6"/>
  <c r="J486" i="6"/>
  <c r="C1190" i="6"/>
  <c r="F910" i="6"/>
  <c r="D752" i="6"/>
  <c r="I1207" i="6"/>
  <c r="E282" i="6"/>
  <c r="I105" i="6"/>
  <c r="E888" i="6"/>
  <c r="J831" i="6"/>
  <c r="C873" i="6"/>
  <c r="C735" i="6"/>
  <c r="J928" i="6"/>
  <c r="C394" i="6"/>
  <c r="D585" i="6"/>
  <c r="C447" i="6"/>
  <c r="C620" i="6"/>
  <c r="C646" i="6"/>
  <c r="J1163" i="6"/>
  <c r="F1162" i="6"/>
  <c r="I1152" i="6"/>
  <c r="E493" i="6"/>
  <c r="E689" i="6"/>
  <c r="F888" i="6"/>
  <c r="F356" i="6"/>
  <c r="J474" i="6"/>
  <c r="D1368" i="6"/>
  <c r="I194" i="6"/>
  <c r="D260" i="6"/>
  <c r="D916" i="6"/>
  <c r="E1196" i="6"/>
  <c r="J948" i="6"/>
  <c r="E1284" i="6"/>
  <c r="F890" i="6"/>
  <c r="E588" i="6"/>
  <c r="E718" i="6"/>
  <c r="J28" i="6"/>
  <c r="D733" i="6"/>
  <c r="F737" i="6"/>
  <c r="F969" i="6"/>
  <c r="C978" i="6"/>
  <c r="J191" i="6"/>
  <c r="D873" i="6"/>
  <c r="I221" i="6"/>
  <c r="F579" i="6"/>
  <c r="C1243" i="6"/>
  <c r="I1246" i="6"/>
  <c r="D808" i="6"/>
  <c r="I524" i="6"/>
  <c r="D709" i="6"/>
  <c r="C730" i="6"/>
  <c r="I1121" i="6"/>
  <c r="I1020" i="6"/>
  <c r="F1273" i="6"/>
  <c r="C1020" i="6"/>
  <c r="J1094" i="6"/>
  <c r="F370" i="6"/>
  <c r="D1114" i="6"/>
  <c r="E1327" i="6"/>
  <c r="D876" i="6"/>
  <c r="E166" i="6"/>
  <c r="E350" i="6"/>
  <c r="F1367" i="6"/>
  <c r="D603" i="6"/>
  <c r="C1065" i="6"/>
  <c r="J99" i="6"/>
  <c r="J630" i="6"/>
  <c r="C787" i="6"/>
  <c r="D1017" i="6"/>
  <c r="D1195" i="6"/>
  <c r="C472" i="6"/>
  <c r="J495" i="6"/>
  <c r="E1006" i="6"/>
  <c r="D756" i="6"/>
  <c r="J868" i="6"/>
  <c r="C235" i="6"/>
  <c r="C446" i="6"/>
  <c r="E383" i="6"/>
  <c r="C204" i="6"/>
  <c r="D132" i="6"/>
  <c r="J516" i="6"/>
  <c r="I509" i="6"/>
  <c r="C998" i="6"/>
  <c r="I1232" i="6"/>
  <c r="I557" i="6"/>
  <c r="J689" i="6"/>
  <c r="C1320" i="6"/>
  <c r="E170" i="6"/>
  <c r="I514" i="6"/>
  <c r="D620" i="6"/>
  <c r="I768" i="6"/>
  <c r="D250" i="6"/>
  <c r="D1085" i="6"/>
  <c r="J731" i="6"/>
  <c r="J947" i="6"/>
  <c r="C57" i="6"/>
  <c r="J1099" i="6"/>
  <c r="D1149" i="6"/>
  <c r="E484" i="6"/>
  <c r="F627" i="6"/>
  <c r="I1369" i="6"/>
  <c r="I1008" i="6"/>
  <c r="I1227" i="6"/>
  <c r="F581" i="6"/>
  <c r="I1145" i="6"/>
  <c r="J24" i="6"/>
  <c r="I470" i="6"/>
  <c r="D1282" i="6"/>
  <c r="E749" i="6"/>
  <c r="D204" i="6"/>
  <c r="F930" i="6"/>
  <c r="J690" i="6"/>
  <c r="J1257" i="6"/>
  <c r="C814" i="6"/>
  <c r="I752" i="6"/>
  <c r="J855" i="6"/>
  <c r="D652" i="6"/>
  <c r="D639" i="6"/>
  <c r="C914" i="6"/>
  <c r="J1317" i="6"/>
  <c r="D1138" i="6"/>
  <c r="J940" i="6"/>
  <c r="I962" i="6"/>
  <c r="I576" i="6"/>
  <c r="C1127" i="6"/>
  <c r="E139" i="6"/>
  <c r="D983" i="6"/>
  <c r="D1002" i="6"/>
  <c r="E347" i="6"/>
  <c r="J653" i="6"/>
  <c r="C1073" i="6"/>
  <c r="E1351" i="6"/>
  <c r="I1234" i="6"/>
  <c r="F1021" i="6"/>
  <c r="J598" i="6"/>
  <c r="J564" i="6"/>
  <c r="I1201" i="6"/>
  <c r="I1082" i="6"/>
  <c r="C22" i="6"/>
  <c r="F647" i="6"/>
  <c r="C819" i="6"/>
  <c r="F748" i="6"/>
  <c r="I83" i="6"/>
  <c r="F609" i="6"/>
  <c r="I302" i="6"/>
  <c r="C628" i="6"/>
  <c r="E458" i="6"/>
  <c r="F411" i="6"/>
  <c r="D290" i="6"/>
  <c r="C904" i="6"/>
  <c r="I1189" i="6"/>
  <c r="E1202" i="6"/>
  <c r="E1204" i="6"/>
  <c r="J1086" i="6"/>
  <c r="F784" i="6"/>
  <c r="C438" i="6"/>
  <c r="E1159" i="6"/>
  <c r="D1003" i="6"/>
  <c r="I1134" i="6"/>
  <c r="I719" i="6"/>
  <c r="C1099" i="6"/>
  <c r="E429" i="6"/>
  <c r="F767" i="6"/>
  <c r="F241" i="6"/>
  <c r="I1106" i="6"/>
  <c r="D394" i="6"/>
  <c r="F1150" i="6"/>
  <c r="I657" i="6"/>
  <c r="C912" i="6"/>
  <c r="F1302" i="6"/>
  <c r="D1150" i="6"/>
  <c r="D1347" i="6"/>
  <c r="I177" i="6"/>
  <c r="F907" i="6"/>
  <c r="E650" i="6"/>
  <c r="D872" i="6"/>
  <c r="F221" i="6"/>
  <c r="D164" i="6"/>
  <c r="E1247" i="6"/>
  <c r="I856" i="6"/>
  <c r="J192" i="6"/>
  <c r="I955" i="6"/>
  <c r="D969" i="6"/>
  <c r="F196" i="6"/>
  <c r="F265" i="6"/>
  <c r="J303" i="6"/>
  <c r="D433" i="6"/>
  <c r="C928" i="6"/>
  <c r="D246" i="6"/>
  <c r="D617" i="6"/>
  <c r="J427" i="6"/>
  <c r="I12" i="6"/>
  <c r="C728" i="6"/>
  <c r="D801" i="6"/>
  <c r="I382" i="6"/>
  <c r="D1169" i="6"/>
  <c r="F864" i="6"/>
  <c r="I775" i="6"/>
  <c r="I1142" i="6"/>
  <c r="F1237" i="6"/>
  <c r="C184" i="6"/>
  <c r="J705" i="6"/>
  <c r="F774" i="6"/>
  <c r="I152" i="6"/>
  <c r="F1009" i="6"/>
  <c r="D532" i="6"/>
  <c r="I146" i="6"/>
  <c r="F321" i="6"/>
  <c r="I456" i="6"/>
  <c r="I505" i="6"/>
  <c r="F343" i="6"/>
  <c r="I1136" i="6"/>
  <c r="E1367" i="6"/>
  <c r="J1128" i="6"/>
  <c r="J1146" i="6"/>
  <c r="C89" i="6"/>
  <c r="J424" i="6"/>
  <c r="I759" i="6"/>
  <c r="E779" i="6"/>
  <c r="C1325" i="6"/>
  <c r="J694" i="6"/>
  <c r="D263" i="6"/>
  <c r="D1288" i="6"/>
  <c r="J300" i="6"/>
  <c r="J1097" i="6"/>
  <c r="J982" i="6"/>
  <c r="I770" i="6"/>
  <c r="I686" i="6"/>
  <c r="J1032" i="6"/>
  <c r="F1034" i="6"/>
  <c r="F857" i="6"/>
  <c r="J1222" i="6"/>
  <c r="D836" i="6"/>
  <c r="J57" i="6"/>
  <c r="F243" i="6"/>
  <c r="I604" i="6"/>
  <c r="E462" i="6"/>
  <c r="D147" i="6"/>
  <c r="I310" i="6"/>
  <c r="D1039" i="6"/>
  <c r="J1205" i="6"/>
  <c r="F212" i="6"/>
  <c r="E672" i="6"/>
  <c r="C734" i="6"/>
  <c r="J66" i="6"/>
  <c r="J1069" i="6"/>
  <c r="F135" i="6"/>
  <c r="E619" i="6"/>
  <c r="C553" i="6"/>
  <c r="C519" i="6"/>
  <c r="F1040" i="6"/>
  <c r="D606" i="6"/>
  <c r="J661" i="6"/>
  <c r="I921" i="6"/>
  <c r="D491" i="6"/>
  <c r="C650" i="6"/>
  <c r="C435" i="6"/>
  <c r="D1204" i="6"/>
  <c r="J738" i="6"/>
  <c r="E587" i="6"/>
  <c r="E1114" i="6"/>
  <c r="I693" i="6"/>
  <c r="F433" i="6"/>
  <c r="C15" i="6"/>
  <c r="I1018" i="6"/>
  <c r="I804" i="6"/>
  <c r="C888" i="6"/>
  <c r="C93" i="6"/>
  <c r="D1162" i="6"/>
  <c r="E409" i="6"/>
  <c r="C412" i="6"/>
  <c r="F1190" i="6"/>
  <c r="C633" i="6"/>
  <c r="F1191" i="6"/>
  <c r="C1057" i="6"/>
  <c r="F904" i="6"/>
  <c r="F681" i="6"/>
  <c r="J610" i="6"/>
  <c r="D946" i="6"/>
  <c r="D411" i="6"/>
  <c r="D1022" i="6"/>
  <c r="C517" i="6"/>
  <c r="E345" i="6"/>
  <c r="D1019" i="6"/>
  <c r="E737" i="6"/>
  <c r="D860" i="6"/>
  <c r="J506" i="6"/>
  <c r="I710" i="6"/>
  <c r="C286" i="6"/>
  <c r="J879" i="6"/>
  <c r="D911" i="6"/>
  <c r="D138" i="6"/>
  <c r="E592" i="6"/>
  <c r="I1337" i="6"/>
  <c r="J706" i="6"/>
  <c r="E1261" i="6"/>
  <c r="D415" i="6"/>
  <c r="C56" i="6"/>
  <c r="J208" i="6"/>
  <c r="I350" i="6"/>
  <c r="J776" i="6"/>
  <c r="D217" i="6"/>
  <c r="C154" i="6"/>
  <c r="C1060" i="6"/>
  <c r="D1180" i="6"/>
  <c r="C1102" i="6"/>
  <c r="F107" i="6"/>
  <c r="D661" i="6"/>
  <c r="F984" i="6"/>
  <c r="C1133" i="6"/>
  <c r="J440" i="6"/>
  <c r="J1287" i="6"/>
  <c r="D483" i="6"/>
  <c r="E89" i="6"/>
  <c r="F1143" i="6"/>
  <c r="E670" i="6"/>
  <c r="C718" i="6"/>
  <c r="I936" i="6"/>
  <c r="E41" i="6"/>
  <c r="C668" i="6"/>
  <c r="C1255" i="6"/>
  <c r="I658" i="6"/>
  <c r="F1035" i="6"/>
  <c r="D1202" i="6"/>
  <c r="D124" i="6"/>
  <c r="C307" i="6"/>
  <c r="C918" i="6"/>
  <c r="D937" i="6"/>
  <c r="J55" i="6"/>
  <c r="C551" i="6"/>
  <c r="E812" i="6"/>
  <c r="F789" i="6"/>
  <c r="I1257" i="6"/>
  <c r="D1062" i="6"/>
  <c r="D1063" i="6"/>
  <c r="D280" i="6"/>
  <c r="I665" i="6"/>
  <c r="C577" i="6"/>
  <c r="E305" i="6"/>
  <c r="D791" i="6"/>
  <c r="I20" i="6"/>
  <c r="D1246" i="6"/>
  <c r="F305" i="6"/>
  <c r="C729" i="6"/>
  <c r="C431" i="6"/>
  <c r="D88" i="6"/>
  <c r="C837" i="6"/>
  <c r="E72" i="6"/>
  <c r="I381" i="6"/>
  <c r="D135" i="6"/>
  <c r="J698" i="6"/>
  <c r="D159" i="6"/>
  <c r="C318" i="6"/>
  <c r="D498" i="6"/>
  <c r="D923" i="6"/>
  <c r="J12" i="6"/>
  <c r="C892" i="6"/>
  <c r="E1362" i="6"/>
  <c r="I1248" i="6"/>
  <c r="F660" i="6"/>
  <c r="C1186" i="6"/>
  <c r="J1334" i="6"/>
  <c r="C1274" i="6"/>
  <c r="C231" i="6"/>
  <c r="D323" i="6"/>
  <c r="F257" i="6"/>
  <c r="J174" i="6"/>
  <c r="C602" i="6"/>
  <c r="E1221" i="6"/>
  <c r="E93" i="6"/>
  <c r="J232" i="6"/>
  <c r="J206" i="6"/>
  <c r="I1190" i="6"/>
  <c r="F1128" i="6"/>
  <c r="D11" i="6"/>
  <c r="F216" i="6"/>
  <c r="I1026" i="6"/>
  <c r="E198" i="6"/>
  <c r="C691" i="6"/>
  <c r="C497" i="6"/>
  <c r="C485" i="6"/>
  <c r="J567" i="6"/>
  <c r="E275" i="6"/>
  <c r="C114" i="6"/>
  <c r="I1242" i="6"/>
  <c r="J64" i="6"/>
  <c r="D809" i="6"/>
  <c r="D403" i="6"/>
  <c r="D371" i="6"/>
  <c r="D771" i="6"/>
  <c r="J976" i="6"/>
  <c r="E579" i="6"/>
  <c r="J836" i="6"/>
  <c r="E808" i="6"/>
  <c r="C1228" i="6"/>
  <c r="F144" i="6"/>
  <c r="E1057" i="6"/>
  <c r="C836" i="6"/>
  <c r="F71" i="6"/>
  <c r="J550" i="6"/>
  <c r="J199" i="6"/>
  <c r="I714" i="6"/>
  <c r="E844" i="6"/>
  <c r="D357" i="6"/>
  <c r="D304" i="6"/>
  <c r="D1257" i="6"/>
  <c r="E641" i="6"/>
  <c r="I837" i="6"/>
  <c r="I1323" i="6"/>
  <c r="C1008" i="6"/>
  <c r="C1341" i="6"/>
  <c r="C879" i="6"/>
  <c r="D96" i="6"/>
  <c r="C462" i="6"/>
  <c r="C1338" i="6"/>
  <c r="I454" i="6"/>
  <c r="C844" i="6"/>
  <c r="C741" i="6"/>
  <c r="J978" i="6"/>
  <c r="D227" i="6"/>
  <c r="I305" i="6"/>
  <c r="F367" i="6"/>
  <c r="E432" i="6"/>
  <c r="C897" i="6"/>
  <c r="E54" i="6"/>
  <c r="D701" i="6"/>
  <c r="E381" i="6"/>
  <c r="C255" i="6"/>
  <c r="F447" i="6"/>
  <c r="J112" i="6"/>
  <c r="J380" i="6"/>
  <c r="E85" i="6"/>
  <c r="I761" i="6"/>
  <c r="F527" i="6"/>
  <c r="C783" i="6"/>
  <c r="D625" i="6"/>
  <c r="J282" i="6"/>
  <c r="E642" i="6"/>
  <c r="J1048" i="6"/>
  <c r="F746" i="6"/>
  <c r="E249" i="6"/>
  <c r="D769" i="6"/>
  <c r="F1299" i="6"/>
  <c r="E498" i="6"/>
  <c r="F874" i="6"/>
  <c r="D1233" i="6"/>
  <c r="I758" i="6"/>
  <c r="D1044" i="6"/>
  <c r="J1150" i="6"/>
  <c r="E868" i="6"/>
  <c r="I535" i="6"/>
  <c r="C657" i="6"/>
  <c r="C1367" i="6"/>
  <c r="J485" i="6"/>
  <c r="E914" i="6"/>
  <c r="I866" i="6"/>
  <c r="F697" i="6"/>
  <c r="E55" i="6"/>
  <c r="J1201" i="6"/>
  <c r="I964" i="6"/>
  <c r="E1224" i="6"/>
  <c r="D222" i="6"/>
  <c r="D748" i="6"/>
  <c r="C1345" i="6"/>
  <c r="I210" i="6"/>
  <c r="J418" i="6"/>
  <c r="E100" i="6"/>
  <c r="D495" i="6"/>
  <c r="F911" i="6"/>
  <c r="C1038" i="6"/>
  <c r="F699" i="6"/>
  <c r="F174" i="6"/>
  <c r="F824" i="6"/>
  <c r="E292" i="6"/>
  <c r="E403" i="6"/>
  <c r="C552" i="6"/>
  <c r="E66" i="6"/>
  <c r="C1124" i="6"/>
  <c r="C354" i="6"/>
  <c r="J397" i="6"/>
  <c r="C212" i="6"/>
  <c r="C393" i="6"/>
  <c r="I269" i="6"/>
  <c r="I1079" i="6"/>
  <c r="F412" i="6"/>
  <c r="I1371" i="6"/>
  <c r="F513" i="6"/>
  <c r="F1295" i="6"/>
  <c r="D621" i="6"/>
  <c r="C536" i="6"/>
  <c r="C826" i="6"/>
  <c r="I371" i="6"/>
  <c r="D325" i="6"/>
  <c r="E1030" i="6"/>
  <c r="I488" i="6"/>
  <c r="C908" i="6"/>
  <c r="F1001" i="6"/>
  <c r="D430" i="6"/>
  <c r="I133" i="6"/>
  <c r="J881" i="6"/>
  <c r="J1132" i="6"/>
  <c r="E400" i="6"/>
  <c r="C269" i="6"/>
  <c r="F700" i="6"/>
  <c r="I587" i="6"/>
  <c r="D64" i="6"/>
  <c r="C774" i="6"/>
  <c r="E690" i="6"/>
  <c r="I266" i="6"/>
  <c r="I601" i="6"/>
  <c r="J1330" i="6"/>
  <c r="I619" i="6"/>
  <c r="F702" i="6"/>
  <c r="J349" i="6"/>
  <c r="I722" i="6"/>
  <c r="D789" i="6"/>
  <c r="F391" i="6"/>
  <c r="F825" i="6"/>
  <c r="E236" i="6"/>
  <c r="D867" i="6"/>
  <c r="I684" i="6"/>
  <c r="I1361" i="6"/>
  <c r="C567" i="6"/>
  <c r="I1222" i="6"/>
  <c r="F62" i="6"/>
  <c r="F566" i="6"/>
  <c r="F601" i="6"/>
  <c r="F338" i="6"/>
  <c r="F485" i="6"/>
  <c r="D735" i="6"/>
  <c r="C570" i="6"/>
  <c r="F491" i="6"/>
  <c r="J974" i="6"/>
  <c r="E82" i="6"/>
  <c r="D1064" i="6"/>
  <c r="C1113" i="6"/>
  <c r="F1075" i="6"/>
  <c r="E577" i="6"/>
  <c r="I1209" i="6"/>
  <c r="C498" i="6"/>
  <c r="D1020" i="6"/>
  <c r="F470" i="6"/>
  <c r="F1013" i="6"/>
  <c r="J71" i="6"/>
  <c r="D1252" i="6"/>
  <c r="F997" i="6"/>
  <c r="F722" i="6"/>
  <c r="F206" i="6"/>
  <c r="J258" i="6"/>
  <c r="E307" i="6"/>
  <c r="I581" i="6"/>
  <c r="C507" i="6"/>
  <c r="C582" i="6"/>
  <c r="J197" i="6"/>
  <c r="E743" i="6"/>
  <c r="F1266" i="6"/>
  <c r="J559" i="6"/>
  <c r="C207" i="6"/>
  <c r="D1048" i="6"/>
  <c r="E60" i="6"/>
  <c r="C270" i="6"/>
  <c r="D708" i="6"/>
  <c r="F1107" i="6"/>
  <c r="F1032" i="6"/>
  <c r="J709" i="6"/>
  <c r="F567" i="6"/>
  <c r="D327" i="6"/>
  <c r="C1048" i="6"/>
  <c r="E289" i="6"/>
  <c r="J259" i="6"/>
  <c r="C997" i="6"/>
  <c r="I432" i="6"/>
  <c r="F524" i="6"/>
  <c r="F648" i="6"/>
  <c r="I683" i="6"/>
  <c r="D721" i="6"/>
  <c r="C982" i="6"/>
  <c r="D642" i="6"/>
  <c r="F959" i="6"/>
  <c r="D362" i="6"/>
  <c r="E150" i="6"/>
  <c r="D777" i="6"/>
  <c r="C1082" i="6"/>
  <c r="F1365" i="6"/>
  <c r="C14" i="6"/>
  <c r="D1084" i="6"/>
  <c r="C284" i="6"/>
  <c r="F1100" i="6"/>
  <c r="J735" i="6"/>
  <c r="J1162" i="6"/>
  <c r="C1105" i="6"/>
  <c r="J734" i="6"/>
  <c r="F724" i="6"/>
  <c r="C475" i="6"/>
  <c r="I461" i="6"/>
  <c r="C504" i="6"/>
  <c r="D1124" i="6"/>
  <c r="E1251" i="6"/>
  <c r="J955" i="6"/>
  <c r="F366" i="6"/>
  <c r="F843" i="6"/>
  <c r="F108" i="6"/>
  <c r="F920" i="6"/>
  <c r="J154" i="6"/>
  <c r="J333" i="6"/>
  <c r="D1240" i="6"/>
  <c r="E786" i="6"/>
  <c r="I562" i="6"/>
  <c r="I384" i="6"/>
  <c r="J891" i="6"/>
  <c r="C1351" i="6"/>
  <c r="F1155" i="6"/>
  <c r="C436" i="6"/>
  <c r="D931" i="6"/>
  <c r="J795" i="6"/>
  <c r="I1344" i="6"/>
  <c r="J1143" i="6"/>
  <c r="D87" i="6"/>
  <c r="I117" i="6"/>
  <c r="F1057" i="6"/>
  <c r="C938" i="6"/>
  <c r="C518" i="6"/>
  <c r="D1254" i="6"/>
  <c r="F1354" i="6"/>
  <c r="D417" i="6"/>
  <c r="F950" i="6"/>
  <c r="E11" i="6"/>
  <c r="J76" i="6"/>
  <c r="D91" i="6"/>
  <c r="I565" i="6"/>
  <c r="C1167" i="6"/>
  <c r="E473" i="6"/>
  <c r="F886" i="6"/>
  <c r="C913" i="6"/>
  <c r="J637" i="6"/>
  <c r="E748" i="6"/>
  <c r="J785" i="6"/>
  <c r="C10" i="6"/>
  <c r="C206" i="6"/>
  <c r="D1273" i="6"/>
  <c r="C252" i="6"/>
  <c r="J1170" i="6"/>
  <c r="E578" i="6"/>
  <c r="E1210" i="6"/>
  <c r="D573" i="6"/>
  <c r="J580" i="6"/>
  <c r="I726" i="6"/>
  <c r="J839" i="6"/>
  <c r="C419" i="6"/>
  <c r="I867" i="6"/>
  <c r="D555" i="6"/>
  <c r="C1304" i="6"/>
  <c r="D22" i="6"/>
  <c r="D891" i="6"/>
  <c r="F732" i="6"/>
  <c r="E665" i="6"/>
  <c r="E211" i="6"/>
  <c r="F701" i="6"/>
  <c r="I781" i="6"/>
  <c r="D737" i="6"/>
  <c r="J1206" i="6"/>
  <c r="E1041" i="6"/>
  <c r="E1152" i="6"/>
  <c r="I478" i="6"/>
  <c r="I1174" i="6"/>
  <c r="J8" i="6"/>
  <c r="E440" i="6"/>
  <c r="E430" i="6"/>
  <c r="D374" i="6"/>
  <c r="C1290" i="6"/>
  <c r="J683" i="6"/>
  <c r="F1061" i="6"/>
  <c r="F70" i="6"/>
  <c r="E205" i="6"/>
  <c r="D295" i="6"/>
  <c r="F398" i="6"/>
  <c r="I1305" i="6"/>
  <c r="J677" i="6"/>
  <c r="J579" i="6"/>
  <c r="J608" i="6"/>
  <c r="C594" i="6"/>
  <c r="J1244" i="6"/>
  <c r="D1243" i="6"/>
  <c r="I416" i="6"/>
  <c r="E728" i="6"/>
  <c r="I316" i="6"/>
  <c r="D874" i="6"/>
  <c r="E1234" i="6"/>
  <c r="D954" i="6"/>
  <c r="D930" i="6"/>
  <c r="D672" i="6"/>
  <c r="J993" i="6"/>
  <c r="F511" i="6"/>
  <c r="D110" i="6"/>
  <c r="I70" i="6"/>
  <c r="J838" i="6"/>
  <c r="D846" i="6"/>
  <c r="F316" i="6"/>
  <c r="E1086" i="6"/>
  <c r="E1365" i="6"/>
  <c r="F274" i="6"/>
  <c r="C51" i="6"/>
  <c r="D904" i="6"/>
  <c r="E177" i="6"/>
  <c r="F565" i="6"/>
  <c r="C780" i="6"/>
  <c r="E7" i="6"/>
  <c r="E336" i="6"/>
  <c r="F897" i="6"/>
  <c r="F406" i="6"/>
  <c r="D1334" i="6"/>
  <c r="D177" i="6"/>
  <c r="I655" i="6"/>
  <c r="F575" i="6"/>
  <c r="I950" i="6"/>
  <c r="F604" i="6"/>
  <c r="F778" i="6"/>
  <c r="J1276" i="6"/>
  <c r="E544" i="6"/>
  <c r="C609" i="6"/>
  <c r="C817" i="6"/>
  <c r="C449" i="6"/>
  <c r="F670" i="6"/>
  <c r="I500" i="6"/>
  <c r="C952" i="6"/>
  <c r="D893" i="6"/>
  <c r="D345" i="6"/>
  <c r="E146" i="6"/>
  <c r="C1346" i="6"/>
  <c r="C413" i="6"/>
  <c r="D472" i="6"/>
  <c r="E953" i="6"/>
  <c r="J1063" i="6"/>
  <c r="J260" i="6"/>
  <c r="I1180" i="6"/>
  <c r="C53" i="6"/>
  <c r="C1061" i="6"/>
  <c r="E928" i="6"/>
  <c r="D1302" i="6"/>
  <c r="F768" i="6"/>
  <c r="C244" i="6"/>
  <c r="D529" i="6"/>
  <c r="J1292" i="6"/>
  <c r="F1130" i="6"/>
  <c r="D233" i="6"/>
  <c r="F357" i="6"/>
  <c r="I1034" i="6"/>
  <c r="I281" i="6"/>
  <c r="J121" i="6"/>
  <c r="C8" i="6"/>
  <c r="C43" i="6"/>
  <c r="D901" i="6"/>
  <c r="J1310" i="6"/>
  <c r="F766" i="6"/>
  <c r="C1252" i="6"/>
  <c r="I626" i="6"/>
  <c r="E158" i="6"/>
  <c r="D719" i="6"/>
  <c r="F977" i="6"/>
  <c r="F706" i="6"/>
  <c r="E140" i="6"/>
  <c r="D1244" i="6"/>
  <c r="I131" i="6"/>
  <c r="J811" i="6"/>
  <c r="F1185" i="6"/>
  <c r="J537" i="6"/>
  <c r="J413" i="6"/>
  <c r="E1217" i="6"/>
  <c r="E279" i="6"/>
  <c r="I6" i="6"/>
  <c r="D1187" i="6"/>
  <c r="C424" i="6"/>
  <c r="F798" i="6"/>
  <c r="I270" i="6"/>
  <c r="D1290" i="6"/>
  <c r="C1368" i="6"/>
  <c r="C665" i="6"/>
  <c r="F1109" i="6"/>
  <c r="I309" i="6"/>
  <c r="J403" i="6"/>
  <c r="D691" i="6"/>
  <c r="F1106" i="6"/>
  <c r="C1128" i="6"/>
  <c r="I1016" i="6"/>
  <c r="C429" i="6"/>
  <c r="J452" i="6"/>
  <c r="J1152" i="6"/>
  <c r="J379" i="6"/>
  <c r="J156" i="6"/>
  <c r="D883" i="6"/>
  <c r="J733" i="6"/>
  <c r="I1328" i="6"/>
  <c r="E644" i="6"/>
  <c r="F820" i="6"/>
  <c r="C584" i="6"/>
  <c r="I1110" i="6"/>
  <c r="J514" i="6"/>
  <c r="C1184" i="6"/>
  <c r="E1207" i="6"/>
  <c r="J1285" i="6"/>
  <c r="F1317" i="6"/>
  <c r="J383" i="6"/>
  <c r="C350" i="6"/>
  <c r="I965" i="6"/>
  <c r="F532" i="6"/>
  <c r="D459" i="6"/>
  <c r="E209" i="6"/>
  <c r="C681" i="6"/>
  <c r="F341" i="6"/>
  <c r="D209" i="6"/>
  <c r="E162" i="6"/>
  <c r="F957" i="6"/>
  <c r="I1063" i="6"/>
  <c r="C1235" i="6"/>
  <c r="C274" i="6"/>
  <c r="C50" i="6"/>
  <c r="I1255" i="6"/>
  <c r="D1177" i="6"/>
  <c r="C613" i="6"/>
  <c r="I1354" i="6"/>
  <c r="I731" i="6"/>
  <c r="E1286" i="6"/>
  <c r="E47" i="6"/>
  <c r="F211" i="6"/>
  <c r="D673" i="6"/>
  <c r="D420" i="6"/>
  <c r="D432" i="6"/>
  <c r="F205" i="6"/>
  <c r="D242" i="6"/>
  <c r="D824" i="6"/>
  <c r="I636" i="6"/>
  <c r="J638" i="6"/>
  <c r="E320" i="6"/>
  <c r="E662" i="6"/>
  <c r="D800" i="6"/>
  <c r="E753" i="6"/>
  <c r="D1092" i="6"/>
  <c r="F703" i="6"/>
  <c r="E1129" i="6"/>
  <c r="C147" i="6"/>
  <c r="D506" i="6"/>
  <c r="E25" i="6"/>
  <c r="C760" i="6"/>
  <c r="D682" i="6"/>
  <c r="F1226" i="6"/>
  <c r="C1158" i="6"/>
  <c r="F944" i="6"/>
  <c r="C964" i="6"/>
  <c r="F262" i="6"/>
  <c r="E392" i="6"/>
  <c r="D207" i="6"/>
  <c r="C565" i="6"/>
  <c r="F572" i="6"/>
  <c r="F835" i="6"/>
  <c r="E457" i="6"/>
  <c r="D1006" i="6"/>
  <c r="F65" i="6"/>
  <c r="J358" i="6"/>
  <c r="E605" i="6"/>
  <c r="I59" i="6"/>
  <c r="I29" i="6"/>
  <c r="C103" i="6"/>
  <c r="E716" i="6"/>
  <c r="I186" i="6"/>
  <c r="D1266" i="6"/>
  <c r="F529" i="6"/>
  <c r="E562" i="6"/>
  <c r="C247" i="6"/>
  <c r="C157" i="6"/>
  <c r="F615" i="6"/>
  <c r="D975" i="6"/>
  <c r="E185" i="6"/>
  <c r="C882" i="6"/>
  <c r="F1194" i="6"/>
  <c r="E1054" i="6"/>
  <c r="D306" i="6"/>
  <c r="D487" i="6"/>
  <c r="E135" i="6"/>
  <c r="D47" i="6"/>
  <c r="F299" i="6"/>
  <c r="J788" i="6"/>
  <c r="E849" i="6"/>
  <c r="J481" i="6"/>
  <c r="E351" i="6"/>
  <c r="J1356" i="6"/>
  <c r="J671" i="6"/>
  <c r="F167" i="6"/>
  <c r="C167" i="6"/>
  <c r="I494" i="6"/>
  <c r="C796" i="6"/>
  <c r="I84" i="6"/>
  <c r="C1285" i="6"/>
  <c r="J281" i="6"/>
  <c r="E1150" i="6"/>
  <c r="E669" i="6"/>
  <c r="F365" i="6"/>
  <c r="C91" i="6"/>
  <c r="F340" i="6"/>
  <c r="D894" i="6"/>
  <c r="E28" i="6"/>
  <c r="D839" i="6"/>
  <c r="D1126" i="6"/>
  <c r="I52" i="6"/>
  <c r="D644" i="6"/>
  <c r="I1310" i="6"/>
  <c r="I689" i="6"/>
  <c r="D101" i="6"/>
  <c r="E1117" i="6"/>
  <c r="I224" i="6"/>
  <c r="J888" i="6"/>
  <c r="I556" i="6"/>
  <c r="I1057" i="6"/>
  <c r="E521" i="6"/>
  <c r="E551" i="6"/>
  <c r="D1049" i="6"/>
  <c r="J97" i="6"/>
  <c r="E1322" i="6"/>
  <c r="I116" i="6"/>
  <c r="D1081" i="6"/>
  <c r="I156" i="6"/>
  <c r="C241" i="6"/>
  <c r="F464" i="6"/>
  <c r="I18" i="6"/>
  <c r="J820" i="6"/>
  <c r="D1324" i="6"/>
  <c r="C120" i="6"/>
  <c r="J710" i="6"/>
  <c r="C784" i="6"/>
  <c r="E358" i="6"/>
  <c r="E365" i="6"/>
  <c r="F339" i="6"/>
  <c r="I1169" i="6"/>
  <c r="F693" i="6"/>
  <c r="E520" i="6"/>
  <c r="D926" i="6"/>
  <c r="J779" i="6"/>
  <c r="J1368" i="6"/>
  <c r="C1308" i="6"/>
  <c r="F850" i="6"/>
  <c r="F82" i="6"/>
  <c r="C878" i="6"/>
  <c r="D70" i="6"/>
  <c r="C1069" i="6"/>
  <c r="I743" i="6"/>
  <c r="J679" i="6"/>
  <c r="C326" i="6"/>
  <c r="J1034" i="6"/>
  <c r="J42" i="6"/>
  <c r="I799" i="6"/>
  <c r="C779" i="6"/>
  <c r="E616" i="6"/>
  <c r="J577" i="6"/>
  <c r="I403" i="6"/>
  <c r="J7" i="6"/>
  <c r="C387" i="6"/>
  <c r="E741" i="6"/>
  <c r="D914" i="6"/>
  <c r="I499" i="6"/>
  <c r="J1178" i="6"/>
  <c r="D340" i="6"/>
  <c r="I747" i="6"/>
  <c r="D521" i="6"/>
  <c r="F401" i="6"/>
  <c r="I1123" i="6"/>
  <c r="F906" i="6"/>
  <c r="C236" i="6"/>
  <c r="C361" i="6"/>
  <c r="F48" i="6"/>
  <c r="I322" i="6"/>
  <c r="D1185" i="6"/>
  <c r="E1097" i="6"/>
  <c r="D474" i="6"/>
  <c r="E1282" i="6"/>
  <c r="I1197" i="6"/>
  <c r="C71" i="6"/>
  <c r="F972" i="6"/>
  <c r="I328" i="6"/>
  <c r="D1051" i="6"/>
  <c r="J1228" i="6"/>
  <c r="I490" i="6"/>
  <c r="J1115" i="6"/>
  <c r="I838" i="6"/>
  <c r="J1218" i="6"/>
  <c r="C378" i="6"/>
  <c r="C151" i="6"/>
  <c r="C1175" i="6"/>
  <c r="J1265" i="6"/>
  <c r="E609" i="6"/>
  <c r="D700" i="6"/>
  <c r="D123" i="6"/>
  <c r="I767" i="6"/>
  <c r="E119" i="6"/>
  <c r="I779" i="6"/>
  <c r="C1053" i="6"/>
  <c r="F354" i="6"/>
  <c r="I1225" i="6"/>
  <c r="I262" i="6"/>
  <c r="D402" i="6"/>
  <c r="D1270" i="6"/>
  <c r="C398" i="6"/>
  <c r="I484" i="6"/>
  <c r="E1271" i="6"/>
  <c r="C1116" i="6"/>
  <c r="F591" i="6"/>
  <c r="I815" i="6"/>
  <c r="I485" i="6"/>
  <c r="C662" i="6"/>
  <c r="D151" i="6"/>
  <c r="C477" i="6"/>
  <c r="I258" i="6"/>
  <c r="D1047" i="6"/>
  <c r="J133" i="6"/>
  <c r="I952" i="6"/>
  <c r="C1086" i="6"/>
  <c r="F1176" i="6"/>
  <c r="I597" i="6"/>
  <c r="J86" i="6"/>
  <c r="J1353" i="6"/>
  <c r="J1036" i="6"/>
  <c r="I927" i="6"/>
  <c r="C202" i="6"/>
  <c r="E471" i="6"/>
  <c r="D1283" i="6"/>
  <c r="F516" i="6"/>
  <c r="F624" i="6"/>
  <c r="E843" i="6"/>
  <c r="J634" i="6"/>
  <c r="D413" i="6"/>
  <c r="I1165" i="6"/>
  <c r="F251" i="6"/>
  <c r="F1360" i="6"/>
  <c r="E519" i="6"/>
  <c r="I285" i="6"/>
  <c r="E1185" i="6"/>
  <c r="J512" i="6"/>
  <c r="D1032" i="6"/>
  <c r="E308" i="6"/>
  <c r="C632" i="6"/>
  <c r="D796" i="6"/>
  <c r="D611" i="6"/>
  <c r="E1198" i="6"/>
  <c r="C137" i="6"/>
  <c r="F293" i="6"/>
  <c r="E681" i="6"/>
  <c r="C513" i="6"/>
  <c r="E224" i="6"/>
  <c r="C90" i="6"/>
  <c r="F1270" i="6"/>
  <c r="D103" i="6"/>
  <c r="I863" i="6"/>
  <c r="D117" i="6"/>
  <c r="J558" i="6"/>
  <c r="D128" i="6"/>
  <c r="J1073" i="6"/>
  <c r="C804" i="6"/>
  <c r="F644" i="6"/>
  <c r="J551" i="6"/>
  <c r="E309" i="6"/>
  <c r="J323" i="6"/>
  <c r="E113" i="6"/>
  <c r="J325" i="6"/>
  <c r="I539" i="6"/>
  <c r="J29" i="6"/>
  <c r="E539" i="6"/>
  <c r="E612" i="6"/>
  <c r="C46" i="6"/>
  <c r="I615" i="6"/>
  <c r="E447" i="6"/>
  <c r="D528" i="6"/>
  <c r="I346" i="6"/>
  <c r="F649" i="6"/>
  <c r="F1255" i="6"/>
  <c r="I1276" i="6"/>
  <c r="I547" i="6"/>
  <c r="D120" i="6"/>
  <c r="J73" i="6"/>
  <c r="J884" i="6"/>
  <c r="F1181" i="6"/>
  <c r="E1174" i="6"/>
  <c r="D1086" i="6"/>
  <c r="F782" i="6"/>
  <c r="E977" i="6"/>
  <c r="E1025" i="6"/>
  <c r="I398" i="6"/>
  <c r="F408" i="6"/>
  <c r="I1179" i="6"/>
  <c r="F696" i="6"/>
  <c r="I1080" i="6"/>
  <c r="F12" i="6"/>
  <c r="C1358" i="6"/>
  <c r="C68" i="6"/>
  <c r="C972" i="6"/>
  <c r="F856" i="6"/>
  <c r="E1023" i="6"/>
  <c r="F721" i="6"/>
  <c r="F1092" i="6"/>
  <c r="E179" i="6"/>
  <c r="D509" i="6"/>
  <c r="C840" i="6"/>
  <c r="F828" i="6"/>
  <c r="D61" i="6"/>
  <c r="J478" i="6"/>
  <c r="C76" i="6"/>
  <c r="D841" i="6"/>
  <c r="F709" i="6"/>
  <c r="E45" i="6"/>
  <c r="C902" i="6"/>
  <c r="E526" i="6"/>
  <c r="C58" i="6"/>
  <c r="I1041" i="6"/>
  <c r="D1251" i="6"/>
  <c r="E1281" i="6"/>
  <c r="J398" i="6"/>
  <c r="F1366" i="6"/>
  <c r="E230" i="6"/>
  <c r="C289" i="6"/>
  <c r="I1208" i="6"/>
  <c r="I379" i="6"/>
  <c r="E304" i="6"/>
  <c r="D655" i="6"/>
  <c r="F202" i="6"/>
  <c r="E171" i="6"/>
  <c r="E581" i="6"/>
  <c r="J604" i="6"/>
  <c r="C339" i="6"/>
  <c r="J1259" i="6"/>
  <c r="E325" i="6"/>
  <c r="F255" i="6"/>
  <c r="J225" i="6"/>
  <c r="E569" i="6"/>
  <c r="D1309" i="6"/>
  <c r="F100" i="6"/>
  <c r="C638" i="6"/>
  <c r="J937" i="6"/>
  <c r="C909" i="6"/>
  <c r="D1272" i="6"/>
  <c r="D784" i="6"/>
  <c r="D1119" i="6"/>
  <c r="D140" i="6"/>
  <c r="F136" i="6"/>
  <c r="C777" i="6"/>
  <c r="C263" i="6"/>
  <c r="I175" i="6"/>
  <c r="D817" i="6"/>
  <c r="D1127" i="6"/>
  <c r="I718" i="6"/>
  <c r="I642" i="6"/>
  <c r="F1049" i="6"/>
  <c r="F547" i="6"/>
  <c r="D829" i="6"/>
  <c r="D688" i="6"/>
  <c r="C45" i="6"/>
  <c r="I1154" i="6"/>
  <c r="I1314" i="6"/>
  <c r="D305" i="6"/>
  <c r="I756" i="6"/>
  <c r="C60" i="6"/>
  <c r="E466" i="6"/>
  <c r="E785" i="6"/>
  <c r="C1032" i="6"/>
  <c r="D624" i="6"/>
  <c r="I1115" i="6"/>
  <c r="D899" i="6"/>
  <c r="E474" i="6"/>
  <c r="D856" i="6"/>
  <c r="D478" i="6"/>
  <c r="I1033" i="6"/>
  <c r="J1176" i="6"/>
  <c r="D694" i="6"/>
  <c r="F96" i="6"/>
  <c r="E815" i="6"/>
  <c r="D638" i="6"/>
  <c r="C409" i="6"/>
  <c r="E640" i="6"/>
  <c r="D596" i="6"/>
  <c r="D535" i="6"/>
  <c r="I868" i="6"/>
  <c r="C81" i="6"/>
  <c r="F252" i="6"/>
  <c r="F882" i="6"/>
  <c r="J1046" i="6"/>
  <c r="E40" i="6"/>
  <c r="D1107" i="6"/>
  <c r="J81" i="6"/>
  <c r="I792" i="6"/>
  <c r="J678" i="6"/>
  <c r="C742" i="6"/>
  <c r="E263" i="6"/>
  <c r="J789" i="6"/>
  <c r="I291" i="6"/>
  <c r="F1341" i="6"/>
  <c r="C26" i="6"/>
  <c r="I502" i="6"/>
  <c r="I746" i="6"/>
  <c r="C208" i="6"/>
  <c r="F866" i="6"/>
  <c r="F1334" i="6"/>
  <c r="D349" i="6"/>
  <c r="F650" i="6"/>
  <c r="F160" i="6"/>
  <c r="F1286" i="6"/>
  <c r="F1221" i="6"/>
  <c r="C1011" i="6"/>
  <c r="D220" i="6"/>
  <c r="C437" i="6"/>
  <c r="D615" i="6"/>
  <c r="J145" i="6"/>
  <c r="I241" i="6"/>
  <c r="D905" i="6"/>
  <c r="E367" i="6"/>
  <c r="J1343" i="6"/>
  <c r="J417" i="6"/>
  <c r="E1165" i="6"/>
  <c r="F1254" i="6"/>
  <c r="F482" i="6"/>
  <c r="I1319" i="6"/>
  <c r="C641" i="6"/>
  <c r="I66" i="6"/>
  <c r="I918" i="6"/>
  <c r="C34" i="6"/>
  <c r="J61" i="6"/>
  <c r="F172" i="6"/>
  <c r="D922" i="6"/>
  <c r="J871" i="6"/>
  <c r="F915" i="6"/>
  <c r="D619" i="6"/>
  <c r="C99" i="6"/>
  <c r="F66" i="6"/>
  <c r="E326" i="6"/>
  <c r="J682" i="6"/>
  <c r="C223" i="6"/>
  <c r="I465" i="6"/>
  <c r="F955" i="6"/>
  <c r="F1121" i="6"/>
  <c r="E1051" i="6"/>
  <c r="J211" i="6"/>
  <c r="I312" i="6"/>
  <c r="C145" i="6"/>
  <c r="I49" i="6"/>
  <c r="F319" i="6"/>
  <c r="D1280" i="6"/>
  <c r="F759" i="6"/>
  <c r="D314" i="6"/>
  <c r="E362" i="6"/>
  <c r="D479" i="6"/>
  <c r="I1101" i="6"/>
  <c r="D518" i="6"/>
  <c r="F683" i="6"/>
  <c r="D731" i="6"/>
  <c r="D608" i="6"/>
  <c r="J1148" i="6"/>
  <c r="D171" i="6"/>
  <c r="C859" i="6"/>
  <c r="C643" i="6"/>
  <c r="I1060" i="6"/>
  <c r="D877" i="6"/>
  <c r="C426" i="6"/>
  <c r="F267" i="6"/>
  <c r="C555" i="6"/>
  <c r="J1038" i="6"/>
  <c r="E8" i="6"/>
  <c r="I1172" i="6"/>
  <c r="D995" i="6"/>
  <c r="C974" i="6"/>
  <c r="J571" i="6"/>
  <c r="D152" i="6"/>
  <c r="J1087" i="6"/>
  <c r="D186" i="6"/>
  <c r="D31" i="6"/>
  <c r="J1093" i="6"/>
  <c r="C183" i="6"/>
  <c r="D636" i="6"/>
  <c r="J742" i="6"/>
  <c r="E528" i="6"/>
  <c r="F742" i="6"/>
  <c r="C1309" i="6"/>
  <c r="C296" i="6"/>
  <c r="C623" i="6"/>
  <c r="I481" i="6"/>
  <c r="I475" i="6"/>
  <c r="F1205" i="6"/>
  <c r="D896" i="6"/>
  <c r="C178" i="6"/>
  <c r="J1214" i="6"/>
  <c r="E274" i="6"/>
  <c r="I143" i="6"/>
  <c r="F669" i="6"/>
  <c r="I288" i="6"/>
  <c r="I1017" i="6"/>
  <c r="I1157" i="6"/>
  <c r="C773" i="6"/>
  <c r="J273" i="6"/>
  <c r="E570" i="6"/>
  <c r="I806" i="6"/>
  <c r="C737" i="6"/>
  <c r="E1262" i="6"/>
  <c r="D864" i="6"/>
  <c r="F471" i="6"/>
  <c r="D508" i="6"/>
  <c r="F124" i="6"/>
  <c r="C861" i="6"/>
  <c r="E1066" i="6"/>
  <c r="E411" i="6"/>
  <c r="I563" i="6"/>
  <c r="C1279" i="6"/>
  <c r="J130" i="6"/>
  <c r="E1229" i="6"/>
  <c r="D1009" i="6"/>
  <c r="F122" i="6"/>
  <c r="C24" i="6"/>
  <c r="F415" i="6"/>
  <c r="F1004" i="6"/>
  <c r="I1195" i="6"/>
  <c r="J13" i="6"/>
  <c r="C1222" i="6"/>
  <c r="J350" i="6"/>
  <c r="E979" i="6"/>
  <c r="J438" i="6"/>
  <c r="D698" i="6"/>
  <c r="F449" i="6"/>
  <c r="F1079" i="6"/>
  <c r="F402" i="6"/>
  <c r="E908" i="6"/>
  <c r="D97" i="6"/>
  <c r="I545" i="6"/>
  <c r="D1287" i="6"/>
  <c r="J1210" i="6"/>
  <c r="I654" i="6"/>
  <c r="E629" i="6"/>
  <c r="E272" i="6"/>
  <c r="D427" i="6"/>
  <c r="D832" i="6"/>
  <c r="D710" i="6"/>
  <c r="D324" i="6"/>
  <c r="I227" i="6"/>
  <c r="C94" i="6"/>
  <c r="D1317" i="6"/>
  <c r="D524" i="6"/>
  <c r="F133" i="6"/>
  <c r="F141" i="6"/>
  <c r="I80" i="6"/>
  <c r="F10" i="6"/>
  <c r="I510" i="6"/>
  <c r="F353" i="6"/>
  <c r="I840" i="6"/>
  <c r="J442" i="6"/>
  <c r="F1298" i="6"/>
  <c r="J146" i="6"/>
  <c r="C1198" i="6"/>
  <c r="E431" i="6"/>
  <c r="J95" i="6"/>
  <c r="I503" i="6"/>
  <c r="C1317" i="6"/>
  <c r="C108" i="6"/>
  <c r="I827" i="6"/>
  <c r="C340" i="6"/>
  <c r="J798" i="6"/>
  <c r="F812" i="6"/>
  <c r="F421" i="6"/>
  <c r="C1370" i="6"/>
  <c r="F1196" i="6"/>
  <c r="F645" i="6"/>
  <c r="F576" i="6"/>
  <c r="F1058" i="6"/>
  <c r="I501" i="6"/>
  <c r="I1129" i="6"/>
  <c r="F777" i="6"/>
  <c r="F275" i="6"/>
  <c r="E1347" i="6"/>
  <c r="C39" i="6"/>
  <c r="J718" i="6"/>
  <c r="E1315" i="6"/>
  <c r="D1333" i="6"/>
  <c r="I159" i="6"/>
  <c r="J1029" i="6"/>
  <c r="F292" i="6"/>
  <c r="C699" i="6"/>
  <c r="I690" i="6"/>
  <c r="E837" i="6"/>
  <c r="I1059" i="6"/>
  <c r="D208" i="6"/>
  <c r="D283" i="6"/>
  <c r="D614" i="6"/>
  <c r="E77" i="6"/>
  <c r="C1344" i="6"/>
  <c r="J90" i="6"/>
  <c r="D59" i="6"/>
  <c r="E257" i="6"/>
  <c r="F228" i="6"/>
  <c r="C1081" i="6"/>
  <c r="I1139" i="6"/>
  <c r="I763" i="6"/>
  <c r="F56" i="6"/>
  <c r="C454" i="6"/>
  <c r="J1304" i="6"/>
  <c r="D656" i="6"/>
  <c r="I178" i="6"/>
  <c r="F117" i="6"/>
  <c r="I887" i="6"/>
  <c r="J861" i="6"/>
  <c r="F103" i="6"/>
  <c r="E373" i="6"/>
  <c r="D133" i="6"/>
  <c r="F622" i="6"/>
  <c r="C627" i="6"/>
  <c r="D993" i="6"/>
  <c r="J80" i="6"/>
  <c r="E1138" i="6"/>
  <c r="E220" i="6"/>
  <c r="J1006" i="6"/>
  <c r="I459" i="6"/>
  <c r="D553" i="6"/>
  <c r="E624" i="6"/>
  <c r="C310" i="6"/>
  <c r="E259" i="6"/>
  <c r="F574" i="6"/>
  <c r="E261" i="6"/>
  <c r="F98" i="6"/>
  <c r="D84" i="6"/>
  <c r="I283" i="6"/>
  <c r="D446" i="6"/>
  <c r="J1106" i="6"/>
  <c r="E1294" i="6"/>
  <c r="J180" i="6"/>
  <c r="F84" i="6"/>
  <c r="D1201" i="6"/>
  <c r="D473" i="6"/>
  <c r="C478" i="6"/>
  <c r="E1333" i="6"/>
  <c r="D568" i="6"/>
  <c r="E1278" i="6"/>
  <c r="E1056" i="6"/>
  <c r="C716" i="6"/>
  <c r="D848" i="6"/>
  <c r="E348" i="6"/>
  <c r="D161" i="6"/>
  <c r="C683" i="6"/>
  <c r="I1066" i="6"/>
  <c r="D455" i="6"/>
  <c r="F1068" i="6"/>
  <c r="C467" i="6"/>
  <c r="I523" i="6"/>
  <c r="I614" i="6"/>
  <c r="D775" i="6"/>
  <c r="E218" i="6"/>
  <c r="C1089" i="6"/>
  <c r="C575" i="6"/>
  <c r="J1351" i="6"/>
  <c r="E1096" i="6"/>
  <c r="F1047" i="6"/>
  <c r="C740" i="6"/>
  <c r="C1218" i="6"/>
  <c r="J1202" i="6"/>
  <c r="J898" i="6"/>
  <c r="I420" i="6"/>
  <c r="C548" i="6"/>
  <c r="I864" i="6"/>
  <c r="I356" i="6"/>
  <c r="C712" i="6"/>
  <c r="I926" i="6"/>
  <c r="I1105" i="6"/>
  <c r="C615" i="6"/>
  <c r="E469" i="6"/>
  <c r="D10" i="6"/>
  <c r="C1283" i="6"/>
  <c r="I1223" i="6"/>
  <c r="F844" i="6"/>
  <c r="D122" i="6"/>
  <c r="C626" i="6"/>
  <c r="F501" i="6"/>
  <c r="I1272" i="6"/>
  <c r="I191" i="6"/>
  <c r="F1114" i="6"/>
  <c r="E777" i="6"/>
  <c r="D928" i="6"/>
  <c r="I211" i="6"/>
  <c r="C1166" i="6"/>
  <c r="C6" i="6"/>
  <c r="F638" i="6"/>
  <c r="F1265" i="6"/>
  <c r="E478" i="6"/>
  <c r="J800" i="6"/>
  <c r="E213" i="6"/>
  <c r="C680" i="6"/>
  <c r="I192" i="6"/>
  <c r="F282" i="6"/>
  <c r="C591" i="6"/>
  <c r="F434" i="6"/>
  <c r="C66" i="6"/>
  <c r="I1237" i="6"/>
  <c r="F720" i="6"/>
  <c r="I1355" i="6"/>
  <c r="F533" i="6"/>
  <c r="C306" i="6"/>
  <c r="D1088" i="6"/>
  <c r="I1143" i="6"/>
  <c r="F1184" i="6"/>
  <c r="D375" i="6"/>
  <c r="D888" i="6"/>
  <c r="C896" i="6"/>
  <c r="F692" i="6"/>
  <c r="I812" i="6"/>
  <c r="C189" i="6"/>
  <c r="J533" i="6"/>
  <c r="C302" i="6"/>
  <c r="J1231" i="6"/>
  <c r="C401" i="6"/>
  <c r="E1326" i="6"/>
  <c r="I299" i="6"/>
  <c r="C508" i="6"/>
  <c r="J467" i="6"/>
  <c r="J188" i="6"/>
  <c r="D422" i="6"/>
  <c r="C473" i="6"/>
  <c r="J1197" i="6"/>
  <c r="D410" i="6"/>
  <c r="I508" i="6"/>
  <c r="E1231" i="6"/>
  <c r="C1225" i="6"/>
  <c r="D1352" i="6"/>
  <c r="E788" i="6"/>
  <c r="I1097" i="6"/>
  <c r="I650" i="6"/>
  <c r="E1337" i="6"/>
  <c r="F409" i="6"/>
  <c r="E1277" i="6"/>
  <c r="C1101" i="6"/>
  <c r="J209" i="6"/>
  <c r="F46" i="6"/>
  <c r="E500" i="6"/>
  <c r="E29" i="6"/>
  <c r="I225" i="6"/>
  <c r="I1202" i="6"/>
  <c r="F868" i="6"/>
  <c r="J178" i="6"/>
  <c r="J737" i="6"/>
  <c r="F480" i="6"/>
  <c r="I169" i="6"/>
  <c r="E1246" i="6"/>
  <c r="J331" i="6"/>
  <c r="I1321" i="6"/>
  <c r="D574" i="6"/>
  <c r="F1060" i="6"/>
  <c r="F555" i="6"/>
  <c r="C1176" i="6"/>
  <c r="F1328" i="6"/>
  <c r="C1337" i="6"/>
  <c r="F83" i="6"/>
  <c r="J1074" i="6"/>
  <c r="E16" i="6"/>
  <c r="E1038" i="6"/>
  <c r="I129" i="6"/>
  <c r="F156" i="6"/>
  <c r="J220" i="6"/>
  <c r="J1370" i="6"/>
  <c r="E713" i="6"/>
  <c r="I891" i="6"/>
  <c r="C323" i="6"/>
  <c r="C219" i="6"/>
  <c r="C366" i="6"/>
  <c r="J701" i="6"/>
  <c r="E445" i="6"/>
  <c r="C767" i="6"/>
  <c r="C461" i="6"/>
  <c r="D696" i="6"/>
  <c r="C109" i="6"/>
  <c r="D944" i="6"/>
  <c r="F499" i="6"/>
  <c r="E601" i="6"/>
  <c r="E1190" i="6"/>
  <c r="I701" i="6"/>
  <c r="C494" i="6"/>
  <c r="E1141" i="6"/>
  <c r="D1255" i="6"/>
  <c r="F1217" i="6"/>
  <c r="C258" i="6"/>
  <c r="F879" i="6"/>
  <c r="J1187" i="6"/>
  <c r="J717" i="6"/>
  <c r="F803" i="6"/>
  <c r="J995" i="6"/>
  <c r="J1321" i="6"/>
  <c r="J1305" i="6"/>
  <c r="J885" i="6"/>
  <c r="J348" i="6"/>
  <c r="J729" i="6"/>
  <c r="J336" i="6"/>
  <c r="F1135" i="6"/>
  <c r="I542" i="6"/>
  <c r="I995" i="6"/>
  <c r="I972" i="6"/>
  <c r="E250" i="6"/>
  <c r="E1067" i="6"/>
  <c r="I603" i="6"/>
  <c r="I993" i="6"/>
  <c r="E168" i="6"/>
  <c r="E134" i="6"/>
  <c r="I115" i="6"/>
  <c r="J420" i="6"/>
  <c r="D15" i="6"/>
  <c r="J1091" i="6"/>
  <c r="D356" i="6"/>
  <c r="J1237" i="6"/>
  <c r="D1055" i="6"/>
  <c r="J459" i="6"/>
  <c r="C563" i="6"/>
  <c r="J1366" i="6"/>
  <c r="F63" i="6"/>
  <c r="I218" i="6"/>
  <c r="D1355" i="6"/>
  <c r="D1292" i="6"/>
  <c r="D130" i="6"/>
  <c r="J869" i="6"/>
  <c r="J768" i="6"/>
  <c r="F546" i="6"/>
  <c r="F996" i="6"/>
  <c r="E1249" i="6"/>
  <c r="I920" i="6"/>
  <c r="E1132" i="6"/>
  <c r="C215" i="6"/>
  <c r="I147" i="6"/>
  <c r="I1002" i="6"/>
  <c r="E663" i="6"/>
  <c r="E651" i="6"/>
  <c r="E210" i="6"/>
  <c r="D105" i="6"/>
  <c r="C1240" i="6"/>
  <c r="C358" i="6"/>
  <c r="D834" i="6"/>
  <c r="E1331" i="6"/>
  <c r="J715" i="6"/>
  <c r="I568" i="6"/>
  <c r="D409" i="6"/>
  <c r="D987" i="6"/>
  <c r="C133" i="6"/>
  <c r="I559" i="6"/>
  <c r="C209" i="6"/>
  <c r="F1258" i="6"/>
  <c r="J367" i="6"/>
  <c r="D794" i="6"/>
  <c r="J307" i="6"/>
  <c r="I1007" i="6"/>
  <c r="D83" i="6"/>
  <c r="C1323" i="6"/>
  <c r="F78" i="6"/>
  <c r="I202" i="6"/>
  <c r="E1339" i="6"/>
  <c r="J1004" i="6"/>
  <c r="C1199" i="6"/>
  <c r="D537" i="6"/>
  <c r="C1238" i="6"/>
  <c r="C592" i="6"/>
  <c r="J151" i="6"/>
  <c r="J719" i="6"/>
  <c r="F673" i="6"/>
  <c r="J168" i="6"/>
  <c r="J251" i="6"/>
  <c r="I831" i="6"/>
  <c r="I967" i="6"/>
  <c r="E530" i="6"/>
  <c r="D1194" i="6"/>
  <c r="D461" i="6"/>
  <c r="C1012" i="6"/>
  <c r="J769" i="6"/>
  <c r="I252" i="6"/>
  <c r="F451" i="6"/>
  <c r="I1150" i="6"/>
  <c r="C843" i="6"/>
  <c r="J274" i="6"/>
  <c r="J50" i="6"/>
  <c r="C761" i="6"/>
  <c r="F428" i="6"/>
  <c r="D1165" i="6"/>
  <c r="F54" i="6"/>
  <c r="E695" i="6"/>
  <c r="I899" i="6"/>
  <c r="E996" i="6"/>
  <c r="D396" i="6"/>
  <c r="F237" i="6"/>
  <c r="I1231" i="6"/>
  <c r="E1161" i="6"/>
  <c r="D830" i="6"/>
  <c r="F1010" i="6"/>
  <c r="J933" i="6"/>
  <c r="C1361" i="6"/>
  <c r="J1164" i="6"/>
  <c r="E327" i="6"/>
  <c r="D315" i="6"/>
  <c r="E201" i="6"/>
  <c r="C351" i="6"/>
  <c r="C1075" i="6"/>
  <c r="D1030" i="6"/>
  <c r="F813" i="6"/>
  <c r="D1207" i="6"/>
  <c r="F465" i="6"/>
  <c r="J458" i="6"/>
  <c r="E88" i="6"/>
  <c r="E507" i="6"/>
  <c r="E1040" i="6"/>
  <c r="J1373" i="6"/>
  <c r="J319" i="6"/>
  <c r="D354" i="6"/>
  <c r="I592" i="6"/>
  <c r="E664" i="6"/>
  <c r="E811" i="6"/>
  <c r="I675" i="6"/>
  <c r="E1119" i="6"/>
  <c r="E1140" i="6"/>
  <c r="I1254" i="6"/>
  <c r="E53" i="6"/>
  <c r="I263" i="6"/>
  <c r="I511" i="6"/>
  <c r="J645" i="6"/>
  <c r="I265" i="6"/>
  <c r="F556" i="6"/>
  <c r="J1291" i="6"/>
  <c r="D104" i="6"/>
  <c r="J826" i="6"/>
  <c r="F1139" i="6"/>
  <c r="D1231" i="6"/>
  <c r="D407" i="6"/>
  <c r="C655" i="6"/>
  <c r="I140" i="6"/>
  <c r="C881" i="6"/>
  <c r="I1065" i="6"/>
  <c r="C1169" i="6"/>
  <c r="D1316" i="6"/>
  <c r="C405" i="6"/>
  <c r="F130" i="6"/>
  <c r="J280" i="6"/>
  <c r="J672" i="6"/>
  <c r="F1132" i="6"/>
  <c r="J1185" i="6"/>
  <c r="E155" i="6"/>
  <c r="E557" i="6"/>
  <c r="E538" i="6"/>
  <c r="J547" i="6"/>
  <c r="D590" i="6"/>
  <c r="E699" i="6"/>
  <c r="E402" i="6"/>
  <c r="E443" i="6"/>
  <c r="I158" i="6"/>
  <c r="I69" i="6"/>
  <c r="I600" i="6"/>
  <c r="I1072" i="6"/>
  <c r="F614" i="6"/>
  <c r="F1189" i="6"/>
  <c r="C799" i="6"/>
  <c r="I1236" i="6"/>
  <c r="J32" i="6"/>
  <c r="C13" i="6"/>
  <c r="C951" i="6"/>
  <c r="E1272" i="6"/>
  <c r="D1336" i="6"/>
  <c r="I1342" i="6"/>
  <c r="D1223" i="6"/>
  <c r="C1143" i="6"/>
  <c r="F1055" i="6"/>
  <c r="F758" i="6"/>
  <c r="J298" i="6"/>
  <c r="I452" i="6"/>
  <c r="C490" i="6"/>
  <c r="C1122" i="6"/>
  <c r="J143" i="6"/>
  <c r="I458" i="6"/>
  <c r="D408" i="6"/>
  <c r="C769" i="6"/>
  <c r="C776" i="6"/>
  <c r="J802" i="6"/>
  <c r="C637" i="6"/>
  <c r="F153" i="6"/>
  <c r="F991" i="6"/>
  <c r="F476" i="6"/>
  <c r="F675" i="6"/>
  <c r="J1023" i="6"/>
  <c r="F497" i="6"/>
  <c r="F506" i="6"/>
  <c r="E620" i="6"/>
  <c r="I909" i="6"/>
  <c r="E1013" i="6"/>
  <c r="D53" i="6"/>
  <c r="F190" i="6"/>
  <c r="F1157" i="6"/>
  <c r="F1222" i="6"/>
  <c r="F189" i="6"/>
  <c r="D766" i="6"/>
  <c r="F79" i="6"/>
  <c r="C84" i="6"/>
  <c r="C1352" i="6"/>
  <c r="F779" i="6"/>
  <c r="C756" i="6"/>
  <c r="I1216" i="6"/>
  <c r="J907" i="6"/>
  <c r="F926" i="6"/>
  <c r="J848" i="6"/>
  <c r="J372" i="6"/>
  <c r="I841" i="6"/>
  <c r="E692" i="6"/>
  <c r="D162" i="6"/>
  <c r="E126" i="6"/>
  <c r="E156" i="6"/>
  <c r="F121" i="6"/>
  <c r="D1026" i="6"/>
  <c r="D781" i="6"/>
  <c r="C389" i="6"/>
  <c r="J583" i="6"/>
  <c r="D1073" i="6"/>
  <c r="F582" i="6"/>
  <c r="J134" i="6"/>
  <c r="D234" i="6"/>
  <c r="J1289" i="6"/>
  <c r="F498" i="6"/>
  <c r="F948" i="6"/>
  <c r="F666" i="6"/>
  <c r="F848" i="6"/>
  <c r="J784" i="6"/>
  <c r="J1156" i="6"/>
  <c r="J832" i="6"/>
  <c r="J431" i="6"/>
  <c r="I783" i="6"/>
  <c r="I954" i="6"/>
  <c r="E300" i="6"/>
  <c r="C1287" i="6"/>
  <c r="F168" i="6"/>
  <c r="J954" i="6"/>
  <c r="J751" i="6"/>
  <c r="I543" i="6"/>
  <c r="E590" i="6"/>
  <c r="E1072" i="6"/>
  <c r="D581" i="6"/>
  <c r="J1307" i="6"/>
  <c r="F1171" i="6"/>
  <c r="F1236" i="6"/>
  <c r="J809" i="6"/>
  <c r="I317" i="6"/>
  <c r="E1021" i="6"/>
  <c r="I429" i="6"/>
  <c r="I772" i="6"/>
  <c r="E922" i="6"/>
  <c r="D219" i="6"/>
  <c r="I1131" i="6"/>
  <c r="I1295" i="6"/>
  <c r="D286" i="6"/>
  <c r="J1347" i="6"/>
  <c r="J470" i="6"/>
  <c r="E732" i="6"/>
  <c r="J959" i="6"/>
  <c r="J1041" i="6"/>
  <c r="F807" i="6"/>
  <c r="I699" i="6"/>
  <c r="C251" i="6"/>
  <c r="D989" i="6"/>
  <c r="D1271" i="6"/>
  <c r="F27" i="6"/>
  <c r="C656" i="6"/>
  <c r="F541" i="6"/>
  <c r="C1298" i="6"/>
  <c r="D144" i="6"/>
  <c r="C1172" i="6"/>
  <c r="F315" i="6"/>
  <c r="I1332" i="6"/>
  <c r="J172" i="6"/>
  <c r="F101" i="6"/>
  <c r="E374" i="6"/>
  <c r="I861" i="6"/>
  <c r="F184" i="6"/>
  <c r="E1356" i="6"/>
  <c r="E424" i="6"/>
  <c r="E212" i="6"/>
  <c r="E268" i="6"/>
  <c r="I537" i="6"/>
  <c r="D465" i="6"/>
  <c r="J1308" i="6"/>
  <c r="F672" i="6"/>
  <c r="I1359" i="6"/>
  <c r="F535" i="6"/>
  <c r="E1265" i="6"/>
  <c r="D675" i="6"/>
  <c r="I406" i="6"/>
  <c r="D1349" i="6"/>
  <c r="C598" i="6"/>
  <c r="C1160" i="6"/>
  <c r="C820" i="6"/>
  <c r="I492" i="6"/>
  <c r="F1340" i="6"/>
  <c r="F399" i="6"/>
  <c r="E465" i="6"/>
  <c r="I1290" i="6"/>
  <c r="D853" i="6"/>
  <c r="D645" i="6"/>
  <c r="F28" i="6"/>
  <c r="C1303" i="6"/>
  <c r="J316" i="6"/>
  <c r="C809" i="6"/>
  <c r="J663" i="6"/>
  <c r="F1223" i="6"/>
  <c r="F1158" i="6"/>
  <c r="J541" i="6"/>
  <c r="F1355" i="6"/>
  <c r="C610" i="6"/>
  <c r="I934" i="6"/>
  <c r="E873" i="6"/>
  <c r="E1107" i="6"/>
  <c r="F87" i="6"/>
  <c r="D1109" i="6"/>
  <c r="J129" i="6"/>
  <c r="D1300" i="6"/>
  <c r="F733" i="6"/>
  <c r="F442" i="6"/>
  <c r="F1033" i="6"/>
  <c r="C18" i="6"/>
  <c r="E219" i="6"/>
  <c r="E752" i="6"/>
  <c r="E505" i="6"/>
  <c r="D1318" i="6"/>
  <c r="F654" i="6"/>
  <c r="F939" i="6"/>
  <c r="F477" i="6"/>
  <c r="J521" i="6"/>
  <c r="E69" i="6"/>
  <c r="E631" i="6"/>
  <c r="E866" i="6"/>
  <c r="I832" i="6"/>
  <c r="D534" i="6"/>
  <c r="D255" i="6"/>
  <c r="I374" i="6"/>
  <c r="D713" i="6"/>
  <c r="C303" i="6"/>
  <c r="F85" i="6"/>
  <c r="C1034" i="6"/>
  <c r="E103" i="6"/>
  <c r="I1348" i="6"/>
  <c r="D823" i="6"/>
  <c r="J82" i="6"/>
  <c r="I522" i="6"/>
  <c r="C434" i="6"/>
  <c r="C1366" i="6"/>
  <c r="C1151" i="6"/>
  <c r="D34" i="6"/>
  <c r="D1090" i="6"/>
  <c r="F453" i="6"/>
  <c r="J341" i="6"/>
  <c r="D312" i="6"/>
  <c r="J542" i="6"/>
  <c r="J582" i="6"/>
  <c r="J373" i="6"/>
  <c r="J1295" i="6"/>
  <c r="F1292" i="6"/>
  <c r="E109" i="6"/>
  <c r="E891" i="6"/>
  <c r="E991" i="6"/>
  <c r="I573" i="6"/>
  <c r="E75" i="6"/>
  <c r="C1220" i="6"/>
  <c r="D999" i="6"/>
  <c r="I575" i="6"/>
  <c r="F1285" i="6"/>
  <c r="I376" i="6"/>
  <c r="F1018" i="6"/>
  <c r="D203" i="6"/>
  <c r="D25" i="6"/>
  <c r="C173" i="6"/>
  <c r="C135" i="6"/>
  <c r="I150" i="6"/>
  <c r="C910" i="6"/>
  <c r="C75" i="6"/>
  <c r="C788" i="6"/>
  <c r="I1281" i="6"/>
  <c r="I364" i="6"/>
  <c r="C571" i="6"/>
  <c r="J87" i="6"/>
  <c r="I1073" i="6"/>
  <c r="C492" i="6"/>
  <c r="J815" i="6"/>
  <c r="C921" i="6"/>
  <c r="I1330" i="6"/>
  <c r="D1320" i="6"/>
  <c r="F111" i="6"/>
  <c r="F38" i="6"/>
  <c r="J917" i="6"/>
  <c r="F819" i="6"/>
  <c r="F765" i="6"/>
  <c r="F1102" i="6"/>
  <c r="F187" i="6"/>
  <c r="E450" i="6"/>
  <c r="E591" i="6"/>
  <c r="I1001" i="6"/>
  <c r="E984" i="6"/>
  <c r="J155" i="6"/>
  <c r="J67" i="6"/>
  <c r="F486" i="6"/>
  <c r="J1290" i="6"/>
  <c r="F372" i="6"/>
  <c r="E1259" i="6"/>
  <c r="J1116" i="6"/>
  <c r="E26" i="6"/>
  <c r="E865" i="6"/>
  <c r="E834" i="6"/>
  <c r="E947" i="6"/>
  <c r="F403" i="6"/>
  <c r="C1284" i="6"/>
  <c r="E175" i="6"/>
  <c r="C177" i="6"/>
  <c r="D938" i="6"/>
  <c r="J633" i="6"/>
  <c r="I378" i="6"/>
  <c r="D69" i="6"/>
  <c r="J415" i="6"/>
  <c r="J1221" i="6"/>
  <c r="D378" i="6"/>
  <c r="D945" i="6"/>
  <c r="F1257" i="6"/>
  <c r="F291" i="6"/>
  <c r="D869" i="6"/>
  <c r="F842" i="6"/>
  <c r="J572" i="6"/>
  <c r="J1042" i="6"/>
  <c r="C1083" i="6"/>
  <c r="D773" i="6"/>
  <c r="E632" i="6"/>
  <c r="E563" i="6"/>
  <c r="E982" i="6"/>
  <c r="I741" i="6"/>
  <c r="E767" i="6"/>
  <c r="E1280" i="6"/>
  <c r="C150" i="6"/>
  <c r="E1170" i="6"/>
  <c r="J69" i="6"/>
  <c r="I153" i="6"/>
  <c r="C200" i="6"/>
  <c r="C1164" i="6"/>
  <c r="E1361" i="6"/>
  <c r="C201" i="6"/>
  <c r="J987" i="6"/>
  <c r="F180" i="6"/>
  <c r="I1365" i="6"/>
  <c r="D643" i="6"/>
  <c r="F474" i="6"/>
  <c r="F473" i="6"/>
  <c r="I300" i="6"/>
  <c r="D426" i="6"/>
  <c r="J1076" i="6"/>
  <c r="I1118" i="6"/>
  <c r="C30" i="6"/>
  <c r="J83" i="6"/>
  <c r="C1044" i="6"/>
  <c r="C100" i="6"/>
  <c r="C421" i="6"/>
  <c r="D793" i="6"/>
  <c r="J611" i="6"/>
  <c r="J1068" i="6"/>
  <c r="F280" i="6"/>
  <c r="F229" i="6"/>
  <c r="J700" i="6"/>
  <c r="I1259" i="6"/>
  <c r="F804" i="6"/>
  <c r="E846" i="6"/>
  <c r="E739" i="6"/>
  <c r="E459" i="6"/>
  <c r="J19" i="6"/>
  <c r="F1333" i="6"/>
  <c r="F1362" i="6"/>
  <c r="F127" i="6"/>
  <c r="J1024" i="6"/>
  <c r="I1316" i="6"/>
  <c r="F269" i="6"/>
  <c r="I787" i="6"/>
  <c r="I945" i="6"/>
  <c r="E879" i="6"/>
  <c r="E685" i="6"/>
  <c r="J998" i="6"/>
  <c r="J116" i="6"/>
  <c r="J841" i="6"/>
  <c r="J603" i="6"/>
  <c r="F752" i="6"/>
  <c r="E184" i="6"/>
  <c r="E945" i="6"/>
  <c r="I1081" i="6"/>
  <c r="I901" i="6"/>
  <c r="D1141" i="6"/>
  <c r="C993" i="6"/>
  <c r="F379" i="6"/>
  <c r="J472" i="6"/>
  <c r="C278" i="6"/>
  <c r="J1188" i="6"/>
  <c r="D762" i="6"/>
  <c r="I711" i="6"/>
  <c r="E1250" i="6"/>
  <c r="D776" i="6"/>
  <c r="J757" i="6"/>
  <c r="I1193" i="6"/>
  <c r="D1281" i="6"/>
  <c r="F11" i="6"/>
  <c r="J195" i="6"/>
  <c r="C80" i="6"/>
  <c r="J505" i="6"/>
  <c r="C647" i="6"/>
  <c r="J600" i="6"/>
  <c r="C726" i="6"/>
  <c r="F876" i="6"/>
  <c r="J445" i="6"/>
  <c r="F163" i="6"/>
  <c r="F631" i="6"/>
  <c r="C1202" i="6"/>
  <c r="I923" i="6"/>
  <c r="E237" i="6"/>
  <c r="I570" i="6"/>
  <c r="I1070" i="6"/>
  <c r="E537" i="6"/>
  <c r="I243" i="6"/>
  <c r="I469" i="6"/>
  <c r="D618" i="6"/>
  <c r="I776" i="6"/>
  <c r="C88" i="6"/>
  <c r="D202" i="6"/>
  <c r="D253" i="6"/>
  <c r="D85" i="6"/>
  <c r="I1264" i="6"/>
  <c r="C1246" i="6"/>
  <c r="D86" i="6"/>
  <c r="J62" i="6"/>
  <c r="D1348" i="6"/>
  <c r="C661" i="6"/>
  <c r="D334" i="6"/>
  <c r="I108" i="6"/>
  <c r="C404" i="6"/>
  <c r="F816" i="6"/>
  <c r="I482" i="6"/>
  <c r="D702" i="6"/>
  <c r="J308" i="6"/>
  <c r="J635" i="6"/>
  <c r="D536" i="6"/>
  <c r="J1122" i="6"/>
  <c r="D566" i="6"/>
  <c r="J763" i="6"/>
  <c r="C689" i="6"/>
  <c r="J1277" i="6"/>
  <c r="F1212" i="6"/>
  <c r="F373" i="6"/>
  <c r="I1350" i="6"/>
  <c r="E574" i="6"/>
  <c r="I948" i="6"/>
  <c r="I874" i="6"/>
  <c r="E921" i="6"/>
  <c r="F218" i="6"/>
  <c r="J919" i="6"/>
  <c r="C822" i="6"/>
  <c r="F1251" i="6"/>
  <c r="J375" i="6"/>
  <c r="F695" i="6"/>
  <c r="E800" i="6"/>
  <c r="E556" i="6"/>
  <c r="E688" i="6"/>
  <c r="E512" i="6"/>
  <c r="I963" i="6"/>
  <c r="J1294" i="6"/>
  <c r="D1365" i="6"/>
  <c r="J1109" i="6"/>
  <c r="F1323" i="6"/>
  <c r="F1203" i="6"/>
  <c r="E755" i="6"/>
  <c r="I947" i="6"/>
  <c r="E1077" i="6"/>
  <c r="E904" i="6"/>
  <c r="F865" i="6"/>
  <c r="F1250" i="6"/>
  <c r="I1372" i="6"/>
  <c r="D1004" i="6"/>
  <c r="D320" i="6"/>
  <c r="D1142" i="6"/>
  <c r="D462" i="6"/>
  <c r="I1087" i="6"/>
  <c r="C182" i="6"/>
  <c r="J761" i="6"/>
  <c r="J765" i="6"/>
  <c r="J1254" i="6"/>
  <c r="C382" i="6"/>
  <c r="J1186" i="6"/>
  <c r="C1018" i="6"/>
  <c r="D278" i="6"/>
  <c r="C977" i="6"/>
  <c r="F899" i="6"/>
  <c r="C1114" i="6"/>
  <c r="D857" i="6"/>
  <c r="F735" i="6"/>
  <c r="J766" i="6"/>
  <c r="J65" i="6"/>
  <c r="J141" i="6"/>
  <c r="I673" i="6"/>
  <c r="E835" i="6"/>
  <c r="E965" i="6"/>
  <c r="E813" i="6"/>
  <c r="E468" i="6"/>
  <c r="E509" i="6"/>
  <c r="I423" i="6"/>
  <c r="I668" i="6"/>
  <c r="E1248" i="6"/>
  <c r="I681" i="6"/>
  <c r="D623" i="6"/>
  <c r="D300" i="6"/>
  <c r="C996" i="6"/>
  <c r="F1138" i="6"/>
  <c r="F505" i="6"/>
  <c r="J484" i="6"/>
  <c r="D712" i="6"/>
  <c r="F1096" i="6"/>
  <c r="J451" i="6"/>
  <c r="D909" i="6"/>
  <c r="J1338" i="6"/>
  <c r="J286" i="6"/>
  <c r="C1047" i="6"/>
  <c r="J378" i="6"/>
  <c r="I226" i="6"/>
  <c r="C667" i="6"/>
  <c r="F277" i="6"/>
  <c r="F61" i="6"/>
  <c r="D342" i="6"/>
  <c r="J114" i="6"/>
  <c r="D1263" i="6"/>
  <c r="F1318" i="6"/>
  <c r="F481" i="6"/>
  <c r="J26" i="6"/>
  <c r="J231" i="6"/>
  <c r="I1293" i="6"/>
  <c r="F51" i="6"/>
  <c r="I1062" i="6"/>
  <c r="E606" i="6"/>
  <c r="I940" i="6"/>
  <c r="E975" i="6"/>
  <c r="F284" i="6"/>
  <c r="J45" i="6"/>
  <c r="J94" i="6"/>
  <c r="F326" i="6"/>
  <c r="J704" i="6"/>
  <c r="F795" i="6"/>
  <c r="C40" i="6"/>
  <c r="I717" i="6"/>
  <c r="I760" i="6"/>
  <c r="E660" i="6"/>
  <c r="E845" i="6"/>
  <c r="J1354" i="6"/>
  <c r="I1061" i="6"/>
  <c r="I1322" i="6"/>
  <c r="F1179" i="6"/>
  <c r="C520" i="6"/>
  <c r="C1077" i="6"/>
  <c r="C1157" i="6"/>
  <c r="C386" i="6"/>
  <c r="D252" i="6"/>
  <c r="D723" i="6"/>
  <c r="F123" i="6"/>
  <c r="J1227" i="6"/>
  <c r="F704" i="6"/>
  <c r="E341" i="6"/>
  <c r="E1084" i="6"/>
  <c r="I956" i="6"/>
  <c r="E1131" i="6"/>
  <c r="E490" i="6"/>
  <c r="I1120" i="6"/>
  <c r="D215" i="6"/>
  <c r="C711" i="6"/>
  <c r="E771" i="6"/>
  <c r="I687" i="6"/>
  <c r="I671" i="6"/>
  <c r="I337" i="6"/>
  <c r="I1069" i="6"/>
  <c r="J1021" i="6"/>
  <c r="J1110" i="6"/>
  <c r="F1350" i="6"/>
  <c r="J1049" i="6"/>
  <c r="C984" i="6"/>
  <c r="D195" i="6"/>
  <c r="J1120" i="6"/>
  <c r="F235" i="6"/>
  <c r="C333" i="6"/>
  <c r="J508" i="6"/>
  <c r="D770" i="6"/>
  <c r="J1118" i="6"/>
  <c r="D406" i="6"/>
  <c r="F839" i="6"/>
  <c r="J1193" i="6"/>
  <c r="J903" i="6"/>
  <c r="I777" i="6"/>
  <c r="D174" i="6"/>
  <c r="D405" i="6"/>
  <c r="J605" i="6"/>
  <c r="E329" i="6"/>
  <c r="C95" i="6"/>
  <c r="C213" i="6"/>
  <c r="F272" i="6"/>
  <c r="C1031" i="6"/>
  <c r="F1170" i="6"/>
  <c r="D1056" i="6"/>
  <c r="D1222" i="6"/>
  <c r="C1295" i="6"/>
  <c r="J525" i="6"/>
  <c r="F289" i="6"/>
  <c r="J796" i="6"/>
  <c r="J425" i="6"/>
  <c r="F358" i="6"/>
  <c r="I1297" i="6"/>
  <c r="J1341" i="6"/>
  <c r="D1220" i="6"/>
  <c r="E1078" i="6"/>
  <c r="E654" i="6"/>
  <c r="E967" i="6"/>
  <c r="C1292" i="6"/>
  <c r="E1354" i="6"/>
  <c r="I571" i="6"/>
  <c r="D213" i="6"/>
  <c r="J1363" i="6"/>
  <c r="F1238" i="6"/>
  <c r="F347" i="6"/>
  <c r="J1171" i="6"/>
  <c r="I396" i="6"/>
  <c r="C336" i="6"/>
  <c r="J895" i="6"/>
  <c r="J780" i="6"/>
  <c r="I154" i="6"/>
  <c r="D520" i="6"/>
  <c r="J1102" i="6"/>
  <c r="F772" i="6"/>
  <c r="J285" i="6"/>
  <c r="D1212" i="6"/>
  <c r="J330" i="6"/>
  <c r="D292" i="6"/>
  <c r="C1217" i="6"/>
  <c r="D1181" i="6"/>
  <c r="F1042" i="6"/>
  <c r="J931" i="6"/>
  <c r="F47" i="6"/>
  <c r="J1001" i="6"/>
  <c r="E451" i="6"/>
  <c r="I997" i="6"/>
  <c r="E1098" i="6"/>
  <c r="E823" i="6"/>
  <c r="D1060" i="6"/>
  <c r="I1067" i="6"/>
  <c r="I1107" i="6"/>
  <c r="E104" i="6"/>
  <c r="E70" i="6"/>
  <c r="I311" i="6"/>
  <c r="I1307" i="6"/>
  <c r="C889" i="6"/>
  <c r="C569" i="6"/>
  <c r="D927" i="6"/>
  <c r="D95" i="6"/>
  <c r="D632" i="6"/>
  <c r="E1289" i="6"/>
  <c r="I235" i="6"/>
  <c r="C1129" i="6"/>
  <c r="D1106" i="6"/>
  <c r="J639" i="6"/>
  <c r="C1310" i="6"/>
  <c r="I676" i="6"/>
  <c r="E1274" i="6"/>
  <c r="J466" i="6"/>
  <c r="J118" i="6"/>
  <c r="I162" i="6"/>
  <c r="D125" i="6"/>
  <c r="J740" i="6"/>
  <c r="C752" i="6"/>
  <c r="F928" i="6"/>
  <c r="C1297" i="6"/>
  <c r="J448" i="6"/>
  <c r="J684" i="6"/>
  <c r="C1091" i="6"/>
  <c r="J158" i="6"/>
  <c r="D749" i="6"/>
  <c r="J173" i="6"/>
  <c r="J625" i="6"/>
  <c r="F186" i="6"/>
  <c r="E352" i="6"/>
  <c r="I828" i="6"/>
  <c r="E864" i="6"/>
  <c r="I876" i="6"/>
  <c r="J1017" i="6"/>
  <c r="F832" i="6"/>
  <c r="F1116" i="6"/>
  <c r="J897" i="6"/>
  <c r="J1134" i="6"/>
  <c r="J359" i="6"/>
  <c r="J1129" i="6"/>
  <c r="E472" i="6"/>
  <c r="I869" i="6"/>
  <c r="E829" i="6"/>
  <c r="E791" i="6"/>
  <c r="E969" i="6"/>
  <c r="C1109" i="6"/>
  <c r="J778" i="6"/>
  <c r="D1203" i="6"/>
  <c r="F801" i="6"/>
  <c r="F1320" i="6"/>
  <c r="F188" i="6"/>
  <c r="E504" i="6"/>
  <c r="E1120" i="6"/>
  <c r="I385" i="6"/>
  <c r="E1036" i="6"/>
  <c r="C1296" i="6"/>
  <c r="D1358" i="6"/>
  <c r="I468" i="6"/>
  <c r="C117" i="6"/>
  <c r="F137" i="6"/>
  <c r="E193" i="6"/>
  <c r="F1372" i="6"/>
  <c r="D228" i="6"/>
  <c r="D511" i="6"/>
  <c r="J640" i="6"/>
  <c r="C49" i="6"/>
  <c r="C1189" i="6"/>
  <c r="C697" i="6"/>
  <c r="J239" i="6"/>
  <c r="F437" i="6"/>
  <c r="F810" i="6"/>
  <c r="F36" i="6"/>
  <c r="J1332" i="6"/>
  <c r="J488" i="6"/>
  <c r="E387" i="6"/>
  <c r="E1075" i="6"/>
  <c r="E960" i="6"/>
  <c r="E901" i="6"/>
  <c r="E204" i="6"/>
  <c r="D1250" i="6"/>
  <c r="I609" i="6"/>
  <c r="I786" i="6"/>
  <c r="D383" i="6"/>
  <c r="I280" i="6"/>
  <c r="C261" i="6"/>
  <c r="D485" i="6"/>
  <c r="C1347" i="6"/>
  <c r="C1299" i="6"/>
  <c r="J1229" i="6"/>
  <c r="D729" i="6"/>
  <c r="D549" i="6"/>
  <c r="J136" i="6"/>
  <c r="J957" i="6"/>
  <c r="J296" i="6"/>
  <c r="F1297" i="6"/>
  <c r="I1245" i="6"/>
  <c r="C846" i="6"/>
  <c r="F227" i="6"/>
  <c r="I418" i="6"/>
  <c r="D604" i="6"/>
  <c r="F385" i="6"/>
  <c r="D965" i="6"/>
  <c r="D580" i="6"/>
  <c r="C920" i="6"/>
  <c r="D1215" i="6"/>
  <c r="J10" i="6"/>
  <c r="J555" i="6"/>
  <c r="J25" i="6"/>
  <c r="J1329" i="6"/>
  <c r="F439" i="6"/>
  <c r="J1066" i="6"/>
  <c r="E301" i="6"/>
  <c r="E860" i="6"/>
  <c r="E931" i="6"/>
  <c r="E1151" i="6"/>
  <c r="J464" i="6"/>
  <c r="J1179" i="6"/>
  <c r="J465" i="6"/>
  <c r="J992" i="6"/>
  <c r="F1076" i="6"/>
  <c r="F896" i="6"/>
  <c r="F119" i="6"/>
  <c r="C97" i="6"/>
  <c r="E964" i="6"/>
  <c r="I998" i="6"/>
  <c r="E1042" i="6"/>
  <c r="D1025" i="6"/>
  <c r="C214" i="6"/>
  <c r="D757" i="6"/>
  <c r="C943" i="6"/>
  <c r="I708" i="6"/>
  <c r="E1218" i="6"/>
  <c r="D1103" i="6"/>
  <c r="E707" i="6"/>
  <c r="I1210" i="6"/>
  <c r="C313" i="6"/>
  <c r="F106" i="6"/>
  <c r="D1183" i="6"/>
  <c r="D1214" i="6"/>
  <c r="C786" i="6"/>
  <c r="D1115" i="6"/>
  <c r="F808" i="6"/>
  <c r="C917" i="6"/>
  <c r="F764" i="6"/>
  <c r="J1326" i="6"/>
  <c r="F448" i="6"/>
  <c r="J1282" i="6"/>
  <c r="F1268" i="6"/>
  <c r="E405" i="6"/>
  <c r="E133" i="6"/>
  <c r="E684" i="6"/>
  <c r="I928" i="6"/>
  <c r="F259" i="6"/>
  <c r="C1282" i="6"/>
  <c r="J1320" i="6"/>
  <c r="J711" i="6"/>
  <c r="J153" i="6"/>
  <c r="F711" i="6"/>
  <c r="F1233" i="6"/>
  <c r="E480" i="6"/>
  <c r="I878" i="6"/>
  <c r="I935" i="6"/>
  <c r="E1015" i="6"/>
  <c r="E957" i="6"/>
  <c r="E1230" i="6"/>
  <c r="D764" i="6"/>
  <c r="E1363" i="6"/>
  <c r="E1177" i="6"/>
  <c r="D786" i="6"/>
  <c r="C1187" i="6"/>
  <c r="J511" i="6"/>
  <c r="I541" i="6"/>
  <c r="D515" i="6"/>
  <c r="D1350" i="6"/>
  <c r="F1111" i="6"/>
  <c r="I234" i="6"/>
  <c r="C17" i="6"/>
  <c r="J1339" i="6"/>
  <c r="D1083" i="6"/>
  <c r="J395" i="6"/>
  <c r="D725" i="6"/>
  <c r="F1104" i="6"/>
  <c r="C1203" i="6"/>
  <c r="F1363" i="6"/>
  <c r="F776" i="6"/>
  <c r="F456" i="6"/>
  <c r="J1133" i="6"/>
  <c r="D1136" i="6"/>
  <c r="J302" i="6"/>
  <c r="E132" i="6"/>
  <c r="E627" i="6"/>
  <c r="E1064" i="6"/>
  <c r="E898" i="6"/>
  <c r="I31" i="6"/>
  <c r="I586" i="6"/>
  <c r="E476" i="6"/>
  <c r="E19" i="6"/>
  <c r="C781" i="6"/>
  <c r="I199" i="6"/>
  <c r="J1248" i="6"/>
  <c r="F40" i="6"/>
  <c r="D284" i="6"/>
  <c r="D1135" i="6"/>
  <c r="C440" i="6"/>
  <c r="J235" i="6"/>
  <c r="F517" i="6"/>
  <c r="E1186" i="6"/>
  <c r="D126" i="6"/>
  <c r="I1358" i="6"/>
  <c r="F1029" i="6"/>
  <c r="E1267" i="6"/>
  <c r="E255" i="6"/>
  <c r="J262" i="6"/>
  <c r="C371" i="6"/>
  <c r="F1016" i="6"/>
  <c r="I1103" i="6"/>
  <c r="E1269" i="6"/>
  <c r="J355" i="6"/>
  <c r="J1112" i="6"/>
  <c r="D1276" i="6"/>
  <c r="D50" i="6"/>
  <c r="C766" i="6"/>
  <c r="D499" i="6"/>
  <c r="J107" i="6"/>
  <c r="J320" i="6"/>
  <c r="J1340" i="6"/>
  <c r="F1358" i="6"/>
  <c r="F50" i="6"/>
  <c r="F1186" i="6"/>
  <c r="J219" i="6"/>
  <c r="I231" i="6"/>
  <c r="E731" i="6"/>
  <c r="E1016" i="6"/>
  <c r="I1046" i="6"/>
  <c r="E1033" i="6"/>
  <c r="D736" i="6"/>
  <c r="F1230" i="6"/>
  <c r="J816" i="6"/>
  <c r="J463" i="6"/>
  <c r="F1245" i="6"/>
  <c r="J1002" i="6"/>
  <c r="F510" i="6"/>
  <c r="E187" i="6"/>
  <c r="E251" i="6"/>
  <c r="E621" i="6"/>
  <c r="E638" i="6"/>
  <c r="E850" i="6"/>
  <c r="E1037" i="6"/>
  <c r="F1247" i="6"/>
  <c r="C930" i="6"/>
  <c r="J1114" i="6"/>
  <c r="F154" i="6"/>
  <c r="C1262" i="6"/>
  <c r="J1161" i="6"/>
  <c r="J1056" i="6"/>
  <c r="E110" i="6"/>
  <c r="E1153" i="6"/>
  <c r="E573" i="6"/>
  <c r="E958" i="6"/>
  <c r="J592" i="6"/>
  <c r="C677" i="6"/>
  <c r="I278" i="6"/>
  <c r="D544" i="6"/>
  <c r="D192" i="6"/>
  <c r="J52" i="6"/>
  <c r="C528" i="6"/>
  <c r="C1364" i="6"/>
  <c r="E407" i="6"/>
  <c r="F1301" i="6"/>
  <c r="D840" i="6"/>
  <c r="J1155" i="6"/>
  <c r="E49" i="6"/>
  <c r="I82" i="6"/>
  <c r="D196" i="6"/>
  <c r="J1096" i="6"/>
  <c r="C827" i="6"/>
  <c r="J1083" i="6"/>
  <c r="C432" i="6"/>
  <c r="C1208" i="6"/>
  <c r="F397" i="6"/>
  <c r="J278" i="6"/>
  <c r="J347" i="6"/>
  <c r="C988" i="6"/>
  <c r="J1268" i="6"/>
  <c r="F917" i="6"/>
  <c r="J1241" i="6"/>
  <c r="F396" i="6"/>
  <c r="J1327" i="6"/>
  <c r="E419" i="6"/>
  <c r="E884" i="6"/>
  <c r="E542" i="6"/>
  <c r="I877" i="6"/>
  <c r="E518" i="6"/>
  <c r="E118" i="6"/>
  <c r="E802" i="6"/>
  <c r="E42" i="6"/>
  <c r="E604" i="6"/>
  <c r="E798" i="6"/>
  <c r="J1316" i="6"/>
  <c r="I800" i="6"/>
  <c r="I38" i="6"/>
  <c r="F368" i="6"/>
  <c r="F236" i="6"/>
  <c r="J1104" i="6"/>
  <c r="C746" i="6"/>
  <c r="D741" i="6"/>
  <c r="D444" i="6"/>
  <c r="I695" i="6"/>
  <c r="E1264" i="6"/>
  <c r="J696" i="6"/>
  <c r="D240" i="6"/>
  <c r="D1337" i="6"/>
  <c r="D1197" i="6"/>
  <c r="E63" i="6"/>
  <c r="E1182" i="6"/>
  <c r="D616" i="6"/>
  <c r="J1182" i="6"/>
  <c r="F1085" i="6"/>
  <c r="I354" i="6"/>
  <c r="D469" i="6"/>
  <c r="C487" i="6"/>
  <c r="C709" i="6"/>
  <c r="F417" i="6"/>
  <c r="D545" i="6"/>
  <c r="D1267" i="6"/>
  <c r="F346" i="6"/>
  <c r="F88" i="6"/>
  <c r="F253" i="6"/>
  <c r="C945" i="6"/>
  <c r="J368" i="6"/>
  <c r="I1299" i="6"/>
  <c r="F1149" i="6"/>
  <c r="J289" i="6"/>
  <c r="J385" i="6"/>
  <c r="F596" i="6"/>
  <c r="I986" i="6"/>
  <c r="I820" i="6"/>
  <c r="I163" i="6"/>
  <c r="I851" i="6"/>
  <c r="I971" i="6"/>
  <c r="F881" i="6"/>
  <c r="C768" i="6"/>
  <c r="F17" i="6"/>
  <c r="D1327" i="6"/>
  <c r="J951" i="6"/>
  <c r="J1138" i="6"/>
  <c r="F258" i="6"/>
  <c r="F974" i="6"/>
  <c r="F429" i="6"/>
  <c r="E238" i="6"/>
  <c r="E855" i="6"/>
  <c r="E916" i="6"/>
  <c r="E1128" i="6"/>
  <c r="I990" i="6"/>
  <c r="I980" i="6"/>
  <c r="C408" i="6"/>
  <c r="I728" i="6"/>
  <c r="C542" i="6"/>
  <c r="E1163" i="6"/>
  <c r="C732" i="6"/>
  <c r="C1369" i="6"/>
  <c r="C1260" i="6"/>
  <c r="E79" i="6"/>
  <c r="I36" i="6"/>
  <c r="D959" i="6"/>
  <c r="J1151" i="6"/>
  <c r="E793" i="6"/>
  <c r="E1208" i="6"/>
  <c r="D1066" i="6"/>
  <c r="J1030" i="6"/>
  <c r="J781" i="6"/>
  <c r="J1240" i="6"/>
  <c r="D1131" i="6"/>
  <c r="J394" i="6"/>
  <c r="C1281" i="6"/>
  <c r="D943" i="6"/>
  <c r="J712" i="6"/>
  <c r="J1113" i="6"/>
  <c r="F630" i="6"/>
  <c r="J743" i="6"/>
  <c r="J229" i="6"/>
  <c r="C242" i="6"/>
  <c r="C1248" i="6"/>
  <c r="E955" i="6"/>
  <c r="E342" i="6"/>
  <c r="D1312" i="6"/>
  <c r="D670" i="6"/>
  <c r="C679" i="6"/>
  <c r="I182" i="6"/>
  <c r="D822" i="6"/>
  <c r="C78" i="6"/>
  <c r="J1194" i="6"/>
  <c r="J754" i="6"/>
  <c r="D393" i="6"/>
  <c r="E479" i="6"/>
  <c r="J782" i="6"/>
  <c r="D1205" i="6"/>
  <c r="J1044" i="6"/>
  <c r="E121" i="6"/>
  <c r="I10" i="6"/>
  <c r="D475" i="6"/>
  <c r="D570" i="6"/>
  <c r="J295" i="6"/>
  <c r="J257" i="6"/>
  <c r="D974" i="6"/>
  <c r="C495" i="6"/>
  <c r="I1250" i="6"/>
  <c r="F656" i="6"/>
  <c r="J591" i="6"/>
  <c r="C1247" i="6"/>
  <c r="J131" i="6"/>
  <c r="J817" i="6"/>
  <c r="I1349" i="6"/>
  <c r="F679" i="6"/>
  <c r="J870" i="6"/>
  <c r="E131" i="6"/>
  <c r="C1121" i="6"/>
  <c r="E408" i="6"/>
  <c r="E567" i="6"/>
  <c r="E899" i="6"/>
  <c r="E34" i="6"/>
  <c r="E648" i="6"/>
  <c r="E683" i="6"/>
  <c r="E549" i="6"/>
  <c r="E666" i="6"/>
  <c r="C1037" i="6"/>
  <c r="I391" i="6"/>
  <c r="F1300" i="6"/>
  <c r="I1163" i="6"/>
  <c r="J528" i="6"/>
  <c r="F1101" i="6"/>
  <c r="D963" i="6"/>
  <c r="D704" i="6"/>
  <c r="D1058" i="6"/>
  <c r="I584" i="6"/>
  <c r="D178" i="6"/>
  <c r="F1310" i="6"/>
  <c r="D951" i="6"/>
  <c r="D844" i="6"/>
  <c r="D730" i="6"/>
  <c r="E191" i="6"/>
  <c r="I1192" i="6"/>
  <c r="D734" i="6"/>
  <c r="J92" i="6"/>
  <c r="J665" i="6"/>
  <c r="I290" i="6"/>
  <c r="C362" i="6"/>
  <c r="C1258" i="6"/>
  <c r="D854" i="6"/>
  <c r="D583" i="6"/>
  <c r="C33" i="6"/>
  <c r="C824" i="6"/>
  <c r="J364" i="6"/>
  <c r="F383" i="6"/>
  <c r="F594" i="6"/>
  <c r="D1236" i="6"/>
  <c r="F479" i="6"/>
  <c r="F612" i="6"/>
  <c r="J421" i="6"/>
  <c r="J990" i="6"/>
  <c r="J1195" i="6"/>
  <c r="F438" i="6"/>
  <c r="I94" i="6"/>
  <c r="I937" i="6"/>
  <c r="E993" i="6"/>
  <c r="I902" i="6"/>
  <c r="E1018" i="6"/>
  <c r="J247" i="6"/>
  <c r="J1117" i="6"/>
  <c r="F964" i="6"/>
  <c r="C698" i="6"/>
  <c r="F951" i="6"/>
  <c r="F468" i="6"/>
  <c r="F873" i="6"/>
  <c r="J1135" i="6"/>
  <c r="F1093" i="6"/>
  <c r="E13" i="6"/>
  <c r="E1130" i="6"/>
  <c r="E1046" i="6"/>
  <c r="E838" i="6"/>
  <c r="E1142" i="6"/>
  <c r="E288" i="6"/>
  <c r="I5" i="6"/>
  <c r="J5" i="6"/>
  <c r="C1334" i="6"/>
  <c r="J117" i="6"/>
  <c r="F794" i="6"/>
  <c r="F646" i="6"/>
  <c r="F1347" i="6"/>
  <c r="J866" i="6"/>
  <c r="I1268" i="6"/>
  <c r="E173" i="6"/>
  <c r="I905" i="6"/>
  <c r="E1089" i="6"/>
  <c r="E1121" i="6"/>
  <c r="I854" i="6"/>
  <c r="E559" i="6"/>
  <c r="E265" i="6"/>
  <c r="E1048" i="6"/>
  <c r="I853" i="6"/>
  <c r="C240" i="6"/>
  <c r="E382" i="6"/>
  <c r="I303" i="6"/>
  <c r="E160" i="6"/>
  <c r="I835" i="6"/>
  <c r="I1021" i="6"/>
  <c r="J966" i="6"/>
  <c r="I674" i="6"/>
  <c r="E745" i="6"/>
  <c r="I110" i="6"/>
  <c r="E242" i="6"/>
  <c r="I179" i="6"/>
  <c r="D273" i="6"/>
  <c r="I422" i="6"/>
  <c r="D247" i="6"/>
  <c r="I643" i="6"/>
  <c r="D558" i="6"/>
  <c r="I264" i="6"/>
  <c r="J962" i="6"/>
  <c r="D141" i="6"/>
  <c r="I1286" i="6"/>
  <c r="F466" i="6"/>
  <c r="I40" i="6"/>
  <c r="D579" i="6"/>
  <c r="J882" i="6"/>
  <c r="I1212" i="6"/>
  <c r="D842" i="6"/>
  <c r="F496" i="6"/>
  <c r="D58" i="6"/>
  <c r="J804" i="6"/>
  <c r="F219" i="6"/>
  <c r="C564" i="6"/>
  <c r="C1123" i="6"/>
  <c r="J944" i="6"/>
  <c r="I64" i="6"/>
  <c r="F726" i="6"/>
  <c r="D257" i="6"/>
  <c r="C869" i="6"/>
  <c r="F487" i="6"/>
  <c r="D612" i="6"/>
  <c r="C273" i="6"/>
  <c r="J818" i="6"/>
  <c r="C482" i="6"/>
  <c r="J1322" i="6"/>
  <c r="F21" i="6"/>
  <c r="D805" i="6"/>
  <c r="J847" i="6"/>
  <c r="E127" i="6"/>
  <c r="I1155" i="6"/>
  <c r="I172" i="6"/>
  <c r="F246" i="6"/>
  <c r="D547" i="6"/>
  <c r="C603" i="6"/>
  <c r="C1180" i="6"/>
  <c r="D1332" i="6"/>
  <c r="J975" i="6"/>
  <c r="F195" i="6"/>
  <c r="E273" i="6"/>
  <c r="I549" i="6"/>
  <c r="E1192" i="6"/>
  <c r="D266" i="6"/>
  <c r="D557" i="6"/>
  <c r="D695" i="6"/>
  <c r="J1207" i="6"/>
  <c r="J1168" i="6"/>
  <c r="C614" i="6"/>
  <c r="C576" i="6"/>
  <c r="J1050" i="6"/>
  <c r="J6" i="6"/>
  <c r="J664" i="6"/>
  <c r="C585" i="6"/>
  <c r="D231" i="6"/>
  <c r="C599" i="6"/>
  <c r="F738" i="6"/>
  <c r="F1173" i="6"/>
  <c r="F60" i="6"/>
  <c r="C797" i="6"/>
  <c r="C1229" i="6"/>
  <c r="F1044" i="6"/>
  <c r="J496" i="6"/>
  <c r="J356" i="6"/>
  <c r="F658" i="6"/>
  <c r="J138" i="6"/>
  <c r="J773" i="6"/>
  <c r="D1140" i="6"/>
  <c r="J499" i="6"/>
  <c r="J546" i="6"/>
  <c r="J1010" i="6"/>
  <c r="J1131" i="6"/>
  <c r="J493" i="6"/>
  <c r="C367" i="6"/>
  <c r="F893" i="6"/>
  <c r="J748" i="6"/>
  <c r="J1361" i="6"/>
  <c r="F250" i="6"/>
  <c r="J606" i="6"/>
  <c r="E46" i="6"/>
  <c r="E37" i="6"/>
  <c r="I707" i="6"/>
  <c r="I906" i="6"/>
  <c r="E1147" i="6"/>
  <c r="E1073" i="6"/>
  <c r="E1043" i="6"/>
  <c r="E1076" i="6"/>
  <c r="E822" i="6"/>
  <c r="I883" i="6"/>
  <c r="E892" i="6"/>
  <c r="E586" i="6"/>
  <c r="C1293" i="6"/>
  <c r="J1051" i="6"/>
  <c r="D818" i="6"/>
  <c r="D1144" i="6"/>
  <c r="J299" i="6"/>
  <c r="J961" i="6"/>
  <c r="F1007" i="6"/>
  <c r="F811" i="6"/>
  <c r="F31" i="6"/>
  <c r="D1284" i="6"/>
  <c r="J27" i="6"/>
  <c r="J311" i="6"/>
  <c r="F342" i="6"/>
  <c r="F1153" i="6"/>
  <c r="F1267" i="6"/>
  <c r="C678" i="6"/>
  <c r="F963" i="6"/>
  <c r="J1149" i="6"/>
  <c r="J1306" i="6"/>
  <c r="F1264" i="6"/>
  <c r="E427" i="6"/>
  <c r="I602" i="6"/>
  <c r="I1090" i="6"/>
  <c r="E702" i="6"/>
  <c r="E623" i="6"/>
  <c r="I847" i="6"/>
  <c r="E1069" i="6"/>
  <c r="E1012" i="6"/>
  <c r="E937" i="6"/>
  <c r="E940" i="6"/>
  <c r="E428" i="6"/>
  <c r="J1027" i="6"/>
  <c r="E997" i="6"/>
  <c r="E1155" i="6"/>
  <c r="C5" i="6"/>
  <c r="D5" i="6"/>
  <c r="J227" i="6"/>
  <c r="F929" i="6"/>
  <c r="J38" i="6"/>
  <c r="E417" i="6"/>
  <c r="I370" i="6"/>
  <c r="J1121" i="6"/>
  <c r="D229" i="6"/>
  <c r="C509" i="6"/>
  <c r="D1259" i="6"/>
  <c r="J1324" i="6"/>
  <c r="C450" i="6"/>
  <c r="C835" i="6"/>
  <c r="F626" i="6"/>
  <c r="J1263" i="6"/>
  <c r="D458" i="6"/>
  <c r="D370" i="6"/>
  <c r="C287" i="6"/>
  <c r="C1313" i="6"/>
  <c r="F949" i="6"/>
  <c r="F1290" i="6"/>
  <c r="J803" i="6"/>
  <c r="F1127" i="6"/>
  <c r="F495" i="6"/>
  <c r="D797" i="6"/>
  <c r="C1195" i="6"/>
  <c r="J1260" i="6"/>
  <c r="F1343" i="6"/>
  <c r="J714" i="6"/>
  <c r="F708" i="6"/>
  <c r="J609" i="6"/>
  <c r="J949" i="6"/>
  <c r="F872" i="6"/>
  <c r="F659" i="6"/>
  <c r="J1022" i="6"/>
  <c r="J261" i="6"/>
  <c r="J122" i="6"/>
  <c r="J691" i="6"/>
  <c r="F400" i="6"/>
  <c r="I987" i="6"/>
  <c r="E24" i="6"/>
  <c r="I960" i="6"/>
  <c r="I431" i="6"/>
  <c r="E1005" i="6"/>
  <c r="E1133" i="6"/>
  <c r="I890" i="6"/>
  <c r="E999" i="6"/>
  <c r="E1039" i="6"/>
  <c r="D664" i="6"/>
  <c r="F550" i="6"/>
  <c r="C526" i="6"/>
  <c r="D49" i="6"/>
  <c r="I1240" i="6"/>
  <c r="I709" i="6"/>
  <c r="F617" i="6"/>
  <c r="C69" i="6"/>
  <c r="C1041" i="6"/>
  <c r="J1184" i="6"/>
  <c r="J623" i="6"/>
  <c r="C491" i="6"/>
  <c r="D865" i="6"/>
  <c r="J921" i="6"/>
  <c r="D565" i="6"/>
  <c r="J1233" i="6"/>
  <c r="F1025" i="6"/>
  <c r="C1025" i="6"/>
  <c r="F389" i="6"/>
  <c r="E247" i="6"/>
  <c r="I627" i="6"/>
  <c r="I28" i="6"/>
  <c r="E1330" i="6"/>
  <c r="D466" i="6"/>
  <c r="D1148" i="6"/>
  <c r="D1275" i="6"/>
  <c r="J1047" i="6"/>
  <c r="D918" i="6"/>
  <c r="F1141" i="6"/>
  <c r="E425" i="6"/>
  <c r="I450" i="6"/>
  <c r="F783" i="6"/>
  <c r="E1285" i="6"/>
  <c r="E1258" i="6"/>
  <c r="C1071" i="6"/>
  <c r="F176" i="6"/>
  <c r="F1303" i="6"/>
  <c r="D193" i="6"/>
  <c r="C383" i="6"/>
  <c r="C1356" i="6"/>
  <c r="D1167" i="6"/>
  <c r="F254" i="6"/>
  <c r="D45" i="6"/>
  <c r="C672" i="6"/>
  <c r="E1370" i="6"/>
  <c r="C940" i="6"/>
  <c r="I1341" i="6"/>
  <c r="F261" i="6"/>
  <c r="J1280" i="6"/>
  <c r="C1343" i="6"/>
  <c r="J371" i="6"/>
  <c r="J906" i="6"/>
  <c r="D1329" i="6"/>
  <c r="C1125" i="6"/>
  <c r="J369" i="6"/>
  <c r="F444" i="6"/>
  <c r="J986" i="6"/>
  <c r="J1252" i="6"/>
  <c r="J759" i="6"/>
  <c r="J1313" i="6"/>
  <c r="J276" i="6"/>
  <c r="F427" i="6"/>
  <c r="F157" i="6"/>
  <c r="J215" i="6"/>
  <c r="F113" i="6"/>
  <c r="F1084" i="6"/>
  <c r="J1360" i="6"/>
  <c r="I1345" i="6"/>
  <c r="I409" i="6"/>
  <c r="I979" i="6"/>
  <c r="E80" i="6"/>
  <c r="E90" i="6"/>
  <c r="I904" i="6"/>
  <c r="E1022" i="6"/>
  <c r="I873" i="6"/>
  <c r="I915" i="6"/>
  <c r="I849" i="6"/>
  <c r="E1109" i="6"/>
  <c r="E35" i="6"/>
  <c r="E939" i="6"/>
  <c r="I215" i="6"/>
  <c r="E298" i="6"/>
  <c r="I123" i="6"/>
  <c r="E339" i="6"/>
  <c r="E593" i="6"/>
  <c r="I193" i="6"/>
  <c r="E306" i="6"/>
  <c r="D118" i="6"/>
  <c r="E453" i="6"/>
  <c r="E655" i="6"/>
  <c r="I1239" i="6"/>
  <c r="E420" i="6"/>
  <c r="D157" i="6"/>
  <c r="I1147" i="6"/>
  <c r="D868" i="6"/>
  <c r="I87" i="6"/>
  <c r="D855" i="6"/>
  <c r="I504" i="6"/>
  <c r="I1364" i="6"/>
  <c r="I487" i="6"/>
  <c r="C1064" i="6"/>
  <c r="I1326" i="6"/>
  <c r="F500" i="6"/>
  <c r="C388" i="6"/>
  <c r="D1278" i="6"/>
  <c r="I1211" i="6"/>
  <c r="C381" i="6"/>
  <c r="J851" i="6"/>
  <c r="I233" i="6"/>
  <c r="C16" i="6"/>
  <c r="D1078" i="6"/>
  <c r="F311" i="6"/>
  <c r="C374" i="6"/>
  <c r="J187" i="6"/>
  <c r="F1014" i="6"/>
  <c r="D360" i="6"/>
  <c r="C1223" i="6"/>
  <c r="J1216" i="6"/>
  <c r="I491" i="6"/>
  <c r="J942" i="6"/>
  <c r="D765" i="6"/>
  <c r="D803" i="6"/>
  <c r="J797" i="6"/>
  <c r="I1214" i="6"/>
  <c r="E1257" i="6"/>
  <c r="C506" i="6"/>
  <c r="J389" i="6"/>
  <c r="F210" i="6"/>
  <c r="D671" i="6"/>
  <c r="D1133" i="6"/>
  <c r="F452" i="6"/>
  <c r="C1074" i="6"/>
  <c r="D687" i="6"/>
  <c r="F916" i="6"/>
  <c r="E391" i="6"/>
  <c r="I560" i="6"/>
  <c r="I44" i="6"/>
  <c r="I1249" i="6"/>
  <c r="D185" i="6"/>
  <c r="C369" i="6"/>
  <c r="C1141" i="6"/>
  <c r="F514" i="6"/>
  <c r="J14" i="6"/>
  <c r="J1031" i="6"/>
  <c r="J557" i="6"/>
  <c r="E337" i="6"/>
  <c r="I624" i="6"/>
  <c r="I98" i="6"/>
  <c r="F634" i="6"/>
  <c r="D181" i="6"/>
  <c r="D392" i="6"/>
  <c r="D267" i="6"/>
  <c r="D1155" i="6"/>
  <c r="F145" i="6"/>
  <c r="D539" i="6"/>
  <c r="C1305" i="6"/>
  <c r="D949" i="6"/>
  <c r="C1126" i="6"/>
  <c r="J419" i="6"/>
  <c r="I1294" i="6"/>
  <c r="D310" i="6"/>
  <c r="C400" i="6"/>
  <c r="C1138" i="6"/>
  <c r="C1155" i="6"/>
  <c r="C1058" i="6"/>
  <c r="J242" i="6"/>
  <c r="J927" i="6"/>
  <c r="C999" i="6"/>
  <c r="J393" i="6"/>
  <c r="F327" i="6"/>
  <c r="F1097" i="6"/>
  <c r="F169" i="6"/>
  <c r="C1165" i="6"/>
  <c r="J407" i="6"/>
  <c r="J252" i="6"/>
  <c r="F961" i="6"/>
  <c r="C954" i="6"/>
  <c r="J326" i="6"/>
  <c r="F520" i="6"/>
  <c r="F1051" i="6"/>
  <c r="F1227" i="6"/>
  <c r="F878" i="6"/>
  <c r="F806" i="6"/>
  <c r="J825" i="6"/>
  <c r="F1307" i="6"/>
  <c r="J139" i="6"/>
  <c r="F1000" i="6"/>
  <c r="J1075" i="6"/>
  <c r="J245" i="6"/>
  <c r="F713" i="6"/>
  <c r="E186" i="6"/>
  <c r="I908" i="6"/>
  <c r="E141" i="6"/>
  <c r="E1122" i="6"/>
  <c r="E1011" i="6"/>
  <c r="C744" i="6"/>
  <c r="E59" i="6"/>
  <c r="E618" i="6"/>
  <c r="E522" i="6"/>
  <c r="I1003" i="6"/>
  <c r="E976" i="6"/>
  <c r="E1010" i="6"/>
  <c r="I830" i="6"/>
  <c r="J500" i="6"/>
  <c r="J912" i="6"/>
  <c r="C838" i="6"/>
  <c r="D1065" i="6"/>
  <c r="C605" i="6"/>
  <c r="J1247" i="6"/>
  <c r="J96" i="6"/>
  <c r="F981" i="6"/>
  <c r="J110" i="6"/>
  <c r="J770" i="6"/>
  <c r="F1024" i="6"/>
  <c r="C953" i="6"/>
  <c r="J218" i="6"/>
  <c r="J351" i="6"/>
  <c r="F204" i="6"/>
  <c r="F361" i="6"/>
  <c r="F1281" i="6"/>
  <c r="C1306" i="6"/>
  <c r="J977" i="6"/>
  <c r="I1366" i="6"/>
  <c r="F946" i="6"/>
  <c r="J377" i="6"/>
  <c r="F1296" i="6"/>
  <c r="I737" i="6"/>
  <c r="E14" i="6"/>
  <c r="I872" i="6"/>
  <c r="E491" i="6"/>
  <c r="I888" i="6"/>
  <c r="I886" i="6"/>
  <c r="I994" i="6"/>
  <c r="E1139" i="6"/>
  <c r="E923" i="6"/>
  <c r="E67" i="6"/>
  <c r="E553" i="6"/>
  <c r="I913" i="6"/>
  <c r="E1113" i="6"/>
  <c r="E917" i="6"/>
  <c r="E978" i="6"/>
  <c r="F5" i="6" l="1"/>
  <c r="S100" i="6"/>
  <c r="B72" i="7" l="1" a="1"/>
  <c r="B72"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<sst xmlns="http://schemas.openxmlformats.org/spreadsheetml/2006/main" count="333" uniqueCount="99">
  <si>
    <t>Important notice</t>
  </si>
  <si>
    <t>Interpretation</t>
  </si>
  <si>
    <r>
      <t xml:space="preserve">For any queries regarding this report, please contact </t>
    </r>
    <r>
      <rPr>
        <b/>
        <u/>
        <sz val="10"/>
        <color theme="5"/>
        <rFont val="Arial"/>
        <family val="2"/>
      </rPr>
      <t>NEMIntervention@aemo.com.au</t>
    </r>
  </si>
  <si>
    <t>Directions summary - assessment, cost and directed MWh (system security)</t>
  </si>
  <si>
    <t>Table 1          Information about Registered Participants not being able to comply with directions</t>
  </si>
  <si>
    <r>
      <t xml:space="preserve"> 1 Preliminary Report –</t>
    </r>
    <r>
      <rPr>
        <sz val="7"/>
        <color rgb="FF9B2242"/>
        <rFont val="Arial"/>
        <family val="2"/>
      </rPr>
      <t xml:space="preserve"> </t>
    </r>
    <r>
      <rPr>
        <u/>
        <sz val="7"/>
        <color rgb="FF9B2241"/>
        <rFont val="Arial"/>
        <family val="2"/>
      </rPr>
      <t>https://aemo.com.au/-/media/files/electricity/nem/market_notices_and_events/power_system_incident_reports/2024/preliminary-report---loss-of-moorabool---sydenham-500-kv-lines-on-13-feb-2024.pdf?la=en</t>
    </r>
  </si>
  <si>
    <r>
      <rPr>
        <vertAlign val="superscript"/>
        <sz val="7"/>
        <rFont val="Arial"/>
        <family val="2"/>
      </rPr>
      <t>2</t>
    </r>
    <r>
      <rPr>
        <sz val="7"/>
        <rFont val="Arial"/>
        <family val="2"/>
      </rPr>
      <t xml:space="preserve">  Compensation recovery amounts are calculated in accordance with NER 3.15.8(a). CRA = Directions compensation payment - Retained trading amount + Additional compensation + IE fees.</t>
    </r>
  </si>
  <si>
    <r>
      <rPr>
        <vertAlign val="superscript"/>
        <sz val="7"/>
        <rFont val="Arial"/>
        <family val="2"/>
      </rPr>
      <t>3</t>
    </r>
    <r>
      <rPr>
        <sz val="7"/>
        <rFont val="Arial"/>
        <family val="2"/>
      </rPr>
      <t xml:space="preserve"> AEMO, Direction Compensation Recovery, available at</t>
    </r>
    <r>
      <rPr>
        <sz val="7"/>
        <color theme="6"/>
        <rFont val="Arial"/>
        <family val="2"/>
      </rPr>
      <t xml:space="preserve"> </t>
    </r>
    <r>
      <rPr>
        <u/>
        <sz val="7"/>
        <color theme="6"/>
        <rFont val="Arial"/>
        <family val="2"/>
      </rPr>
      <t>https://aemo.com.au/en/energy-systems/electricity/national-electricity-market-nem/data-nem/settlements-data/direction-compensation-recovery</t>
    </r>
    <r>
      <rPr>
        <u/>
        <sz val="7"/>
        <color theme="10"/>
        <rFont val="Arial"/>
        <family val="2"/>
      </rPr>
      <t>.</t>
    </r>
  </si>
  <si>
    <r>
      <rPr>
        <vertAlign val="superscript"/>
        <sz val="7"/>
        <rFont val="Arial"/>
        <family val="2"/>
      </rPr>
      <t>4</t>
    </r>
    <r>
      <rPr>
        <sz val="7"/>
        <rFont val="Arial"/>
        <family val="2"/>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</si>
  <si>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family val="2"/>
      </rPr>
      <t>5</t>
    </r>
    <r>
      <rPr>
        <sz val="7"/>
        <rFont val="Arial"/>
        <family val="2"/>
      </rPr>
      <t xml:space="preserve">  Directed Participant is entitled to claim for additional compensation in accordance with NER 3.15.7B.</t>
    </r>
  </si>
  <si>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</si>
  <si>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</si>
  <si>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</si>
  <si>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</si>
  <si>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</si>
  <si>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</si>
  <si>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</si>
  <si>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</si>
  <si>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</si>
  <si>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</si>
  <si>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Table 2          Summary total compensation paid to each Directed Participant</t>
  </si>
  <si>
    <t>Summary of total compensation paid to each Directed Participant</t>
  </si>
  <si>
    <r>
      <t>Retained trading amount ($)</t>
    </r>
    <r>
      <rPr>
        <b/>
        <vertAlign val="superscript"/>
        <sz val="9"/>
        <color theme="1"/>
        <rFont val="Arial"/>
        <family val="2"/>
      </rPr>
      <t>3</t>
    </r>
  </si>
  <si>
    <r>
      <t>Additional compensation ($)</t>
    </r>
    <r>
      <rPr>
        <b/>
        <vertAlign val="superscript"/>
        <sz val="9"/>
        <color theme="1"/>
        <rFont val="Arial"/>
        <family val="2"/>
      </rPr>
      <t>4</t>
    </r>
  </si>
  <si>
    <t>Total</t>
  </si>
  <si>
    <t>Table 3          Summary of system security directions (energy only), direction compensation, compensation recovery amount and directed MWh</t>
  </si>
  <si>
    <t>Summary of system security directions</t>
  </si>
  <si>
    <t>Directed resource type</t>
  </si>
  <si>
    <t>Reason</t>
  </si>
  <si>
    <t>Direction instruction</t>
  </si>
  <si>
    <t>Market Notice for the latest time to intervene</t>
  </si>
  <si>
    <t>Directed MWh</t>
  </si>
  <si>
    <t>Direction compensation payment ($)</t>
  </si>
  <si>
    <r>
      <t>Retained trading amount ($)</t>
    </r>
    <r>
      <rPr>
        <vertAlign val="superscript"/>
        <sz val="11"/>
        <color theme="1"/>
        <rFont val="Arial Nova"/>
        <family val="2"/>
        <scheme val="minor"/>
      </rPr>
      <t>3</t>
    </r>
  </si>
  <si>
    <r>
      <t>Additional compensation ($)</t>
    </r>
    <r>
      <rPr>
        <vertAlign val="superscript"/>
        <sz val="11"/>
        <color theme="1"/>
        <rFont val="Arial Nova"/>
        <family val="2"/>
        <scheme val="minor"/>
      </rPr>
      <t>4</t>
    </r>
  </si>
  <si>
    <t>Independent expert fee ($)</t>
  </si>
  <si>
    <t>Compensation recovery amount ($)</t>
  </si>
  <si>
    <t>MINTARO</t>
  </si>
  <si>
    <t>Synergen Power Pty Limited</t>
  </si>
  <si>
    <t>SA1</t>
  </si>
  <si>
    <t>Scheduled generating unit</t>
  </si>
  <si>
    <t>System security</t>
  </si>
  <si>
    <t>Synchronise</t>
  </si>
  <si>
    <t>MN114196</t>
  </si>
  <si>
    <t>TORRB3</t>
  </si>
  <si>
    <t>AGL SA Generation Pty Limited</t>
  </si>
  <si>
    <t>Remain</t>
  </si>
  <si>
    <t>MN114241</t>
  </si>
  <si>
    <t>TORRB2</t>
  </si>
  <si>
    <t>MN114530</t>
  </si>
  <si>
    <t>TORRB4</t>
  </si>
  <si>
    <t>MORTLK12</t>
  </si>
  <si>
    <t>Origin Energy Electricity Limited</t>
  </si>
  <si>
    <t>VIC1</t>
  </si>
  <si>
    <t>MN114648</t>
  </si>
  <si>
    <t>MORTLK11</t>
  </si>
  <si>
    <t>MN114694</t>
  </si>
  <si>
    <t>MN114717</t>
  </si>
  <si>
    <t>MN114777</t>
  </si>
  <si>
    <t>MN114815</t>
  </si>
  <si>
    <t>MN114833</t>
  </si>
  <si>
    <t>MN114918</t>
  </si>
  <si>
    <t>MN114957</t>
  </si>
  <si>
    <t>MN115078</t>
  </si>
  <si>
    <t>MN115105</t>
  </si>
  <si>
    <t>MN115140</t>
  </si>
  <si>
    <t>MN115217</t>
  </si>
  <si>
    <t>MN115293</t>
  </si>
  <si>
    <t>MN115361</t>
  </si>
  <si>
    <t>MN115414</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</si>
  <si>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</si>
  <si>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</si>
  <si>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</si>
  <si>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</si>
  <si>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</si>
  <si>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</si>
  <si>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</si>
  <si>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NSW1</t>
  </si>
  <si>
    <t>TAS1</t>
  </si>
  <si>
    <t>QLD1</t>
  </si>
  <si>
    <t>Version History</t>
  </si>
  <si>
    <t>Version number</t>
  </si>
  <si>
    <t>Date</t>
  </si>
  <si>
    <t>Description</t>
  </si>
  <si>
    <t>Directions report: 03/02/2024-02/03/2024</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</si>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</sst>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quot;* #,##0.00_-;\-&quot;$&quot;* #,##0.00_-;_-&quot;$&quot;* &quot;-&quot;??_-;_-@_-"/>
    <numFmt numFmtId="165" formatCode="_-* #,##0.00_-;\-* #,##0.00_-;_-* &quot;-&quot;??_-;_-@_-"/>
    <numFmt numFmtId="166" formatCode="_-&quot;$&quot;* #,##0_-;\-&quot;$&quot;* #,##0_-;_-&quot;$&quot;* &quot;-&quot;??_-;_-@_-"/>
    <numFmt numFmtId="167" formatCode="dd/mm/yyyy\ hh:mm"/>
    <numFmt numFmtId="168" formatCode="_-[$$-C09]* #,##0_-;\-[$$-C09]* #,##0_-;_-[$$-C09]* &quot;-&quot;??_-;_-@_-"/>
    <numFmt numFmtId="169" formatCode="&quot;$&quot;#,##0.00"/>
    <numFmt numFmtId="170" formatCode="_-* #,##0.0_-;\-* #,##0.0_-;_-* &quot;-&quot;??_-;_-@_-"/>
    <numFmt numFmtId="171" formatCode="0.0"/>
    <numFmt numFmtId="172" formatCode="yyyymmdd"/>
    <numFmt numFmtId="173" formatCode="&quot;$&quot;#,##0.0000"/>
    <numFmt numFmtId="174" formatCode="0.0000000000"/>
    <numFmt numFmtId="175" formatCode="0.00000000000"/>
    <numFmt numFmtId="176" formatCode="0.00000000000000000000000000000"/>
    <numFmt numFmtId="177" formatCode="dd/mm/yyyy\ hh:mm:ss"/>
  </numFmts>
  <fonts count="42">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sz val="7"/>
      <name val="Arial Nova"/>
      <family val="2"/>
      <scheme val="minor"/>
    </font>
    <font>
      <u/>
      <sz val="7"/>
      <color theme="6"/>
      <name val="Arial Nova"/>
      <family val="2"/>
      <scheme val="minor"/>
    </font>
    <font>
      <u/>
      <sz val="7"/>
      <color theme="10"/>
      <name val="Arial Nova"/>
      <family val="2"/>
      <scheme val="minor"/>
    </font>
    <font>
      <b/>
      <sz val="9"/>
      <color theme="1"/>
      <name val="Arial"/>
      <family val="2"/>
    </font>
    <font>
      <sz val="9"/>
      <color theme="1"/>
      <name val="Arial"/>
      <family val="2"/>
    </font>
    <font>
      <b/>
      <sz val="10"/>
      <color theme="0"/>
      <name val="Arial"/>
      <family val="2"/>
    </font>
    <font>
      <b/>
      <sz val="9"/>
      <color theme="4"/>
      <name val="Arial"/>
      <family val="2"/>
    </font>
    <font>
      <sz val="7"/>
      <name val="Arial"/>
      <family val="2"/>
    </font>
    <font>
      <vertAlign val="superscript"/>
      <sz val="7"/>
      <name val="Arial"/>
      <family val="2"/>
    </font>
    <font>
      <u/>
      <sz val="7"/>
      <color theme="10"/>
      <name val="Arial"/>
      <family val="2"/>
    </font>
    <font>
      <sz val="7"/>
      <color theme="6"/>
      <name val="Arial"/>
      <family val="2"/>
    </font>
    <font>
      <u/>
      <sz val="7"/>
      <color theme="6"/>
      <name val="Arial"/>
      <family val="2"/>
    </font>
    <font>
      <sz val="11"/>
      <color theme="1"/>
      <name val="Arial"/>
      <family val="2"/>
    </font>
    <font>
      <sz val="10"/>
      <color theme="1"/>
      <name val="Arial"/>
      <family val="2"/>
    </font>
    <font>
      <b/>
      <sz val="9"/>
      <color rgb="FF000000"/>
      <name val="Arial"/>
      <family val="2"/>
    </font>
    <font>
      <b/>
      <sz val="11"/>
      <color rgb="FFFFFFFF"/>
      <name val="Arial"/>
      <family val="2"/>
    </font>
    <font>
      <b/>
      <sz val="9"/>
      <name val="Arial"/>
      <family val="2"/>
    </font>
    <font>
      <sz val="9"/>
      <name val="Arial"/>
      <family val="2"/>
    </font>
    <font>
      <b/>
      <u/>
      <sz val="10"/>
      <color theme="5"/>
      <name val="Arial"/>
      <family val="2"/>
    </font>
    <font>
      <b/>
      <sz val="9"/>
      <color theme="1"/>
      <name val="Arial Nova"/>
      <family val="2"/>
      <scheme val="minor"/>
    </font>
    <font>
      <vertAlign val="superscript"/>
      <sz val="11"/>
      <color theme="1"/>
      <name val="Arial Nova"/>
      <family val="2"/>
      <scheme val="minor"/>
    </font>
    <font>
      <b/>
      <vertAlign val="superscript"/>
      <sz val="9"/>
      <color theme="1"/>
      <name val="Arial"/>
      <family val="2"/>
    </font>
    <font>
      <b/>
      <sz val="11"/>
      <color rgb="FFFF0000"/>
      <name val="Arial Nova"/>
      <family val="2"/>
      <scheme val="minor"/>
    </font>
    <font>
      <sz val="7"/>
      <color rgb="FF9B2242"/>
      <name val="Arial"/>
      <family val="2"/>
    </font>
    <font>
      <u/>
      <sz val="7"/>
      <color rgb="FF9B2241"/>
      <name val="Arial"/>
      <family val="2"/>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7">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indexed="64"/>
      </top>
      <bottom style="hair">
        <color indexed="64"/>
      </bottom>
      <diagonal/>
    </border>
    <border>
      <left style="thin">
        <color theme="0" tint="-0.249977111117893"/>
      </left>
      <right/>
      <top/>
      <bottom style="thin">
        <color theme="4"/>
      </bottom>
      <diagonal/>
    </border>
    <border>
      <left style="thin">
        <color theme="0" tint="-0.249977111117893"/>
      </left>
      <right/>
      <top style="thin">
        <color theme="5" tint="0.79998168889431442"/>
      </top>
      <bottom style="thin">
        <color theme="5" tint="0.79998168889431442"/>
      </bottom>
      <diagonal/>
    </border>
    <border>
      <left/>
      <right/>
      <top style="thin">
        <color theme="4"/>
      </top>
      <bottom style="thin">
        <color theme="4"/>
      </bottom>
      <diagonal/>
    </border>
    <border>
      <left/>
      <right/>
      <top/>
      <bottom style="medium">
        <color rgb="FF6B3077"/>
      </bottom>
      <diagonal/>
    </border>
    <border>
      <left/>
      <right/>
      <top style="thin">
        <color theme="4"/>
      </top>
      <bottom style="thin">
        <color theme="5" tint="0.79998168889431442"/>
      </bottom>
      <diagonal/>
    </border>
  </borders>
  <cellStyleXfs count="9">
    <xf numFmtId="0" fontId="0" fillId="0" borderId="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70" fontId="10" fillId="0" borderId="7" applyNumberFormat="0" applyAlignment="0">
      <alignment horizontal="center"/>
    </xf>
    <xf numFmtId="0" fontId="11" fillId="0" borderId="0"/>
    <xf numFmtId="0" fontId="12" fillId="0" borderId="0" applyNumberFormat="0" applyFill="0" applyBorder="0" applyAlignment="0" applyProtection="0"/>
  </cellStyleXfs>
  <cellXfs count="80">
    <xf numFmtId="0" fontId="0" fillId="0" borderId="0" xfId="0"/>
    <xf numFmtId="167" fontId="0" fillId="0" borderId="0" xfId="0" applyNumberFormat="1"/>
    <xf numFmtId="168"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7" fontId="0" fillId="0" borderId="1" xfId="0" applyNumberFormat="1" applyBorder="1" applyAlignment="1">
      <alignment horizontal="center"/>
    </xf>
    <xf numFmtId="169" fontId="0" fillId="0" borderId="1" xfId="0" applyNumberFormat="1" applyBorder="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0" fontId="0" fillId="0" borderId="0" xfId="0" applyAlignment="1">
      <alignment wrapText="1"/>
    </xf>
    <xf numFmtId="167" fontId="0" fillId="2" borderId="1" xfId="0" applyNumberFormat="1" applyFill="1" applyBorder="1" applyAlignment="1">
      <alignment horizontal="center"/>
    </xf>
    <xf numFmtId="169" fontId="0" fillId="2" borderId="1" xfId="0" applyNumberFormat="1" applyFill="1" applyBorder="1" applyAlignment="1">
      <alignment horizontal="center"/>
    </xf>
    <xf numFmtId="169" fontId="0" fillId="0" borderId="0" xfId="0" applyNumberFormat="1" applyAlignment="1">
      <alignment horizontal="center"/>
    </xf>
    <xf numFmtId="169"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9" fontId="0" fillId="0" borderId="0" xfId="0" applyNumberFormat="1"/>
    <xf numFmtId="0" fontId="8" fillId="9" borderId="4" xfId="4" applyFont="1" applyFill="1" applyBorder="1"/>
    <xf numFmtId="0" fontId="0" fillId="0" borderId="6" xfId="0" applyBorder="1"/>
    <xf numFmtId="0" fontId="13" fillId="9" borderId="4" xfId="4" applyFont="1" applyFill="1" applyBorder="1"/>
    <xf numFmtId="0" fontId="14" fillId="0" borderId="0" xfId="0" applyFont="1"/>
    <xf numFmtId="167" fontId="16" fillId="0" borderId="9" xfId="0" applyNumberFormat="1" applyFont="1" applyBorder="1"/>
    <xf numFmtId="175" fontId="0" fillId="0" borderId="0" xfId="0" applyNumberFormat="1"/>
    <xf numFmtId="176" fontId="0" fillId="0" borderId="0" xfId="0" applyNumberFormat="1"/>
    <xf numFmtId="174" fontId="16" fillId="0" borderId="9" xfId="0" applyNumberFormat="1" applyFont="1" applyBorder="1"/>
    <xf numFmtId="177" fontId="16" fillId="0" borderId="8" xfId="0" applyNumberFormat="1" applyFont="1" applyBorder="1"/>
    <xf numFmtId="166" fontId="0" fillId="0" borderId="0" xfId="0" applyNumberFormat="1"/>
    <xf numFmtId="0" fontId="13" fillId="9" borderId="4" xfId="4" applyFont="1" applyFill="1" applyBorder="1" applyAlignment="1"/>
    <xf numFmtId="0" fontId="20" fillId="0" borderId="2" xfId="0" applyFont="1" applyBorder="1" applyAlignment="1">
      <alignment vertical="center" wrapText="1"/>
    </xf>
    <xf numFmtId="0" fontId="20" fillId="0" borderId="2" xfId="0" applyFont="1" applyBorder="1" applyAlignment="1">
      <alignment wrapText="1"/>
    </xf>
    <xf numFmtId="0" fontId="23" fillId="0" borderId="0" xfId="0" applyFont="1" applyAlignment="1">
      <alignment vertical="top"/>
    </xf>
    <xf numFmtId="0" fontId="24" fillId="0" borderId="0" xfId="8" applyFont="1" applyAlignment="1">
      <alignment horizontal="left"/>
    </xf>
    <xf numFmtId="0" fontId="26" fillId="0" borderId="0" xfId="8" applyFont="1"/>
    <xf numFmtId="0" fontId="29" fillId="0" borderId="0" xfId="0" applyFont="1"/>
    <xf numFmtId="0" fontId="30" fillId="0" borderId="0" xfId="0" applyFont="1" applyAlignment="1">
      <alignment horizontal="center" vertical="center"/>
    </xf>
    <xf numFmtId="14" fontId="31" fillId="7" borderId="10" xfId="0" applyNumberFormat="1" applyFont="1" applyFill="1" applyBorder="1" applyAlignment="1">
      <alignment horizontal="center" vertical="center" wrapText="1"/>
    </xf>
    <xf numFmtId="0" fontId="31" fillId="7" borderId="10" xfId="0" applyFont="1" applyFill="1" applyBorder="1" applyAlignment="1">
      <alignment horizontal="right" vertical="center" wrapText="1"/>
    </xf>
    <xf numFmtId="0" fontId="31" fillId="7" borderId="10" xfId="0" applyFont="1" applyFill="1" applyBorder="1" applyAlignment="1">
      <alignment horizontal="center" vertical="center" wrapText="1"/>
    </xf>
    <xf numFmtId="173" fontId="21" fillId="0" borderId="8" xfId="1" applyNumberFormat="1" applyFont="1" applyFill="1" applyBorder="1" applyAlignment="1">
      <alignment horizontal="center"/>
    </xf>
    <xf numFmtId="173" fontId="21" fillId="3" borderId="8" xfId="1" applyNumberFormat="1" applyFont="1" applyFill="1" applyBorder="1" applyAlignment="1">
      <alignment horizontal="center"/>
    </xf>
    <xf numFmtId="167" fontId="21" fillId="10" borderId="9" xfId="0" applyNumberFormat="1" applyFont="1" applyFill="1" applyBorder="1"/>
    <xf numFmtId="0" fontId="33" fillId="9" borderId="6" xfId="5" applyFont="1" applyBorder="1">
      <alignment horizontal="left" vertical="center" wrapText="1"/>
    </xf>
    <xf numFmtId="171" fontId="34" fillId="9" borderId="11" xfId="6" applyNumberFormat="1" applyFont="1" applyFill="1" applyBorder="1" applyAlignment="1">
      <alignment horizontal="left" wrapText="1"/>
    </xf>
    <xf numFmtId="171" fontId="34" fillId="9" borderId="11" xfId="6" applyNumberFormat="1" applyFont="1" applyFill="1" applyBorder="1" applyAlignment="1">
      <alignment horizontal="left"/>
    </xf>
    <xf numFmtId="0" fontId="30" fillId="0" borderId="0" xfId="0" applyFont="1" applyAlignment="1">
      <alignment horizontal="left" vertical="center"/>
    </xf>
    <xf numFmtId="0" fontId="30" fillId="0" borderId="0" xfId="0" applyFont="1"/>
    <xf numFmtId="0" fontId="20" fillId="0" borderId="2" xfId="0" applyFont="1" applyBorder="1" applyAlignment="1">
      <alignment horizontal="left" vertical="center" wrapText="1"/>
    </xf>
    <xf numFmtId="0" fontId="16" fillId="0" borderId="0" xfId="0" applyFont="1"/>
    <xf numFmtId="0" fontId="36" fillId="0" borderId="2" xfId="0" applyFont="1" applyBorder="1" applyAlignment="1">
      <alignment wrapText="1"/>
    </xf>
    <xf numFmtId="0" fontId="22" fillId="8" borderId="0" xfId="0" applyFont="1" applyFill="1"/>
    <xf numFmtId="172" fontId="21" fillId="0" borderId="9" xfId="0" applyNumberFormat="1" applyFont="1" applyBorder="1" applyAlignment="1">
      <alignment horizontal="left"/>
    </xf>
    <xf numFmtId="0" fontId="21" fillId="0" borderId="9" xfId="0" applyFont="1" applyBorder="1" applyAlignment="1">
      <alignment horizontal="left"/>
    </xf>
    <xf numFmtId="1" fontId="21" fillId="0" borderId="9" xfId="0" applyNumberFormat="1" applyFont="1" applyBorder="1" applyAlignment="1">
      <alignment horizontal="left" wrapText="1"/>
    </xf>
    <xf numFmtId="167" fontId="16" fillId="0" borderId="9" xfId="0" applyNumberFormat="1" applyFont="1" applyBorder="1" applyAlignment="1">
      <alignment horizontal="left"/>
    </xf>
    <xf numFmtId="0" fontId="16" fillId="0" borderId="9" xfId="0" applyFont="1" applyBorder="1" applyAlignment="1">
      <alignment wrapText="1"/>
    </xf>
    <xf numFmtId="1" fontId="16" fillId="0" borderId="0" xfId="0" applyNumberFormat="1" applyFont="1"/>
    <xf numFmtId="166" fontId="16" fillId="0" borderId="0" xfId="0" applyNumberFormat="1" applyFont="1"/>
    <xf numFmtId="1" fontId="0" fillId="0" borderId="0" xfId="0" applyNumberFormat="1"/>
    <xf numFmtId="22" fontId="16" fillId="0" borderId="9" xfId="0" applyNumberFormat="1" applyFont="1" applyBorder="1"/>
    <xf numFmtId="0" fontId="15" fillId="8" borderId="0" xfId="0" applyFont="1" applyFill="1"/>
    <xf numFmtId="0" fontId="20" fillId="0" borderId="2" xfId="0" applyFont="1" applyBorder="1"/>
    <xf numFmtId="166" fontId="16" fillId="0" borderId="0" xfId="1" applyNumberFormat="1" applyFont="1"/>
    <xf numFmtId="0" fontId="36" fillId="0" borderId="14" xfId="0" applyFont="1" applyBorder="1"/>
    <xf numFmtId="0" fontId="4" fillId="0" borderId="14" xfId="0" applyFont="1" applyBorder="1"/>
    <xf numFmtId="166" fontId="36" fillId="0" borderId="14" xfId="1" applyNumberFormat="1" applyFont="1" applyBorder="1"/>
    <xf numFmtId="0" fontId="36" fillId="0" borderId="12" xfId="0" applyFont="1" applyBorder="1" applyAlignment="1">
      <alignment wrapText="1"/>
    </xf>
    <xf numFmtId="1" fontId="16" fillId="0" borderId="13" xfId="0" applyNumberFormat="1" applyFont="1" applyBorder="1" applyAlignment="1">
      <alignment wrapText="1"/>
    </xf>
    <xf numFmtId="166" fontId="16" fillId="0" borderId="9" xfId="1" applyNumberFormat="1" applyFont="1" applyFill="1" applyBorder="1" applyAlignment="1">
      <alignment wrapText="1"/>
    </xf>
    <xf numFmtId="166" fontId="39" fillId="0" borderId="0" xfId="1" applyNumberFormat="1" applyFont="1"/>
    <xf numFmtId="14" fontId="34" fillId="0" borderId="11" xfId="6" applyNumberFormat="1" applyFont="1" applyBorder="1" applyAlignment="1">
      <alignment horizontal="left" wrapText="1"/>
    </xf>
    <xf numFmtId="0" fontId="13" fillId="9" borderId="4" xfId="4" applyFont="1" applyFill="1" applyBorder="1" applyAlignment="1">
      <alignment horizontal="left"/>
    </xf>
    <xf numFmtId="172" fontId="21" fillId="0" borderId="9" xfId="0" applyNumberFormat="1" applyFont="1" applyBorder="1" applyAlignment="1">
      <alignment horizontal="left" wrapText="1"/>
    </xf>
    <xf numFmtId="0" fontId="20" fillId="0" borderId="2" xfId="0" applyFont="1" applyBorder="1" applyAlignment="1">
      <alignment horizontal="left" vertical="center" wrapText="1"/>
    </xf>
    <xf numFmtId="0" fontId="15" fillId="8" borderId="0" xfId="0" applyFont="1" applyFill="1" applyAlignment="1">
      <alignment horizontal="left"/>
    </xf>
    <xf numFmtId="172" fontId="21" fillId="0" borderId="16" xfId="0" applyNumberFormat="1" applyFont="1" applyBorder="1" applyAlignment="1">
      <alignment horizontal="left" wrapText="1"/>
    </xf>
    <xf numFmtId="0" fontId="19" fillId="0" borderId="0" xfId="8" applyFont="1" applyAlignment="1">
      <alignment horizontal="left" wrapText="1"/>
    </xf>
    <xf numFmtId="0" fontId="32" fillId="6" borderId="15" xfId="0" applyFont="1" applyFill="1" applyBorder="1" applyAlignment="1">
      <alignment horizontal="center" vertical="center" wrapText="1"/>
    </xf>
  </cellXfs>
  <cellStyles count="9">
    <cellStyle name="CellNum" xfId="6" xr:uid="{0D703E12-4E47-416D-B80C-4FC099A0728F}"/>
    <cellStyle name="Comma 2" xfId="3" xr:uid="{E0C7BA3B-31E1-49EA-9593-181CF0E562B9}"/>
    <cellStyle name="Currency" xfId="1" builtinId="4"/>
    <cellStyle name="Currency 2" xfId="2" xr:uid="{F3D3F958-9606-47AC-BC53-2710E7F337CD}"/>
    <cellStyle name="Heading 1" xfId="4" builtinId="16"/>
    <cellStyle name="Hyperlink" xfId="8" builtinId="8"/>
    <cellStyle name="Normal" xfId="0" builtinId="0"/>
    <cellStyle name="Normal 2" xfId="7" xr:uid="{DD866C9C-D31C-4311-8995-AE63375C87E7}"/>
    <cellStyle name="TableHeader" xfId="5" xr:uid="{FF2A61A9-7853-463E-BAB0-8A50E40A9785}"/>
  </cellStyles>
  <dxfs count="20">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66" formatCode="_-&quot;$&quot;* #,##0_-;\-&quot;$&quot;* #,##0_-;_-&quot;$&quot;* &quot;-&quot;??_-;_-@_-"/>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1" formatCode="0"/>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67"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strike val="0"/>
        <outline val="0"/>
        <shadow val="0"/>
        <u val="none"/>
        <vertAlign val="baseline"/>
        <sz val="9"/>
        <color theme="1"/>
        <name val="Arial Nova"/>
        <family val="2"/>
        <scheme val="minor"/>
      </font>
      <fill>
        <patternFill patternType="none">
          <fgColor indexed="64"/>
          <bgColor auto="1"/>
        </patternFill>
      </fill>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9B2241"/>
      <color rgb="FF9B2242"/>
      <color rgb="FFAB2746"/>
      <color rgb="FFBF2B4E"/>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Arial" panose="020B0604020202020204" pitchFamily="34" charset="0"/>
              <a:ea typeface="+mn-lt"/>
              <a:cs typeface="Arial" panose="020B0604020202020204" pitchFamily="34" charset="0"/>
            </a:rPr>
            <a:t>Australian Energy Market Operator (AEMO) has prepared this report in accordance with clauses 4.8.9(f) and 3.13.6A </a:t>
          </a:r>
          <a:r>
            <a:rPr lang="en-US" sz="1000">
              <a:solidFill>
                <a:schemeClr val="tx1"/>
              </a:solidFill>
              <a:latin typeface="Arial" panose="020B0604020202020204" pitchFamily="34" charset="0"/>
              <a:ea typeface="+mn-lt"/>
              <a:cs typeface="Arial" panose="020B0604020202020204" pitchFamily="34" charset="0"/>
            </a:rPr>
            <a:t>of the National Electricity Rules (NER), using information available to AEMO as at 10</a:t>
          </a:r>
          <a:r>
            <a:rPr lang="en-US" sz="1000" baseline="0">
              <a:solidFill>
                <a:schemeClr val="tx1"/>
              </a:solidFill>
              <a:latin typeface="Arial" panose="020B0604020202020204" pitchFamily="34" charset="0"/>
              <a:ea typeface="+mn-lt"/>
              <a:cs typeface="Arial" panose="020B0604020202020204" pitchFamily="34" charset="0"/>
            </a:rPr>
            <a:t> October</a:t>
          </a:r>
          <a:r>
            <a:rPr lang="en-US" sz="1000">
              <a:solidFill>
                <a:schemeClr val="tx1"/>
              </a:solidFill>
              <a:latin typeface="Arial" panose="020B0604020202020204" pitchFamily="34" charset="0"/>
              <a:ea typeface="+mn-lt"/>
              <a:cs typeface="Arial" panose="020B0604020202020204" pitchFamily="34" charset="0"/>
            </a:rPr>
            <a:t> 2024, unless otherwise </a:t>
          </a:r>
          <a:r>
            <a:rPr lang="en-US" sz="1000">
              <a:solidFill>
                <a:schemeClr val="dk1"/>
              </a:solidFill>
              <a:latin typeface="Arial" panose="020B0604020202020204" pitchFamily="34" charset="0"/>
              <a:ea typeface="+mn-lt"/>
              <a:cs typeface="Arial" panose="020B0604020202020204" pitchFamily="34" charset="0"/>
            </a:rPr>
            <a:t>indicated.</a:t>
          </a:r>
          <a:endParaRPr lang="en-US" sz="1100">
            <a:solidFill>
              <a:schemeClr val="dk1"/>
            </a:solidFill>
            <a:latin typeface="Arial" panose="020B0604020202020204" pitchFamily="34" charset="0"/>
            <a:ea typeface="+mn-lt"/>
            <a:cs typeface="Arial" panose="020B0604020202020204" pitchFamily="34" charset="0"/>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Arial" panose="020B0604020202020204" pitchFamily="34" charset="0"/>
              <a:ea typeface="+mn-lt"/>
              <a:cs typeface="Arial" panose="020B0604020202020204" pitchFamily="34" charset="0"/>
            </a:rPr>
            <a:t>Accordingly, to the maximum extent permitted by law, AEMO and its officers, employees and consultants involved in the preparation of this report: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make no representation or warranty, express or implied, as to the currency, accuracy, reliability or completeness of the information in this document; and </a:t>
          </a:r>
          <a:endParaRPr lang="en-US" sz="1000">
            <a:solidFill>
              <a:srgbClr val="C41230"/>
            </a:solidFill>
            <a:latin typeface="Arial" panose="020B0604020202020204" pitchFamily="34" charset="0"/>
            <a:ea typeface="+mn-lt"/>
            <a:cs typeface="Arial" panose="020B0604020202020204" pitchFamily="34" charset="0"/>
          </a:endParaRPr>
        </a:p>
        <a:p>
          <a:pPr marL="0" indent="0" algn="l">
            <a:spcAft>
              <a:spcPts val="300"/>
            </a:spcAft>
          </a:pPr>
          <a:r>
            <a:rPr lang="en-US" sz="1000" baseline="0">
              <a:solidFill>
                <a:schemeClr val="accent2"/>
              </a:solidFill>
              <a:latin typeface="Arial" panose="020B0604020202020204" pitchFamily="34" charset="0"/>
              <a:ea typeface="+mn-lt"/>
              <a:cs typeface="Arial" panose="020B0604020202020204" pitchFamily="34" charset="0"/>
            </a:rPr>
            <a:t>•</a:t>
          </a:r>
          <a:r>
            <a:rPr lang="en-US" sz="1000">
              <a:solidFill>
                <a:schemeClr val="dk1"/>
              </a:solidFill>
              <a:latin typeface="Arial" panose="020B0604020202020204" pitchFamily="34" charset="0"/>
              <a:ea typeface="+mn-lt"/>
              <a:cs typeface="Arial" panose="020B0604020202020204" pitchFamily="34" charset="0"/>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Arial" panose="020B0604020202020204" pitchFamily="34" charset="0"/>
              <a:ea typeface="+mn-ea"/>
              <a:cs typeface="Arial" panose="020B0604020202020204" pitchFamily="34" charset="0"/>
            </a:rPr>
            <a:t>Unless otherwise indicated, terms in this report have the same meanings as those defined in the NER.</a:t>
          </a:r>
        </a:p>
        <a:p>
          <a:r>
            <a:rPr lang="en-US" sz="1000" b="0">
              <a:solidFill>
                <a:schemeClr val="dk1"/>
              </a:solidFill>
              <a:effectLst/>
              <a:latin typeface="Arial" panose="020B0604020202020204" pitchFamily="34" charset="0"/>
              <a:ea typeface="+mn-ea"/>
              <a:cs typeface="Arial" panose="020B0604020202020204" pitchFamily="34" charset="0"/>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464608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9526</xdr:rowOff>
    </xdr:from>
    <xdr:to>
      <xdr:col>11</xdr:col>
      <xdr:colOff>1026583</xdr:colOff>
      <xdr:row>54</xdr:row>
      <xdr:rowOff>84667</xdr:rowOff>
    </xdr:to>
    <xdr:sp macro="" textlink="">
      <xdr:nvSpPr>
        <xdr:cNvPr id="2" name="TextBox 2">
          <a:extLst>
            <a:ext uri="{FF2B5EF4-FFF2-40B4-BE49-F238E27FC236}">
              <a16:creationId xmlns:a16="http://schemas.microsoft.com/office/drawing/2014/main" id="{721769F3-A4D0-4440-A465-31660108D5DE}"/>
            </a:ext>
          </a:extLst>
        </xdr:cNvPr>
        <xdr:cNvSpPr txBox="1"/>
      </xdr:nvSpPr>
      <xdr:spPr>
        <a:xfrm>
          <a:off x="328083" y="676276"/>
          <a:ext cx="13906500" cy="92508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Arial" panose="020B0604020202020204" pitchFamily="34" charset="0"/>
              <a:ea typeface="+mn-ea"/>
              <a:cs typeface="Arial" panose="020B0604020202020204" pitchFamily="34" charset="0"/>
            </a:rPr>
            <a:t>After it issues a direction, AEMO is required to publish a report outlining the matters specified in clause 3.13.6A of the NER. Between 03</a:t>
          </a:r>
          <a:r>
            <a:rPr lang="en-AU" sz="1000" baseline="0">
              <a:solidFill>
                <a:schemeClr val="dk1"/>
              </a:solidFill>
              <a:effectLst/>
              <a:latin typeface="Arial" panose="020B0604020202020204" pitchFamily="34" charset="0"/>
              <a:ea typeface="+mn-ea"/>
              <a:cs typeface="Arial" panose="020B0604020202020204" pitchFamily="34" charset="0"/>
            </a:rPr>
            <a:t> February </a:t>
          </a:r>
          <a:r>
            <a:rPr lang="en-AU" sz="1000" baseline="0">
              <a:solidFill>
                <a:schemeClr val="tx1"/>
              </a:solidFill>
              <a:effectLst/>
              <a:latin typeface="Arial" panose="020B0604020202020204" pitchFamily="34" charset="0"/>
              <a:ea typeface="+mn-ea"/>
              <a:cs typeface="Arial" panose="020B0604020202020204" pitchFamily="34" charset="0"/>
            </a:rPr>
            <a:t>2024 and 02 March 2024</a:t>
          </a:r>
          <a:r>
            <a:rPr lang="en-AU" sz="1000">
              <a:solidFill>
                <a:schemeClr val="tx1"/>
              </a:solidFill>
              <a:effectLst/>
              <a:latin typeface="Arial" panose="020B0604020202020204" pitchFamily="34" charset="0"/>
              <a:ea typeface="+mn-ea"/>
              <a:cs typeface="Arial" panose="020B0604020202020204" pitchFamily="34" charset="0"/>
            </a:rPr>
            <a:t>, AEMO </a:t>
          </a:r>
          <a:r>
            <a:rPr lang="en-AU" sz="1000" b="0" u="none">
              <a:solidFill>
                <a:schemeClr val="tx1"/>
              </a:solidFill>
              <a:effectLst/>
              <a:latin typeface="Arial" panose="020B0604020202020204" pitchFamily="34" charset="0"/>
              <a:ea typeface="+mn-ea"/>
              <a:cs typeface="Arial" panose="020B0604020202020204" pitchFamily="34" charset="0"/>
            </a:rPr>
            <a:t>issued 30 directions to South Australian </a:t>
          </a:r>
          <a:r>
            <a:rPr lang="en-AU" sz="1000">
              <a:solidFill>
                <a:schemeClr val="dk1"/>
              </a:solidFill>
              <a:effectLst/>
              <a:latin typeface="Arial" panose="020B0604020202020204" pitchFamily="34" charset="0"/>
              <a:ea typeface="+mn-ea"/>
              <a:cs typeface="Arial" panose="020B0604020202020204" pitchFamily="34" charset="0"/>
            </a:rPr>
            <a:t>and 4 directions to Victorian Market Participants to maintain power system security. The details relating to these directions are summarised in Table 3.</a:t>
          </a: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p>
        <a:p>
          <a:pPr algn="l">
            <a:spcAft>
              <a:spcPts val="300"/>
            </a:spcAft>
          </a:pPr>
          <a:r>
            <a:rPr lang="en-AU" sz="1100" b="1">
              <a:solidFill>
                <a:sysClr val="windowText" lastClr="000000"/>
              </a:solidFill>
              <a:effectLst/>
              <a:latin typeface="+mj-lt"/>
              <a:ea typeface="+mn-ea"/>
              <a:cs typeface="+mn-cs"/>
            </a:rPr>
            <a:t>South Australian system</a:t>
          </a:r>
          <a:r>
            <a:rPr lang="en-AU" sz="1100" b="1" baseline="0">
              <a:solidFill>
                <a:sysClr val="windowText" lastClr="000000"/>
              </a:solidFill>
              <a:effectLst/>
              <a:latin typeface="+mj-lt"/>
              <a:ea typeface="+mn-ea"/>
              <a:cs typeface="+mn-cs"/>
            </a:rPr>
            <a:t> security directions - 3 February 2024 to 2 March 2024</a:t>
          </a:r>
          <a:endParaRPr lang="en-AU" sz="1100" b="1">
            <a:solidFill>
              <a:sysClr val="windowText" lastClr="000000"/>
            </a:solidFill>
            <a:effectLst/>
            <a:latin typeface="+mj-lt"/>
            <a:ea typeface="+mn-ea"/>
            <a:cs typeface="+mn-cs"/>
          </a:endParaRPr>
        </a:p>
        <a:p>
          <a:r>
            <a:rPr lang="en-AU" sz="1000">
              <a:solidFill>
                <a:schemeClr val="dk1"/>
              </a:solidFill>
              <a:latin typeface="Arial" panose="020B0604020202020204" pitchFamily="34" charset="0"/>
              <a:ea typeface="+mn-ea"/>
              <a:cs typeface="Arial" panose="020B0604020202020204"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endParaRPr lang="en-AU" sz="1100" b="1" baseline="0">
            <a:solidFill>
              <a:sysClr val="windowText" lastClr="000000"/>
            </a:solidFill>
            <a:effectLst/>
            <a:latin typeface="+mj-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AU" sz="1100" b="1" baseline="0">
              <a:solidFill>
                <a:sysClr val="windowText" lastClr="000000"/>
              </a:solidFill>
              <a:effectLst/>
              <a:latin typeface="+mj-lt"/>
              <a:ea typeface="+mn-ea"/>
              <a:cs typeface="+mn-cs"/>
            </a:rPr>
            <a:t>Victorian system security directions - 13 to 15 February 2024 </a:t>
          </a:r>
          <a:br>
            <a:rPr lang="en-AU" sz="1000">
              <a:solidFill>
                <a:schemeClr val="dk1"/>
              </a:solidFill>
              <a:latin typeface="Arial" panose="020B0604020202020204" pitchFamily="34" charset="0"/>
              <a:ea typeface="+mn-ea"/>
              <a:cs typeface="Arial" panose="020B0604020202020204" pitchFamily="34" charset="0"/>
            </a:rPr>
          </a:br>
          <a:r>
            <a:rPr lang="en-AU" sz="1000">
              <a:solidFill>
                <a:schemeClr val="dk1"/>
              </a:solidFill>
              <a:latin typeface="Arial" panose="020B0604020202020204" pitchFamily="34" charset="0"/>
              <a:ea typeface="+mn-ea"/>
              <a:cs typeface="Arial" panose="020B0604020202020204" pitchFamily="34" charset="0"/>
            </a:rPr>
            <a:t>At 1308 hrs on 13 February 2024, the Moorabool (MLTS) – Sydenham (SYTS) No. 1 and 2 500 kilovolt (kV) lines tripped following failure of six 500 kV towers (three on each of the two 500 kV circuits). </a:t>
          </a:r>
          <a:r>
            <a:rPr lang="en-AU" sz="1000">
              <a:latin typeface="Arial" panose="020B0604020202020204" pitchFamily="34" charset="0"/>
              <a:cs typeface="Arial" panose="020B0604020202020204" pitchFamily="34" charset="0"/>
            </a:rPr>
            <a:t>In total, approximately 2,690 megawatts (MW) of generation was lost, and 1,000 MW of load was shaken off in Victoria following the disturbance. As a result of this incident,</a:t>
          </a:r>
          <a:r>
            <a:rPr lang="en-AU" sz="1000" baseline="0">
              <a:latin typeface="Arial" panose="020B0604020202020204" pitchFamily="34" charset="0"/>
              <a:cs typeface="Arial" panose="020B0604020202020204" pitchFamily="34" charset="0"/>
            </a:rPr>
            <a:t> AEMO directed Mortlake Units 11</a:t>
          </a:r>
          <a:r>
            <a:rPr lang="en-AU" sz="1000" baseline="0">
              <a:solidFill>
                <a:schemeClr val="dk1"/>
              </a:solidFill>
              <a:latin typeface="Arial" panose="020B0604020202020204" pitchFamily="34" charset="0"/>
              <a:ea typeface="+mn-ea"/>
              <a:cs typeface="Arial" panose="020B0604020202020204" pitchFamily="34" charset="0"/>
            </a:rPr>
            <a:t> and 12 to </a:t>
          </a:r>
          <a:r>
            <a:rPr lang="en-AU" sz="1100">
              <a:solidFill>
                <a:schemeClr val="dk1"/>
              </a:solidFill>
              <a:effectLst/>
              <a:latin typeface="Arial" panose="020B0604020202020204" pitchFamily="34" charset="0"/>
              <a:ea typeface="+mn-ea"/>
              <a:cs typeface="Arial" panose="020B0604020202020204" pitchFamily="34" charset="0"/>
            </a:rPr>
            <a:t>remain synchronised to maintain power system security</a:t>
          </a:r>
          <a:r>
            <a:rPr lang="en-AU" sz="1100" baseline="0">
              <a:solidFill>
                <a:schemeClr val="dk1"/>
              </a:solidFill>
              <a:effectLst/>
              <a:latin typeface="Arial" panose="020B0604020202020204" pitchFamily="34" charset="0"/>
              <a:ea typeface="+mn-ea"/>
              <a:cs typeface="Arial" panose="020B0604020202020204" pitchFamily="34" charset="0"/>
            </a:rPr>
            <a:t> in Victoria. For more information, refer to the Preliminary Report – Trip of Moorabool – Sydenham 500 kV No. 1 and No. 2 lines on 13 February 2024</a:t>
          </a:r>
          <a:r>
            <a:rPr lang="en-AU" sz="1100" baseline="30000">
              <a:solidFill>
                <a:schemeClr val="dk1"/>
              </a:solidFill>
              <a:effectLst/>
              <a:latin typeface="Arial" panose="020B0604020202020204" pitchFamily="34" charset="0"/>
              <a:ea typeface="+mn-ea"/>
              <a:cs typeface="Arial" panose="020B0604020202020204" pitchFamily="34" charset="0"/>
            </a:rPr>
            <a:t>1</a:t>
          </a:r>
          <a:r>
            <a:rPr lang="en-AU" sz="1100" baseline="0">
              <a:solidFill>
                <a:schemeClr val="dk1"/>
              </a:solidFill>
              <a:effectLst/>
              <a:latin typeface="Arial" panose="020B0604020202020204" pitchFamily="34" charset="0"/>
              <a:ea typeface="+mn-ea"/>
              <a:cs typeface="Arial" panose="020B0604020202020204" pitchFamily="34" charset="0"/>
            </a:rPr>
            <a:t>.</a:t>
          </a:r>
          <a:br>
            <a:rPr lang="en-AU" sz="1100" baseline="0">
              <a:solidFill>
                <a:schemeClr val="dk1"/>
              </a:solidFill>
              <a:effectLst/>
              <a:latin typeface="+mn-lt"/>
              <a:ea typeface="+mn-ea"/>
              <a:cs typeface="+mn-cs"/>
            </a:rPr>
          </a:br>
          <a:br>
            <a:rPr lang="en-AU" sz="1100" b="1" baseline="0">
              <a:solidFill>
                <a:schemeClr val="dk1"/>
              </a:solidFill>
              <a:effectLst/>
              <a:latin typeface="+mj-lt"/>
              <a:ea typeface="+mn-ea"/>
              <a:cs typeface="+mn-cs"/>
            </a:rPr>
          </a:b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AEMO contacted all participants who operate suitable generating units in South Australia 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3.</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Arial" panose="020B0604020202020204" pitchFamily="34" charset="0"/>
              <a:ea typeface="+mn-ea"/>
              <a:cs typeface="Arial" panose="020B0604020202020204"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3</a:t>
          </a:r>
          <a:r>
            <a:rPr lang="en-AU" sz="1000" u="none">
              <a:solidFill>
                <a:schemeClr val="tx1"/>
              </a:solidFill>
              <a:effectLst/>
              <a:latin typeface="Arial" panose="020B0604020202020204" pitchFamily="34" charset="0"/>
              <a:ea typeface="+mn-ea"/>
              <a:cs typeface="Arial" panose="020B0604020202020204" pitchFamily="34" charset="0"/>
            </a:rPr>
            <a:t>,</a:t>
          </a:r>
          <a:r>
            <a:rPr lang="en-AU" sz="1000" u="none" baseline="0">
              <a:solidFill>
                <a:schemeClr val="tx1"/>
              </a:solidFill>
              <a:effectLst/>
              <a:latin typeface="Arial" panose="020B0604020202020204" pitchFamily="34" charset="0"/>
              <a:ea typeface="+mn-ea"/>
              <a:cs typeface="Arial" panose="020B0604020202020204" pitchFamily="34" charset="0"/>
            </a:rPr>
            <a:t> with the exceptions listed in Table 1.</a:t>
          </a:r>
        </a:p>
        <a:p>
          <a:pPr marL="0" marR="0" lvl="0" indent="0" algn="l" defTabSz="914400" eaLnBrk="1" fontAlgn="auto" latinLnBrk="0" hangingPunct="1">
            <a:lnSpc>
              <a:spcPct val="100000"/>
            </a:lnSpc>
            <a:spcBef>
              <a:spcPts val="0"/>
            </a:spcBef>
            <a:spcAft>
              <a:spcPts val="300"/>
            </a:spcAft>
            <a:buClrTx/>
            <a:buSzTx/>
            <a:buFontTx/>
            <a:buNone/>
            <a:tabLst/>
            <a:defRPr/>
          </a:pPr>
          <a:endParaRPr lang="en-AU" sz="1000" u="non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 to dispatch outcomes due to the directions</a:t>
          </a:r>
        </a:p>
        <a:p>
          <a:r>
            <a:rPr lang="en-AU" sz="1000">
              <a:solidFill>
                <a:schemeClr val="tx1"/>
              </a:solidFill>
              <a:effectLst/>
              <a:latin typeface="Arial" panose="020B0604020202020204" pitchFamily="34" charset="0"/>
              <a:ea typeface="+mn-ea"/>
              <a:cs typeface="Arial" panose="020B0604020202020204" pitchFamily="34" charset="0"/>
            </a:rPr>
            <a:t>The directions issued during this reporting period</a:t>
          </a:r>
          <a:r>
            <a:rPr lang="en-AU" sz="1000" baseline="0">
              <a:solidFill>
                <a:schemeClr val="tx1"/>
              </a:solidFill>
              <a:effectLst/>
              <a:latin typeface="Arial" panose="020B0604020202020204" pitchFamily="34" charset="0"/>
              <a:ea typeface="+mn-ea"/>
              <a:cs typeface="Arial" panose="020B0604020202020204" pitchFamily="34" charset="0"/>
            </a:rPr>
            <a:t> </a:t>
          </a:r>
          <a:r>
            <a:rPr lang="en-AU" sz="1000">
              <a:solidFill>
                <a:schemeClr val="tx1"/>
              </a:solidFill>
              <a:effectLst/>
              <a:latin typeface="Arial" panose="020B0604020202020204" pitchFamily="34" charset="0"/>
              <a:ea typeface="+mn-ea"/>
              <a:cs typeface="Arial" panose="020B0604020202020204" pitchFamily="34" charset="0"/>
            </a:rPr>
            <a:t>resulted in approximately a total </a:t>
          </a:r>
          <a:r>
            <a:rPr lang="en-AU" sz="1000" b="0" u="none">
              <a:solidFill>
                <a:schemeClr val="tx1"/>
              </a:solidFill>
              <a:effectLst/>
              <a:latin typeface="Arial" panose="020B0604020202020204" pitchFamily="34" charset="0"/>
              <a:ea typeface="+mn-ea"/>
              <a:cs typeface="Arial" panose="020B0604020202020204" pitchFamily="34" charset="0"/>
            </a:rPr>
            <a:t>of 45,146 megawatt hours </a:t>
          </a:r>
          <a:r>
            <a:rPr lang="en-AU" sz="1000">
              <a:solidFill>
                <a:schemeClr val="tx1"/>
              </a:solidFill>
              <a:effectLst/>
              <a:latin typeface="Arial" panose="020B0604020202020204" pitchFamily="34" charset="0"/>
              <a:ea typeface="+mn-ea"/>
              <a:cs typeface="Arial" panose="020B0604020202020204" pitchFamily="34" charset="0"/>
            </a:rPr>
            <a:t>(MWh) of synchronous generation being directed into the South Australian (23,193 MWh) and Victorian</a:t>
          </a:r>
          <a:r>
            <a:rPr lang="en-AU" sz="1000" baseline="0">
              <a:solidFill>
                <a:schemeClr val="tx1"/>
              </a:solidFill>
              <a:effectLst/>
              <a:latin typeface="Arial" panose="020B0604020202020204" pitchFamily="34" charset="0"/>
              <a:ea typeface="+mn-ea"/>
              <a:cs typeface="Arial" panose="020B0604020202020204" pitchFamily="34" charset="0"/>
            </a:rPr>
            <a:t> (21,953 MWh) </a:t>
          </a:r>
          <a:r>
            <a:rPr lang="en-AU" sz="1000">
              <a:solidFill>
                <a:schemeClr val="tx1"/>
              </a:solidFill>
              <a:effectLst/>
              <a:latin typeface="Arial" panose="020B0604020202020204" pitchFamily="34" charset="0"/>
              <a:ea typeface="+mn-ea"/>
              <a:cs typeface="Arial" panose="020B0604020202020204" pitchFamily="34" charset="0"/>
            </a:rPr>
            <a:t>markets for system security. Table 3 details the amount directed by direction event.</a:t>
          </a:r>
          <a:r>
            <a:rPr lang="en-AU" sz="1000" baseline="0">
              <a:solidFill>
                <a:schemeClr val="tx1"/>
              </a:solidFill>
              <a:effectLst/>
              <a:latin typeface="Arial" panose="020B0604020202020204" pitchFamily="34" charset="0"/>
              <a:ea typeface="+mn-ea"/>
              <a:cs typeface="Arial" panose="020B0604020202020204" pitchFamily="34" charset="0"/>
            </a:rPr>
            <a:t> </a:t>
          </a:r>
        </a:p>
        <a:p>
          <a:endParaRPr lang="en-AU" sz="1000" baseline="0">
            <a:solidFill>
              <a:schemeClr val="tx1"/>
            </a:solidFill>
            <a:effectLst/>
            <a:latin typeface="Arial" panose="020B0604020202020204" pitchFamily="34" charset="0"/>
            <a:ea typeface="+mn-ea"/>
            <a:cs typeface="Arial" panose="020B0604020202020204" pitchFamily="34" charset="0"/>
          </a:endParaRPr>
        </a:p>
        <a:p>
          <a:r>
            <a:rPr lang="en-AU" sz="1000">
              <a:solidFill>
                <a:schemeClr val="tx1"/>
              </a:solidFill>
              <a:effectLst/>
              <a:latin typeface="Arial" panose="020B0604020202020204" pitchFamily="34" charset="0"/>
              <a:ea typeface="+mn-ea"/>
              <a:cs typeface="Arial" panose="020B0604020202020204" pitchFamily="34" charset="0"/>
            </a:rPr>
            <a:t>Intervention pricing did not apply for the events in this report.</a:t>
          </a:r>
          <a:endParaRPr lang="en-AU" sz="1000">
            <a:solidFill>
              <a:schemeClr val="tx1"/>
            </a:solidFill>
            <a:effectLst/>
            <a:latin typeface="Arial" panose="020B0604020202020204" pitchFamily="34" charset="0"/>
            <a:cs typeface="Arial" panose="020B0604020202020204" pitchFamily="34" charset="0"/>
          </a:endParaRPr>
        </a:p>
        <a:p>
          <a:r>
            <a:rPr lang="en-AU" sz="1100">
              <a:solidFill>
                <a:schemeClr val="dk1"/>
              </a:solidFill>
              <a:effectLst/>
              <a:latin typeface="+mn-lt"/>
              <a:ea typeface="+mn-ea"/>
              <a:cs typeface="+mn-cs"/>
            </a:rPr>
            <a:t> </a:t>
          </a:r>
          <a:endParaRPr lang="en-AU" sz="1000">
            <a:effectLst/>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a:t>
          </a:r>
          <a:r>
            <a:rPr lang="en-AU" sz="1400" b="1" baseline="0">
              <a:solidFill>
                <a:srgbClr val="A3519B"/>
              </a:solidFill>
              <a:effectLst/>
              <a:latin typeface="+mj-lt"/>
              <a:ea typeface="+mn-ea"/>
              <a:cs typeface="+mn-cs"/>
            </a:rPr>
            <a:t> cost </a:t>
          </a: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Directions compensation payment and</a:t>
          </a:r>
          <a:r>
            <a:rPr lang="en-AU" sz="1100" b="1" baseline="0">
              <a:solidFill>
                <a:srgbClr val="A3519B"/>
              </a:solidFill>
              <a:effectLst/>
              <a:latin typeface="+mj-lt"/>
              <a:ea typeface="+mn-ea"/>
              <a:cs typeface="+mn-cs"/>
            </a:rPr>
            <a:t> additional compensation claims</a:t>
          </a:r>
          <a:endParaRPr lang="en-AU"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Arial" panose="020B0604020202020204" pitchFamily="34" charset="0"/>
              <a:ea typeface="+mn-ea"/>
              <a:cs typeface="Arial" panose="020B0604020202020204" pitchFamily="34" charset="0"/>
            </a:rPr>
            <a:t>Total amount of compensation paid to each Directed Participant in accordance with NER 3.15.7 and 3.15.7B for the provision of energy directions during this reporting period </a:t>
          </a:r>
          <a:r>
            <a:rPr lang="en-AU" sz="1000" b="0" u="none">
              <a:solidFill>
                <a:schemeClr val="tx1"/>
              </a:solidFill>
              <a:effectLst/>
              <a:latin typeface="Arial" panose="020B0604020202020204" pitchFamily="34" charset="0"/>
              <a:ea typeface="+mn-ea"/>
              <a:cs typeface="Arial" panose="020B0604020202020204" pitchFamily="34" charset="0"/>
            </a:rPr>
            <a:t>was $10,200,604.</a:t>
          </a:r>
          <a:r>
            <a:rPr lang="en-AU" sz="1000">
              <a:solidFill>
                <a:schemeClr val="tx1"/>
              </a:solidFill>
              <a:effectLst/>
              <a:latin typeface="Arial" panose="020B0604020202020204" pitchFamily="34" charset="0"/>
              <a:ea typeface="+mn-ea"/>
              <a:cs typeface="Arial" panose="020B0604020202020204" pitchFamily="34" charset="0"/>
            </a:rPr>
            <a:t> This includes directions compensation payments (DCP) as calculated in accordance with NER 3.15.(c), retained trading amount and </a:t>
          </a:r>
          <a:r>
            <a:rPr lang="en-AU" sz="1000" b="0" u="none">
              <a:solidFill>
                <a:schemeClr val="tx1"/>
              </a:solidFill>
              <a:effectLst/>
              <a:latin typeface="Arial" panose="020B0604020202020204" pitchFamily="34" charset="0"/>
              <a:ea typeface="+mn-ea"/>
              <a:cs typeface="Arial" panose="020B0604020202020204" pitchFamily="34" charset="0"/>
            </a:rPr>
            <a:t>26 claims </a:t>
          </a:r>
          <a:r>
            <a:rPr lang="en-AU" sz="1000">
              <a:solidFill>
                <a:schemeClr val="tx1"/>
              </a:solidFill>
              <a:effectLst/>
              <a:latin typeface="Arial" panose="020B0604020202020204" pitchFamily="34" charset="0"/>
              <a:ea typeface="+mn-ea"/>
              <a:cs typeface="Arial" panose="020B0604020202020204" pitchFamily="34" charset="0"/>
            </a:rPr>
            <a:t>for additional compensation determined by the independent expert (IE) and two claims assessed by AEMO. </a:t>
          </a:r>
          <a:endParaRPr lang="en-AU" sz="1000" b="1" u="sng" baseline="0">
            <a:solidFill>
              <a:schemeClr val="dk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100" b="1">
              <a:solidFill>
                <a:srgbClr val="A3519B"/>
              </a:solidFill>
              <a:effectLst/>
              <a:latin typeface="+mj-lt"/>
              <a:ea typeface="+mn-ea"/>
              <a:cs typeface="+mn-cs"/>
            </a:rPr>
            <a:t>Compensation recovery amount</a:t>
          </a:r>
          <a:endParaRPr lang="en-AU" sz="110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baseline="0">
              <a:solidFill>
                <a:schemeClr val="dk1"/>
              </a:solidFill>
              <a:effectLst/>
              <a:latin typeface="Arial" panose="020B0604020202020204" pitchFamily="34" charset="0"/>
              <a:ea typeface="+mn-ea"/>
              <a:cs typeface="Arial" panose="020B0604020202020204" pitchFamily="34" charset="0"/>
            </a:rPr>
            <a:t>Total compensation </a:t>
          </a:r>
          <a:r>
            <a:rPr lang="en-AU" sz="1000" baseline="0">
              <a:solidFill>
                <a:schemeClr val="tx1"/>
              </a:solidFill>
              <a:effectLst/>
              <a:latin typeface="Arial" panose="020B0604020202020204" pitchFamily="34" charset="0"/>
              <a:ea typeface="+mn-ea"/>
              <a:cs typeface="Arial" panose="020B0604020202020204" pitchFamily="34" charset="0"/>
            </a:rPr>
            <a:t>recovery amount</a:t>
          </a:r>
          <a:r>
            <a:rPr lang="en-AU" sz="1000" baseline="30000">
              <a:solidFill>
                <a:schemeClr val="tx1"/>
              </a:solidFill>
              <a:effectLst/>
              <a:latin typeface="Arial" panose="020B0604020202020204" pitchFamily="34" charset="0"/>
              <a:ea typeface="+mn-ea"/>
              <a:cs typeface="Arial" panose="020B0604020202020204" pitchFamily="34" charset="0"/>
            </a:rPr>
            <a:t>2</a:t>
          </a:r>
          <a:r>
            <a:rPr lang="en-AU" sz="1000" baseline="0">
              <a:solidFill>
                <a:schemeClr val="tx1"/>
              </a:solidFill>
              <a:effectLst/>
              <a:latin typeface="Arial" panose="020B0604020202020204" pitchFamily="34" charset="0"/>
              <a:ea typeface="+mn-ea"/>
              <a:cs typeface="Arial" panose="020B0604020202020204" pitchFamily="34" charset="0"/>
            </a:rPr>
            <a:t> (CRA) during this reporting period was </a:t>
          </a:r>
          <a:r>
            <a:rPr lang="en-AU" sz="1000" b="0" u="none" baseline="0" noProof="0">
              <a:solidFill>
                <a:schemeClr val="tx1"/>
              </a:solidFill>
              <a:effectLst/>
              <a:latin typeface="Arial" panose="020B0604020202020204" pitchFamily="34" charset="0"/>
              <a:ea typeface="+mn-ea"/>
              <a:cs typeface="Arial" panose="020B0604020202020204" pitchFamily="34" charset="0"/>
            </a:rPr>
            <a:t>$9,176,896</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(NER 3.15.8(a)). This amount includes DCP, retained trading amount, additional claims and IE fees payable pursuant to NER 3.12.3 </a:t>
          </a:r>
          <a:r>
            <a:rPr lang="en-AU" sz="1000" b="0" u="none" baseline="0">
              <a:solidFill>
                <a:schemeClr val="tx1"/>
              </a:solidFill>
              <a:effectLst/>
              <a:latin typeface="Arial" panose="020B0604020202020204" pitchFamily="34" charset="0"/>
              <a:ea typeface="+mn-ea"/>
              <a:cs typeface="Arial" panose="020B0604020202020204" pitchFamily="34" charset="0"/>
            </a:rPr>
            <a:t>($9,000). </a:t>
          </a:r>
          <a:r>
            <a:rPr lang="en-AU" sz="1000" baseline="0">
              <a:solidFill>
                <a:schemeClr val="tx1"/>
              </a:solidFill>
              <a:effectLst/>
              <a:latin typeface="Arial" panose="020B0604020202020204" pitchFamily="34" charset="0"/>
              <a:ea typeface="+mn-ea"/>
              <a:cs typeface="Arial" panose="020B0604020202020204" pitchFamily="34" charset="0"/>
            </a:rPr>
            <a:t>Compensation cost recovery amount as calculated in accordance with NER 3.15.8(a) arising from directions is allocated to NEM regions using a regional benefit calculation determined by AEMO in accordance with NER 3.15.8(b1). This is then recovered from Registered Participants in proportion to the energy purchased in each relevant region. The total cost</a:t>
          </a:r>
          <a:r>
            <a:rPr lang="en-AU" sz="1000" b="0" u="none" baseline="0">
              <a:solidFill>
                <a:schemeClr val="tx1"/>
              </a:solidFill>
              <a:effectLst/>
              <a:latin typeface="Arial" panose="020B0604020202020204" pitchFamily="34" charset="0"/>
              <a:ea typeface="+mn-ea"/>
              <a:cs typeface="Arial" panose="020B0604020202020204" pitchFamily="34" charset="0"/>
            </a:rPr>
            <a:t> </a:t>
          </a:r>
          <a:r>
            <a:rPr lang="en-AU" sz="1000" baseline="0">
              <a:solidFill>
                <a:schemeClr val="tx1"/>
              </a:solidFill>
              <a:effectLst/>
              <a:latin typeface="Arial" panose="020B0604020202020204" pitchFamily="34" charset="0"/>
              <a:ea typeface="+mn-ea"/>
              <a:cs typeface="Arial" panose="020B0604020202020204" pitchFamily="34" charset="0"/>
            </a:rPr>
            <a:t>was recovered from Market Customers in South Australia and Victoria.</a:t>
          </a:r>
        </a:p>
        <a:p>
          <a:pPr marL="0" marR="0" lvl="0" indent="0" defTabSz="914400" eaLnBrk="1" fontAlgn="auto" latinLnBrk="0" hangingPunct="1">
            <a:lnSpc>
              <a:spcPct val="100000"/>
            </a:lnSpc>
            <a:spcBef>
              <a:spcPts val="0"/>
            </a:spcBef>
            <a:spcAft>
              <a:spcPts val="0"/>
            </a:spcAft>
            <a:buClrTx/>
            <a:buSzTx/>
            <a:buFontTx/>
            <a:buNone/>
            <a:tabLst/>
            <a:defRPr/>
          </a:pPr>
          <a:endParaRPr lang="en-AU" sz="1000" baseline="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AU" sz="1000" baseline="0">
              <a:solidFill>
                <a:schemeClr val="tx1"/>
              </a:solidFill>
              <a:effectLst/>
              <a:latin typeface="Arial" panose="020B0604020202020204" pitchFamily="34" charset="0"/>
              <a:ea typeface="+mn-ea"/>
              <a:cs typeface="Arial" panose="020B0604020202020204" pitchFamily="34" charset="0"/>
            </a:rPr>
            <a:t>Table 2 provides the total amount of compensation paid to each Directed Participant during this reporting period while Table 3 provides a breakdown of directions compensation, additional claims, IE fees and CRA by direction event. Direction compensation recovery data is also available on AEMO's website</a:t>
          </a:r>
          <a:r>
            <a:rPr lang="en-AU" sz="1000" baseline="30000">
              <a:solidFill>
                <a:schemeClr val="tx1"/>
              </a:solidFill>
              <a:effectLst/>
              <a:latin typeface="Arial" panose="020B0604020202020204" pitchFamily="34" charset="0"/>
              <a:ea typeface="+mn-ea"/>
              <a:cs typeface="Arial" panose="020B0604020202020204" pitchFamily="34" charset="0"/>
            </a:rPr>
            <a:t>3</a:t>
          </a:r>
          <a:r>
            <a:rPr lang="en-AU" sz="1000" baseline="0">
              <a:solidFill>
                <a:schemeClr val="tx1"/>
              </a:solidFill>
              <a:effectLst/>
              <a:latin typeface="Arial" panose="020B0604020202020204" pitchFamily="34" charset="0"/>
              <a:ea typeface="+mn-ea"/>
              <a:cs typeface="Arial" panose="020B0604020202020204" pitchFamily="34" charset="0"/>
            </a:rPr>
            <a: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tx1"/>
              </a:solidFill>
              <a:latin typeface="Arial" panose="020B0604020202020204" pitchFamily="34" charset="0"/>
              <a:ea typeface="+mn-ea"/>
              <a:cs typeface="Arial" panose="020B0604020202020204" pitchFamily="34" charset="0"/>
            </a:rPr>
            <a:t>AEMO considers that it followed all applicable processes under NER 4.8.9 for the management of the directions issued between </a:t>
          </a:r>
          <a:r>
            <a:rPr kumimoji="0" lang="en-AU" sz="1000" b="0" i="0" u="none" strike="noStrike" kern="0" cap="none" spc="0" normalizeH="0" baseline="0" noProof="0">
              <a:ln>
                <a:noFill/>
              </a:ln>
              <a:solidFill>
                <a:schemeClr val="tx1"/>
              </a:solidFill>
              <a:effectLst/>
              <a:uLnTx/>
              <a:uFillTx/>
              <a:latin typeface="Arial" panose="020B0604020202020204" pitchFamily="34" charset="0"/>
              <a:ea typeface="+mn-ea"/>
              <a:cs typeface="Arial" panose="020B0604020202020204" pitchFamily="34" charset="0"/>
            </a:rPr>
            <a:t>3 February </a:t>
          </a:r>
          <a:r>
            <a:rPr lang="en-AU" sz="1000" baseline="0">
              <a:solidFill>
                <a:schemeClr val="tx1"/>
              </a:solidFill>
              <a:latin typeface="Arial" panose="020B0604020202020204" pitchFamily="34" charset="0"/>
              <a:ea typeface="+mn-ea"/>
              <a:cs typeface="Arial" panose="020B0604020202020204" pitchFamily="34" charset="0"/>
            </a:rPr>
            <a:t>2024</a:t>
          </a:r>
          <a:r>
            <a:rPr lang="en-AU" sz="1000">
              <a:solidFill>
                <a:schemeClr val="tx1"/>
              </a:solidFill>
              <a:latin typeface="Arial" panose="020B0604020202020204" pitchFamily="34" charset="0"/>
              <a:ea typeface="+mn-ea"/>
              <a:cs typeface="Arial" panose="020B0604020202020204" pitchFamily="34" charset="0"/>
            </a:rPr>
            <a:t> and 2</a:t>
          </a:r>
          <a:r>
            <a:rPr lang="en-AU" sz="1000" baseline="0">
              <a:solidFill>
                <a:schemeClr val="tx1"/>
              </a:solidFill>
              <a:latin typeface="Arial" panose="020B0604020202020204" pitchFamily="34" charset="0"/>
              <a:ea typeface="+mn-ea"/>
              <a:cs typeface="Arial" panose="020B0604020202020204" pitchFamily="34" charset="0"/>
            </a:rPr>
            <a:t> March 2024</a:t>
          </a:r>
          <a:r>
            <a:rPr lang="en-AU" sz="1000">
              <a:solidFill>
                <a:schemeClr val="tx1"/>
              </a:solidFill>
              <a:latin typeface="Arial" panose="020B0604020202020204" pitchFamily="34" charset="0"/>
              <a:ea typeface="+mn-ea"/>
              <a:cs typeface="Arial" panose="020B0604020202020204" pitchFamily="34" charset="0"/>
            </a:rPr>
            <a:t>.</a:t>
          </a:r>
        </a:p>
        <a:p>
          <a:pPr>
            <a:spcAft>
              <a:spcPts val="300"/>
            </a:spcAft>
          </a:pPr>
          <a:endParaRPr lang="en-AU" sz="1000" b="1">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baseline="0">
              <a:solidFill>
                <a:srgbClr val="A3519B"/>
              </a:solidFill>
              <a:effectLst/>
              <a:latin typeface="+mj-lt"/>
              <a:ea typeface="+mn-ea"/>
              <a:cs typeface="Arial" panose="020B0604020202020204" pitchFamily="34" charset="0"/>
            </a:rPr>
            <a:t>Adequacy of responses to AEMO inquiries</a:t>
          </a: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Arial" panose="020B0604020202020204" pitchFamily="34" charset="0"/>
              <a:ea typeface="+mn-ea"/>
              <a:cs typeface="Arial" panose="020B0604020202020204"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a:t>
          </a:r>
          <a:r>
            <a:rPr kumimoji="0" lang="en-AU" sz="1000" b="0" i="0" u="none" strike="noStrike" kern="0" cap="none" spc="0" normalizeH="0" baseline="0" noProof="0">
              <a:ln>
                <a:noFill/>
              </a:ln>
              <a:solidFill>
                <a:srgbClr val="424242"/>
              </a:solidFill>
              <a:effectLst/>
              <a:uLnTx/>
              <a:uFillTx/>
              <a:latin typeface="Arial" panose="020B0604020202020204" pitchFamily="34" charset="0"/>
              <a:ea typeface="+mn-ea"/>
              <a:cs typeface="Arial" panose="020B0604020202020204" pitchFamily="34" charset="0"/>
            </a:rPr>
            <a:t>3 February 2024 and 2 March 2024.</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endParaRPr lang="en-AU" sz="1100">
            <a:solidFill>
              <a:schemeClr val="dk1"/>
            </a:solidFill>
            <a:latin typeface="Arial" panose="020B0604020202020204" pitchFamily="34" charset="0"/>
            <a:ea typeface="+mn-ea"/>
            <a:cs typeface="Arial" panose="020B0604020202020204" pitchFamily="34" charset="0"/>
          </a:endParaRPr>
        </a:p>
        <a:p>
          <a:pPr>
            <a:spcAft>
              <a:spcPts val="300"/>
            </a:spcAft>
          </a:pPr>
          <a:r>
            <a:rPr lang="en-AU" sz="1400" b="1">
              <a:solidFill>
                <a:srgbClr val="A3519B"/>
              </a:solidFill>
              <a:effectLst/>
              <a:latin typeface="+mj-lt"/>
              <a:ea typeface="+mn-ea"/>
              <a:cs typeface="Arial" panose="020B0604020202020204" pitchFamily="34" charset="0"/>
            </a:rPr>
            <a:t>AEMO satisfaction with</a:t>
          </a:r>
          <a:r>
            <a:rPr lang="en-AU" sz="1400" b="1" baseline="0">
              <a:solidFill>
                <a:srgbClr val="A3519B"/>
              </a:solidFill>
              <a:effectLst/>
              <a:latin typeface="+mj-lt"/>
              <a:ea typeface="+mn-ea"/>
              <a:cs typeface="Arial" panose="020B0604020202020204" pitchFamily="34" charset="0"/>
            </a:rPr>
            <a:t> direction process</a:t>
          </a:r>
          <a:endParaRPr lang="en-AU" sz="1000">
            <a:solidFill>
              <a:schemeClr val="dk1"/>
            </a:solidFill>
            <a:latin typeface="+mj-lt"/>
            <a:ea typeface="+mn-ea"/>
            <a:cs typeface="Arial" panose="020B0604020202020204" pitchFamily="34" charset="0"/>
          </a:endParaRPr>
        </a:p>
        <a:p>
          <a:pPr>
            <a:spcAft>
              <a:spcPts val="300"/>
            </a:spcAft>
          </a:pPr>
          <a:r>
            <a:rPr lang="en-AU" sz="1000">
              <a:solidFill>
                <a:schemeClr val="tx1"/>
              </a:solidFill>
              <a:latin typeface="Arial" panose="020B0604020202020204" pitchFamily="34" charset="0"/>
              <a:ea typeface="+mn-ea"/>
              <a:cs typeface="Arial" panose="020B0604020202020204" pitchFamily="34" charset="0"/>
            </a:rPr>
            <a:t>AEMO is satisfied that, other than the issues outlined in the Assessment of market response</a:t>
          </a:r>
          <a:r>
            <a:rPr lang="en-AU" sz="1000" baseline="0">
              <a:solidFill>
                <a:schemeClr val="tx1"/>
              </a:solidFill>
              <a:latin typeface="Arial" panose="020B0604020202020204" pitchFamily="34" charset="0"/>
              <a:ea typeface="+mn-ea"/>
              <a:cs typeface="Arial" panose="020B0604020202020204" pitchFamily="34" charset="0"/>
            </a:rPr>
            <a:t> and latest time to intervene section,</a:t>
          </a:r>
          <a:r>
            <a:rPr lang="en-AU" sz="1000">
              <a:solidFill>
                <a:schemeClr val="tx1"/>
              </a:solidFill>
              <a:latin typeface="Arial" panose="020B0604020202020204" pitchFamily="34" charset="0"/>
              <a:ea typeface="+mn-ea"/>
              <a:cs typeface="Arial" panose="020B0604020202020204" pitchFamily="34" charset="0"/>
            </a:rPr>
            <a:t> 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Arial" panose="020B0604020202020204" pitchFamily="34" charset="0"/>
              <a:ea typeface="+mn-ea"/>
              <a:cs typeface="Arial" panose="020B0604020202020204"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spcAft>
              <a:spcPts val="300"/>
            </a:spcAft>
          </a:pPr>
          <a:r>
            <a:rPr lang="en-AU" sz="1000">
              <a:solidFill>
                <a:schemeClr val="dk1"/>
              </a:solidFill>
              <a:latin typeface="Arial" panose="020B0604020202020204" pitchFamily="34" charset="0"/>
              <a:ea typeface="+mn-ea"/>
              <a:cs typeface="Arial" panose="020B0604020202020204" pitchFamily="34" charset="0"/>
            </a:rPr>
            <a:t>AEMO is also satisfied with the timeliness and adequacy of participant responses and communication throughout.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Arial" panose="020B0604020202020204" pitchFamily="34" charset="0"/>
              <a:cs typeface="Arial" panose="020B0604020202020204" pitchFamily="34" charset="0"/>
            </a:rPr>
            <a:t>The recovery rates published in this report are calculated by dividing the compensation recovery amount (CRA) by the total regional customer energy (TCE). TCE refers to</a:t>
          </a:r>
          <a:r>
            <a:rPr lang="en-AU" sz="1000" baseline="0">
              <a:latin typeface="Arial" panose="020B0604020202020204" pitchFamily="34" charset="0"/>
              <a:cs typeface="Arial" panose="020B0604020202020204" pitchFamily="34" charset="0"/>
            </a:rPr>
            <a:t> the </a:t>
          </a:r>
          <a:r>
            <a:rPr lang="en-AU" sz="1000">
              <a:latin typeface="Arial" panose="020B0604020202020204" pitchFamily="34" charset="0"/>
              <a:cs typeface="Arial" panose="020B0604020202020204"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reporting period start corresponds with the date and time of issuing the first direction covered in this report</a:t>
          </a:r>
          <a:r>
            <a:rPr lang="en-AU" sz="1000" baseline="0">
              <a:solidFill>
                <a:schemeClr val="dk1"/>
              </a:solidFill>
              <a:latin typeface="Arial" panose="020B0604020202020204" pitchFamily="34" charset="0"/>
              <a:ea typeface="+mn-ea"/>
              <a:cs typeface="Arial" panose="020B0604020202020204" pitchFamily="34" charset="0"/>
            </a:rPr>
            <a:t> while</a:t>
          </a:r>
          <a:r>
            <a:rPr lang="en-AU" sz="1000">
              <a:solidFill>
                <a:schemeClr val="dk1"/>
              </a:solidFill>
              <a:latin typeface="Arial" panose="020B0604020202020204" pitchFamily="34" charset="0"/>
              <a:ea typeface="+mn-ea"/>
              <a:cs typeface="Arial" panose="020B0604020202020204" pitchFamily="34" charset="0"/>
            </a:rPr>
            <a:t> the reporting period end corresponds with the date and time of the cancellation of the last direction.</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represent the unit cost of directions to Market Customers in a region, and is expressed in dollars per megawatt hours (MWh)</a:t>
          </a:r>
          <a:r>
            <a:rPr lang="en-AU" sz="1000" baseline="0">
              <a:solidFill>
                <a:schemeClr val="dk1"/>
              </a:solidFill>
              <a:latin typeface="Arial" panose="020B0604020202020204" pitchFamily="34" charset="0"/>
              <a:ea typeface="+mn-ea"/>
              <a:cs typeface="Arial" panose="020B0604020202020204" pitchFamily="34" charset="0"/>
            </a:rPr>
            <a:t> </a:t>
          </a:r>
          <a:r>
            <a:rPr lang="en-AU" sz="1000">
              <a:solidFill>
                <a:schemeClr val="dk1"/>
              </a:solidFill>
              <a:latin typeface="Arial" panose="020B0604020202020204" pitchFamily="34" charset="0"/>
              <a:ea typeface="+mn-ea"/>
              <a:cs typeface="Arial" panose="020B0604020202020204" pitchFamily="34" charset="0"/>
            </a:rPr>
            <a:t>in five-minute granularity</a:t>
          </a:r>
          <a:r>
            <a:rPr lang="en-AU" sz="1000">
              <a:solidFill>
                <a:sysClr val="windowText" lastClr="000000"/>
              </a:solidFill>
              <a:latin typeface="Arial" panose="020B0604020202020204" pitchFamily="34" charset="0"/>
              <a:ea typeface="+mn-ea"/>
              <a:cs typeface="Arial" panose="020B0604020202020204" pitchFamily="34" charset="0"/>
            </a:rPr>
            <a:t>.</a:t>
          </a:r>
        </a:p>
        <a:p>
          <a:pPr algn="l">
            <a:spcAft>
              <a:spcPts val="300"/>
            </a:spcAft>
          </a:pPr>
          <a:endParaRPr lang="en-AU" sz="1000">
            <a:solidFill>
              <a:schemeClr val="dk1"/>
            </a:solidFill>
            <a:latin typeface="Arial" panose="020B0604020202020204" pitchFamily="34" charset="0"/>
            <a:ea typeface="+mn-ea"/>
            <a:cs typeface="Arial" panose="020B0604020202020204" pitchFamily="34" charset="0"/>
          </a:endParaRPr>
        </a:p>
        <a:p>
          <a:pPr algn="l">
            <a:spcAft>
              <a:spcPts val="300"/>
            </a:spcAft>
          </a:pPr>
          <a:r>
            <a:rPr lang="en-AU" sz="1000">
              <a:solidFill>
                <a:schemeClr val="dk1"/>
              </a:solidFill>
              <a:latin typeface="Arial" panose="020B0604020202020204" pitchFamily="34" charset="0"/>
              <a:ea typeface="+mn-ea"/>
              <a:cs typeface="Arial" panose="020B0604020202020204" pitchFamily="34" charset="0"/>
            </a:rPr>
            <a:t>The recovery rates at the end of the reporting period may contain direction costs that are not reported in the 'Summary and directions assessment' and</a:t>
          </a:r>
          <a:r>
            <a:rPr lang="en-AU" sz="1000" baseline="0">
              <a:solidFill>
                <a:schemeClr val="dk1"/>
              </a:solidFill>
              <a:latin typeface="Arial" panose="020B0604020202020204" pitchFamily="34" charset="0"/>
              <a:ea typeface="+mn-ea"/>
              <a:cs typeface="Arial" panose="020B0604020202020204" pitchFamily="34" charset="0"/>
            </a:rPr>
            <a:t> 'Directions cost &amp; directed MWh'</a:t>
          </a:r>
          <a:r>
            <a:rPr lang="en-AU" sz="1000">
              <a:solidFill>
                <a:schemeClr val="dk1"/>
              </a:solidFill>
              <a:latin typeface="Arial" panose="020B0604020202020204" pitchFamily="34" charset="0"/>
              <a:ea typeface="+mn-ea"/>
              <a:cs typeface="Arial" panose="020B0604020202020204"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Arial" panose="020B0604020202020204" pitchFamily="34" charset="0"/>
            <a:cs typeface="Arial" panose="020B0604020202020204" pitchFamily="34" charset="0"/>
          </a:endParaRPr>
        </a:p>
        <a:p>
          <a:pPr algn="l">
            <a:spcAft>
              <a:spcPts val="300"/>
            </a:spcAft>
          </a:pPr>
          <a:r>
            <a:rPr lang="en-AU" sz="1000">
              <a:latin typeface="Arial" panose="020B0604020202020204" pitchFamily="34" charset="0"/>
              <a:cs typeface="Arial" panose="020B0604020202020204"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81:R270" totalsRowShown="0" headerRowDxfId="18" dataDxfId="17" headerRowBorderDxfId="16">
  <sortState xmlns:xlrd2="http://schemas.microsoft.com/office/spreadsheetml/2017/richdata2" ref="C81:J81">
    <sortCondition ref="F81"/>
  </sortState>
  <tableColumns count="16">
    <tableColumn id="1" xr3:uid="{30EE5164-0336-4D85-906A-665AB9C83737}" name="Directed unit" dataDxfId="15">
      <calculatedColumnFormula>#REF!</calculatedColumnFormula>
    </tableColumn>
    <tableColumn id="2" xr3:uid="{2B81A360-5A7E-47C0-9BB0-895180F62537}" name="Directed Participant" dataDxfId="14">
      <calculatedColumnFormula>#REF!</calculatedColumnFormula>
    </tableColumn>
    <tableColumn id="14" xr3:uid="{D49BFD28-7595-4EAA-8AC0-C0E0EBBCE7F4}" name="Region" dataDxfId="13">
      <calculatedColumnFormula>#REF!</calculatedColumnFormula>
    </tableColumn>
    <tableColumn id="4" xr3:uid="{5B2DC161-801B-4D76-A22B-17B40CA4790B}" name="Issue time" dataDxfId="12">
      <calculatedColumnFormula>#REF!</calculatedColumnFormula>
    </tableColumn>
    <tableColumn id="13" xr3:uid="{B512BCA3-E1DA-4FA3-A261-73AAFCE1AE45}" name="Effective time" dataDxfId="11">
      <calculatedColumnFormula>#REF!</calculatedColumnFormula>
    </tableColumn>
    <tableColumn id="5" xr3:uid="{98ECA5DA-19D8-4B73-9B2C-6435860C0D33}" name="Cancellation time" dataDxfId="10">
      <calculatedColumnFormula>#REF!</calculatedColumnFormula>
    </tableColumn>
    <tableColumn id="3" xr3:uid="{BC06CEBB-673D-4C08-9292-A0DD63EBFBFA}" name="Directed resource type" dataDxfId="9">
      <calculatedColumnFormula>#REF!</calculatedColumnFormula>
    </tableColumn>
    <tableColumn id="6" xr3:uid="{361D00D8-15B6-48AD-B82A-565D1EFF8ADB}" name="Reason" dataDxfId="8">
      <calculatedColumnFormula>#REF!</calculatedColumnFormula>
    </tableColumn>
    <tableColumn id="7" xr3:uid="{3CC772AB-C8D4-45A7-9DA1-9B88DEAA288E}" name="Direction instruction" dataDxfId="7">
      <calculatedColumnFormula>#REF!</calculatedColumnFormula>
    </tableColumn>
    <tableColumn id="8" xr3:uid="{6335283E-A785-4EBC-99BE-BB0B1E2B0991}" name="Market Notice for the latest time to intervene" dataDxfId="6">
      <calculatedColumnFormula>#REF!</calculatedColumnFormula>
    </tableColumn>
    <tableColumn id="9" xr3:uid="{D14450E1-46B6-4775-8338-FCAA98BFAC69}" name="Directed MWh" dataDxfId="5">
      <calculatedColumnFormula>#REF!</calculatedColumnFormula>
    </tableColumn>
    <tableColumn id="10" xr3:uid="{72F51D62-4D93-4C1C-8143-3CE6E84E17AE}" name="Direction compensation payment ($)" dataDxfId="4">
      <calculatedColumnFormula>#REF!</calculatedColumnFormula>
    </tableColumn>
    <tableColumn id="12" xr3:uid="{D9EB71AE-D769-4C1E-BCE5-3C6ABFE8EB2C}" name="Retained trading amount ($)3" dataDxfId="3">
      <calculatedColumnFormula>#REF!</calculatedColumnFormula>
    </tableColumn>
    <tableColumn id="15" xr3:uid="{838C018E-2D60-403D-AF78-03D149A60AB8}" name="Additional compensation ($)4" dataDxfId="2">
      <calculatedColumnFormula>#REF!</calculatedColumnFormula>
    </tableColumn>
    <tableColumn id="16" xr3:uid="{F992D6C8-EC10-48A1-B5E1-BCB3E36CB0FA}" name="Independent expert fee ($)" dataDxfId="1">
      <calculatedColumnFormula>#REF!</calculatedColumnFormula>
    </tableColumn>
    <tableColumn id="17" xr3:uid="{84019B6D-1F92-4037-A53B-EA051B2AFA26}" name="Compensation recovery amount ($)"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emo.com.au/-/media/files/electricity/nem/market_notices_and_events/power_system_incident_reports/2024/preliminary-report---loss-of-moorabool---sydenham-500-kv-lines-on-13-feb-2024.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5" Type="http://schemas.openxmlformats.org/officeDocument/2006/relationships/table" Target="../tables/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zoomScaleNormal="100" zoomScaleSheetLayoutView="90" zoomScalePageLayoutView="110" workbookViewId="0">
      <selection activeCell="M9" sqref="M9"/>
    </sheetView>
  </sheetViews>
  <sheetFormatPr defaultRowHeight="15"/>
  <cols>
    <col min="1" max="1" width="4.25" customWidth="1"/>
    <col min="4" max="4" width="10" customWidth="1"/>
  </cols>
  <sheetData>
    <row r="2" spans="2:9" ht="23.25" thickBot="1">
      <c r="B2" s="73" t="s">
        <v>0</v>
      </c>
      <c r="C2" s="73"/>
      <c r="D2" s="73"/>
      <c r="E2" s="73"/>
      <c r="F2" s="73"/>
      <c r="G2" s="73"/>
      <c r="H2" s="30"/>
      <c r="I2" s="30"/>
    </row>
    <row r="33" spans="2:2" ht="18">
      <c r="B33" s="23" t="s">
        <v>1</v>
      </c>
    </row>
    <row r="38" spans="2:2" ht="14.1" customHeight="1"/>
    <row r="39" spans="2:2" ht="14.1" customHeight="1"/>
    <row r="40" spans="2:2" ht="14.1" customHeight="1"/>
    <row r="41" spans="2:2" ht="14.1" customHeight="1"/>
    <row r="42" spans="2:2" ht="14.1" customHeight="1"/>
    <row r="43" spans="2:2" ht="14.1" customHeight="1"/>
    <row r="44" spans="2:2" ht="14.1" customHeight="1"/>
    <row r="45" spans="2:2" ht="14.1" customHeight="1"/>
    <row r="46" spans="2:2" ht="14.1" customHeight="1"/>
    <row r="47" spans="2:2" ht="14.1" customHeight="1"/>
    <row r="48" spans="2:2" ht="14.1" customHeight="1"/>
    <row r="49" spans="2:9" ht="14.1" customHeight="1"/>
    <row r="50" spans="2:9" ht="14.1" customHeight="1">
      <c r="B50" s="47" t="s">
        <v>2</v>
      </c>
      <c r="C50" s="36"/>
      <c r="D50" s="36"/>
      <c r="E50" s="36"/>
      <c r="F50" s="36"/>
      <c r="G50" s="48"/>
      <c r="H50" s="36"/>
      <c r="I50" s="36"/>
    </row>
    <row r="51" spans="2:9" ht="14.1" customHeight="1"/>
  </sheetData>
  <sheetProtection algorithmName="SHA-512" hashValue="66IwCJskvwQ0Z+0gKtMVncd79P4FjG1zRreTuZauR1z1+ce2PqG0Gu4oeQBsIGTs3YqKuAnqdxjrXflHY1fgJw==" saltValue="0rWk7lafrI2sHFmexl5ciQ=="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W270"/>
  <sheetViews>
    <sheetView showGridLines="0" zoomScale="90" zoomScaleNormal="90" workbookViewId="0">
      <selection activeCell="B58" sqref="B58"/>
    </sheetView>
  </sheetViews>
  <sheetFormatPr defaultRowHeight="15"/>
  <cols>
    <col min="1" max="1" width="4.25" customWidth="1"/>
    <col min="2" max="2" width="12.625" customWidth="1"/>
    <col min="3" max="3" width="13" bestFit="1" customWidth="1"/>
    <col min="4" max="4" width="23.875" customWidth="1"/>
    <col min="5" max="5" width="16.375" customWidth="1"/>
    <col min="6" max="6" width="15.375" customWidth="1"/>
    <col min="7" max="7" width="14.75" bestFit="1" customWidth="1"/>
    <col min="8" max="8" width="16.625" customWidth="1"/>
    <col min="9" max="9" width="22.375" bestFit="1" customWidth="1"/>
    <col min="10" max="10" width="16.625" customWidth="1"/>
    <col min="11" max="11" width="17.25" customWidth="1"/>
    <col min="12" max="12" width="16.125" customWidth="1"/>
    <col min="13" max="18" width="15.625" customWidth="1"/>
    <col min="19" max="19" width="10.875" bestFit="1" customWidth="1"/>
  </cols>
  <sheetData>
    <row r="2" spans="2:15" ht="24" thickBot="1">
      <c r="B2" s="22" t="s">
        <v>3</v>
      </c>
      <c r="C2" s="20"/>
      <c r="D2" s="20"/>
      <c r="E2" s="20"/>
      <c r="F2" s="20"/>
      <c r="G2" s="20"/>
      <c r="H2" s="20"/>
      <c r="I2" s="20"/>
      <c r="J2" s="20"/>
      <c r="K2" s="20"/>
      <c r="L2" s="20"/>
      <c r="M2" s="20"/>
      <c r="N2" s="20"/>
      <c r="O2" s="20"/>
    </row>
    <row r="3" spans="2:15" ht="14.25" customHeight="1">
      <c r="C3" s="18"/>
    </row>
    <row r="5" spans="2:15" s="10" customFormat="1"/>
    <row r="27" spans="18:18">
      <c r="R27" s="10"/>
    </row>
    <row r="34" spans="2:2">
      <c r="B34" s="33" t="s">
        <v>4</v>
      </c>
    </row>
    <row r="56" spans="2:13">
      <c r="B56" s="34" t="s">
        <v>5</v>
      </c>
    </row>
    <row r="57" spans="2:13">
      <c r="B57" s="34" t="s">
        <v>6</v>
      </c>
    </row>
    <row r="58" spans="2:13">
      <c r="B58" s="35" t="s">
        <v>7</v>
      </c>
    </row>
    <row r="59" spans="2:13">
      <c r="B59" s="34" t="s">
        <v>8</v>
      </c>
    </row>
    <row r="60" spans="2:13">
      <c r="B60" s="34" t="s">
        <v>9</v>
      </c>
    </row>
    <row r="61" spans="2:13">
      <c r="B61" s="34"/>
    </row>
    <row r="63" spans="2:13" ht="19.5" customHeight="1">
      <c r="B63" s="33" t="s">
        <v>4</v>
      </c>
    </row>
    <row r="64" spans="2:13">
      <c r="B64" s="76" t="s">
        <v>10</v>
      </c>
      <c r="C64" s="76"/>
      <c r="D64" s="76"/>
      <c r="E64" s="76"/>
      <c r="F64" s="76"/>
      <c r="G64" s="76"/>
      <c r="H64" s="76"/>
      <c r="I64" s="76"/>
      <c r="J64" s="76"/>
      <c r="K64" s="76"/>
      <c r="L64" s="76"/>
      <c r="M64" s="76"/>
    </row>
    <row r="65" spans="2:19" ht="43.5" customHeight="1">
      <c r="B65" s="31" t="s">
        <v>11</v>
      </c>
      <c r="C65" s="31" t="s">
        <v>12</v>
      </c>
      <c r="D65" s="31" t="s">
        <v>13</v>
      </c>
      <c r="E65" s="31" t="s">
        <v>14</v>
      </c>
      <c r="F65" s="31" t="s">
        <v>15</v>
      </c>
      <c r="G65" s="31" t="s">
        <v>16</v>
      </c>
      <c r="H65" s="31" t="s">
        <v>17</v>
      </c>
      <c r="I65" s="75" t="s">
        <v>18</v>
      </c>
      <c r="J65" s="75"/>
      <c r="K65" s="75" t="s">
        <v>19</v>
      </c>
      <c r="L65" s="75"/>
      <c r="M65" s="49"/>
    </row>
    <row r="66" spans="2:19" ht="14.25" customHeight="1">
      <c r="B66" s="53"/>
      <c r="C66" s="53"/>
      <c r="D66" s="53"/>
      <c r="E66" s="53"/>
      <c r="F66" s="56"/>
      <c r="G66" s="56"/>
      <c r="H66" s="56"/>
      <c r="I66" s="53"/>
      <c r="J66" s="53"/>
      <c r="K66" s="77"/>
      <c r="L66" s="77"/>
      <c r="M66" s="77"/>
    </row>
    <row r="67" spans="2:19" ht="14.25" customHeight="1">
      <c r="B67" s="53"/>
      <c r="C67" s="53"/>
      <c r="D67" s="53"/>
      <c r="E67" s="53"/>
      <c r="F67" s="56"/>
      <c r="G67" s="56"/>
      <c r="H67" s="56"/>
      <c r="I67" s="53"/>
      <c r="J67" s="53"/>
      <c r="K67" s="74"/>
      <c r="L67" s="74"/>
      <c r="M67" s="74"/>
    </row>
    <row r="69" spans="2:19" ht="19.5" customHeight="1">
      <c r="B69" s="33" t="s">
        <v>20</v>
      </c>
      <c r="N69" s="29"/>
      <c r="R69" s="29"/>
    </row>
    <row r="70" spans="2:19">
      <c r="B70" s="62" t="s">
        <v>21</v>
      </c>
      <c r="C70" s="52"/>
      <c r="D70" s="52"/>
      <c r="E70" s="52"/>
      <c r="F70" s="52"/>
      <c r="N70" s="29"/>
      <c r="R70" s="29"/>
    </row>
    <row r="71" spans="2:19" ht="39.950000000000003" customHeight="1">
      <c r="B71" s="63" t="s">
        <v>13</v>
      </c>
      <c r="C71" s="63"/>
      <c r="D71" s="32" t="str">
        <f>N81</f>
        <v>Direction compensation payment ($)</v>
      </c>
      <c r="E71" s="32" t="s">
        <v>22</v>
      </c>
      <c r="F71" s="32" t="s">
        <v>23</v>
      </c>
      <c r="N71" s="29"/>
      <c r="R71" s="29"/>
    </row>
    <row r="72" spans="2:19">
      <c r="B72" s="50" t="str" cm="1">
        <f t="array" ref="B72:B74">_xlfn.UNIQUE($D$82:$D$115)</f>
        <v>Synergen Power Pty Limited</v>
      </c>
      <c r="D72" s="64">
        <v>616694.60030030611</v>
      </c>
      <c r="E72" s="64">
        <v>-81204.065448370005</v>
      </c>
      <c r="F72" s="64">
        <v>1044240.162162487</v>
      </c>
      <c r="N72" s="29"/>
      <c r="R72" s="29"/>
    </row>
    <row r="73" spans="2:19">
      <c r="B73" s="50" t="str">
        <v>AGL SA Generation Pty Limited</v>
      </c>
      <c r="D73" s="64">
        <v>3533135.629331355</v>
      </c>
      <c r="E73" s="64">
        <v>168388.05605492005</v>
      </c>
      <c r="F73" s="64">
        <v>1393233.0327767523</v>
      </c>
      <c r="N73" s="29"/>
      <c r="R73" s="29"/>
    </row>
    <row r="74" spans="2:19">
      <c r="B74" s="50" t="str">
        <v>Origin Energy Electricity Limited</v>
      </c>
      <c r="D74" s="64">
        <v>3096946.8417912098</v>
      </c>
      <c r="E74" s="64">
        <v>429169.88347481005</v>
      </c>
      <c r="F74" s="64">
        <v>0</v>
      </c>
      <c r="N74" s="29"/>
      <c r="R74" s="29"/>
    </row>
    <row r="75" spans="2:19">
      <c r="B75" s="50"/>
      <c r="D75" s="64"/>
      <c r="E75" s="64"/>
      <c r="F75" s="64"/>
      <c r="N75" s="29"/>
      <c r="R75" s="29"/>
    </row>
    <row r="76" spans="2:19">
      <c r="B76" s="65" t="s">
        <v>24</v>
      </c>
      <c r="C76" s="66"/>
      <c r="D76" s="67">
        <v>7246777.0714228712</v>
      </c>
      <c r="E76" s="67">
        <v>516353.87408136006</v>
      </c>
      <c r="F76" s="67">
        <v>2437473.1949392394</v>
      </c>
      <c r="G76" s="29"/>
      <c r="N76" s="29"/>
      <c r="R76" s="29"/>
    </row>
    <row r="77" spans="2:19">
      <c r="N77" s="29"/>
      <c r="R77" s="29"/>
    </row>
    <row r="78" spans="2:19">
      <c r="N78" s="29"/>
      <c r="O78" s="29"/>
      <c r="P78" s="29"/>
      <c r="Q78" s="29"/>
      <c r="R78" s="29"/>
    </row>
    <row r="79" spans="2:19" ht="19.5" customHeight="1">
      <c r="B79" s="33" t="s">
        <v>25</v>
      </c>
      <c r="M79" s="71"/>
      <c r="N79" s="71"/>
      <c r="O79" s="71"/>
      <c r="P79" s="71"/>
      <c r="Q79" s="71"/>
      <c r="R79" s="71"/>
      <c r="S79" s="29"/>
    </row>
    <row r="80" spans="2:19">
      <c r="B80" s="52" t="s">
        <v>26</v>
      </c>
      <c r="C80" s="52"/>
      <c r="D80" s="52"/>
      <c r="E80" s="52"/>
      <c r="F80" s="52"/>
      <c r="G80" s="52"/>
      <c r="H80" s="52"/>
      <c r="I80" s="52"/>
      <c r="J80" s="52"/>
      <c r="K80" s="52"/>
      <c r="L80" s="52"/>
      <c r="M80" s="52"/>
      <c r="N80" s="52"/>
      <c r="O80" s="52"/>
      <c r="P80" s="52"/>
      <c r="Q80" s="52"/>
      <c r="R80" s="52"/>
    </row>
    <row r="81" spans="2:16377" ht="36.75">
      <c r="B81" s="32" t="s">
        <v>11</v>
      </c>
      <c r="C81" s="32" t="s">
        <v>12</v>
      </c>
      <c r="D81" s="32" t="s">
        <v>13</v>
      </c>
      <c r="E81" s="32" t="s">
        <v>14</v>
      </c>
      <c r="F81" s="51" t="s">
        <v>15</v>
      </c>
      <c r="G81" s="51" t="s">
        <v>16</v>
      </c>
      <c r="H81" s="51" t="s">
        <v>17</v>
      </c>
      <c r="I81" s="51" t="s">
        <v>27</v>
      </c>
      <c r="J81" s="51" t="s">
        <v>28</v>
      </c>
      <c r="K81" s="51" t="s">
        <v>29</v>
      </c>
      <c r="L81" s="51" t="s">
        <v>30</v>
      </c>
      <c r="M81" s="68" t="s">
        <v>31</v>
      </c>
      <c r="N81" s="51" t="s">
        <v>32</v>
      </c>
      <c r="O81" s="51" t="s">
        <v>33</v>
      </c>
      <c r="P81" s="51" t="s">
        <v>34</v>
      </c>
      <c r="Q81" s="51" t="s">
        <v>35</v>
      </c>
      <c r="R81" s="51" t="s">
        <v>36</v>
      </c>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c r="HX81" s="10"/>
      <c r="HY81" s="10"/>
      <c r="HZ81" s="10"/>
      <c r="IA81" s="10"/>
      <c r="IB81" s="10"/>
      <c r="IC81" s="10"/>
      <c r="ID81" s="10"/>
      <c r="IE81" s="10"/>
      <c r="IF81" s="10"/>
      <c r="IG81" s="10"/>
      <c r="IH81" s="10"/>
      <c r="II81" s="10"/>
      <c r="IJ81" s="10"/>
      <c r="IK81" s="10"/>
      <c r="IL81" s="10"/>
      <c r="IM81" s="10"/>
      <c r="IN81" s="10"/>
      <c r="IO81" s="10"/>
      <c r="IP81" s="10"/>
      <c r="IQ81" s="10"/>
      <c r="IR81" s="10"/>
      <c r="IS81" s="10"/>
      <c r="IT81" s="10"/>
      <c r="IU81" s="10"/>
      <c r="IV81" s="10"/>
      <c r="IW81" s="10"/>
      <c r="IX81" s="10"/>
      <c r="IY81" s="10"/>
      <c r="IZ81" s="10"/>
      <c r="JA81" s="10"/>
      <c r="JB81" s="10"/>
      <c r="JC81" s="10"/>
      <c r="JD81" s="10"/>
      <c r="JE81" s="10"/>
      <c r="JF81" s="10"/>
      <c r="JG81" s="10"/>
      <c r="JH81" s="10"/>
      <c r="JI81" s="10"/>
      <c r="JJ81" s="10"/>
      <c r="JK81" s="10"/>
      <c r="JL81" s="10"/>
      <c r="JM81" s="10"/>
      <c r="JN81" s="10"/>
      <c r="JO81" s="10"/>
      <c r="JP81" s="10"/>
      <c r="JQ81" s="10"/>
      <c r="JR81" s="10"/>
      <c r="JS81" s="10"/>
      <c r="JT81" s="10"/>
      <c r="JU81" s="10"/>
      <c r="JV81" s="10"/>
      <c r="JW81" s="10"/>
      <c r="JX81" s="10"/>
      <c r="JY81" s="10"/>
      <c r="JZ81" s="10"/>
      <c r="KA81" s="10"/>
      <c r="KB81" s="10"/>
      <c r="KC81" s="10"/>
      <c r="KD81" s="10"/>
      <c r="KE81" s="10"/>
      <c r="KF81" s="10"/>
      <c r="KG81" s="10"/>
      <c r="KH81" s="10"/>
      <c r="KI81" s="10"/>
      <c r="KJ81" s="10"/>
      <c r="KK81" s="10"/>
      <c r="KL81" s="10"/>
      <c r="KM81" s="10"/>
      <c r="KN81" s="10"/>
      <c r="KO81" s="10"/>
      <c r="KP81" s="10"/>
      <c r="KQ81" s="10"/>
      <c r="KR81" s="10"/>
      <c r="KS81" s="10"/>
      <c r="KT81" s="10"/>
      <c r="KU81" s="10"/>
      <c r="KV81" s="10"/>
      <c r="KW81" s="10"/>
      <c r="KX81" s="10"/>
      <c r="KY81" s="10"/>
      <c r="KZ81" s="10"/>
      <c r="LA81" s="10"/>
      <c r="LB81" s="10"/>
      <c r="LC81" s="10"/>
      <c r="LD81" s="10"/>
      <c r="LE81" s="10"/>
      <c r="LF81" s="10"/>
      <c r="LG81" s="10"/>
      <c r="LH81" s="10"/>
      <c r="LI81" s="10"/>
      <c r="LJ81" s="10"/>
      <c r="LK81" s="10"/>
      <c r="LL81" s="10"/>
      <c r="LM81" s="10"/>
      <c r="LN81" s="10"/>
      <c r="LO81" s="10"/>
      <c r="LP81" s="10"/>
      <c r="LQ81" s="10"/>
      <c r="LR81" s="10"/>
      <c r="LS81" s="10"/>
      <c r="LT81" s="10"/>
      <c r="LU81" s="10"/>
      <c r="LV81" s="10"/>
      <c r="LW81" s="10"/>
      <c r="LX81" s="10"/>
      <c r="LY81" s="10"/>
      <c r="LZ81" s="10"/>
      <c r="MA81" s="10"/>
      <c r="MB81" s="10"/>
      <c r="MC81" s="10"/>
      <c r="MD81" s="10"/>
      <c r="ME81" s="10"/>
      <c r="MF81" s="10"/>
      <c r="MG81" s="10"/>
      <c r="MH81" s="10"/>
      <c r="MI81" s="10"/>
      <c r="MJ81" s="10"/>
      <c r="MK81" s="10"/>
      <c r="ML81" s="10"/>
      <c r="MM81" s="10"/>
      <c r="MN81" s="10"/>
      <c r="MO81" s="10"/>
      <c r="MP81" s="10"/>
      <c r="MQ81" s="10"/>
      <c r="MR81" s="10"/>
      <c r="MS81" s="10"/>
      <c r="MT81" s="10"/>
      <c r="MU81" s="10"/>
      <c r="MV81" s="10"/>
      <c r="MW81" s="10"/>
      <c r="MX81" s="10"/>
      <c r="MY81" s="10"/>
      <c r="MZ81" s="10"/>
      <c r="NA81" s="10"/>
      <c r="NB81" s="10"/>
      <c r="NC81" s="10"/>
      <c r="ND81" s="10"/>
      <c r="NE81" s="10"/>
      <c r="NF81" s="10"/>
      <c r="NG81" s="10"/>
      <c r="NH81" s="10"/>
      <c r="NI81" s="10"/>
      <c r="NJ81" s="10"/>
      <c r="NK81" s="10"/>
      <c r="NL81" s="10"/>
      <c r="NM81" s="10"/>
      <c r="NN81" s="10"/>
      <c r="NO81" s="10"/>
      <c r="NP81" s="10"/>
      <c r="NQ81" s="10"/>
      <c r="NR81" s="10"/>
      <c r="NS81" s="10"/>
      <c r="NT81" s="10"/>
      <c r="NU81" s="10"/>
      <c r="NV81" s="10"/>
      <c r="NW81" s="10"/>
      <c r="NX81" s="10"/>
      <c r="NY81" s="10"/>
      <c r="NZ81" s="10"/>
      <c r="OA81" s="10"/>
      <c r="OB81" s="10"/>
      <c r="OC81" s="10"/>
      <c r="OD81" s="10"/>
      <c r="OE81" s="10"/>
      <c r="OF81" s="10"/>
      <c r="OG81" s="10"/>
      <c r="OH81" s="10"/>
      <c r="OI81" s="10"/>
      <c r="OJ81" s="10"/>
      <c r="OK81" s="10"/>
      <c r="OL81" s="10"/>
      <c r="OM81" s="10"/>
      <c r="ON81" s="10"/>
      <c r="OO81" s="10"/>
      <c r="OP81" s="10"/>
      <c r="OQ81" s="10"/>
      <c r="OR81" s="10"/>
      <c r="OS81" s="10"/>
      <c r="OT81" s="10"/>
      <c r="OU81" s="10"/>
      <c r="OV81" s="10"/>
      <c r="OW81" s="10"/>
      <c r="OX81" s="10"/>
      <c r="OY81" s="10"/>
      <c r="OZ81" s="10"/>
      <c r="PA81" s="10"/>
      <c r="PB81" s="10"/>
      <c r="PC81" s="10"/>
      <c r="PD81" s="10"/>
      <c r="PE81" s="10"/>
      <c r="PF81" s="10"/>
      <c r="PG81" s="10"/>
      <c r="PH81" s="10"/>
      <c r="PI81" s="10"/>
      <c r="PJ81" s="10"/>
      <c r="PK81" s="10"/>
      <c r="PL81" s="10"/>
      <c r="PM81" s="10"/>
      <c r="PN81" s="10"/>
      <c r="PO81" s="10"/>
      <c r="PP81" s="10"/>
      <c r="PQ81" s="10"/>
      <c r="PR81" s="10"/>
      <c r="PS81" s="10"/>
      <c r="PT81" s="10"/>
      <c r="PU81" s="10"/>
      <c r="PV81" s="10"/>
      <c r="PW81" s="10"/>
      <c r="PX81" s="10"/>
      <c r="PY81" s="10"/>
      <c r="PZ81" s="10"/>
      <c r="QA81" s="10"/>
      <c r="QB81" s="10"/>
      <c r="QC81" s="10"/>
      <c r="QD81" s="10"/>
      <c r="QE81" s="10"/>
      <c r="QF81" s="10"/>
      <c r="QG81" s="10"/>
      <c r="QH81" s="10"/>
      <c r="QI81" s="10"/>
      <c r="QJ81" s="10"/>
      <c r="QK81" s="10"/>
      <c r="QL81" s="10"/>
      <c r="QM81" s="10"/>
      <c r="QN81" s="10"/>
      <c r="QO81" s="10"/>
      <c r="QP81" s="10"/>
      <c r="QQ81" s="10"/>
      <c r="QR81" s="10"/>
      <c r="QS81" s="10"/>
      <c r="QT81" s="10"/>
      <c r="QU81" s="10"/>
      <c r="QV81" s="10"/>
      <c r="QW81" s="10"/>
      <c r="QX81" s="10"/>
      <c r="QY81" s="10"/>
      <c r="QZ81" s="10"/>
      <c r="RA81" s="10"/>
      <c r="RB81" s="10"/>
      <c r="RC81" s="10"/>
      <c r="RD81" s="10"/>
      <c r="RE81" s="10"/>
      <c r="RF81" s="10"/>
      <c r="RG81" s="10"/>
      <c r="RH81" s="10"/>
      <c r="RI81" s="10"/>
      <c r="RJ81" s="10"/>
      <c r="RK81" s="10"/>
      <c r="RL81" s="10"/>
      <c r="RM81" s="10"/>
      <c r="RN81" s="10"/>
      <c r="RO81" s="10"/>
      <c r="RP81" s="10"/>
      <c r="RQ81" s="10"/>
      <c r="RR81" s="10"/>
      <c r="RS81" s="10"/>
      <c r="RT81" s="10"/>
      <c r="RU81" s="10"/>
      <c r="RV81" s="10"/>
      <c r="RW81" s="10"/>
      <c r="RX81" s="10"/>
      <c r="RY81" s="10"/>
      <c r="RZ81" s="10"/>
      <c r="SA81" s="10"/>
      <c r="SB81" s="10"/>
      <c r="SC81" s="10"/>
      <c r="SD81" s="10"/>
      <c r="SE81" s="10"/>
      <c r="SF81" s="10"/>
      <c r="SG81" s="10"/>
      <c r="SH81" s="10"/>
      <c r="SI81" s="10"/>
      <c r="SJ81" s="10"/>
      <c r="SK81" s="10"/>
      <c r="SL81" s="10"/>
      <c r="SM81" s="10"/>
      <c r="SN81" s="10"/>
      <c r="SO81" s="10"/>
      <c r="SP81" s="10"/>
      <c r="SQ81" s="10"/>
      <c r="SR81" s="10"/>
      <c r="SS81" s="10"/>
      <c r="ST81" s="10"/>
      <c r="SU81" s="10"/>
      <c r="SV81" s="10"/>
      <c r="SW81" s="10"/>
      <c r="SX81" s="10"/>
      <c r="SY81" s="10"/>
      <c r="SZ81" s="10"/>
      <c r="TA81" s="10"/>
      <c r="TB81" s="10"/>
      <c r="TC81" s="10"/>
      <c r="TD81" s="10"/>
      <c r="TE81" s="10"/>
      <c r="TF81" s="10"/>
      <c r="TG81" s="10"/>
      <c r="TH81" s="10"/>
      <c r="TI81" s="10"/>
      <c r="TJ81" s="10"/>
      <c r="TK81" s="10"/>
      <c r="TL81" s="10"/>
      <c r="TM81" s="10"/>
      <c r="TN81" s="10"/>
      <c r="TO81" s="10"/>
      <c r="TP81" s="10"/>
      <c r="TQ81" s="10"/>
      <c r="TR81" s="10"/>
      <c r="TS81" s="10"/>
      <c r="TT81" s="10"/>
      <c r="TU81" s="10"/>
      <c r="TV81" s="10"/>
      <c r="TW81" s="10"/>
      <c r="TX81" s="10"/>
      <c r="TY81" s="10"/>
      <c r="TZ81" s="10"/>
      <c r="UA81" s="10"/>
      <c r="UB81" s="10"/>
      <c r="UC81" s="10"/>
      <c r="UD81" s="10"/>
      <c r="UE81" s="10"/>
      <c r="UF81" s="10"/>
      <c r="UG81" s="10"/>
      <c r="UH81" s="10"/>
      <c r="UI81" s="10"/>
      <c r="UJ81" s="10"/>
      <c r="UK81" s="10"/>
      <c r="UL81" s="10"/>
      <c r="UM81" s="10"/>
      <c r="UN81" s="10"/>
      <c r="UO81" s="10"/>
      <c r="UP81" s="10"/>
      <c r="UQ81" s="10"/>
      <c r="UR81" s="10"/>
      <c r="US81" s="10"/>
      <c r="UT81" s="10"/>
      <c r="UU81" s="10"/>
      <c r="UV81" s="10"/>
      <c r="UW81" s="10"/>
      <c r="UX81" s="10"/>
      <c r="UY81" s="10"/>
      <c r="UZ81" s="10"/>
      <c r="VA81" s="10"/>
      <c r="VB81" s="10"/>
      <c r="VC81" s="10"/>
      <c r="VD81" s="10"/>
      <c r="VE81" s="10"/>
      <c r="VF81" s="10"/>
      <c r="VG81" s="10"/>
      <c r="VH81" s="10"/>
      <c r="VI81" s="10"/>
      <c r="VJ81" s="10"/>
      <c r="VK81" s="10"/>
      <c r="VL81" s="10"/>
      <c r="VM81" s="10"/>
      <c r="VN81" s="10"/>
      <c r="VO81" s="10"/>
      <c r="VP81" s="10"/>
      <c r="VQ81" s="10"/>
      <c r="VR81" s="10"/>
      <c r="VS81" s="10"/>
      <c r="VT81" s="10"/>
      <c r="VU81" s="10"/>
      <c r="VV81" s="10"/>
      <c r="VW81" s="10"/>
      <c r="VX81" s="10"/>
      <c r="VY81" s="10"/>
      <c r="VZ81" s="10"/>
      <c r="WA81" s="10"/>
      <c r="WB81" s="10"/>
      <c r="WC81" s="10"/>
      <c r="WD81" s="10"/>
      <c r="WE81" s="10"/>
      <c r="WF81" s="10"/>
      <c r="WG81" s="10"/>
      <c r="WH81" s="10"/>
      <c r="WI81" s="10"/>
      <c r="WJ81" s="10"/>
      <c r="WK81" s="10"/>
      <c r="WL81" s="10"/>
      <c r="WM81" s="10"/>
      <c r="WN81" s="10"/>
      <c r="WO81" s="10"/>
      <c r="WP81" s="10"/>
      <c r="WQ81" s="10"/>
      <c r="WR81" s="10"/>
      <c r="WS81" s="10"/>
      <c r="WT81" s="10"/>
      <c r="WU81" s="10"/>
      <c r="WV81" s="10"/>
      <c r="WW81" s="10"/>
      <c r="WX81" s="10"/>
      <c r="WY81" s="10"/>
      <c r="WZ81" s="10"/>
      <c r="XA81" s="10"/>
      <c r="XB81" s="10"/>
      <c r="XC81" s="10"/>
      <c r="XD81" s="10"/>
      <c r="XE81" s="10"/>
      <c r="XF81" s="10"/>
      <c r="XG81" s="10"/>
      <c r="XH81" s="10"/>
      <c r="XI81" s="10"/>
      <c r="XJ81" s="10"/>
      <c r="XK81" s="10"/>
      <c r="XL81" s="10"/>
      <c r="XM81" s="10"/>
      <c r="XN81" s="10"/>
      <c r="XO81" s="10"/>
      <c r="XP81" s="10"/>
      <c r="XQ81" s="10"/>
      <c r="XR81" s="10"/>
      <c r="XS81" s="10"/>
      <c r="XT81" s="10"/>
      <c r="XU81" s="10"/>
      <c r="XV81" s="10"/>
      <c r="XW81" s="10"/>
      <c r="XX81" s="10"/>
      <c r="XY81" s="10"/>
      <c r="XZ81" s="10"/>
      <c r="YA81" s="10"/>
      <c r="YB81" s="10"/>
      <c r="YC81" s="10"/>
      <c r="YD81" s="10"/>
      <c r="YE81" s="10"/>
      <c r="YF81" s="10"/>
      <c r="YG81" s="10"/>
      <c r="YH81" s="10"/>
      <c r="YI81" s="10"/>
      <c r="YJ81" s="10"/>
      <c r="YK81" s="10"/>
      <c r="YL81" s="10"/>
      <c r="YM81" s="10"/>
      <c r="YN81" s="10"/>
      <c r="YO81" s="10"/>
      <c r="YP81" s="10"/>
      <c r="YQ81" s="10"/>
      <c r="YR81" s="10"/>
      <c r="YS81" s="10"/>
      <c r="YT81" s="10"/>
      <c r="YU81" s="10"/>
      <c r="YV81" s="10"/>
      <c r="YW81" s="10"/>
      <c r="YX81" s="10"/>
      <c r="YY81" s="10"/>
      <c r="YZ81" s="10"/>
      <c r="ZA81" s="10"/>
      <c r="ZB81" s="10"/>
      <c r="ZC81" s="10"/>
      <c r="ZD81" s="10"/>
      <c r="ZE81" s="10"/>
      <c r="ZF81" s="10"/>
      <c r="ZG81" s="10"/>
      <c r="ZH81" s="10"/>
      <c r="ZI81" s="10"/>
      <c r="ZJ81" s="10"/>
      <c r="ZK81" s="10"/>
      <c r="ZL81" s="10"/>
      <c r="ZM81" s="10"/>
      <c r="ZN81" s="10"/>
      <c r="ZO81" s="10"/>
      <c r="ZP81" s="10"/>
      <c r="ZQ81" s="10"/>
      <c r="ZR81" s="10"/>
      <c r="ZS81" s="10"/>
      <c r="ZT81" s="10"/>
      <c r="ZU81" s="10"/>
      <c r="ZV81" s="10"/>
      <c r="ZW81" s="10"/>
      <c r="ZX81" s="10"/>
      <c r="ZY81" s="10"/>
      <c r="ZZ81" s="10"/>
      <c r="AAA81" s="10"/>
      <c r="AAB81" s="10"/>
      <c r="AAC81" s="10"/>
      <c r="AAD81" s="10"/>
      <c r="AAE81" s="10"/>
      <c r="AAF81" s="10"/>
      <c r="AAG81" s="10"/>
      <c r="AAH81" s="10"/>
      <c r="AAI81" s="10"/>
      <c r="AAJ81" s="10"/>
      <c r="AAK81" s="10"/>
      <c r="AAL81" s="10"/>
      <c r="AAM81" s="10"/>
      <c r="AAN81" s="10"/>
      <c r="AAO81" s="10"/>
      <c r="AAP81" s="10"/>
      <c r="AAQ81" s="10"/>
      <c r="AAR81" s="10"/>
      <c r="AAS81" s="10"/>
      <c r="AAT81" s="10"/>
      <c r="AAU81" s="10"/>
      <c r="AAV81" s="10"/>
      <c r="AAW81" s="10"/>
      <c r="AAX81" s="10"/>
      <c r="AAY81" s="10"/>
      <c r="AAZ81" s="10"/>
      <c r="ABA81" s="10"/>
      <c r="ABB81" s="10"/>
      <c r="ABC81" s="10"/>
      <c r="ABD81" s="10"/>
      <c r="ABE81" s="10"/>
      <c r="ABF81" s="10"/>
      <c r="ABG81" s="10"/>
      <c r="ABH81" s="10"/>
      <c r="ABI81" s="10"/>
      <c r="ABJ81" s="10"/>
      <c r="ABK81" s="10"/>
      <c r="ABL81" s="10"/>
      <c r="ABM81" s="10"/>
      <c r="ABN81" s="10"/>
      <c r="ABO81" s="10"/>
      <c r="ABP81" s="10"/>
      <c r="ABQ81" s="10"/>
      <c r="ABR81" s="10"/>
      <c r="ABS81" s="10"/>
      <c r="ABT81" s="10"/>
      <c r="ABU81" s="10"/>
      <c r="ABV81" s="10"/>
      <c r="ABW81" s="10"/>
      <c r="ABX81" s="10"/>
      <c r="ABY81" s="10"/>
      <c r="ABZ81" s="10"/>
      <c r="ACA81" s="10"/>
      <c r="ACB81" s="10"/>
      <c r="ACC81" s="10"/>
      <c r="ACD81" s="10"/>
      <c r="ACE81" s="10"/>
      <c r="ACF81" s="10"/>
      <c r="ACG81" s="10"/>
      <c r="ACH81" s="10"/>
      <c r="ACI81" s="10"/>
      <c r="ACJ81" s="10"/>
      <c r="ACK81" s="10"/>
      <c r="ACL81" s="10"/>
      <c r="ACM81" s="10"/>
      <c r="ACN81" s="10"/>
      <c r="ACO81" s="10"/>
      <c r="ACP81" s="10"/>
      <c r="ACQ81" s="10"/>
      <c r="ACR81" s="10"/>
      <c r="ACS81" s="10"/>
      <c r="ACT81" s="10"/>
      <c r="ACU81" s="10"/>
      <c r="ACV81" s="10"/>
      <c r="ACW81" s="10"/>
      <c r="ACX81" s="10"/>
      <c r="ACY81" s="10"/>
      <c r="ACZ81" s="10"/>
      <c r="ADA81" s="10"/>
      <c r="ADB81" s="10"/>
      <c r="ADC81" s="10"/>
      <c r="ADD81" s="10"/>
      <c r="ADE81" s="10"/>
      <c r="ADF81" s="10"/>
      <c r="ADG81" s="10"/>
      <c r="ADH81" s="10"/>
      <c r="ADI81" s="10"/>
      <c r="ADJ81" s="10"/>
      <c r="ADK81" s="10"/>
      <c r="ADL81" s="10"/>
      <c r="ADM81" s="10"/>
      <c r="ADN81" s="10"/>
      <c r="ADO81" s="10"/>
      <c r="ADP81" s="10"/>
      <c r="ADQ81" s="10"/>
      <c r="ADR81" s="10"/>
      <c r="ADS81" s="10"/>
      <c r="ADT81" s="10"/>
      <c r="ADU81" s="10"/>
      <c r="ADV81" s="10"/>
      <c r="ADW81" s="10"/>
      <c r="ADX81" s="10"/>
      <c r="ADY81" s="10"/>
      <c r="ADZ81" s="10"/>
      <c r="AEA81" s="10"/>
      <c r="AEB81" s="10"/>
      <c r="AEC81" s="10"/>
      <c r="AED81" s="10"/>
      <c r="AEE81" s="10"/>
      <c r="AEF81" s="10"/>
      <c r="AEG81" s="10"/>
      <c r="AEH81" s="10"/>
      <c r="AEI81" s="10"/>
      <c r="AEJ81" s="10"/>
      <c r="AEK81" s="10"/>
      <c r="AEL81" s="10"/>
      <c r="AEM81" s="10"/>
      <c r="AEN81" s="10"/>
      <c r="AEO81" s="10"/>
      <c r="AEP81" s="10"/>
      <c r="AEQ81" s="10"/>
      <c r="AER81" s="10"/>
      <c r="AES81" s="10"/>
      <c r="AET81" s="10"/>
      <c r="AEU81" s="10"/>
      <c r="AEV81" s="10"/>
      <c r="AEW81" s="10"/>
      <c r="AEX81" s="10"/>
      <c r="AEY81" s="10"/>
      <c r="AEZ81" s="10"/>
      <c r="AFA81" s="10"/>
      <c r="AFB81" s="10"/>
      <c r="AFC81" s="10"/>
      <c r="AFD81" s="10"/>
      <c r="AFE81" s="10"/>
      <c r="AFF81" s="10"/>
      <c r="AFG81" s="10"/>
      <c r="AFH81" s="10"/>
      <c r="AFI81" s="10"/>
      <c r="AFJ81" s="10"/>
      <c r="AFK81" s="10"/>
      <c r="AFL81" s="10"/>
      <c r="AFM81" s="10"/>
      <c r="AFN81" s="10"/>
      <c r="AFO81" s="10"/>
      <c r="AFP81" s="10"/>
      <c r="AFQ81" s="10"/>
      <c r="AFR81" s="10"/>
      <c r="AFS81" s="10"/>
      <c r="AFT81" s="10"/>
      <c r="AFU81" s="10"/>
      <c r="AFV81" s="10"/>
      <c r="AFW81" s="10"/>
      <c r="AFX81" s="10"/>
      <c r="AFY81" s="10"/>
      <c r="AFZ81" s="10"/>
      <c r="AGA81" s="10"/>
      <c r="AGB81" s="10"/>
      <c r="AGC81" s="10"/>
      <c r="AGD81" s="10"/>
      <c r="AGE81" s="10"/>
      <c r="AGF81" s="10"/>
      <c r="AGG81" s="10"/>
      <c r="AGH81" s="10"/>
      <c r="AGI81" s="10"/>
      <c r="AGJ81" s="10"/>
      <c r="AGK81" s="10"/>
      <c r="AGL81" s="10"/>
      <c r="AGM81" s="10"/>
      <c r="AGN81" s="10"/>
      <c r="AGO81" s="10"/>
      <c r="AGP81" s="10"/>
      <c r="AGQ81" s="10"/>
      <c r="AGR81" s="10"/>
      <c r="AGS81" s="10"/>
      <c r="AGT81" s="10"/>
      <c r="AGU81" s="10"/>
      <c r="AGV81" s="10"/>
      <c r="AGW81" s="10"/>
      <c r="AGX81" s="10"/>
      <c r="AGY81" s="10"/>
      <c r="AGZ81" s="10"/>
      <c r="AHA81" s="10"/>
      <c r="AHB81" s="10"/>
      <c r="AHC81" s="10"/>
      <c r="AHD81" s="10"/>
      <c r="AHE81" s="10"/>
      <c r="AHF81" s="10"/>
      <c r="AHG81" s="10"/>
      <c r="AHH81" s="10"/>
      <c r="AHI81" s="10"/>
      <c r="AHJ81" s="10"/>
      <c r="AHK81" s="10"/>
      <c r="AHL81" s="10"/>
      <c r="AHM81" s="10"/>
      <c r="AHN81" s="10"/>
      <c r="AHO81" s="10"/>
      <c r="AHP81" s="10"/>
      <c r="AHQ81" s="10"/>
      <c r="AHR81" s="10"/>
      <c r="AHS81" s="10"/>
      <c r="AHT81" s="10"/>
      <c r="AHU81" s="10"/>
      <c r="AHV81" s="10"/>
      <c r="AHW81" s="10"/>
      <c r="AHX81" s="10"/>
      <c r="AHY81" s="10"/>
      <c r="AHZ81" s="10"/>
      <c r="AIA81" s="10"/>
      <c r="AIB81" s="10"/>
      <c r="AIC81" s="10"/>
      <c r="AID81" s="10"/>
      <c r="AIE81" s="10"/>
      <c r="AIF81" s="10"/>
      <c r="AIG81" s="10"/>
      <c r="AIH81" s="10"/>
      <c r="AII81" s="10"/>
      <c r="AIJ81" s="10"/>
      <c r="AIK81" s="10"/>
      <c r="AIL81" s="10"/>
      <c r="AIM81" s="10"/>
      <c r="AIN81" s="10"/>
      <c r="AIO81" s="10"/>
      <c r="AIP81" s="10"/>
      <c r="AIQ81" s="10"/>
      <c r="AIR81" s="10"/>
      <c r="AIS81" s="10"/>
      <c r="AIT81" s="10"/>
      <c r="AIU81" s="10"/>
      <c r="AIV81" s="10"/>
      <c r="AIW81" s="10"/>
      <c r="AIX81" s="10"/>
      <c r="AIY81" s="10"/>
      <c r="AIZ81" s="10"/>
      <c r="AJA81" s="10"/>
      <c r="AJB81" s="10"/>
      <c r="AJC81" s="10"/>
      <c r="AJD81" s="10"/>
      <c r="AJE81" s="10"/>
      <c r="AJF81" s="10"/>
      <c r="AJG81" s="10"/>
      <c r="AJH81" s="10"/>
      <c r="AJI81" s="10"/>
      <c r="AJJ81" s="10"/>
      <c r="AJK81" s="10"/>
      <c r="AJL81" s="10"/>
      <c r="AJM81" s="10"/>
      <c r="AJN81" s="10"/>
      <c r="AJO81" s="10"/>
      <c r="AJP81" s="10"/>
      <c r="AJQ81" s="10"/>
      <c r="AJR81" s="10"/>
      <c r="AJS81" s="10"/>
      <c r="AJT81" s="10"/>
      <c r="AJU81" s="10"/>
      <c r="AJV81" s="10"/>
      <c r="AJW81" s="10"/>
      <c r="AJX81" s="10"/>
      <c r="AJY81" s="10"/>
      <c r="AJZ81" s="10"/>
      <c r="AKA81" s="10"/>
      <c r="AKB81" s="10"/>
      <c r="AKC81" s="10"/>
      <c r="AKD81" s="10"/>
      <c r="AKE81" s="10"/>
      <c r="AKF81" s="10"/>
      <c r="AKG81" s="10"/>
      <c r="AKH81" s="10"/>
      <c r="AKI81" s="10"/>
      <c r="AKJ81" s="10"/>
      <c r="AKK81" s="10"/>
      <c r="AKL81" s="10"/>
      <c r="AKM81" s="10"/>
      <c r="AKN81" s="10"/>
      <c r="AKO81" s="10"/>
      <c r="AKP81" s="10"/>
      <c r="AKQ81" s="10"/>
      <c r="AKR81" s="10"/>
      <c r="AKS81" s="10"/>
      <c r="AKT81" s="10"/>
      <c r="AKU81" s="10"/>
      <c r="AKV81" s="10"/>
      <c r="AKW81" s="10"/>
      <c r="AKX81" s="10"/>
      <c r="AKY81" s="10"/>
      <c r="AKZ81" s="10"/>
      <c r="ALA81" s="10"/>
      <c r="ALB81" s="10"/>
      <c r="ALC81" s="10"/>
      <c r="ALD81" s="10"/>
      <c r="ALE81" s="10"/>
      <c r="ALF81" s="10"/>
      <c r="ALG81" s="10"/>
      <c r="ALH81" s="10"/>
      <c r="ALI81" s="10"/>
      <c r="ALJ81" s="10"/>
      <c r="ALK81" s="10"/>
      <c r="ALL81" s="10"/>
      <c r="ALM81" s="10"/>
      <c r="ALN81" s="10"/>
      <c r="ALO81" s="10"/>
      <c r="ALP81" s="10"/>
      <c r="ALQ81" s="10"/>
      <c r="ALR81" s="10"/>
      <c r="ALS81" s="10"/>
      <c r="ALT81" s="10"/>
      <c r="ALU81" s="10"/>
      <c r="ALV81" s="10"/>
      <c r="ALW81" s="10"/>
      <c r="ALX81" s="10"/>
      <c r="ALY81" s="10"/>
      <c r="ALZ81" s="10"/>
      <c r="AMA81" s="10"/>
      <c r="AMB81" s="10"/>
      <c r="AMC81" s="10"/>
      <c r="AMD81" s="10"/>
      <c r="AME81" s="10"/>
      <c r="AMF81" s="10"/>
      <c r="AMG81" s="10"/>
      <c r="AMH81" s="10"/>
      <c r="AMI81" s="10"/>
      <c r="AMJ81" s="10"/>
      <c r="AMK81" s="10"/>
      <c r="AML81" s="10"/>
      <c r="AMM81" s="10"/>
      <c r="AMN81" s="10"/>
      <c r="AMO81" s="10"/>
      <c r="AMP81" s="10"/>
      <c r="AMQ81" s="10"/>
      <c r="AMR81" s="10"/>
      <c r="AMS81" s="10"/>
      <c r="AMT81" s="10"/>
      <c r="AMU81" s="10"/>
      <c r="AMV81" s="10"/>
      <c r="AMW81" s="10"/>
      <c r="AMX81" s="10"/>
      <c r="AMY81" s="10"/>
      <c r="AMZ81" s="10"/>
      <c r="ANA81" s="10"/>
      <c r="ANB81" s="10"/>
      <c r="ANC81" s="10"/>
      <c r="AND81" s="10"/>
      <c r="ANE81" s="10"/>
      <c r="ANF81" s="10"/>
      <c r="ANG81" s="10"/>
      <c r="ANH81" s="10"/>
      <c r="ANI81" s="10"/>
      <c r="ANJ81" s="10"/>
      <c r="ANK81" s="10"/>
      <c r="ANL81" s="10"/>
      <c r="ANM81" s="10"/>
      <c r="ANN81" s="10"/>
      <c r="ANO81" s="10"/>
      <c r="ANP81" s="10"/>
      <c r="ANQ81" s="10"/>
      <c r="ANR81" s="10"/>
      <c r="ANS81" s="10"/>
      <c r="ANT81" s="10"/>
      <c r="ANU81" s="10"/>
      <c r="ANV81" s="10"/>
      <c r="ANW81" s="10"/>
      <c r="ANX81" s="10"/>
      <c r="ANY81" s="10"/>
      <c r="ANZ81" s="10"/>
      <c r="AOA81" s="10"/>
      <c r="AOB81" s="10"/>
      <c r="AOC81" s="10"/>
      <c r="AOD81" s="10"/>
      <c r="AOE81" s="10"/>
      <c r="AOF81" s="10"/>
      <c r="AOG81" s="10"/>
      <c r="AOH81" s="10"/>
      <c r="AOI81" s="10"/>
      <c r="AOJ81" s="10"/>
      <c r="AOK81" s="10"/>
      <c r="AOL81" s="10"/>
      <c r="AOM81" s="10"/>
      <c r="AON81" s="10"/>
      <c r="AOO81" s="10"/>
      <c r="AOP81" s="10"/>
      <c r="AOQ81" s="10"/>
      <c r="AOR81" s="10"/>
      <c r="AOS81" s="10"/>
      <c r="AOT81" s="10"/>
      <c r="AOU81" s="10"/>
      <c r="AOV81" s="10"/>
      <c r="AOW81" s="10"/>
      <c r="AOX81" s="10"/>
      <c r="AOY81" s="10"/>
      <c r="AOZ81" s="10"/>
      <c r="APA81" s="10"/>
      <c r="APB81" s="10"/>
      <c r="APC81" s="10"/>
      <c r="APD81" s="10"/>
      <c r="APE81" s="10"/>
      <c r="APF81" s="10"/>
      <c r="APG81" s="10"/>
      <c r="APH81" s="10"/>
      <c r="API81" s="10"/>
      <c r="APJ81" s="10"/>
      <c r="APK81" s="10"/>
      <c r="APL81" s="10"/>
      <c r="APM81" s="10"/>
      <c r="APN81" s="10"/>
      <c r="APO81" s="10"/>
      <c r="APP81" s="10"/>
      <c r="APQ81" s="10"/>
      <c r="APR81" s="10"/>
      <c r="APS81" s="10"/>
      <c r="APT81" s="10"/>
      <c r="APU81" s="10"/>
      <c r="APV81" s="10"/>
      <c r="APW81" s="10"/>
      <c r="APX81" s="10"/>
      <c r="APY81" s="10"/>
      <c r="APZ81" s="10"/>
      <c r="AQA81" s="10"/>
      <c r="AQB81" s="10"/>
      <c r="AQC81" s="10"/>
      <c r="AQD81" s="10"/>
      <c r="AQE81" s="10"/>
      <c r="AQF81" s="10"/>
      <c r="AQG81" s="10"/>
      <c r="AQH81" s="10"/>
      <c r="AQI81" s="10"/>
      <c r="AQJ81" s="10"/>
      <c r="AQK81" s="10"/>
      <c r="AQL81" s="10"/>
      <c r="AQM81" s="10"/>
      <c r="AQN81" s="10"/>
      <c r="AQO81" s="10"/>
      <c r="AQP81" s="10"/>
      <c r="AQQ81" s="10"/>
      <c r="AQR81" s="10"/>
      <c r="AQS81" s="10"/>
      <c r="AQT81" s="10"/>
      <c r="AQU81" s="10"/>
      <c r="AQV81" s="10"/>
      <c r="AQW81" s="10"/>
      <c r="AQX81" s="10"/>
      <c r="AQY81" s="10"/>
      <c r="AQZ81" s="10"/>
      <c r="ARA81" s="10"/>
      <c r="ARB81" s="10"/>
      <c r="ARC81" s="10"/>
      <c r="ARD81" s="10"/>
      <c r="ARE81" s="10"/>
      <c r="ARF81" s="10"/>
      <c r="ARG81" s="10"/>
      <c r="ARH81" s="10"/>
      <c r="ARI81" s="10"/>
      <c r="ARJ81" s="10"/>
      <c r="ARK81" s="10"/>
      <c r="ARL81" s="10"/>
      <c r="ARM81" s="10"/>
      <c r="ARN81" s="10"/>
      <c r="ARO81" s="10"/>
      <c r="ARP81" s="10"/>
      <c r="ARQ81" s="10"/>
      <c r="ARR81" s="10"/>
      <c r="ARS81" s="10"/>
      <c r="ART81" s="10"/>
      <c r="ARU81" s="10"/>
      <c r="ARV81" s="10"/>
      <c r="ARW81" s="10"/>
      <c r="ARX81" s="10"/>
      <c r="ARY81" s="10"/>
      <c r="ARZ81" s="10"/>
      <c r="ASA81" s="10"/>
      <c r="ASB81" s="10"/>
      <c r="ASC81" s="10"/>
      <c r="ASD81" s="10"/>
      <c r="ASE81" s="10"/>
      <c r="ASF81" s="10"/>
      <c r="ASG81" s="10"/>
      <c r="ASH81" s="10"/>
      <c r="ASI81" s="10"/>
      <c r="ASJ81" s="10"/>
      <c r="ASK81" s="10"/>
      <c r="ASL81" s="10"/>
      <c r="ASM81" s="10"/>
      <c r="ASN81" s="10"/>
      <c r="ASO81" s="10"/>
      <c r="ASP81" s="10"/>
      <c r="ASQ81" s="10"/>
      <c r="ASR81" s="10"/>
      <c r="ASS81" s="10"/>
      <c r="AST81" s="10"/>
      <c r="ASU81" s="10"/>
      <c r="ASV81" s="10"/>
      <c r="ASW81" s="10"/>
      <c r="ASX81" s="10"/>
      <c r="ASY81" s="10"/>
      <c r="ASZ81" s="10"/>
      <c r="ATA81" s="10"/>
      <c r="ATB81" s="10"/>
      <c r="ATC81" s="10"/>
      <c r="ATD81" s="10"/>
      <c r="ATE81" s="10"/>
      <c r="ATF81" s="10"/>
      <c r="ATG81" s="10"/>
      <c r="ATH81" s="10"/>
      <c r="ATI81" s="10"/>
      <c r="ATJ81" s="10"/>
      <c r="ATK81" s="10"/>
      <c r="ATL81" s="10"/>
      <c r="ATM81" s="10"/>
      <c r="ATN81" s="10"/>
      <c r="ATO81" s="10"/>
      <c r="ATP81" s="10"/>
      <c r="ATQ81" s="10"/>
      <c r="ATR81" s="10"/>
      <c r="ATS81" s="10"/>
      <c r="ATT81" s="10"/>
      <c r="ATU81" s="10"/>
      <c r="ATV81" s="10"/>
      <c r="ATW81" s="10"/>
      <c r="ATX81" s="10"/>
      <c r="ATY81" s="10"/>
      <c r="ATZ81" s="10"/>
      <c r="AUA81" s="10"/>
      <c r="AUB81" s="10"/>
      <c r="AUC81" s="10"/>
      <c r="AUD81" s="10"/>
      <c r="AUE81" s="10"/>
      <c r="AUF81" s="10"/>
      <c r="AUG81" s="10"/>
      <c r="AUH81" s="10"/>
      <c r="AUI81" s="10"/>
      <c r="AUJ81" s="10"/>
      <c r="AUK81" s="10"/>
      <c r="AUL81" s="10"/>
      <c r="AUM81" s="10"/>
      <c r="AUN81" s="10"/>
      <c r="AUO81" s="10"/>
      <c r="AUP81" s="10"/>
      <c r="AUQ81" s="10"/>
      <c r="AUR81" s="10"/>
      <c r="AUS81" s="10"/>
      <c r="AUT81" s="10"/>
      <c r="AUU81" s="10"/>
      <c r="AUV81" s="10"/>
      <c r="AUW81" s="10"/>
      <c r="AUX81" s="10"/>
      <c r="AUY81" s="10"/>
      <c r="AUZ81" s="10"/>
      <c r="AVA81" s="10"/>
      <c r="AVB81" s="10"/>
      <c r="AVC81" s="10"/>
      <c r="AVD81" s="10"/>
      <c r="AVE81" s="10"/>
      <c r="AVF81" s="10"/>
      <c r="AVG81" s="10"/>
      <c r="AVH81" s="10"/>
      <c r="AVI81" s="10"/>
      <c r="AVJ81" s="10"/>
      <c r="AVK81" s="10"/>
      <c r="AVL81" s="10"/>
      <c r="AVM81" s="10"/>
      <c r="AVN81" s="10"/>
      <c r="AVO81" s="10"/>
      <c r="AVP81" s="10"/>
      <c r="AVQ81" s="10"/>
      <c r="AVR81" s="10"/>
      <c r="AVS81" s="10"/>
      <c r="AVT81" s="10"/>
      <c r="AVU81" s="10"/>
      <c r="AVV81" s="10"/>
      <c r="AVW81" s="10"/>
      <c r="AVX81" s="10"/>
      <c r="AVY81" s="10"/>
      <c r="AVZ81" s="10"/>
      <c r="AWA81" s="10"/>
      <c r="AWB81" s="10"/>
      <c r="AWC81" s="10"/>
      <c r="AWD81" s="10"/>
      <c r="AWE81" s="10"/>
      <c r="AWF81" s="10"/>
      <c r="AWG81" s="10"/>
      <c r="AWH81" s="10"/>
      <c r="AWI81" s="10"/>
      <c r="AWJ81" s="10"/>
      <c r="AWK81" s="10"/>
      <c r="AWL81" s="10"/>
      <c r="AWM81" s="10"/>
      <c r="AWN81" s="10"/>
      <c r="AWO81" s="10"/>
      <c r="AWP81" s="10"/>
      <c r="AWQ81" s="10"/>
      <c r="AWR81" s="10"/>
      <c r="AWS81" s="10"/>
      <c r="AWT81" s="10"/>
      <c r="AWU81" s="10"/>
      <c r="AWV81" s="10"/>
      <c r="AWW81" s="10"/>
      <c r="AWX81" s="10"/>
      <c r="AWY81" s="10"/>
      <c r="AWZ81" s="10"/>
      <c r="AXA81" s="10"/>
      <c r="AXB81" s="10"/>
      <c r="AXC81" s="10"/>
      <c r="AXD81" s="10"/>
      <c r="AXE81" s="10"/>
      <c r="AXF81" s="10"/>
      <c r="AXG81" s="10"/>
      <c r="AXH81" s="10"/>
      <c r="AXI81" s="10"/>
      <c r="AXJ81" s="10"/>
      <c r="AXK81" s="10"/>
      <c r="AXL81" s="10"/>
      <c r="AXM81" s="10"/>
      <c r="AXN81" s="10"/>
      <c r="AXO81" s="10"/>
      <c r="AXP81" s="10"/>
      <c r="AXQ81" s="10"/>
      <c r="AXR81" s="10"/>
      <c r="AXS81" s="10"/>
      <c r="AXT81" s="10"/>
      <c r="AXU81" s="10"/>
      <c r="AXV81" s="10"/>
      <c r="AXW81" s="10"/>
      <c r="AXX81" s="10"/>
      <c r="AXY81" s="10"/>
      <c r="AXZ81" s="10"/>
      <c r="AYA81" s="10"/>
      <c r="AYB81" s="10"/>
      <c r="AYC81" s="10"/>
      <c r="AYD81" s="10"/>
      <c r="AYE81" s="10"/>
      <c r="AYF81" s="10"/>
      <c r="AYG81" s="10"/>
      <c r="AYH81" s="10"/>
      <c r="AYI81" s="10"/>
      <c r="AYJ81" s="10"/>
      <c r="AYK81" s="10"/>
      <c r="AYL81" s="10"/>
      <c r="AYM81" s="10"/>
      <c r="AYN81" s="10"/>
      <c r="AYO81" s="10"/>
      <c r="AYP81" s="10"/>
      <c r="AYQ81" s="10"/>
      <c r="AYR81" s="10"/>
      <c r="AYS81" s="10"/>
      <c r="AYT81" s="10"/>
      <c r="AYU81" s="10"/>
      <c r="AYV81" s="10"/>
      <c r="AYW81" s="10"/>
      <c r="AYX81" s="10"/>
      <c r="AYY81" s="10"/>
      <c r="AYZ81" s="10"/>
      <c r="AZA81" s="10"/>
      <c r="AZB81" s="10"/>
      <c r="AZC81" s="10"/>
      <c r="AZD81" s="10"/>
      <c r="AZE81" s="10"/>
      <c r="AZF81" s="10"/>
      <c r="AZG81" s="10"/>
      <c r="AZH81" s="10"/>
      <c r="AZI81" s="10"/>
      <c r="AZJ81" s="10"/>
      <c r="AZK81" s="10"/>
      <c r="AZL81" s="10"/>
      <c r="AZM81" s="10"/>
      <c r="AZN81" s="10"/>
      <c r="AZO81" s="10"/>
      <c r="AZP81" s="10"/>
      <c r="AZQ81" s="10"/>
      <c r="AZR81" s="10"/>
      <c r="AZS81" s="10"/>
      <c r="AZT81" s="10"/>
      <c r="AZU81" s="10"/>
      <c r="AZV81" s="10"/>
      <c r="AZW81" s="10"/>
      <c r="AZX81" s="10"/>
      <c r="AZY81" s="10"/>
      <c r="AZZ81" s="10"/>
      <c r="BAA81" s="10"/>
      <c r="BAB81" s="10"/>
      <c r="BAC81" s="10"/>
      <c r="BAD81" s="10"/>
      <c r="BAE81" s="10"/>
      <c r="BAF81" s="10"/>
      <c r="BAG81" s="10"/>
      <c r="BAH81" s="10"/>
      <c r="BAI81" s="10"/>
      <c r="BAJ81" s="10"/>
      <c r="BAK81" s="10"/>
      <c r="BAL81" s="10"/>
      <c r="BAM81" s="10"/>
      <c r="BAN81" s="10"/>
      <c r="BAO81" s="10"/>
      <c r="BAP81" s="10"/>
      <c r="BAQ81" s="10"/>
      <c r="BAR81" s="10"/>
      <c r="BAS81" s="10"/>
      <c r="BAT81" s="10"/>
      <c r="BAU81" s="10"/>
      <c r="BAV81" s="10"/>
      <c r="BAW81" s="10"/>
      <c r="BAX81" s="10"/>
      <c r="BAY81" s="10"/>
      <c r="BAZ81" s="10"/>
      <c r="BBA81" s="10"/>
      <c r="BBB81" s="10"/>
      <c r="BBC81" s="10"/>
      <c r="BBD81" s="10"/>
      <c r="BBE81" s="10"/>
      <c r="BBF81" s="10"/>
      <c r="BBG81" s="10"/>
      <c r="BBH81" s="10"/>
      <c r="BBI81" s="10"/>
      <c r="BBJ81" s="10"/>
      <c r="BBK81" s="10"/>
      <c r="BBL81" s="10"/>
      <c r="BBM81" s="10"/>
      <c r="BBN81" s="10"/>
      <c r="BBO81" s="10"/>
      <c r="BBP81" s="10"/>
      <c r="BBQ81" s="10"/>
      <c r="BBR81" s="10"/>
      <c r="BBS81" s="10"/>
      <c r="BBT81" s="10"/>
      <c r="BBU81" s="10"/>
      <c r="BBV81" s="10"/>
      <c r="BBW81" s="10"/>
      <c r="BBX81" s="10"/>
      <c r="BBY81" s="10"/>
      <c r="BBZ81" s="10"/>
      <c r="BCA81" s="10"/>
      <c r="BCB81" s="10"/>
      <c r="BCC81" s="10"/>
      <c r="BCD81" s="10"/>
      <c r="BCE81" s="10"/>
      <c r="BCF81" s="10"/>
      <c r="BCG81" s="10"/>
      <c r="BCH81" s="10"/>
      <c r="BCI81" s="10"/>
      <c r="BCJ81" s="10"/>
      <c r="BCK81" s="10"/>
      <c r="BCL81" s="10"/>
      <c r="BCM81" s="10"/>
      <c r="BCN81" s="10"/>
      <c r="BCO81" s="10"/>
      <c r="BCP81" s="10"/>
      <c r="BCQ81" s="10"/>
      <c r="BCR81" s="10"/>
      <c r="BCS81" s="10"/>
      <c r="BCT81" s="10"/>
      <c r="BCU81" s="10"/>
      <c r="BCV81" s="10"/>
      <c r="BCW81" s="10"/>
      <c r="BCX81" s="10"/>
      <c r="BCY81" s="10"/>
      <c r="BCZ81" s="10"/>
      <c r="BDA81" s="10"/>
      <c r="BDB81" s="10"/>
      <c r="BDC81" s="10"/>
      <c r="BDD81" s="10"/>
      <c r="BDE81" s="10"/>
      <c r="BDF81" s="10"/>
      <c r="BDG81" s="10"/>
      <c r="BDH81" s="10"/>
      <c r="BDI81" s="10"/>
      <c r="BDJ81" s="10"/>
      <c r="BDK81" s="10"/>
      <c r="BDL81" s="10"/>
      <c r="BDM81" s="10"/>
      <c r="BDN81" s="10"/>
      <c r="BDO81" s="10"/>
      <c r="BDP81" s="10"/>
      <c r="BDQ81" s="10"/>
      <c r="BDR81" s="10"/>
      <c r="BDS81" s="10"/>
      <c r="BDT81" s="10"/>
      <c r="BDU81" s="10"/>
      <c r="BDV81" s="10"/>
      <c r="BDW81" s="10"/>
      <c r="BDX81" s="10"/>
      <c r="BDY81" s="10"/>
      <c r="BDZ81" s="10"/>
      <c r="BEA81" s="10"/>
      <c r="BEB81" s="10"/>
      <c r="BEC81" s="10"/>
      <c r="BED81" s="10"/>
      <c r="BEE81" s="10"/>
      <c r="BEF81" s="10"/>
      <c r="BEG81" s="10"/>
      <c r="BEH81" s="10"/>
      <c r="BEI81" s="10"/>
      <c r="BEJ81" s="10"/>
      <c r="BEK81" s="10"/>
      <c r="BEL81" s="10"/>
      <c r="BEM81" s="10"/>
      <c r="BEN81" s="10"/>
      <c r="BEO81" s="10"/>
      <c r="BEP81" s="10"/>
      <c r="BEQ81" s="10"/>
      <c r="BER81" s="10"/>
      <c r="BES81" s="10"/>
      <c r="BET81" s="10"/>
      <c r="BEU81" s="10"/>
      <c r="BEV81" s="10"/>
      <c r="BEW81" s="10"/>
      <c r="BEX81" s="10"/>
      <c r="BEY81" s="10"/>
      <c r="BEZ81" s="10"/>
      <c r="BFA81" s="10"/>
      <c r="BFB81" s="10"/>
      <c r="BFC81" s="10"/>
      <c r="BFD81" s="10"/>
      <c r="BFE81" s="10"/>
      <c r="BFF81" s="10"/>
      <c r="BFG81" s="10"/>
      <c r="BFH81" s="10"/>
      <c r="BFI81" s="10"/>
      <c r="BFJ81" s="10"/>
      <c r="BFK81" s="10"/>
      <c r="BFL81" s="10"/>
      <c r="BFM81" s="10"/>
      <c r="BFN81" s="10"/>
      <c r="BFO81" s="10"/>
      <c r="BFP81" s="10"/>
      <c r="BFQ81" s="10"/>
      <c r="BFR81" s="10"/>
      <c r="BFS81" s="10"/>
      <c r="BFT81" s="10"/>
      <c r="BFU81" s="10"/>
      <c r="BFV81" s="10"/>
      <c r="BFW81" s="10"/>
      <c r="BFX81" s="10"/>
      <c r="BFY81" s="10"/>
      <c r="BFZ81" s="10"/>
      <c r="BGA81" s="10"/>
      <c r="BGB81" s="10"/>
      <c r="BGC81" s="10"/>
      <c r="BGD81" s="10"/>
      <c r="BGE81" s="10"/>
      <c r="BGF81" s="10"/>
      <c r="BGG81" s="10"/>
      <c r="BGH81" s="10"/>
      <c r="BGI81" s="10"/>
      <c r="BGJ81" s="10"/>
      <c r="BGK81" s="10"/>
      <c r="BGL81" s="10"/>
      <c r="BGM81" s="10"/>
      <c r="BGN81" s="10"/>
      <c r="BGO81" s="10"/>
      <c r="BGP81" s="10"/>
      <c r="BGQ81" s="10"/>
      <c r="BGR81" s="10"/>
      <c r="BGS81" s="10"/>
      <c r="BGT81" s="10"/>
      <c r="BGU81" s="10"/>
      <c r="BGV81" s="10"/>
      <c r="BGW81" s="10"/>
      <c r="BGX81" s="10"/>
      <c r="BGY81" s="10"/>
      <c r="BGZ81" s="10"/>
      <c r="BHA81" s="10"/>
      <c r="BHB81" s="10"/>
      <c r="BHC81" s="10"/>
      <c r="BHD81" s="10"/>
      <c r="BHE81" s="10"/>
      <c r="BHF81" s="10"/>
      <c r="BHG81" s="10"/>
      <c r="BHH81" s="10"/>
      <c r="BHI81" s="10"/>
      <c r="BHJ81" s="10"/>
      <c r="BHK81" s="10"/>
      <c r="BHL81" s="10"/>
      <c r="BHM81" s="10"/>
      <c r="BHN81" s="10"/>
      <c r="BHO81" s="10"/>
      <c r="BHP81" s="10"/>
      <c r="BHQ81" s="10"/>
      <c r="BHR81" s="10"/>
      <c r="BHS81" s="10"/>
      <c r="BHT81" s="10"/>
      <c r="BHU81" s="10"/>
      <c r="BHV81" s="10"/>
      <c r="BHW81" s="10"/>
      <c r="BHX81" s="10"/>
      <c r="BHY81" s="10"/>
      <c r="BHZ81" s="10"/>
      <c r="BIA81" s="10"/>
      <c r="BIB81" s="10"/>
      <c r="BIC81" s="10"/>
      <c r="BID81" s="10"/>
      <c r="BIE81" s="10"/>
      <c r="BIF81" s="10"/>
      <c r="BIG81" s="10"/>
      <c r="BIH81" s="10"/>
      <c r="BII81" s="10"/>
      <c r="BIJ81" s="10"/>
      <c r="BIK81" s="10"/>
      <c r="BIL81" s="10"/>
      <c r="BIM81" s="10"/>
      <c r="BIN81" s="10"/>
      <c r="BIO81" s="10"/>
      <c r="BIP81" s="10"/>
      <c r="BIQ81" s="10"/>
      <c r="BIR81" s="10"/>
      <c r="BIS81" s="10"/>
      <c r="BIT81" s="10"/>
      <c r="BIU81" s="10"/>
      <c r="BIV81" s="10"/>
      <c r="BIW81" s="10"/>
      <c r="BIX81" s="10"/>
      <c r="BIY81" s="10"/>
      <c r="BIZ81" s="10"/>
      <c r="BJA81" s="10"/>
      <c r="BJB81" s="10"/>
      <c r="BJC81" s="10"/>
      <c r="BJD81" s="10"/>
      <c r="BJE81" s="10"/>
      <c r="BJF81" s="10"/>
      <c r="BJG81" s="10"/>
      <c r="BJH81" s="10"/>
      <c r="BJI81" s="10"/>
      <c r="BJJ81" s="10"/>
      <c r="BJK81" s="10"/>
      <c r="BJL81" s="10"/>
      <c r="BJM81" s="10"/>
      <c r="BJN81" s="10"/>
      <c r="BJO81" s="10"/>
      <c r="BJP81" s="10"/>
      <c r="BJQ81" s="10"/>
      <c r="BJR81" s="10"/>
      <c r="BJS81" s="10"/>
      <c r="BJT81" s="10"/>
      <c r="BJU81" s="10"/>
      <c r="BJV81" s="10"/>
      <c r="BJW81" s="10"/>
      <c r="BJX81" s="10"/>
      <c r="BJY81" s="10"/>
      <c r="BJZ81" s="10"/>
      <c r="BKA81" s="10"/>
      <c r="BKB81" s="10"/>
      <c r="BKC81" s="10"/>
      <c r="BKD81" s="10"/>
      <c r="BKE81" s="10"/>
      <c r="BKF81" s="10"/>
      <c r="BKG81" s="10"/>
      <c r="BKH81" s="10"/>
      <c r="BKI81" s="10"/>
      <c r="BKJ81" s="10"/>
      <c r="BKK81" s="10"/>
      <c r="BKL81" s="10"/>
      <c r="BKM81" s="10"/>
      <c r="BKN81" s="10"/>
      <c r="BKO81" s="10"/>
      <c r="BKP81" s="10"/>
      <c r="BKQ81" s="10"/>
      <c r="BKR81" s="10"/>
      <c r="BKS81" s="10"/>
      <c r="BKT81" s="10"/>
      <c r="BKU81" s="10"/>
      <c r="BKV81" s="10"/>
      <c r="BKW81" s="10"/>
      <c r="BKX81" s="10"/>
      <c r="BKY81" s="10"/>
      <c r="BKZ81" s="10"/>
      <c r="BLA81" s="10"/>
      <c r="BLB81" s="10"/>
      <c r="BLC81" s="10"/>
      <c r="BLD81" s="10"/>
      <c r="BLE81" s="10"/>
      <c r="BLF81" s="10"/>
      <c r="BLG81" s="10"/>
      <c r="BLH81" s="10"/>
      <c r="BLI81" s="10"/>
      <c r="BLJ81" s="10"/>
      <c r="BLK81" s="10"/>
      <c r="BLL81" s="10"/>
      <c r="BLM81" s="10"/>
      <c r="BLN81" s="10"/>
      <c r="BLO81" s="10"/>
      <c r="BLP81" s="10"/>
      <c r="BLQ81" s="10"/>
      <c r="BLR81" s="10"/>
      <c r="BLS81" s="10"/>
      <c r="BLT81" s="10"/>
      <c r="BLU81" s="10"/>
      <c r="BLV81" s="10"/>
      <c r="BLW81" s="10"/>
      <c r="BLX81" s="10"/>
      <c r="BLY81" s="10"/>
      <c r="BLZ81" s="10"/>
      <c r="BMA81" s="10"/>
      <c r="BMB81" s="10"/>
      <c r="BMC81" s="10"/>
      <c r="BMD81" s="10"/>
      <c r="BME81" s="10"/>
      <c r="BMF81" s="10"/>
      <c r="BMG81" s="10"/>
      <c r="BMH81" s="10"/>
      <c r="BMI81" s="10"/>
      <c r="BMJ81" s="10"/>
      <c r="BMK81" s="10"/>
      <c r="BML81" s="10"/>
      <c r="BMM81" s="10"/>
      <c r="BMN81" s="10"/>
      <c r="BMO81" s="10"/>
      <c r="BMP81" s="10"/>
      <c r="BMQ81" s="10"/>
      <c r="BMR81" s="10"/>
      <c r="BMS81" s="10"/>
      <c r="BMT81" s="10"/>
      <c r="BMU81" s="10"/>
      <c r="BMV81" s="10"/>
      <c r="BMW81" s="10"/>
      <c r="BMX81" s="10"/>
      <c r="BMY81" s="10"/>
      <c r="BMZ81" s="10"/>
      <c r="BNA81" s="10"/>
      <c r="BNB81" s="10"/>
      <c r="BNC81" s="10"/>
      <c r="BND81" s="10"/>
      <c r="BNE81" s="10"/>
      <c r="BNF81" s="10"/>
      <c r="BNG81" s="10"/>
      <c r="BNH81" s="10"/>
      <c r="BNI81" s="10"/>
      <c r="BNJ81" s="10"/>
      <c r="BNK81" s="10"/>
      <c r="BNL81" s="10"/>
      <c r="BNM81" s="10"/>
      <c r="BNN81" s="10"/>
      <c r="BNO81" s="10"/>
      <c r="BNP81" s="10"/>
      <c r="BNQ81" s="10"/>
      <c r="BNR81" s="10"/>
      <c r="BNS81" s="10"/>
      <c r="BNT81" s="10"/>
      <c r="BNU81" s="10"/>
      <c r="BNV81" s="10"/>
      <c r="BNW81" s="10"/>
      <c r="BNX81" s="10"/>
      <c r="BNY81" s="10"/>
      <c r="BNZ81" s="10"/>
      <c r="BOA81" s="10"/>
      <c r="BOB81" s="10"/>
      <c r="BOC81" s="10"/>
      <c r="BOD81" s="10"/>
      <c r="BOE81" s="10"/>
      <c r="BOF81" s="10"/>
      <c r="BOG81" s="10"/>
      <c r="BOH81" s="10"/>
      <c r="BOI81" s="10"/>
      <c r="BOJ81" s="10"/>
      <c r="BOK81" s="10"/>
      <c r="BOL81" s="10"/>
      <c r="BOM81" s="10"/>
      <c r="BON81" s="10"/>
      <c r="BOO81" s="10"/>
      <c r="BOP81" s="10"/>
      <c r="BOQ81" s="10"/>
      <c r="BOR81" s="10"/>
      <c r="BOS81" s="10"/>
      <c r="BOT81" s="10"/>
      <c r="BOU81" s="10"/>
      <c r="BOV81" s="10"/>
      <c r="BOW81" s="10"/>
      <c r="BOX81" s="10"/>
      <c r="BOY81" s="10"/>
      <c r="BOZ81" s="10"/>
      <c r="BPA81" s="10"/>
      <c r="BPB81" s="10"/>
      <c r="BPC81" s="10"/>
      <c r="BPD81" s="10"/>
      <c r="BPE81" s="10"/>
      <c r="BPF81" s="10"/>
      <c r="BPG81" s="10"/>
      <c r="BPH81" s="10"/>
      <c r="BPI81" s="10"/>
      <c r="BPJ81" s="10"/>
      <c r="BPK81" s="10"/>
      <c r="BPL81" s="10"/>
      <c r="BPM81" s="10"/>
      <c r="BPN81" s="10"/>
      <c r="BPO81" s="10"/>
      <c r="BPP81" s="10"/>
      <c r="BPQ81" s="10"/>
      <c r="BPR81" s="10"/>
      <c r="BPS81" s="10"/>
      <c r="BPT81" s="10"/>
      <c r="BPU81" s="10"/>
      <c r="BPV81" s="10"/>
      <c r="BPW81" s="10"/>
      <c r="BPX81" s="10"/>
      <c r="BPY81" s="10"/>
      <c r="BPZ81" s="10"/>
      <c r="BQA81" s="10"/>
      <c r="BQB81" s="10"/>
      <c r="BQC81" s="10"/>
      <c r="BQD81" s="10"/>
      <c r="BQE81" s="10"/>
      <c r="BQF81" s="10"/>
      <c r="BQG81" s="10"/>
      <c r="BQH81" s="10"/>
      <c r="BQI81" s="10"/>
      <c r="BQJ81" s="10"/>
      <c r="BQK81" s="10"/>
      <c r="BQL81" s="10"/>
      <c r="BQM81" s="10"/>
      <c r="BQN81" s="10"/>
      <c r="BQO81" s="10"/>
      <c r="BQP81" s="10"/>
      <c r="BQQ81" s="10"/>
      <c r="BQR81" s="10"/>
      <c r="BQS81" s="10"/>
      <c r="BQT81" s="10"/>
      <c r="BQU81" s="10"/>
      <c r="BQV81" s="10"/>
      <c r="BQW81" s="10"/>
      <c r="BQX81" s="10"/>
      <c r="BQY81" s="10"/>
      <c r="BQZ81" s="10"/>
      <c r="BRA81" s="10"/>
      <c r="BRB81" s="10"/>
      <c r="BRC81" s="10"/>
      <c r="BRD81" s="10"/>
      <c r="BRE81" s="10"/>
      <c r="BRF81" s="10"/>
      <c r="BRG81" s="10"/>
      <c r="BRH81" s="10"/>
      <c r="BRI81" s="10"/>
      <c r="BRJ81" s="10"/>
      <c r="BRK81" s="10"/>
      <c r="BRL81" s="10"/>
      <c r="BRM81" s="10"/>
      <c r="BRN81" s="10"/>
      <c r="BRO81" s="10"/>
      <c r="BRP81" s="10"/>
      <c r="BRQ81" s="10"/>
      <c r="BRR81" s="10"/>
      <c r="BRS81" s="10"/>
      <c r="BRT81" s="10"/>
      <c r="BRU81" s="10"/>
      <c r="BRV81" s="10"/>
      <c r="BRW81" s="10"/>
      <c r="BRX81" s="10"/>
      <c r="BRY81" s="10"/>
      <c r="BRZ81" s="10"/>
      <c r="BSA81" s="10"/>
      <c r="BSB81" s="10"/>
      <c r="BSC81" s="10"/>
      <c r="BSD81" s="10"/>
      <c r="BSE81" s="10"/>
      <c r="BSF81" s="10"/>
      <c r="BSG81" s="10"/>
      <c r="BSH81" s="10"/>
      <c r="BSI81" s="10"/>
      <c r="BSJ81" s="10"/>
      <c r="BSK81" s="10"/>
      <c r="BSL81" s="10"/>
      <c r="BSM81" s="10"/>
      <c r="BSN81" s="10"/>
      <c r="BSO81" s="10"/>
      <c r="BSP81" s="10"/>
      <c r="BSQ81" s="10"/>
      <c r="BSR81" s="10"/>
      <c r="BSS81" s="10"/>
      <c r="BST81" s="10"/>
      <c r="BSU81" s="10"/>
      <c r="BSV81" s="10"/>
      <c r="BSW81" s="10"/>
      <c r="BSX81" s="10"/>
      <c r="BSY81" s="10"/>
      <c r="BSZ81" s="10"/>
      <c r="BTA81" s="10"/>
      <c r="BTB81" s="10"/>
      <c r="BTC81" s="10"/>
      <c r="BTD81" s="10"/>
      <c r="BTE81" s="10"/>
      <c r="BTF81" s="10"/>
      <c r="BTG81" s="10"/>
      <c r="BTH81" s="10"/>
      <c r="BTI81" s="10"/>
      <c r="BTJ81" s="10"/>
      <c r="BTK81" s="10"/>
      <c r="BTL81" s="10"/>
      <c r="BTM81" s="10"/>
      <c r="BTN81" s="10"/>
      <c r="BTO81" s="10"/>
      <c r="BTP81" s="10"/>
      <c r="BTQ81" s="10"/>
      <c r="BTR81" s="10"/>
      <c r="BTS81" s="10"/>
      <c r="BTT81" s="10"/>
      <c r="BTU81" s="10"/>
      <c r="BTV81" s="10"/>
      <c r="BTW81" s="10"/>
      <c r="BTX81" s="10"/>
      <c r="BTY81" s="10"/>
      <c r="BTZ81" s="10"/>
      <c r="BUA81" s="10"/>
      <c r="BUB81" s="10"/>
      <c r="BUC81" s="10"/>
      <c r="BUD81" s="10"/>
      <c r="BUE81" s="10"/>
      <c r="BUF81" s="10"/>
      <c r="BUG81" s="10"/>
      <c r="BUH81" s="10"/>
      <c r="BUI81" s="10"/>
      <c r="BUJ81" s="10"/>
      <c r="BUK81" s="10"/>
      <c r="BUL81" s="10"/>
      <c r="BUM81" s="10"/>
      <c r="BUN81" s="10"/>
      <c r="BUO81" s="10"/>
      <c r="BUP81" s="10"/>
      <c r="BUQ81" s="10"/>
      <c r="BUR81" s="10"/>
      <c r="BUS81" s="10"/>
      <c r="BUT81" s="10"/>
      <c r="BUU81" s="10"/>
      <c r="BUV81" s="10"/>
      <c r="BUW81" s="10"/>
      <c r="BUX81" s="10"/>
      <c r="BUY81" s="10"/>
      <c r="BUZ81" s="10"/>
      <c r="BVA81" s="10"/>
      <c r="BVB81" s="10"/>
      <c r="BVC81" s="10"/>
      <c r="BVD81" s="10"/>
      <c r="BVE81" s="10"/>
      <c r="BVF81" s="10"/>
      <c r="BVG81" s="10"/>
      <c r="BVH81" s="10"/>
      <c r="BVI81" s="10"/>
      <c r="BVJ81" s="10"/>
      <c r="BVK81" s="10"/>
      <c r="BVL81" s="10"/>
      <c r="BVM81" s="10"/>
      <c r="BVN81" s="10"/>
      <c r="BVO81" s="10"/>
      <c r="BVP81" s="10"/>
      <c r="BVQ81" s="10"/>
      <c r="BVR81" s="10"/>
      <c r="BVS81" s="10"/>
      <c r="BVT81" s="10"/>
      <c r="BVU81" s="10"/>
      <c r="BVV81" s="10"/>
      <c r="BVW81" s="10"/>
      <c r="BVX81" s="10"/>
      <c r="BVY81" s="10"/>
      <c r="BVZ81" s="10"/>
      <c r="BWA81" s="10"/>
      <c r="BWB81" s="10"/>
      <c r="BWC81" s="10"/>
      <c r="BWD81" s="10"/>
      <c r="BWE81" s="10"/>
      <c r="BWF81" s="10"/>
      <c r="BWG81" s="10"/>
      <c r="BWH81" s="10"/>
      <c r="BWI81" s="10"/>
      <c r="BWJ81" s="10"/>
      <c r="BWK81" s="10"/>
      <c r="BWL81" s="10"/>
      <c r="BWM81" s="10"/>
      <c r="BWN81" s="10"/>
      <c r="BWO81" s="10"/>
      <c r="BWP81" s="10"/>
      <c r="BWQ81" s="10"/>
      <c r="BWR81" s="10"/>
      <c r="BWS81" s="10"/>
      <c r="BWT81" s="10"/>
      <c r="BWU81" s="10"/>
      <c r="BWV81" s="10"/>
      <c r="BWW81" s="10"/>
      <c r="BWX81" s="10"/>
      <c r="BWY81" s="10"/>
      <c r="BWZ81" s="10"/>
      <c r="BXA81" s="10"/>
      <c r="BXB81" s="10"/>
      <c r="BXC81" s="10"/>
      <c r="BXD81" s="10"/>
      <c r="BXE81" s="10"/>
      <c r="BXF81" s="10"/>
      <c r="BXG81" s="10"/>
      <c r="BXH81" s="10"/>
      <c r="BXI81" s="10"/>
      <c r="BXJ81" s="10"/>
      <c r="BXK81" s="10"/>
      <c r="BXL81" s="10"/>
      <c r="BXM81" s="10"/>
      <c r="BXN81" s="10"/>
      <c r="BXO81" s="10"/>
      <c r="BXP81" s="10"/>
      <c r="BXQ81" s="10"/>
      <c r="BXR81" s="10"/>
      <c r="BXS81" s="10"/>
      <c r="BXT81" s="10"/>
      <c r="BXU81" s="10"/>
      <c r="BXV81" s="10"/>
      <c r="BXW81" s="10"/>
      <c r="BXX81" s="10"/>
      <c r="BXY81" s="10"/>
      <c r="BXZ81" s="10"/>
      <c r="BYA81" s="10"/>
      <c r="BYB81" s="10"/>
      <c r="BYC81" s="10"/>
      <c r="BYD81" s="10"/>
      <c r="BYE81" s="10"/>
      <c r="BYF81" s="10"/>
      <c r="BYG81" s="10"/>
      <c r="BYH81" s="10"/>
      <c r="BYI81" s="10"/>
      <c r="BYJ81" s="10"/>
      <c r="BYK81" s="10"/>
      <c r="BYL81" s="10"/>
      <c r="BYM81" s="10"/>
      <c r="BYN81" s="10"/>
      <c r="BYO81" s="10"/>
      <c r="BYP81" s="10"/>
      <c r="BYQ81" s="10"/>
      <c r="BYR81" s="10"/>
      <c r="BYS81" s="10"/>
      <c r="BYT81" s="10"/>
      <c r="BYU81" s="10"/>
      <c r="BYV81" s="10"/>
      <c r="BYW81" s="10"/>
      <c r="BYX81" s="10"/>
      <c r="BYY81" s="10"/>
      <c r="BYZ81" s="10"/>
      <c r="BZA81" s="10"/>
      <c r="BZB81" s="10"/>
      <c r="BZC81" s="10"/>
      <c r="BZD81" s="10"/>
      <c r="BZE81" s="10"/>
      <c r="BZF81" s="10"/>
      <c r="BZG81" s="10"/>
      <c r="BZH81" s="10"/>
      <c r="BZI81" s="10"/>
      <c r="BZJ81" s="10"/>
      <c r="BZK81" s="10"/>
      <c r="BZL81" s="10"/>
      <c r="BZM81" s="10"/>
      <c r="BZN81" s="10"/>
      <c r="BZO81" s="10"/>
      <c r="BZP81" s="10"/>
      <c r="BZQ81" s="10"/>
      <c r="BZR81" s="10"/>
      <c r="BZS81" s="10"/>
      <c r="BZT81" s="10"/>
      <c r="BZU81" s="10"/>
      <c r="BZV81" s="10"/>
      <c r="BZW81" s="10"/>
      <c r="BZX81" s="10"/>
      <c r="BZY81" s="10"/>
      <c r="BZZ81" s="10"/>
      <c r="CAA81" s="10"/>
      <c r="CAB81" s="10"/>
      <c r="CAC81" s="10"/>
      <c r="CAD81" s="10"/>
      <c r="CAE81" s="10"/>
      <c r="CAF81" s="10"/>
      <c r="CAG81" s="10"/>
      <c r="CAH81" s="10"/>
      <c r="CAI81" s="10"/>
      <c r="CAJ81" s="10"/>
      <c r="CAK81" s="10"/>
      <c r="CAL81" s="10"/>
      <c r="CAM81" s="10"/>
      <c r="CAN81" s="10"/>
      <c r="CAO81" s="10"/>
      <c r="CAP81" s="10"/>
      <c r="CAQ81" s="10"/>
      <c r="CAR81" s="10"/>
      <c r="CAS81" s="10"/>
      <c r="CAT81" s="10"/>
      <c r="CAU81" s="10"/>
      <c r="CAV81" s="10"/>
      <c r="CAW81" s="10"/>
      <c r="CAX81" s="10"/>
      <c r="CAY81" s="10"/>
      <c r="CAZ81" s="10"/>
      <c r="CBA81" s="10"/>
      <c r="CBB81" s="10"/>
      <c r="CBC81" s="10"/>
      <c r="CBD81" s="10"/>
      <c r="CBE81" s="10"/>
      <c r="CBF81" s="10"/>
      <c r="CBG81" s="10"/>
      <c r="CBH81" s="10"/>
      <c r="CBI81" s="10"/>
      <c r="CBJ81" s="10"/>
      <c r="CBK81" s="10"/>
      <c r="CBL81" s="10"/>
      <c r="CBM81" s="10"/>
      <c r="CBN81" s="10"/>
      <c r="CBO81" s="10"/>
      <c r="CBP81" s="10"/>
      <c r="CBQ81" s="10"/>
      <c r="CBR81" s="10"/>
      <c r="CBS81" s="10"/>
      <c r="CBT81" s="10"/>
      <c r="CBU81" s="10"/>
      <c r="CBV81" s="10"/>
      <c r="CBW81" s="10"/>
      <c r="CBX81" s="10"/>
      <c r="CBY81" s="10"/>
      <c r="CBZ81" s="10"/>
      <c r="CCA81" s="10"/>
      <c r="CCB81" s="10"/>
      <c r="CCC81" s="10"/>
      <c r="CCD81" s="10"/>
      <c r="CCE81" s="10"/>
      <c r="CCF81" s="10"/>
      <c r="CCG81" s="10"/>
      <c r="CCH81" s="10"/>
      <c r="CCI81" s="10"/>
      <c r="CCJ81" s="10"/>
      <c r="CCK81" s="10"/>
      <c r="CCL81" s="10"/>
      <c r="CCM81" s="10"/>
      <c r="CCN81" s="10"/>
      <c r="CCO81" s="10"/>
      <c r="CCP81" s="10"/>
      <c r="CCQ81" s="10"/>
      <c r="CCR81" s="10"/>
      <c r="CCS81" s="10"/>
      <c r="CCT81" s="10"/>
      <c r="CCU81" s="10"/>
      <c r="CCV81" s="10"/>
      <c r="CCW81" s="10"/>
      <c r="CCX81" s="10"/>
      <c r="CCY81" s="10"/>
      <c r="CCZ81" s="10"/>
      <c r="CDA81" s="10"/>
      <c r="CDB81" s="10"/>
      <c r="CDC81" s="10"/>
      <c r="CDD81" s="10"/>
      <c r="CDE81" s="10"/>
      <c r="CDF81" s="10"/>
      <c r="CDG81" s="10"/>
      <c r="CDH81" s="10"/>
      <c r="CDI81" s="10"/>
      <c r="CDJ81" s="10"/>
      <c r="CDK81" s="10"/>
      <c r="CDL81" s="10"/>
      <c r="CDM81" s="10"/>
      <c r="CDN81" s="10"/>
      <c r="CDO81" s="10"/>
      <c r="CDP81" s="10"/>
      <c r="CDQ81" s="10"/>
      <c r="CDR81" s="10"/>
      <c r="CDS81" s="10"/>
      <c r="CDT81" s="10"/>
      <c r="CDU81" s="10"/>
      <c r="CDV81" s="10"/>
      <c r="CDW81" s="10"/>
      <c r="CDX81" s="10"/>
      <c r="CDY81" s="10"/>
      <c r="CDZ81" s="10"/>
      <c r="CEA81" s="10"/>
      <c r="CEB81" s="10"/>
      <c r="CEC81" s="10"/>
      <c r="CED81" s="10"/>
      <c r="CEE81" s="10"/>
      <c r="CEF81" s="10"/>
      <c r="CEG81" s="10"/>
      <c r="CEH81" s="10"/>
      <c r="CEI81" s="10"/>
      <c r="CEJ81" s="10"/>
      <c r="CEK81" s="10"/>
      <c r="CEL81" s="10"/>
      <c r="CEM81" s="10"/>
      <c r="CEN81" s="10"/>
      <c r="CEO81" s="10"/>
      <c r="CEP81" s="10"/>
      <c r="CEQ81" s="10"/>
      <c r="CER81" s="10"/>
      <c r="CES81" s="10"/>
      <c r="CET81" s="10"/>
      <c r="CEU81" s="10"/>
      <c r="CEV81" s="10"/>
      <c r="CEW81" s="10"/>
      <c r="CEX81" s="10"/>
      <c r="CEY81" s="10"/>
      <c r="CEZ81" s="10"/>
      <c r="CFA81" s="10"/>
      <c r="CFB81" s="10"/>
      <c r="CFC81" s="10"/>
      <c r="CFD81" s="10"/>
      <c r="CFE81" s="10"/>
      <c r="CFF81" s="10"/>
      <c r="CFG81" s="10"/>
      <c r="CFH81" s="10"/>
      <c r="CFI81" s="10"/>
      <c r="CFJ81" s="10"/>
      <c r="CFK81" s="10"/>
      <c r="CFL81" s="10"/>
      <c r="CFM81" s="10"/>
      <c r="CFN81" s="10"/>
      <c r="CFO81" s="10"/>
      <c r="CFP81" s="10"/>
      <c r="CFQ81" s="10"/>
      <c r="CFR81" s="10"/>
      <c r="CFS81" s="10"/>
      <c r="CFT81" s="10"/>
      <c r="CFU81" s="10"/>
      <c r="CFV81" s="10"/>
      <c r="CFW81" s="10"/>
      <c r="CFX81" s="10"/>
      <c r="CFY81" s="10"/>
      <c r="CFZ81" s="10"/>
      <c r="CGA81" s="10"/>
      <c r="CGB81" s="10"/>
      <c r="CGC81" s="10"/>
      <c r="CGD81" s="10"/>
      <c r="CGE81" s="10"/>
      <c r="CGF81" s="10"/>
      <c r="CGG81" s="10"/>
      <c r="CGH81" s="10"/>
      <c r="CGI81" s="10"/>
      <c r="CGJ81" s="10"/>
      <c r="CGK81" s="10"/>
      <c r="CGL81" s="10"/>
      <c r="CGM81" s="10"/>
      <c r="CGN81" s="10"/>
      <c r="CGO81" s="10"/>
      <c r="CGP81" s="10"/>
      <c r="CGQ81" s="10"/>
      <c r="CGR81" s="10"/>
      <c r="CGS81" s="10"/>
      <c r="CGT81" s="10"/>
      <c r="CGU81" s="10"/>
      <c r="CGV81" s="10"/>
      <c r="CGW81" s="10"/>
      <c r="CGX81" s="10"/>
      <c r="CGY81" s="10"/>
      <c r="CGZ81" s="10"/>
      <c r="CHA81" s="10"/>
      <c r="CHB81" s="10"/>
      <c r="CHC81" s="10"/>
      <c r="CHD81" s="10"/>
      <c r="CHE81" s="10"/>
      <c r="CHF81" s="10"/>
      <c r="CHG81" s="10"/>
      <c r="CHH81" s="10"/>
      <c r="CHI81" s="10"/>
      <c r="CHJ81" s="10"/>
      <c r="CHK81" s="10"/>
      <c r="CHL81" s="10"/>
      <c r="CHM81" s="10"/>
      <c r="CHN81" s="10"/>
      <c r="CHO81" s="10"/>
      <c r="CHP81" s="10"/>
      <c r="CHQ81" s="10"/>
      <c r="CHR81" s="10"/>
      <c r="CHS81" s="10"/>
      <c r="CHT81" s="10"/>
      <c r="CHU81" s="10"/>
      <c r="CHV81" s="10"/>
      <c r="CHW81" s="10"/>
      <c r="CHX81" s="10"/>
      <c r="CHY81" s="10"/>
      <c r="CHZ81" s="10"/>
      <c r="CIA81" s="10"/>
      <c r="CIB81" s="10"/>
      <c r="CIC81" s="10"/>
      <c r="CID81" s="10"/>
      <c r="CIE81" s="10"/>
      <c r="CIF81" s="10"/>
      <c r="CIG81" s="10"/>
      <c r="CIH81" s="10"/>
      <c r="CII81" s="10"/>
      <c r="CIJ81" s="10"/>
      <c r="CIK81" s="10"/>
      <c r="CIL81" s="10"/>
      <c r="CIM81" s="10"/>
      <c r="CIN81" s="10"/>
      <c r="CIO81" s="10"/>
      <c r="CIP81" s="10"/>
      <c r="CIQ81" s="10"/>
      <c r="CIR81" s="10"/>
      <c r="CIS81" s="10"/>
      <c r="CIT81" s="10"/>
      <c r="CIU81" s="10"/>
      <c r="CIV81" s="10"/>
      <c r="CIW81" s="10"/>
      <c r="CIX81" s="10"/>
      <c r="CIY81" s="10"/>
      <c r="CIZ81" s="10"/>
      <c r="CJA81" s="10"/>
      <c r="CJB81" s="10"/>
      <c r="CJC81" s="10"/>
      <c r="CJD81" s="10"/>
      <c r="CJE81" s="10"/>
      <c r="CJF81" s="10"/>
      <c r="CJG81" s="10"/>
      <c r="CJH81" s="10"/>
      <c r="CJI81" s="10"/>
      <c r="CJJ81" s="10"/>
      <c r="CJK81" s="10"/>
      <c r="CJL81" s="10"/>
      <c r="CJM81" s="10"/>
      <c r="CJN81" s="10"/>
      <c r="CJO81" s="10"/>
      <c r="CJP81" s="10"/>
      <c r="CJQ81" s="10"/>
      <c r="CJR81" s="10"/>
      <c r="CJS81" s="10"/>
      <c r="CJT81" s="10"/>
      <c r="CJU81" s="10"/>
      <c r="CJV81" s="10"/>
      <c r="CJW81" s="10"/>
      <c r="CJX81" s="10"/>
      <c r="CJY81" s="10"/>
      <c r="CJZ81" s="10"/>
      <c r="CKA81" s="10"/>
      <c r="CKB81" s="10"/>
      <c r="CKC81" s="10"/>
      <c r="CKD81" s="10"/>
      <c r="CKE81" s="10"/>
      <c r="CKF81" s="10"/>
      <c r="CKG81" s="10"/>
      <c r="CKH81" s="10"/>
      <c r="CKI81" s="10"/>
      <c r="CKJ81" s="10"/>
      <c r="CKK81" s="10"/>
      <c r="CKL81" s="10"/>
      <c r="CKM81" s="10"/>
      <c r="CKN81" s="10"/>
      <c r="CKO81" s="10"/>
      <c r="CKP81" s="10"/>
      <c r="CKQ81" s="10"/>
      <c r="CKR81" s="10"/>
      <c r="CKS81" s="10"/>
      <c r="CKT81" s="10"/>
      <c r="CKU81" s="10"/>
      <c r="CKV81" s="10"/>
      <c r="CKW81" s="10"/>
      <c r="CKX81" s="10"/>
      <c r="CKY81" s="10"/>
      <c r="CKZ81" s="10"/>
      <c r="CLA81" s="10"/>
      <c r="CLB81" s="10"/>
      <c r="CLC81" s="10"/>
      <c r="CLD81" s="10"/>
      <c r="CLE81" s="10"/>
      <c r="CLF81" s="10"/>
      <c r="CLG81" s="10"/>
      <c r="CLH81" s="10"/>
      <c r="CLI81" s="10"/>
      <c r="CLJ81" s="10"/>
      <c r="CLK81" s="10"/>
      <c r="CLL81" s="10"/>
      <c r="CLM81" s="10"/>
      <c r="CLN81" s="10"/>
      <c r="CLO81" s="10"/>
      <c r="CLP81" s="10"/>
      <c r="CLQ81" s="10"/>
      <c r="CLR81" s="10"/>
      <c r="CLS81" s="10"/>
      <c r="CLT81" s="10"/>
      <c r="CLU81" s="10"/>
      <c r="CLV81" s="10"/>
      <c r="CLW81" s="10"/>
      <c r="CLX81" s="10"/>
      <c r="CLY81" s="10"/>
      <c r="CLZ81" s="10"/>
      <c r="CMA81" s="10"/>
      <c r="CMB81" s="10"/>
      <c r="CMC81" s="10"/>
      <c r="CMD81" s="10"/>
      <c r="CME81" s="10"/>
      <c r="CMF81" s="10"/>
      <c r="CMG81" s="10"/>
      <c r="CMH81" s="10"/>
      <c r="CMI81" s="10"/>
      <c r="CMJ81" s="10"/>
      <c r="CMK81" s="10"/>
      <c r="CML81" s="10"/>
      <c r="CMM81" s="10"/>
      <c r="CMN81" s="10"/>
      <c r="CMO81" s="10"/>
      <c r="CMP81" s="10"/>
      <c r="CMQ81" s="10"/>
      <c r="CMR81" s="10"/>
      <c r="CMS81" s="10"/>
      <c r="CMT81" s="10"/>
      <c r="CMU81" s="10"/>
      <c r="CMV81" s="10"/>
      <c r="CMW81" s="10"/>
      <c r="CMX81" s="10"/>
      <c r="CMY81" s="10"/>
      <c r="CMZ81" s="10"/>
      <c r="CNA81" s="10"/>
      <c r="CNB81" s="10"/>
      <c r="CNC81" s="10"/>
      <c r="CND81" s="10"/>
      <c r="CNE81" s="10"/>
      <c r="CNF81" s="10"/>
      <c r="CNG81" s="10"/>
      <c r="CNH81" s="10"/>
      <c r="CNI81" s="10"/>
      <c r="CNJ81" s="10"/>
      <c r="CNK81" s="10"/>
      <c r="CNL81" s="10"/>
      <c r="CNM81" s="10"/>
      <c r="CNN81" s="10"/>
      <c r="CNO81" s="10"/>
      <c r="CNP81" s="10"/>
      <c r="CNQ81" s="10"/>
      <c r="CNR81" s="10"/>
      <c r="CNS81" s="10"/>
      <c r="CNT81" s="10"/>
      <c r="CNU81" s="10"/>
      <c r="CNV81" s="10"/>
      <c r="CNW81" s="10"/>
      <c r="CNX81" s="10"/>
      <c r="CNY81" s="10"/>
      <c r="CNZ81" s="10"/>
      <c r="COA81" s="10"/>
      <c r="COB81" s="10"/>
      <c r="COC81" s="10"/>
      <c r="COD81" s="10"/>
      <c r="COE81" s="10"/>
      <c r="COF81" s="10"/>
      <c r="COG81" s="10"/>
      <c r="COH81" s="10"/>
      <c r="COI81" s="10"/>
      <c r="COJ81" s="10"/>
      <c r="COK81" s="10"/>
      <c r="COL81" s="10"/>
      <c r="COM81" s="10"/>
      <c r="CON81" s="10"/>
      <c r="COO81" s="10"/>
      <c r="COP81" s="10"/>
      <c r="COQ81" s="10"/>
      <c r="COR81" s="10"/>
      <c r="COS81" s="10"/>
      <c r="COT81" s="10"/>
      <c r="COU81" s="10"/>
      <c r="COV81" s="10"/>
      <c r="COW81" s="10"/>
      <c r="COX81" s="10"/>
      <c r="COY81" s="10"/>
      <c r="COZ81" s="10"/>
      <c r="CPA81" s="10"/>
      <c r="CPB81" s="10"/>
      <c r="CPC81" s="10"/>
      <c r="CPD81" s="10"/>
      <c r="CPE81" s="10"/>
      <c r="CPF81" s="10"/>
      <c r="CPG81" s="10"/>
      <c r="CPH81" s="10"/>
      <c r="CPI81" s="10"/>
      <c r="CPJ81" s="10"/>
      <c r="CPK81" s="10"/>
      <c r="CPL81" s="10"/>
      <c r="CPM81" s="10"/>
      <c r="CPN81" s="10"/>
      <c r="CPO81" s="10"/>
      <c r="CPP81" s="10"/>
      <c r="CPQ81" s="10"/>
      <c r="CPR81" s="10"/>
      <c r="CPS81" s="10"/>
      <c r="CPT81" s="10"/>
      <c r="CPU81" s="10"/>
      <c r="CPV81" s="10"/>
      <c r="CPW81" s="10"/>
      <c r="CPX81" s="10"/>
      <c r="CPY81" s="10"/>
      <c r="CPZ81" s="10"/>
      <c r="CQA81" s="10"/>
      <c r="CQB81" s="10"/>
      <c r="CQC81" s="10"/>
      <c r="CQD81" s="10"/>
      <c r="CQE81" s="10"/>
      <c r="CQF81" s="10"/>
      <c r="CQG81" s="10"/>
      <c r="CQH81" s="10"/>
      <c r="CQI81" s="10"/>
      <c r="CQJ81" s="10"/>
      <c r="CQK81" s="10"/>
      <c r="CQL81" s="10"/>
      <c r="CQM81" s="10"/>
      <c r="CQN81" s="10"/>
      <c r="CQO81" s="10"/>
      <c r="CQP81" s="10"/>
      <c r="CQQ81" s="10"/>
      <c r="CQR81" s="10"/>
      <c r="CQS81" s="10"/>
      <c r="CQT81" s="10"/>
      <c r="CQU81" s="10"/>
      <c r="CQV81" s="10"/>
      <c r="CQW81" s="10"/>
      <c r="CQX81" s="10"/>
      <c r="CQY81" s="10"/>
      <c r="CQZ81" s="10"/>
      <c r="CRA81" s="10"/>
      <c r="CRB81" s="10"/>
      <c r="CRC81" s="10"/>
      <c r="CRD81" s="10"/>
      <c r="CRE81" s="10"/>
      <c r="CRF81" s="10"/>
      <c r="CRG81" s="10"/>
      <c r="CRH81" s="10"/>
      <c r="CRI81" s="10"/>
      <c r="CRJ81" s="10"/>
      <c r="CRK81" s="10"/>
      <c r="CRL81" s="10"/>
      <c r="CRM81" s="10"/>
      <c r="CRN81" s="10"/>
      <c r="CRO81" s="10"/>
      <c r="CRP81" s="10"/>
      <c r="CRQ81" s="10"/>
      <c r="CRR81" s="10"/>
      <c r="CRS81" s="10"/>
      <c r="CRT81" s="10"/>
      <c r="CRU81" s="10"/>
      <c r="CRV81" s="10"/>
      <c r="CRW81" s="10"/>
      <c r="CRX81" s="10"/>
      <c r="CRY81" s="10"/>
      <c r="CRZ81" s="10"/>
      <c r="CSA81" s="10"/>
      <c r="CSB81" s="10"/>
      <c r="CSC81" s="10"/>
      <c r="CSD81" s="10"/>
      <c r="CSE81" s="10"/>
      <c r="CSF81" s="10"/>
      <c r="CSG81" s="10"/>
      <c r="CSH81" s="10"/>
      <c r="CSI81" s="10"/>
      <c r="CSJ81" s="10"/>
      <c r="CSK81" s="10"/>
      <c r="CSL81" s="10"/>
      <c r="CSM81" s="10"/>
      <c r="CSN81" s="10"/>
      <c r="CSO81" s="10"/>
      <c r="CSP81" s="10"/>
      <c r="CSQ81" s="10"/>
      <c r="CSR81" s="10"/>
      <c r="CSS81" s="10"/>
      <c r="CST81" s="10"/>
      <c r="CSU81" s="10"/>
      <c r="CSV81" s="10"/>
      <c r="CSW81" s="10"/>
      <c r="CSX81" s="10"/>
      <c r="CSY81" s="10"/>
      <c r="CSZ81" s="10"/>
      <c r="CTA81" s="10"/>
      <c r="CTB81" s="10"/>
      <c r="CTC81" s="10"/>
      <c r="CTD81" s="10"/>
      <c r="CTE81" s="10"/>
      <c r="CTF81" s="10"/>
      <c r="CTG81" s="10"/>
      <c r="CTH81" s="10"/>
      <c r="CTI81" s="10"/>
      <c r="CTJ81" s="10"/>
      <c r="CTK81" s="10"/>
      <c r="CTL81" s="10"/>
      <c r="CTM81" s="10"/>
      <c r="CTN81" s="10"/>
      <c r="CTO81" s="10"/>
      <c r="CTP81" s="10"/>
      <c r="CTQ81" s="10"/>
      <c r="CTR81" s="10"/>
      <c r="CTS81" s="10"/>
      <c r="CTT81" s="10"/>
      <c r="CTU81" s="10"/>
      <c r="CTV81" s="10"/>
      <c r="CTW81" s="10"/>
      <c r="CTX81" s="10"/>
      <c r="CTY81" s="10"/>
      <c r="CTZ81" s="10"/>
      <c r="CUA81" s="10"/>
      <c r="CUB81" s="10"/>
      <c r="CUC81" s="10"/>
      <c r="CUD81" s="10"/>
      <c r="CUE81" s="10"/>
      <c r="CUF81" s="10"/>
      <c r="CUG81" s="10"/>
      <c r="CUH81" s="10"/>
      <c r="CUI81" s="10"/>
      <c r="CUJ81" s="10"/>
      <c r="CUK81" s="10"/>
      <c r="CUL81" s="10"/>
      <c r="CUM81" s="10"/>
      <c r="CUN81" s="10"/>
      <c r="CUO81" s="10"/>
      <c r="CUP81" s="10"/>
      <c r="CUQ81" s="10"/>
      <c r="CUR81" s="10"/>
      <c r="CUS81" s="10"/>
      <c r="CUT81" s="10"/>
      <c r="CUU81" s="10"/>
      <c r="CUV81" s="10"/>
      <c r="CUW81" s="10"/>
      <c r="CUX81" s="10"/>
      <c r="CUY81" s="10"/>
      <c r="CUZ81" s="10"/>
      <c r="CVA81" s="10"/>
      <c r="CVB81" s="10"/>
      <c r="CVC81" s="10"/>
      <c r="CVD81" s="10"/>
      <c r="CVE81" s="10"/>
      <c r="CVF81" s="10"/>
      <c r="CVG81" s="10"/>
      <c r="CVH81" s="10"/>
      <c r="CVI81" s="10"/>
      <c r="CVJ81" s="10"/>
      <c r="CVK81" s="10"/>
      <c r="CVL81" s="10"/>
      <c r="CVM81" s="10"/>
      <c r="CVN81" s="10"/>
      <c r="CVO81" s="10"/>
      <c r="CVP81" s="10"/>
      <c r="CVQ81" s="10"/>
      <c r="CVR81" s="10"/>
      <c r="CVS81" s="10"/>
      <c r="CVT81" s="10"/>
      <c r="CVU81" s="10"/>
      <c r="CVV81" s="10"/>
      <c r="CVW81" s="10"/>
      <c r="CVX81" s="10"/>
      <c r="CVY81" s="10"/>
      <c r="CVZ81" s="10"/>
      <c r="CWA81" s="10"/>
      <c r="CWB81" s="10"/>
      <c r="CWC81" s="10"/>
      <c r="CWD81" s="10"/>
      <c r="CWE81" s="10"/>
      <c r="CWF81" s="10"/>
      <c r="CWG81" s="10"/>
      <c r="CWH81" s="10"/>
      <c r="CWI81" s="10"/>
      <c r="CWJ81" s="10"/>
      <c r="CWK81" s="10"/>
      <c r="CWL81" s="10"/>
      <c r="CWM81" s="10"/>
      <c r="CWN81" s="10"/>
      <c r="CWO81" s="10"/>
      <c r="CWP81" s="10"/>
      <c r="CWQ81" s="10"/>
      <c r="CWR81" s="10"/>
      <c r="CWS81" s="10"/>
      <c r="CWT81" s="10"/>
      <c r="CWU81" s="10"/>
      <c r="CWV81" s="10"/>
      <c r="CWW81" s="10"/>
      <c r="CWX81" s="10"/>
      <c r="CWY81" s="10"/>
      <c r="CWZ81" s="10"/>
      <c r="CXA81" s="10"/>
      <c r="CXB81" s="10"/>
      <c r="CXC81" s="10"/>
      <c r="CXD81" s="10"/>
      <c r="CXE81" s="10"/>
      <c r="CXF81" s="10"/>
      <c r="CXG81" s="10"/>
      <c r="CXH81" s="10"/>
      <c r="CXI81" s="10"/>
      <c r="CXJ81" s="10"/>
      <c r="CXK81" s="10"/>
      <c r="CXL81" s="10"/>
      <c r="CXM81" s="10"/>
      <c r="CXN81" s="10"/>
      <c r="CXO81" s="10"/>
      <c r="CXP81" s="10"/>
      <c r="CXQ81" s="10"/>
      <c r="CXR81" s="10"/>
      <c r="CXS81" s="10"/>
      <c r="CXT81" s="10"/>
      <c r="CXU81" s="10"/>
      <c r="CXV81" s="10"/>
      <c r="CXW81" s="10"/>
      <c r="CXX81" s="10"/>
      <c r="CXY81" s="10"/>
      <c r="CXZ81" s="10"/>
      <c r="CYA81" s="10"/>
      <c r="CYB81" s="10"/>
      <c r="CYC81" s="10"/>
      <c r="CYD81" s="10"/>
      <c r="CYE81" s="10"/>
      <c r="CYF81" s="10"/>
      <c r="CYG81" s="10"/>
      <c r="CYH81" s="10"/>
      <c r="CYI81" s="10"/>
      <c r="CYJ81" s="10"/>
      <c r="CYK81" s="10"/>
      <c r="CYL81" s="10"/>
      <c r="CYM81" s="10"/>
      <c r="CYN81" s="10"/>
      <c r="CYO81" s="10"/>
      <c r="CYP81" s="10"/>
      <c r="CYQ81" s="10"/>
      <c r="CYR81" s="10"/>
      <c r="CYS81" s="10"/>
      <c r="CYT81" s="10"/>
      <c r="CYU81" s="10"/>
      <c r="CYV81" s="10"/>
      <c r="CYW81" s="10"/>
      <c r="CYX81" s="10"/>
      <c r="CYY81" s="10"/>
      <c r="CYZ81" s="10"/>
      <c r="CZA81" s="10"/>
      <c r="CZB81" s="10"/>
      <c r="CZC81" s="10"/>
      <c r="CZD81" s="10"/>
      <c r="CZE81" s="10"/>
      <c r="CZF81" s="10"/>
      <c r="CZG81" s="10"/>
      <c r="CZH81" s="10"/>
      <c r="CZI81" s="10"/>
      <c r="CZJ81" s="10"/>
      <c r="CZK81" s="10"/>
      <c r="CZL81" s="10"/>
      <c r="CZM81" s="10"/>
      <c r="CZN81" s="10"/>
      <c r="CZO81" s="10"/>
      <c r="CZP81" s="10"/>
      <c r="CZQ81" s="10"/>
      <c r="CZR81" s="10"/>
      <c r="CZS81" s="10"/>
      <c r="CZT81" s="10"/>
      <c r="CZU81" s="10"/>
      <c r="CZV81" s="10"/>
      <c r="CZW81" s="10"/>
      <c r="CZX81" s="10"/>
      <c r="CZY81" s="10"/>
      <c r="CZZ81" s="10"/>
      <c r="DAA81" s="10"/>
      <c r="DAB81" s="10"/>
      <c r="DAC81" s="10"/>
      <c r="DAD81" s="10"/>
      <c r="DAE81" s="10"/>
      <c r="DAF81" s="10"/>
      <c r="DAG81" s="10"/>
      <c r="DAH81" s="10"/>
      <c r="DAI81" s="10"/>
      <c r="DAJ81" s="10"/>
      <c r="DAK81" s="10"/>
      <c r="DAL81" s="10"/>
      <c r="DAM81" s="10"/>
      <c r="DAN81" s="10"/>
      <c r="DAO81" s="10"/>
      <c r="DAP81" s="10"/>
      <c r="DAQ81" s="10"/>
      <c r="DAR81" s="10"/>
      <c r="DAS81" s="10"/>
      <c r="DAT81" s="10"/>
      <c r="DAU81" s="10"/>
      <c r="DAV81" s="10"/>
      <c r="DAW81" s="10"/>
      <c r="DAX81" s="10"/>
      <c r="DAY81" s="10"/>
      <c r="DAZ81" s="10"/>
      <c r="DBA81" s="10"/>
      <c r="DBB81" s="10"/>
      <c r="DBC81" s="10"/>
      <c r="DBD81" s="10"/>
      <c r="DBE81" s="10"/>
      <c r="DBF81" s="10"/>
      <c r="DBG81" s="10"/>
      <c r="DBH81" s="10"/>
      <c r="DBI81" s="10"/>
      <c r="DBJ81" s="10"/>
      <c r="DBK81" s="10"/>
      <c r="DBL81" s="10"/>
      <c r="DBM81" s="10"/>
      <c r="DBN81" s="10"/>
      <c r="DBO81" s="10"/>
      <c r="DBP81" s="10"/>
      <c r="DBQ81" s="10"/>
      <c r="DBR81" s="10"/>
      <c r="DBS81" s="10"/>
      <c r="DBT81" s="10"/>
      <c r="DBU81" s="10"/>
      <c r="DBV81" s="10"/>
      <c r="DBW81" s="10"/>
      <c r="DBX81" s="10"/>
      <c r="DBY81" s="10"/>
      <c r="DBZ81" s="10"/>
      <c r="DCA81" s="10"/>
      <c r="DCB81" s="10"/>
      <c r="DCC81" s="10"/>
      <c r="DCD81" s="10"/>
      <c r="DCE81" s="10"/>
      <c r="DCF81" s="10"/>
      <c r="DCG81" s="10"/>
      <c r="DCH81" s="10"/>
      <c r="DCI81" s="10"/>
      <c r="DCJ81" s="10"/>
      <c r="DCK81" s="10"/>
      <c r="DCL81" s="10"/>
      <c r="DCM81" s="10"/>
      <c r="DCN81" s="10"/>
      <c r="DCO81" s="10"/>
      <c r="DCP81" s="10"/>
      <c r="DCQ81" s="10"/>
      <c r="DCR81" s="10"/>
      <c r="DCS81" s="10"/>
      <c r="DCT81" s="10"/>
      <c r="DCU81" s="10"/>
      <c r="DCV81" s="10"/>
      <c r="DCW81" s="10"/>
      <c r="DCX81" s="10"/>
      <c r="DCY81" s="10"/>
      <c r="DCZ81" s="10"/>
      <c r="DDA81" s="10"/>
      <c r="DDB81" s="10"/>
      <c r="DDC81" s="10"/>
      <c r="DDD81" s="10"/>
      <c r="DDE81" s="10"/>
      <c r="DDF81" s="10"/>
      <c r="DDG81" s="10"/>
      <c r="DDH81" s="10"/>
      <c r="DDI81" s="10"/>
      <c r="DDJ81" s="10"/>
      <c r="DDK81" s="10"/>
      <c r="DDL81" s="10"/>
      <c r="DDM81" s="10"/>
      <c r="DDN81" s="10"/>
      <c r="DDO81" s="10"/>
      <c r="DDP81" s="10"/>
      <c r="DDQ81" s="10"/>
      <c r="DDR81" s="10"/>
      <c r="DDS81" s="10"/>
      <c r="DDT81" s="10"/>
      <c r="DDU81" s="10"/>
      <c r="DDV81" s="10"/>
      <c r="DDW81" s="10"/>
      <c r="DDX81" s="10"/>
      <c r="DDY81" s="10"/>
      <c r="DDZ81" s="10"/>
      <c r="DEA81" s="10"/>
      <c r="DEB81" s="10"/>
      <c r="DEC81" s="10"/>
      <c r="DED81" s="10"/>
      <c r="DEE81" s="10"/>
      <c r="DEF81" s="10"/>
      <c r="DEG81" s="10"/>
      <c r="DEH81" s="10"/>
      <c r="DEI81" s="10"/>
      <c r="DEJ81" s="10"/>
      <c r="DEK81" s="10"/>
      <c r="DEL81" s="10"/>
      <c r="DEM81" s="10"/>
      <c r="DEN81" s="10"/>
      <c r="DEO81" s="10"/>
      <c r="DEP81" s="10"/>
      <c r="DEQ81" s="10"/>
      <c r="DER81" s="10"/>
      <c r="DES81" s="10"/>
      <c r="DET81" s="10"/>
      <c r="DEU81" s="10"/>
      <c r="DEV81" s="10"/>
      <c r="DEW81" s="10"/>
      <c r="DEX81" s="10"/>
      <c r="DEY81" s="10"/>
      <c r="DEZ81" s="10"/>
      <c r="DFA81" s="10"/>
      <c r="DFB81" s="10"/>
      <c r="DFC81" s="10"/>
      <c r="DFD81" s="10"/>
      <c r="DFE81" s="10"/>
      <c r="DFF81" s="10"/>
      <c r="DFG81" s="10"/>
      <c r="DFH81" s="10"/>
      <c r="DFI81" s="10"/>
      <c r="DFJ81" s="10"/>
      <c r="DFK81" s="10"/>
      <c r="DFL81" s="10"/>
      <c r="DFM81" s="10"/>
      <c r="DFN81" s="10"/>
      <c r="DFO81" s="10"/>
      <c r="DFP81" s="10"/>
      <c r="DFQ81" s="10"/>
      <c r="DFR81" s="10"/>
      <c r="DFS81" s="10"/>
      <c r="DFT81" s="10"/>
      <c r="DFU81" s="10"/>
      <c r="DFV81" s="10"/>
      <c r="DFW81" s="10"/>
      <c r="DFX81" s="10"/>
      <c r="DFY81" s="10"/>
      <c r="DFZ81" s="10"/>
      <c r="DGA81" s="10"/>
      <c r="DGB81" s="10"/>
      <c r="DGC81" s="10"/>
      <c r="DGD81" s="10"/>
      <c r="DGE81" s="10"/>
      <c r="DGF81" s="10"/>
      <c r="DGG81" s="10"/>
      <c r="DGH81" s="10"/>
      <c r="DGI81" s="10"/>
      <c r="DGJ81" s="10"/>
      <c r="DGK81" s="10"/>
      <c r="DGL81" s="10"/>
      <c r="DGM81" s="10"/>
      <c r="DGN81" s="10"/>
      <c r="DGO81" s="10"/>
      <c r="DGP81" s="10"/>
      <c r="DGQ81" s="10"/>
      <c r="DGR81" s="10"/>
      <c r="DGS81" s="10"/>
      <c r="DGT81" s="10"/>
      <c r="DGU81" s="10"/>
      <c r="DGV81" s="10"/>
      <c r="DGW81" s="10"/>
      <c r="DGX81" s="10"/>
      <c r="DGY81" s="10"/>
      <c r="DGZ81" s="10"/>
      <c r="DHA81" s="10"/>
      <c r="DHB81" s="10"/>
      <c r="DHC81" s="10"/>
      <c r="DHD81" s="10"/>
      <c r="DHE81" s="10"/>
      <c r="DHF81" s="10"/>
      <c r="DHG81" s="10"/>
      <c r="DHH81" s="10"/>
      <c r="DHI81" s="10"/>
      <c r="DHJ81" s="10"/>
      <c r="DHK81" s="10"/>
      <c r="DHL81" s="10"/>
      <c r="DHM81" s="10"/>
      <c r="DHN81" s="10"/>
      <c r="DHO81" s="10"/>
      <c r="DHP81" s="10"/>
      <c r="DHQ81" s="10"/>
      <c r="DHR81" s="10"/>
      <c r="DHS81" s="10"/>
      <c r="DHT81" s="10"/>
      <c r="DHU81" s="10"/>
      <c r="DHV81" s="10"/>
      <c r="DHW81" s="10"/>
      <c r="DHX81" s="10"/>
      <c r="DHY81" s="10"/>
      <c r="DHZ81" s="10"/>
      <c r="DIA81" s="10"/>
      <c r="DIB81" s="10"/>
      <c r="DIC81" s="10"/>
      <c r="DID81" s="10"/>
      <c r="DIE81" s="10"/>
      <c r="DIF81" s="10"/>
      <c r="DIG81" s="10"/>
      <c r="DIH81" s="10"/>
      <c r="DII81" s="10"/>
      <c r="DIJ81" s="10"/>
      <c r="DIK81" s="10"/>
      <c r="DIL81" s="10"/>
      <c r="DIM81" s="10"/>
      <c r="DIN81" s="10"/>
      <c r="DIO81" s="10"/>
      <c r="DIP81" s="10"/>
      <c r="DIQ81" s="10"/>
      <c r="DIR81" s="10"/>
      <c r="DIS81" s="10"/>
      <c r="DIT81" s="10"/>
      <c r="DIU81" s="10"/>
      <c r="DIV81" s="10"/>
      <c r="DIW81" s="10"/>
      <c r="DIX81" s="10"/>
      <c r="DIY81" s="10"/>
      <c r="DIZ81" s="10"/>
      <c r="DJA81" s="10"/>
      <c r="DJB81" s="10"/>
      <c r="DJC81" s="10"/>
      <c r="DJD81" s="10"/>
      <c r="DJE81" s="10"/>
      <c r="DJF81" s="10"/>
      <c r="DJG81" s="10"/>
      <c r="DJH81" s="10"/>
      <c r="DJI81" s="10"/>
      <c r="DJJ81" s="10"/>
      <c r="DJK81" s="10"/>
      <c r="DJL81" s="10"/>
      <c r="DJM81" s="10"/>
      <c r="DJN81" s="10"/>
      <c r="DJO81" s="10"/>
      <c r="DJP81" s="10"/>
      <c r="DJQ81" s="10"/>
      <c r="DJR81" s="10"/>
      <c r="DJS81" s="10"/>
      <c r="DJT81" s="10"/>
      <c r="DJU81" s="10"/>
      <c r="DJV81" s="10"/>
      <c r="DJW81" s="10"/>
      <c r="DJX81" s="10"/>
      <c r="DJY81" s="10"/>
      <c r="DJZ81" s="10"/>
      <c r="DKA81" s="10"/>
      <c r="DKB81" s="10"/>
      <c r="DKC81" s="10"/>
      <c r="DKD81" s="10"/>
      <c r="DKE81" s="10"/>
      <c r="DKF81" s="10"/>
      <c r="DKG81" s="10"/>
      <c r="DKH81" s="10"/>
      <c r="DKI81" s="10"/>
      <c r="DKJ81" s="10"/>
      <c r="DKK81" s="10"/>
      <c r="DKL81" s="10"/>
      <c r="DKM81" s="10"/>
      <c r="DKN81" s="10"/>
      <c r="DKO81" s="10"/>
      <c r="DKP81" s="10"/>
      <c r="DKQ81" s="10"/>
      <c r="DKR81" s="10"/>
      <c r="DKS81" s="10"/>
      <c r="DKT81" s="10"/>
      <c r="DKU81" s="10"/>
      <c r="DKV81" s="10"/>
      <c r="DKW81" s="10"/>
      <c r="DKX81" s="10"/>
      <c r="DKY81" s="10"/>
      <c r="DKZ81" s="10"/>
      <c r="DLA81" s="10"/>
      <c r="DLB81" s="10"/>
      <c r="DLC81" s="10"/>
      <c r="DLD81" s="10"/>
      <c r="DLE81" s="10"/>
      <c r="DLF81" s="10"/>
      <c r="DLG81" s="10"/>
      <c r="DLH81" s="10"/>
      <c r="DLI81" s="10"/>
      <c r="DLJ81" s="10"/>
      <c r="DLK81" s="10"/>
      <c r="DLL81" s="10"/>
      <c r="DLM81" s="10"/>
      <c r="DLN81" s="10"/>
      <c r="DLO81" s="10"/>
      <c r="DLP81" s="10"/>
      <c r="DLQ81" s="10"/>
      <c r="DLR81" s="10"/>
      <c r="DLS81" s="10"/>
      <c r="DLT81" s="10"/>
      <c r="DLU81" s="10"/>
      <c r="DLV81" s="10"/>
      <c r="DLW81" s="10"/>
      <c r="DLX81" s="10"/>
      <c r="DLY81" s="10"/>
      <c r="DLZ81" s="10"/>
      <c r="DMA81" s="10"/>
      <c r="DMB81" s="10"/>
      <c r="DMC81" s="10"/>
      <c r="DMD81" s="10"/>
      <c r="DME81" s="10"/>
      <c r="DMF81" s="10"/>
      <c r="DMG81" s="10"/>
      <c r="DMH81" s="10"/>
      <c r="DMI81" s="10"/>
      <c r="DMJ81" s="10"/>
      <c r="DMK81" s="10"/>
      <c r="DML81" s="10"/>
      <c r="DMM81" s="10"/>
      <c r="DMN81" s="10"/>
      <c r="DMO81" s="10"/>
      <c r="DMP81" s="10"/>
      <c r="DMQ81" s="10"/>
      <c r="DMR81" s="10"/>
      <c r="DMS81" s="10"/>
      <c r="DMT81" s="10"/>
      <c r="DMU81" s="10"/>
      <c r="DMV81" s="10"/>
      <c r="DMW81" s="10"/>
      <c r="DMX81" s="10"/>
      <c r="DMY81" s="10"/>
      <c r="DMZ81" s="10"/>
      <c r="DNA81" s="10"/>
      <c r="DNB81" s="10"/>
      <c r="DNC81" s="10"/>
      <c r="DND81" s="10"/>
      <c r="DNE81" s="10"/>
      <c r="DNF81" s="10"/>
      <c r="DNG81" s="10"/>
      <c r="DNH81" s="10"/>
      <c r="DNI81" s="10"/>
      <c r="DNJ81" s="10"/>
      <c r="DNK81" s="10"/>
      <c r="DNL81" s="10"/>
      <c r="DNM81" s="10"/>
      <c r="DNN81" s="10"/>
      <c r="DNO81" s="10"/>
      <c r="DNP81" s="10"/>
      <c r="DNQ81" s="10"/>
      <c r="DNR81" s="10"/>
      <c r="DNS81" s="10"/>
      <c r="DNT81" s="10"/>
      <c r="DNU81" s="10"/>
      <c r="DNV81" s="10"/>
      <c r="DNW81" s="10"/>
      <c r="DNX81" s="10"/>
      <c r="DNY81" s="10"/>
      <c r="DNZ81" s="10"/>
      <c r="DOA81" s="10"/>
      <c r="DOB81" s="10"/>
      <c r="DOC81" s="10"/>
      <c r="DOD81" s="10"/>
      <c r="DOE81" s="10"/>
      <c r="DOF81" s="10"/>
      <c r="DOG81" s="10"/>
      <c r="DOH81" s="10"/>
      <c r="DOI81" s="10"/>
      <c r="DOJ81" s="10"/>
      <c r="DOK81" s="10"/>
      <c r="DOL81" s="10"/>
      <c r="DOM81" s="10"/>
      <c r="DON81" s="10"/>
      <c r="DOO81" s="10"/>
      <c r="DOP81" s="10"/>
      <c r="DOQ81" s="10"/>
      <c r="DOR81" s="10"/>
      <c r="DOS81" s="10"/>
      <c r="DOT81" s="10"/>
      <c r="DOU81" s="10"/>
      <c r="DOV81" s="10"/>
      <c r="DOW81" s="10"/>
      <c r="DOX81" s="10"/>
      <c r="DOY81" s="10"/>
      <c r="DOZ81" s="10"/>
      <c r="DPA81" s="10"/>
      <c r="DPB81" s="10"/>
      <c r="DPC81" s="10"/>
      <c r="DPD81" s="10"/>
      <c r="DPE81" s="10"/>
      <c r="DPF81" s="10"/>
      <c r="DPG81" s="10"/>
      <c r="DPH81" s="10"/>
      <c r="DPI81" s="10"/>
      <c r="DPJ81" s="10"/>
      <c r="DPK81" s="10"/>
      <c r="DPL81" s="10"/>
      <c r="DPM81" s="10"/>
      <c r="DPN81" s="10"/>
      <c r="DPO81" s="10"/>
      <c r="DPP81" s="10"/>
      <c r="DPQ81" s="10"/>
      <c r="DPR81" s="10"/>
      <c r="DPS81" s="10"/>
      <c r="DPT81" s="10"/>
      <c r="DPU81" s="10"/>
      <c r="DPV81" s="10"/>
      <c r="DPW81" s="10"/>
      <c r="DPX81" s="10"/>
      <c r="DPY81" s="10"/>
      <c r="DPZ81" s="10"/>
      <c r="DQA81" s="10"/>
      <c r="DQB81" s="10"/>
      <c r="DQC81" s="10"/>
      <c r="DQD81" s="10"/>
      <c r="DQE81" s="10"/>
      <c r="DQF81" s="10"/>
      <c r="DQG81" s="10"/>
      <c r="DQH81" s="10"/>
      <c r="DQI81" s="10"/>
      <c r="DQJ81" s="10"/>
      <c r="DQK81" s="10"/>
      <c r="DQL81" s="10"/>
      <c r="DQM81" s="10"/>
      <c r="DQN81" s="10"/>
      <c r="DQO81" s="10"/>
      <c r="DQP81" s="10"/>
      <c r="DQQ81" s="10"/>
      <c r="DQR81" s="10"/>
      <c r="DQS81" s="10"/>
      <c r="DQT81" s="10"/>
      <c r="DQU81" s="10"/>
      <c r="DQV81" s="10"/>
      <c r="DQW81" s="10"/>
      <c r="DQX81" s="10"/>
      <c r="DQY81" s="10"/>
      <c r="DQZ81" s="10"/>
      <c r="DRA81" s="10"/>
      <c r="DRB81" s="10"/>
      <c r="DRC81" s="10"/>
      <c r="DRD81" s="10"/>
      <c r="DRE81" s="10"/>
      <c r="DRF81" s="10"/>
      <c r="DRG81" s="10"/>
      <c r="DRH81" s="10"/>
      <c r="DRI81" s="10"/>
      <c r="DRJ81" s="10"/>
      <c r="DRK81" s="10"/>
      <c r="DRL81" s="10"/>
      <c r="DRM81" s="10"/>
      <c r="DRN81" s="10"/>
      <c r="DRO81" s="10"/>
      <c r="DRP81" s="10"/>
      <c r="DRQ81" s="10"/>
      <c r="DRR81" s="10"/>
      <c r="DRS81" s="10"/>
      <c r="DRT81" s="10"/>
      <c r="DRU81" s="10"/>
      <c r="DRV81" s="10"/>
      <c r="DRW81" s="10"/>
      <c r="DRX81" s="10"/>
      <c r="DRY81" s="10"/>
      <c r="DRZ81" s="10"/>
      <c r="DSA81" s="10"/>
      <c r="DSB81" s="10"/>
      <c r="DSC81" s="10"/>
      <c r="DSD81" s="10"/>
      <c r="DSE81" s="10"/>
      <c r="DSF81" s="10"/>
      <c r="DSG81" s="10"/>
      <c r="DSH81" s="10"/>
      <c r="DSI81" s="10"/>
      <c r="DSJ81" s="10"/>
      <c r="DSK81" s="10"/>
      <c r="DSL81" s="10"/>
      <c r="DSM81" s="10"/>
      <c r="DSN81" s="10"/>
      <c r="DSO81" s="10"/>
      <c r="DSP81" s="10"/>
      <c r="DSQ81" s="10"/>
      <c r="DSR81" s="10"/>
      <c r="DSS81" s="10"/>
      <c r="DST81" s="10"/>
      <c r="DSU81" s="10"/>
      <c r="DSV81" s="10"/>
      <c r="DSW81" s="10"/>
      <c r="DSX81" s="10"/>
      <c r="DSY81" s="10"/>
      <c r="DSZ81" s="10"/>
      <c r="DTA81" s="10"/>
      <c r="DTB81" s="10"/>
      <c r="DTC81" s="10"/>
      <c r="DTD81" s="10"/>
      <c r="DTE81" s="10"/>
      <c r="DTF81" s="10"/>
      <c r="DTG81" s="10"/>
      <c r="DTH81" s="10"/>
      <c r="DTI81" s="10"/>
      <c r="DTJ81" s="10"/>
      <c r="DTK81" s="10"/>
      <c r="DTL81" s="10"/>
      <c r="DTM81" s="10"/>
      <c r="DTN81" s="10"/>
      <c r="DTO81" s="10"/>
      <c r="DTP81" s="10"/>
      <c r="DTQ81" s="10"/>
      <c r="DTR81" s="10"/>
      <c r="DTS81" s="10"/>
      <c r="DTT81" s="10"/>
      <c r="DTU81" s="10"/>
      <c r="DTV81" s="10"/>
      <c r="DTW81" s="10"/>
      <c r="DTX81" s="10"/>
      <c r="DTY81" s="10"/>
      <c r="DTZ81" s="10"/>
      <c r="DUA81" s="10"/>
      <c r="DUB81" s="10"/>
      <c r="DUC81" s="10"/>
      <c r="DUD81" s="10"/>
      <c r="DUE81" s="10"/>
      <c r="DUF81" s="10"/>
      <c r="DUG81" s="10"/>
      <c r="DUH81" s="10"/>
      <c r="DUI81" s="10"/>
      <c r="DUJ81" s="10"/>
      <c r="DUK81" s="10"/>
      <c r="DUL81" s="10"/>
      <c r="DUM81" s="10"/>
      <c r="DUN81" s="10"/>
      <c r="DUO81" s="10"/>
      <c r="DUP81" s="10"/>
      <c r="DUQ81" s="10"/>
      <c r="DUR81" s="10"/>
      <c r="DUS81" s="10"/>
      <c r="DUT81" s="10"/>
      <c r="DUU81" s="10"/>
      <c r="DUV81" s="10"/>
      <c r="DUW81" s="10"/>
      <c r="DUX81" s="10"/>
      <c r="DUY81" s="10"/>
      <c r="DUZ81" s="10"/>
      <c r="DVA81" s="10"/>
      <c r="DVB81" s="10"/>
      <c r="DVC81" s="10"/>
      <c r="DVD81" s="10"/>
      <c r="DVE81" s="10"/>
      <c r="DVF81" s="10"/>
      <c r="DVG81" s="10"/>
      <c r="DVH81" s="10"/>
      <c r="DVI81" s="10"/>
      <c r="DVJ81" s="10"/>
      <c r="DVK81" s="10"/>
      <c r="DVL81" s="10"/>
      <c r="DVM81" s="10"/>
      <c r="DVN81" s="10"/>
      <c r="DVO81" s="10"/>
      <c r="DVP81" s="10"/>
      <c r="DVQ81" s="10"/>
      <c r="DVR81" s="10"/>
      <c r="DVS81" s="10"/>
      <c r="DVT81" s="10"/>
      <c r="DVU81" s="10"/>
      <c r="DVV81" s="10"/>
      <c r="DVW81" s="10"/>
      <c r="DVX81" s="10"/>
      <c r="DVY81" s="10"/>
      <c r="DVZ81" s="10"/>
      <c r="DWA81" s="10"/>
      <c r="DWB81" s="10"/>
      <c r="DWC81" s="10"/>
      <c r="DWD81" s="10"/>
      <c r="DWE81" s="10"/>
      <c r="DWF81" s="10"/>
      <c r="DWG81" s="10"/>
      <c r="DWH81" s="10"/>
      <c r="DWI81" s="10"/>
      <c r="DWJ81" s="10"/>
      <c r="DWK81" s="10"/>
      <c r="DWL81" s="10"/>
      <c r="DWM81" s="10"/>
      <c r="DWN81" s="10"/>
      <c r="DWO81" s="10"/>
      <c r="DWP81" s="10"/>
      <c r="DWQ81" s="10"/>
      <c r="DWR81" s="10"/>
      <c r="DWS81" s="10"/>
      <c r="DWT81" s="10"/>
      <c r="DWU81" s="10"/>
      <c r="DWV81" s="10"/>
      <c r="DWW81" s="10"/>
      <c r="DWX81" s="10"/>
      <c r="DWY81" s="10"/>
      <c r="DWZ81" s="10"/>
      <c r="DXA81" s="10"/>
      <c r="DXB81" s="10"/>
      <c r="DXC81" s="10"/>
      <c r="DXD81" s="10"/>
      <c r="DXE81" s="10"/>
      <c r="DXF81" s="10"/>
      <c r="DXG81" s="10"/>
      <c r="DXH81" s="10"/>
      <c r="DXI81" s="10"/>
      <c r="DXJ81" s="10"/>
      <c r="DXK81" s="10"/>
      <c r="DXL81" s="10"/>
      <c r="DXM81" s="10"/>
      <c r="DXN81" s="10"/>
      <c r="DXO81" s="10"/>
      <c r="DXP81" s="10"/>
      <c r="DXQ81" s="10"/>
      <c r="DXR81" s="10"/>
      <c r="DXS81" s="10"/>
      <c r="DXT81" s="10"/>
      <c r="DXU81" s="10"/>
      <c r="DXV81" s="10"/>
      <c r="DXW81" s="10"/>
      <c r="DXX81" s="10"/>
      <c r="DXY81" s="10"/>
      <c r="DXZ81" s="10"/>
      <c r="DYA81" s="10"/>
      <c r="DYB81" s="10"/>
      <c r="DYC81" s="10"/>
      <c r="DYD81" s="10"/>
      <c r="DYE81" s="10"/>
      <c r="DYF81" s="10"/>
      <c r="DYG81" s="10"/>
      <c r="DYH81" s="10"/>
      <c r="DYI81" s="10"/>
      <c r="DYJ81" s="10"/>
      <c r="DYK81" s="10"/>
      <c r="DYL81" s="10"/>
      <c r="DYM81" s="10"/>
      <c r="DYN81" s="10"/>
      <c r="DYO81" s="10"/>
      <c r="DYP81" s="10"/>
      <c r="DYQ81" s="10"/>
      <c r="DYR81" s="10"/>
      <c r="DYS81" s="10"/>
      <c r="DYT81" s="10"/>
      <c r="DYU81" s="10"/>
      <c r="DYV81" s="10"/>
      <c r="DYW81" s="10"/>
      <c r="DYX81" s="10"/>
      <c r="DYY81" s="10"/>
      <c r="DYZ81" s="10"/>
      <c r="DZA81" s="10"/>
      <c r="DZB81" s="10"/>
      <c r="DZC81" s="10"/>
      <c r="DZD81" s="10"/>
      <c r="DZE81" s="10"/>
      <c r="DZF81" s="10"/>
      <c r="DZG81" s="10"/>
      <c r="DZH81" s="10"/>
      <c r="DZI81" s="10"/>
      <c r="DZJ81" s="10"/>
      <c r="DZK81" s="10"/>
      <c r="DZL81" s="10"/>
      <c r="DZM81" s="10"/>
      <c r="DZN81" s="10"/>
      <c r="DZO81" s="10"/>
      <c r="DZP81" s="10"/>
      <c r="DZQ81" s="10"/>
      <c r="DZR81" s="10"/>
      <c r="DZS81" s="10"/>
      <c r="DZT81" s="10"/>
      <c r="DZU81" s="10"/>
      <c r="DZV81" s="10"/>
      <c r="DZW81" s="10"/>
      <c r="DZX81" s="10"/>
      <c r="DZY81" s="10"/>
      <c r="DZZ81" s="10"/>
      <c r="EAA81" s="10"/>
      <c r="EAB81" s="10"/>
      <c r="EAC81" s="10"/>
      <c r="EAD81" s="10"/>
      <c r="EAE81" s="10"/>
      <c r="EAF81" s="10"/>
      <c r="EAG81" s="10"/>
      <c r="EAH81" s="10"/>
      <c r="EAI81" s="10"/>
      <c r="EAJ81" s="10"/>
      <c r="EAK81" s="10"/>
      <c r="EAL81" s="10"/>
      <c r="EAM81" s="10"/>
      <c r="EAN81" s="10"/>
      <c r="EAO81" s="10"/>
      <c r="EAP81" s="10"/>
      <c r="EAQ81" s="10"/>
      <c r="EAR81" s="10"/>
      <c r="EAS81" s="10"/>
      <c r="EAT81" s="10"/>
      <c r="EAU81" s="10"/>
      <c r="EAV81" s="10"/>
      <c r="EAW81" s="10"/>
      <c r="EAX81" s="10"/>
      <c r="EAY81" s="10"/>
      <c r="EAZ81" s="10"/>
      <c r="EBA81" s="10"/>
      <c r="EBB81" s="10"/>
      <c r="EBC81" s="10"/>
      <c r="EBD81" s="10"/>
      <c r="EBE81" s="10"/>
      <c r="EBF81" s="10"/>
      <c r="EBG81" s="10"/>
      <c r="EBH81" s="10"/>
      <c r="EBI81" s="10"/>
      <c r="EBJ81" s="10"/>
      <c r="EBK81" s="10"/>
      <c r="EBL81" s="10"/>
      <c r="EBM81" s="10"/>
      <c r="EBN81" s="10"/>
      <c r="EBO81" s="10"/>
      <c r="EBP81" s="10"/>
      <c r="EBQ81" s="10"/>
      <c r="EBR81" s="10"/>
      <c r="EBS81" s="10"/>
      <c r="EBT81" s="10"/>
      <c r="EBU81" s="10"/>
      <c r="EBV81" s="10"/>
      <c r="EBW81" s="10"/>
      <c r="EBX81" s="10"/>
      <c r="EBY81" s="10"/>
      <c r="EBZ81" s="10"/>
      <c r="ECA81" s="10"/>
      <c r="ECB81" s="10"/>
      <c r="ECC81" s="10"/>
      <c r="ECD81" s="10"/>
      <c r="ECE81" s="10"/>
      <c r="ECF81" s="10"/>
      <c r="ECG81" s="10"/>
      <c r="ECH81" s="10"/>
      <c r="ECI81" s="10"/>
      <c r="ECJ81" s="10"/>
      <c r="ECK81" s="10"/>
      <c r="ECL81" s="10"/>
      <c r="ECM81" s="10"/>
      <c r="ECN81" s="10"/>
      <c r="ECO81" s="10"/>
      <c r="ECP81" s="10"/>
      <c r="ECQ81" s="10"/>
      <c r="ECR81" s="10"/>
      <c r="ECS81" s="10"/>
      <c r="ECT81" s="10"/>
      <c r="ECU81" s="10"/>
      <c r="ECV81" s="10"/>
      <c r="ECW81" s="10"/>
      <c r="ECX81" s="10"/>
      <c r="ECY81" s="10"/>
      <c r="ECZ81" s="10"/>
      <c r="EDA81" s="10"/>
      <c r="EDB81" s="10"/>
      <c r="EDC81" s="10"/>
      <c r="EDD81" s="10"/>
      <c r="EDE81" s="10"/>
      <c r="EDF81" s="10"/>
      <c r="EDG81" s="10"/>
      <c r="EDH81" s="10"/>
      <c r="EDI81" s="10"/>
      <c r="EDJ81" s="10"/>
      <c r="EDK81" s="10"/>
      <c r="EDL81" s="10"/>
      <c r="EDM81" s="10"/>
      <c r="EDN81" s="10"/>
      <c r="EDO81" s="10"/>
      <c r="EDP81" s="10"/>
      <c r="EDQ81" s="10"/>
      <c r="EDR81" s="10"/>
      <c r="EDS81" s="10"/>
      <c r="EDT81" s="10"/>
      <c r="EDU81" s="10"/>
      <c r="EDV81" s="10"/>
      <c r="EDW81" s="10"/>
      <c r="EDX81" s="10"/>
      <c r="EDY81" s="10"/>
      <c r="EDZ81" s="10"/>
      <c r="EEA81" s="10"/>
      <c r="EEB81" s="10"/>
      <c r="EEC81" s="10"/>
      <c r="EED81" s="10"/>
      <c r="EEE81" s="10"/>
      <c r="EEF81" s="10"/>
      <c r="EEG81" s="10"/>
      <c r="EEH81" s="10"/>
      <c r="EEI81" s="10"/>
      <c r="EEJ81" s="10"/>
      <c r="EEK81" s="10"/>
      <c r="EEL81" s="10"/>
      <c r="EEM81" s="10"/>
      <c r="EEN81" s="10"/>
      <c r="EEO81" s="10"/>
      <c r="EEP81" s="10"/>
      <c r="EEQ81" s="10"/>
      <c r="EER81" s="10"/>
      <c r="EES81" s="10"/>
      <c r="EET81" s="10"/>
      <c r="EEU81" s="10"/>
      <c r="EEV81" s="10"/>
      <c r="EEW81" s="10"/>
      <c r="EEX81" s="10"/>
      <c r="EEY81" s="10"/>
      <c r="EEZ81" s="10"/>
      <c r="EFA81" s="10"/>
      <c r="EFB81" s="10"/>
      <c r="EFC81" s="10"/>
      <c r="EFD81" s="10"/>
      <c r="EFE81" s="10"/>
      <c r="EFF81" s="10"/>
      <c r="EFG81" s="10"/>
      <c r="EFH81" s="10"/>
      <c r="EFI81" s="10"/>
      <c r="EFJ81" s="10"/>
      <c r="EFK81" s="10"/>
      <c r="EFL81" s="10"/>
      <c r="EFM81" s="10"/>
      <c r="EFN81" s="10"/>
      <c r="EFO81" s="10"/>
      <c r="EFP81" s="10"/>
      <c r="EFQ81" s="10"/>
      <c r="EFR81" s="10"/>
      <c r="EFS81" s="10"/>
      <c r="EFT81" s="10"/>
      <c r="EFU81" s="10"/>
      <c r="EFV81" s="10"/>
      <c r="EFW81" s="10"/>
      <c r="EFX81" s="10"/>
      <c r="EFY81" s="10"/>
      <c r="EFZ81" s="10"/>
      <c r="EGA81" s="10"/>
      <c r="EGB81" s="10"/>
      <c r="EGC81" s="10"/>
      <c r="EGD81" s="10"/>
      <c r="EGE81" s="10"/>
      <c r="EGF81" s="10"/>
      <c r="EGG81" s="10"/>
      <c r="EGH81" s="10"/>
      <c r="EGI81" s="10"/>
      <c r="EGJ81" s="10"/>
      <c r="EGK81" s="10"/>
      <c r="EGL81" s="10"/>
      <c r="EGM81" s="10"/>
      <c r="EGN81" s="10"/>
      <c r="EGO81" s="10"/>
      <c r="EGP81" s="10"/>
      <c r="EGQ81" s="10"/>
      <c r="EGR81" s="10"/>
      <c r="EGS81" s="10"/>
      <c r="EGT81" s="10"/>
      <c r="EGU81" s="10"/>
      <c r="EGV81" s="10"/>
      <c r="EGW81" s="10"/>
      <c r="EGX81" s="10"/>
      <c r="EGY81" s="10"/>
      <c r="EGZ81" s="10"/>
      <c r="EHA81" s="10"/>
      <c r="EHB81" s="10"/>
      <c r="EHC81" s="10"/>
      <c r="EHD81" s="10"/>
      <c r="EHE81" s="10"/>
      <c r="EHF81" s="10"/>
      <c r="EHG81" s="10"/>
      <c r="EHH81" s="10"/>
      <c r="EHI81" s="10"/>
      <c r="EHJ81" s="10"/>
      <c r="EHK81" s="10"/>
      <c r="EHL81" s="10"/>
      <c r="EHM81" s="10"/>
      <c r="EHN81" s="10"/>
      <c r="EHO81" s="10"/>
      <c r="EHP81" s="10"/>
      <c r="EHQ81" s="10"/>
      <c r="EHR81" s="10"/>
      <c r="EHS81" s="10"/>
      <c r="EHT81" s="10"/>
      <c r="EHU81" s="10"/>
      <c r="EHV81" s="10"/>
      <c r="EHW81" s="10"/>
      <c r="EHX81" s="10"/>
      <c r="EHY81" s="10"/>
      <c r="EHZ81" s="10"/>
      <c r="EIA81" s="10"/>
      <c r="EIB81" s="10"/>
      <c r="EIC81" s="10"/>
      <c r="EID81" s="10"/>
      <c r="EIE81" s="10"/>
      <c r="EIF81" s="10"/>
      <c r="EIG81" s="10"/>
      <c r="EIH81" s="10"/>
      <c r="EII81" s="10"/>
      <c r="EIJ81" s="10"/>
      <c r="EIK81" s="10"/>
      <c r="EIL81" s="10"/>
      <c r="EIM81" s="10"/>
      <c r="EIN81" s="10"/>
      <c r="EIO81" s="10"/>
      <c r="EIP81" s="10"/>
      <c r="EIQ81" s="10"/>
      <c r="EIR81" s="10"/>
      <c r="EIS81" s="10"/>
      <c r="EIT81" s="10"/>
      <c r="EIU81" s="10"/>
      <c r="EIV81" s="10"/>
      <c r="EIW81" s="10"/>
      <c r="EIX81" s="10"/>
      <c r="EIY81" s="10"/>
      <c r="EIZ81" s="10"/>
      <c r="EJA81" s="10"/>
      <c r="EJB81" s="10"/>
      <c r="EJC81" s="10"/>
      <c r="EJD81" s="10"/>
      <c r="EJE81" s="10"/>
      <c r="EJF81" s="10"/>
      <c r="EJG81" s="10"/>
      <c r="EJH81" s="10"/>
      <c r="EJI81" s="10"/>
      <c r="EJJ81" s="10"/>
      <c r="EJK81" s="10"/>
      <c r="EJL81" s="10"/>
      <c r="EJM81" s="10"/>
      <c r="EJN81" s="10"/>
      <c r="EJO81" s="10"/>
      <c r="EJP81" s="10"/>
      <c r="EJQ81" s="10"/>
      <c r="EJR81" s="10"/>
      <c r="EJS81" s="10"/>
      <c r="EJT81" s="10"/>
      <c r="EJU81" s="10"/>
      <c r="EJV81" s="10"/>
      <c r="EJW81" s="10"/>
      <c r="EJX81" s="10"/>
      <c r="EJY81" s="10"/>
      <c r="EJZ81" s="10"/>
      <c r="EKA81" s="10"/>
      <c r="EKB81" s="10"/>
      <c r="EKC81" s="10"/>
      <c r="EKD81" s="10"/>
      <c r="EKE81" s="10"/>
      <c r="EKF81" s="10"/>
      <c r="EKG81" s="10"/>
      <c r="EKH81" s="10"/>
      <c r="EKI81" s="10"/>
      <c r="EKJ81" s="10"/>
      <c r="EKK81" s="10"/>
      <c r="EKL81" s="10"/>
      <c r="EKM81" s="10"/>
      <c r="EKN81" s="10"/>
      <c r="EKO81" s="10"/>
      <c r="EKP81" s="10"/>
      <c r="EKQ81" s="10"/>
      <c r="EKR81" s="10"/>
      <c r="EKS81" s="10"/>
      <c r="EKT81" s="10"/>
      <c r="EKU81" s="10"/>
      <c r="EKV81" s="10"/>
      <c r="EKW81" s="10"/>
      <c r="EKX81" s="10"/>
      <c r="EKY81" s="10"/>
      <c r="EKZ81" s="10"/>
      <c r="ELA81" s="10"/>
      <c r="ELB81" s="10"/>
      <c r="ELC81" s="10"/>
      <c r="ELD81" s="10"/>
      <c r="ELE81" s="10"/>
      <c r="ELF81" s="10"/>
      <c r="ELG81" s="10"/>
      <c r="ELH81" s="10"/>
      <c r="ELI81" s="10"/>
      <c r="ELJ81" s="10"/>
      <c r="ELK81" s="10"/>
      <c r="ELL81" s="10"/>
      <c r="ELM81" s="10"/>
      <c r="ELN81" s="10"/>
      <c r="ELO81" s="10"/>
      <c r="ELP81" s="10"/>
      <c r="ELQ81" s="10"/>
      <c r="ELR81" s="10"/>
      <c r="ELS81" s="10"/>
      <c r="ELT81" s="10"/>
      <c r="ELU81" s="10"/>
      <c r="ELV81" s="10"/>
      <c r="ELW81" s="10"/>
      <c r="ELX81" s="10"/>
      <c r="ELY81" s="10"/>
      <c r="ELZ81" s="10"/>
      <c r="EMA81" s="10"/>
      <c r="EMB81" s="10"/>
      <c r="EMC81" s="10"/>
      <c r="EMD81" s="10"/>
      <c r="EME81" s="10"/>
      <c r="EMF81" s="10"/>
      <c r="EMG81" s="10"/>
      <c r="EMH81" s="10"/>
      <c r="EMI81" s="10"/>
      <c r="EMJ81" s="10"/>
      <c r="EMK81" s="10"/>
      <c r="EML81" s="10"/>
      <c r="EMM81" s="10"/>
      <c r="EMN81" s="10"/>
      <c r="EMO81" s="10"/>
      <c r="EMP81" s="10"/>
      <c r="EMQ81" s="10"/>
      <c r="EMR81" s="10"/>
      <c r="EMS81" s="10"/>
      <c r="EMT81" s="10"/>
      <c r="EMU81" s="10"/>
      <c r="EMV81" s="10"/>
      <c r="EMW81" s="10"/>
      <c r="EMX81" s="10"/>
      <c r="EMY81" s="10"/>
      <c r="EMZ81" s="10"/>
      <c r="ENA81" s="10"/>
      <c r="ENB81" s="10"/>
      <c r="ENC81" s="10"/>
      <c r="END81" s="10"/>
      <c r="ENE81" s="10"/>
      <c r="ENF81" s="10"/>
      <c r="ENG81" s="10"/>
      <c r="ENH81" s="10"/>
      <c r="ENI81" s="10"/>
      <c r="ENJ81" s="10"/>
      <c r="ENK81" s="10"/>
      <c r="ENL81" s="10"/>
      <c r="ENM81" s="10"/>
      <c r="ENN81" s="10"/>
      <c r="ENO81" s="10"/>
      <c r="ENP81" s="10"/>
      <c r="ENQ81" s="10"/>
      <c r="ENR81" s="10"/>
      <c r="ENS81" s="10"/>
      <c r="ENT81" s="10"/>
      <c r="ENU81" s="10"/>
      <c r="ENV81" s="10"/>
      <c r="ENW81" s="10"/>
      <c r="ENX81" s="10"/>
      <c r="ENY81" s="10"/>
      <c r="ENZ81" s="10"/>
      <c r="EOA81" s="10"/>
      <c r="EOB81" s="10"/>
      <c r="EOC81" s="10"/>
      <c r="EOD81" s="10"/>
      <c r="EOE81" s="10"/>
      <c r="EOF81" s="10"/>
      <c r="EOG81" s="10"/>
      <c r="EOH81" s="10"/>
      <c r="EOI81" s="10"/>
      <c r="EOJ81" s="10"/>
      <c r="EOK81" s="10"/>
      <c r="EOL81" s="10"/>
      <c r="EOM81" s="10"/>
      <c r="EON81" s="10"/>
      <c r="EOO81" s="10"/>
      <c r="EOP81" s="10"/>
      <c r="EOQ81" s="10"/>
      <c r="EOR81" s="10"/>
      <c r="EOS81" s="10"/>
      <c r="EOT81" s="10"/>
      <c r="EOU81" s="10"/>
      <c r="EOV81" s="10"/>
      <c r="EOW81" s="10"/>
      <c r="EOX81" s="10"/>
      <c r="EOY81" s="10"/>
      <c r="EOZ81" s="10"/>
      <c r="EPA81" s="10"/>
      <c r="EPB81" s="10"/>
      <c r="EPC81" s="10"/>
      <c r="EPD81" s="10"/>
      <c r="EPE81" s="10"/>
      <c r="EPF81" s="10"/>
      <c r="EPG81" s="10"/>
      <c r="EPH81" s="10"/>
      <c r="EPI81" s="10"/>
      <c r="EPJ81" s="10"/>
      <c r="EPK81" s="10"/>
      <c r="EPL81" s="10"/>
      <c r="EPM81" s="10"/>
      <c r="EPN81" s="10"/>
      <c r="EPO81" s="10"/>
      <c r="EPP81" s="10"/>
      <c r="EPQ81" s="10"/>
      <c r="EPR81" s="10"/>
      <c r="EPS81" s="10"/>
      <c r="EPT81" s="10"/>
      <c r="EPU81" s="10"/>
      <c r="EPV81" s="10"/>
      <c r="EPW81" s="10"/>
      <c r="EPX81" s="10"/>
      <c r="EPY81" s="10"/>
      <c r="EPZ81" s="10"/>
      <c r="EQA81" s="10"/>
      <c r="EQB81" s="10"/>
      <c r="EQC81" s="10"/>
      <c r="EQD81" s="10"/>
      <c r="EQE81" s="10"/>
      <c r="EQF81" s="10"/>
      <c r="EQG81" s="10"/>
      <c r="EQH81" s="10"/>
      <c r="EQI81" s="10"/>
      <c r="EQJ81" s="10"/>
      <c r="EQK81" s="10"/>
      <c r="EQL81" s="10"/>
      <c r="EQM81" s="10"/>
      <c r="EQN81" s="10"/>
      <c r="EQO81" s="10"/>
      <c r="EQP81" s="10"/>
      <c r="EQQ81" s="10"/>
      <c r="EQR81" s="10"/>
      <c r="EQS81" s="10"/>
      <c r="EQT81" s="10"/>
      <c r="EQU81" s="10"/>
      <c r="EQV81" s="10"/>
      <c r="EQW81" s="10"/>
      <c r="EQX81" s="10"/>
      <c r="EQY81" s="10"/>
      <c r="EQZ81" s="10"/>
      <c r="ERA81" s="10"/>
      <c r="ERB81" s="10"/>
      <c r="ERC81" s="10"/>
      <c r="ERD81" s="10"/>
      <c r="ERE81" s="10"/>
      <c r="ERF81" s="10"/>
      <c r="ERG81" s="10"/>
      <c r="ERH81" s="10"/>
      <c r="ERI81" s="10"/>
      <c r="ERJ81" s="10"/>
      <c r="ERK81" s="10"/>
      <c r="ERL81" s="10"/>
      <c r="ERM81" s="10"/>
      <c r="ERN81" s="10"/>
      <c r="ERO81" s="10"/>
      <c r="ERP81" s="10"/>
      <c r="ERQ81" s="10"/>
      <c r="ERR81" s="10"/>
      <c r="ERS81" s="10"/>
      <c r="ERT81" s="10"/>
      <c r="ERU81" s="10"/>
      <c r="ERV81" s="10"/>
      <c r="ERW81" s="10"/>
      <c r="ERX81" s="10"/>
      <c r="ERY81" s="10"/>
      <c r="ERZ81" s="10"/>
      <c r="ESA81" s="10"/>
      <c r="ESB81" s="10"/>
      <c r="ESC81" s="10"/>
      <c r="ESD81" s="10"/>
      <c r="ESE81" s="10"/>
      <c r="ESF81" s="10"/>
      <c r="ESG81" s="10"/>
      <c r="ESH81" s="10"/>
      <c r="ESI81" s="10"/>
      <c r="ESJ81" s="10"/>
      <c r="ESK81" s="10"/>
      <c r="ESL81" s="10"/>
      <c r="ESM81" s="10"/>
      <c r="ESN81" s="10"/>
      <c r="ESO81" s="10"/>
      <c r="ESP81" s="10"/>
      <c r="ESQ81" s="10"/>
      <c r="ESR81" s="10"/>
      <c r="ESS81" s="10"/>
      <c r="EST81" s="10"/>
      <c r="ESU81" s="10"/>
      <c r="ESV81" s="10"/>
      <c r="ESW81" s="10"/>
      <c r="ESX81" s="10"/>
      <c r="ESY81" s="10"/>
      <c r="ESZ81" s="10"/>
      <c r="ETA81" s="10"/>
      <c r="ETB81" s="10"/>
      <c r="ETC81" s="10"/>
      <c r="ETD81" s="10"/>
      <c r="ETE81" s="10"/>
      <c r="ETF81" s="10"/>
      <c r="ETG81" s="10"/>
      <c r="ETH81" s="10"/>
      <c r="ETI81" s="10"/>
      <c r="ETJ81" s="10"/>
      <c r="ETK81" s="10"/>
      <c r="ETL81" s="10"/>
      <c r="ETM81" s="10"/>
      <c r="ETN81" s="10"/>
      <c r="ETO81" s="10"/>
      <c r="ETP81" s="10"/>
      <c r="ETQ81" s="10"/>
      <c r="ETR81" s="10"/>
      <c r="ETS81" s="10"/>
      <c r="ETT81" s="10"/>
      <c r="ETU81" s="10"/>
      <c r="ETV81" s="10"/>
      <c r="ETW81" s="10"/>
      <c r="ETX81" s="10"/>
      <c r="ETY81" s="10"/>
      <c r="ETZ81" s="10"/>
      <c r="EUA81" s="10"/>
      <c r="EUB81" s="10"/>
      <c r="EUC81" s="10"/>
      <c r="EUD81" s="10"/>
      <c r="EUE81" s="10"/>
      <c r="EUF81" s="10"/>
      <c r="EUG81" s="10"/>
      <c r="EUH81" s="10"/>
      <c r="EUI81" s="10"/>
      <c r="EUJ81" s="10"/>
      <c r="EUK81" s="10"/>
      <c r="EUL81" s="10"/>
      <c r="EUM81" s="10"/>
      <c r="EUN81" s="10"/>
      <c r="EUO81" s="10"/>
      <c r="EUP81" s="10"/>
      <c r="EUQ81" s="10"/>
      <c r="EUR81" s="10"/>
      <c r="EUS81" s="10"/>
      <c r="EUT81" s="10"/>
      <c r="EUU81" s="10"/>
      <c r="EUV81" s="10"/>
      <c r="EUW81" s="10"/>
      <c r="EUX81" s="10"/>
      <c r="EUY81" s="10"/>
      <c r="EUZ81" s="10"/>
      <c r="EVA81" s="10"/>
      <c r="EVB81" s="10"/>
      <c r="EVC81" s="10"/>
      <c r="EVD81" s="10"/>
      <c r="EVE81" s="10"/>
      <c r="EVF81" s="10"/>
      <c r="EVG81" s="10"/>
      <c r="EVH81" s="10"/>
      <c r="EVI81" s="10"/>
      <c r="EVJ81" s="10"/>
      <c r="EVK81" s="10"/>
      <c r="EVL81" s="10"/>
      <c r="EVM81" s="10"/>
      <c r="EVN81" s="10"/>
      <c r="EVO81" s="10"/>
      <c r="EVP81" s="10"/>
      <c r="EVQ81" s="10"/>
      <c r="EVR81" s="10"/>
      <c r="EVS81" s="10"/>
      <c r="EVT81" s="10"/>
      <c r="EVU81" s="10"/>
      <c r="EVV81" s="10"/>
      <c r="EVW81" s="10"/>
      <c r="EVX81" s="10"/>
      <c r="EVY81" s="10"/>
      <c r="EVZ81" s="10"/>
      <c r="EWA81" s="10"/>
      <c r="EWB81" s="10"/>
      <c r="EWC81" s="10"/>
      <c r="EWD81" s="10"/>
      <c r="EWE81" s="10"/>
      <c r="EWF81" s="10"/>
      <c r="EWG81" s="10"/>
      <c r="EWH81" s="10"/>
      <c r="EWI81" s="10"/>
      <c r="EWJ81" s="10"/>
      <c r="EWK81" s="10"/>
      <c r="EWL81" s="10"/>
      <c r="EWM81" s="10"/>
      <c r="EWN81" s="10"/>
      <c r="EWO81" s="10"/>
      <c r="EWP81" s="10"/>
      <c r="EWQ81" s="10"/>
      <c r="EWR81" s="10"/>
      <c r="EWS81" s="10"/>
      <c r="EWT81" s="10"/>
      <c r="EWU81" s="10"/>
      <c r="EWV81" s="10"/>
      <c r="EWW81" s="10"/>
      <c r="EWX81" s="10"/>
      <c r="EWY81" s="10"/>
      <c r="EWZ81" s="10"/>
      <c r="EXA81" s="10"/>
      <c r="EXB81" s="10"/>
      <c r="EXC81" s="10"/>
      <c r="EXD81" s="10"/>
      <c r="EXE81" s="10"/>
      <c r="EXF81" s="10"/>
      <c r="EXG81" s="10"/>
      <c r="EXH81" s="10"/>
      <c r="EXI81" s="10"/>
      <c r="EXJ81" s="10"/>
      <c r="EXK81" s="10"/>
      <c r="EXL81" s="10"/>
      <c r="EXM81" s="10"/>
      <c r="EXN81" s="10"/>
      <c r="EXO81" s="10"/>
      <c r="EXP81" s="10"/>
      <c r="EXQ81" s="10"/>
      <c r="EXR81" s="10"/>
      <c r="EXS81" s="10"/>
      <c r="EXT81" s="10"/>
      <c r="EXU81" s="10"/>
      <c r="EXV81" s="10"/>
      <c r="EXW81" s="10"/>
      <c r="EXX81" s="10"/>
      <c r="EXY81" s="10"/>
      <c r="EXZ81" s="10"/>
      <c r="EYA81" s="10"/>
      <c r="EYB81" s="10"/>
      <c r="EYC81" s="10"/>
      <c r="EYD81" s="10"/>
      <c r="EYE81" s="10"/>
      <c r="EYF81" s="10"/>
      <c r="EYG81" s="10"/>
      <c r="EYH81" s="10"/>
      <c r="EYI81" s="10"/>
      <c r="EYJ81" s="10"/>
      <c r="EYK81" s="10"/>
      <c r="EYL81" s="10"/>
      <c r="EYM81" s="10"/>
      <c r="EYN81" s="10"/>
      <c r="EYO81" s="10"/>
      <c r="EYP81" s="10"/>
      <c r="EYQ81" s="10"/>
      <c r="EYR81" s="10"/>
      <c r="EYS81" s="10"/>
      <c r="EYT81" s="10"/>
      <c r="EYU81" s="10"/>
      <c r="EYV81" s="10"/>
      <c r="EYW81" s="10"/>
      <c r="EYX81" s="10"/>
      <c r="EYY81" s="10"/>
      <c r="EYZ81" s="10"/>
      <c r="EZA81" s="10"/>
      <c r="EZB81" s="10"/>
      <c r="EZC81" s="10"/>
      <c r="EZD81" s="10"/>
      <c r="EZE81" s="10"/>
      <c r="EZF81" s="10"/>
      <c r="EZG81" s="10"/>
      <c r="EZH81" s="10"/>
      <c r="EZI81" s="10"/>
      <c r="EZJ81" s="10"/>
      <c r="EZK81" s="10"/>
      <c r="EZL81" s="10"/>
      <c r="EZM81" s="10"/>
      <c r="EZN81" s="10"/>
      <c r="EZO81" s="10"/>
      <c r="EZP81" s="10"/>
      <c r="EZQ81" s="10"/>
      <c r="EZR81" s="10"/>
      <c r="EZS81" s="10"/>
      <c r="EZT81" s="10"/>
      <c r="EZU81" s="10"/>
      <c r="EZV81" s="10"/>
      <c r="EZW81" s="10"/>
      <c r="EZX81" s="10"/>
      <c r="EZY81" s="10"/>
      <c r="EZZ81" s="10"/>
      <c r="FAA81" s="10"/>
      <c r="FAB81" s="10"/>
      <c r="FAC81" s="10"/>
      <c r="FAD81" s="10"/>
      <c r="FAE81" s="10"/>
      <c r="FAF81" s="10"/>
      <c r="FAG81" s="10"/>
      <c r="FAH81" s="10"/>
      <c r="FAI81" s="10"/>
      <c r="FAJ81" s="10"/>
      <c r="FAK81" s="10"/>
      <c r="FAL81" s="10"/>
      <c r="FAM81" s="10"/>
      <c r="FAN81" s="10"/>
      <c r="FAO81" s="10"/>
      <c r="FAP81" s="10"/>
      <c r="FAQ81" s="10"/>
      <c r="FAR81" s="10"/>
      <c r="FAS81" s="10"/>
      <c r="FAT81" s="10"/>
      <c r="FAU81" s="10"/>
      <c r="FAV81" s="10"/>
      <c r="FAW81" s="10"/>
      <c r="FAX81" s="10"/>
      <c r="FAY81" s="10"/>
      <c r="FAZ81" s="10"/>
      <c r="FBA81" s="10"/>
      <c r="FBB81" s="10"/>
      <c r="FBC81" s="10"/>
      <c r="FBD81" s="10"/>
      <c r="FBE81" s="10"/>
      <c r="FBF81" s="10"/>
      <c r="FBG81" s="10"/>
      <c r="FBH81" s="10"/>
      <c r="FBI81" s="10"/>
      <c r="FBJ81" s="10"/>
      <c r="FBK81" s="10"/>
      <c r="FBL81" s="10"/>
      <c r="FBM81" s="10"/>
      <c r="FBN81" s="10"/>
      <c r="FBO81" s="10"/>
      <c r="FBP81" s="10"/>
      <c r="FBQ81" s="10"/>
      <c r="FBR81" s="10"/>
      <c r="FBS81" s="10"/>
      <c r="FBT81" s="10"/>
      <c r="FBU81" s="10"/>
      <c r="FBV81" s="10"/>
      <c r="FBW81" s="10"/>
      <c r="FBX81" s="10"/>
      <c r="FBY81" s="10"/>
      <c r="FBZ81" s="10"/>
      <c r="FCA81" s="10"/>
      <c r="FCB81" s="10"/>
      <c r="FCC81" s="10"/>
      <c r="FCD81" s="10"/>
      <c r="FCE81" s="10"/>
      <c r="FCF81" s="10"/>
      <c r="FCG81" s="10"/>
      <c r="FCH81" s="10"/>
      <c r="FCI81" s="10"/>
      <c r="FCJ81" s="10"/>
      <c r="FCK81" s="10"/>
      <c r="FCL81" s="10"/>
      <c r="FCM81" s="10"/>
      <c r="FCN81" s="10"/>
      <c r="FCO81" s="10"/>
      <c r="FCP81" s="10"/>
      <c r="FCQ81" s="10"/>
      <c r="FCR81" s="10"/>
      <c r="FCS81" s="10"/>
      <c r="FCT81" s="10"/>
      <c r="FCU81" s="10"/>
      <c r="FCV81" s="10"/>
      <c r="FCW81" s="10"/>
      <c r="FCX81" s="10"/>
      <c r="FCY81" s="10"/>
      <c r="FCZ81" s="10"/>
      <c r="FDA81" s="10"/>
      <c r="FDB81" s="10"/>
      <c r="FDC81" s="10"/>
      <c r="FDD81" s="10"/>
      <c r="FDE81" s="10"/>
      <c r="FDF81" s="10"/>
      <c r="FDG81" s="10"/>
      <c r="FDH81" s="10"/>
      <c r="FDI81" s="10"/>
      <c r="FDJ81" s="10"/>
      <c r="FDK81" s="10"/>
      <c r="FDL81" s="10"/>
      <c r="FDM81" s="10"/>
      <c r="FDN81" s="10"/>
      <c r="FDO81" s="10"/>
      <c r="FDP81" s="10"/>
      <c r="FDQ81" s="10"/>
      <c r="FDR81" s="10"/>
      <c r="FDS81" s="10"/>
      <c r="FDT81" s="10"/>
      <c r="FDU81" s="10"/>
      <c r="FDV81" s="10"/>
      <c r="FDW81" s="10"/>
      <c r="FDX81" s="10"/>
      <c r="FDY81" s="10"/>
      <c r="FDZ81" s="10"/>
      <c r="FEA81" s="10"/>
      <c r="FEB81" s="10"/>
      <c r="FEC81" s="10"/>
      <c r="FED81" s="10"/>
      <c r="FEE81" s="10"/>
      <c r="FEF81" s="10"/>
      <c r="FEG81" s="10"/>
      <c r="FEH81" s="10"/>
      <c r="FEI81" s="10"/>
      <c r="FEJ81" s="10"/>
      <c r="FEK81" s="10"/>
      <c r="FEL81" s="10"/>
      <c r="FEM81" s="10"/>
      <c r="FEN81" s="10"/>
      <c r="FEO81" s="10"/>
      <c r="FEP81" s="10"/>
      <c r="FEQ81" s="10"/>
      <c r="FER81" s="10"/>
      <c r="FES81" s="10"/>
      <c r="FET81" s="10"/>
      <c r="FEU81" s="10"/>
      <c r="FEV81" s="10"/>
      <c r="FEW81" s="10"/>
      <c r="FEX81" s="10"/>
      <c r="FEY81" s="10"/>
      <c r="FEZ81" s="10"/>
      <c r="FFA81" s="10"/>
      <c r="FFB81" s="10"/>
      <c r="FFC81" s="10"/>
      <c r="FFD81" s="10"/>
      <c r="FFE81" s="10"/>
      <c r="FFF81" s="10"/>
      <c r="FFG81" s="10"/>
      <c r="FFH81" s="10"/>
      <c r="FFI81" s="10"/>
      <c r="FFJ81" s="10"/>
      <c r="FFK81" s="10"/>
      <c r="FFL81" s="10"/>
      <c r="FFM81" s="10"/>
      <c r="FFN81" s="10"/>
      <c r="FFO81" s="10"/>
      <c r="FFP81" s="10"/>
      <c r="FFQ81" s="10"/>
      <c r="FFR81" s="10"/>
      <c r="FFS81" s="10"/>
      <c r="FFT81" s="10"/>
      <c r="FFU81" s="10"/>
      <c r="FFV81" s="10"/>
      <c r="FFW81" s="10"/>
      <c r="FFX81" s="10"/>
      <c r="FFY81" s="10"/>
      <c r="FFZ81" s="10"/>
      <c r="FGA81" s="10"/>
      <c r="FGB81" s="10"/>
      <c r="FGC81" s="10"/>
      <c r="FGD81" s="10"/>
      <c r="FGE81" s="10"/>
      <c r="FGF81" s="10"/>
      <c r="FGG81" s="10"/>
      <c r="FGH81" s="10"/>
      <c r="FGI81" s="10"/>
      <c r="FGJ81" s="10"/>
      <c r="FGK81" s="10"/>
      <c r="FGL81" s="10"/>
      <c r="FGM81" s="10"/>
      <c r="FGN81" s="10"/>
      <c r="FGO81" s="10"/>
      <c r="FGP81" s="10"/>
      <c r="FGQ81" s="10"/>
      <c r="FGR81" s="10"/>
      <c r="FGS81" s="10"/>
      <c r="FGT81" s="10"/>
      <c r="FGU81" s="10"/>
      <c r="FGV81" s="10"/>
      <c r="FGW81" s="10"/>
      <c r="FGX81" s="10"/>
      <c r="FGY81" s="10"/>
      <c r="FGZ81" s="10"/>
      <c r="FHA81" s="10"/>
      <c r="FHB81" s="10"/>
      <c r="FHC81" s="10"/>
      <c r="FHD81" s="10"/>
      <c r="FHE81" s="10"/>
      <c r="FHF81" s="10"/>
      <c r="FHG81" s="10"/>
      <c r="FHH81" s="10"/>
      <c r="FHI81" s="10"/>
      <c r="FHJ81" s="10"/>
      <c r="FHK81" s="10"/>
      <c r="FHL81" s="10"/>
      <c r="FHM81" s="10"/>
      <c r="FHN81" s="10"/>
      <c r="FHO81" s="10"/>
      <c r="FHP81" s="10"/>
      <c r="FHQ81" s="10"/>
      <c r="FHR81" s="10"/>
      <c r="FHS81" s="10"/>
      <c r="FHT81" s="10"/>
      <c r="FHU81" s="10"/>
      <c r="FHV81" s="10"/>
      <c r="FHW81" s="10"/>
      <c r="FHX81" s="10"/>
      <c r="FHY81" s="10"/>
      <c r="FHZ81" s="10"/>
      <c r="FIA81" s="10"/>
      <c r="FIB81" s="10"/>
      <c r="FIC81" s="10"/>
      <c r="FID81" s="10"/>
      <c r="FIE81" s="10"/>
      <c r="FIF81" s="10"/>
      <c r="FIG81" s="10"/>
      <c r="FIH81" s="10"/>
      <c r="FII81" s="10"/>
      <c r="FIJ81" s="10"/>
      <c r="FIK81" s="10"/>
      <c r="FIL81" s="10"/>
      <c r="FIM81" s="10"/>
      <c r="FIN81" s="10"/>
      <c r="FIO81" s="10"/>
      <c r="FIP81" s="10"/>
      <c r="FIQ81" s="10"/>
      <c r="FIR81" s="10"/>
      <c r="FIS81" s="10"/>
      <c r="FIT81" s="10"/>
      <c r="FIU81" s="10"/>
      <c r="FIV81" s="10"/>
      <c r="FIW81" s="10"/>
      <c r="FIX81" s="10"/>
      <c r="FIY81" s="10"/>
      <c r="FIZ81" s="10"/>
      <c r="FJA81" s="10"/>
      <c r="FJB81" s="10"/>
      <c r="FJC81" s="10"/>
      <c r="FJD81" s="10"/>
      <c r="FJE81" s="10"/>
      <c r="FJF81" s="10"/>
      <c r="FJG81" s="10"/>
      <c r="FJH81" s="10"/>
      <c r="FJI81" s="10"/>
      <c r="FJJ81" s="10"/>
      <c r="FJK81" s="10"/>
      <c r="FJL81" s="10"/>
      <c r="FJM81" s="10"/>
      <c r="FJN81" s="10"/>
      <c r="FJO81" s="10"/>
      <c r="FJP81" s="10"/>
      <c r="FJQ81" s="10"/>
      <c r="FJR81" s="10"/>
      <c r="FJS81" s="10"/>
      <c r="FJT81" s="10"/>
      <c r="FJU81" s="10"/>
      <c r="FJV81" s="10"/>
      <c r="FJW81" s="10"/>
      <c r="FJX81" s="10"/>
      <c r="FJY81" s="10"/>
      <c r="FJZ81" s="10"/>
      <c r="FKA81" s="10"/>
      <c r="FKB81" s="10"/>
      <c r="FKC81" s="10"/>
      <c r="FKD81" s="10"/>
      <c r="FKE81" s="10"/>
      <c r="FKF81" s="10"/>
      <c r="FKG81" s="10"/>
      <c r="FKH81" s="10"/>
      <c r="FKI81" s="10"/>
      <c r="FKJ81" s="10"/>
      <c r="FKK81" s="10"/>
      <c r="FKL81" s="10"/>
      <c r="FKM81" s="10"/>
      <c r="FKN81" s="10"/>
      <c r="FKO81" s="10"/>
      <c r="FKP81" s="10"/>
      <c r="FKQ81" s="10"/>
      <c r="FKR81" s="10"/>
      <c r="FKS81" s="10"/>
      <c r="FKT81" s="10"/>
      <c r="FKU81" s="10"/>
      <c r="FKV81" s="10"/>
      <c r="FKW81" s="10"/>
      <c r="FKX81" s="10"/>
      <c r="FKY81" s="10"/>
      <c r="FKZ81" s="10"/>
      <c r="FLA81" s="10"/>
      <c r="FLB81" s="10"/>
      <c r="FLC81" s="10"/>
      <c r="FLD81" s="10"/>
      <c r="FLE81" s="10"/>
      <c r="FLF81" s="10"/>
      <c r="FLG81" s="10"/>
      <c r="FLH81" s="10"/>
      <c r="FLI81" s="10"/>
      <c r="FLJ81" s="10"/>
      <c r="FLK81" s="10"/>
      <c r="FLL81" s="10"/>
      <c r="FLM81" s="10"/>
      <c r="FLN81" s="10"/>
      <c r="FLO81" s="10"/>
      <c r="FLP81" s="10"/>
      <c r="FLQ81" s="10"/>
      <c r="FLR81" s="10"/>
      <c r="FLS81" s="10"/>
      <c r="FLT81" s="10"/>
      <c r="FLU81" s="10"/>
      <c r="FLV81" s="10"/>
      <c r="FLW81" s="10"/>
      <c r="FLX81" s="10"/>
      <c r="FLY81" s="10"/>
      <c r="FLZ81" s="10"/>
      <c r="FMA81" s="10"/>
      <c r="FMB81" s="10"/>
      <c r="FMC81" s="10"/>
      <c r="FMD81" s="10"/>
      <c r="FME81" s="10"/>
      <c r="FMF81" s="10"/>
      <c r="FMG81" s="10"/>
      <c r="FMH81" s="10"/>
      <c r="FMI81" s="10"/>
      <c r="FMJ81" s="10"/>
      <c r="FMK81" s="10"/>
      <c r="FML81" s="10"/>
      <c r="FMM81" s="10"/>
      <c r="FMN81" s="10"/>
      <c r="FMO81" s="10"/>
      <c r="FMP81" s="10"/>
      <c r="FMQ81" s="10"/>
      <c r="FMR81" s="10"/>
      <c r="FMS81" s="10"/>
      <c r="FMT81" s="10"/>
      <c r="FMU81" s="10"/>
      <c r="FMV81" s="10"/>
      <c r="FMW81" s="10"/>
      <c r="FMX81" s="10"/>
      <c r="FMY81" s="10"/>
      <c r="FMZ81" s="10"/>
      <c r="FNA81" s="10"/>
      <c r="FNB81" s="10"/>
      <c r="FNC81" s="10"/>
      <c r="FND81" s="10"/>
      <c r="FNE81" s="10"/>
      <c r="FNF81" s="10"/>
      <c r="FNG81" s="10"/>
      <c r="FNH81" s="10"/>
      <c r="FNI81" s="10"/>
      <c r="FNJ81" s="10"/>
      <c r="FNK81" s="10"/>
      <c r="FNL81" s="10"/>
      <c r="FNM81" s="10"/>
      <c r="FNN81" s="10"/>
      <c r="FNO81" s="10"/>
      <c r="FNP81" s="10"/>
      <c r="FNQ81" s="10"/>
      <c r="FNR81" s="10"/>
      <c r="FNS81" s="10"/>
      <c r="FNT81" s="10"/>
      <c r="FNU81" s="10"/>
      <c r="FNV81" s="10"/>
      <c r="FNW81" s="10"/>
      <c r="FNX81" s="10"/>
      <c r="FNY81" s="10"/>
      <c r="FNZ81" s="10"/>
      <c r="FOA81" s="10"/>
      <c r="FOB81" s="10"/>
      <c r="FOC81" s="10"/>
      <c r="FOD81" s="10"/>
      <c r="FOE81" s="10"/>
      <c r="FOF81" s="10"/>
      <c r="FOG81" s="10"/>
      <c r="FOH81" s="10"/>
      <c r="FOI81" s="10"/>
      <c r="FOJ81" s="10"/>
      <c r="FOK81" s="10"/>
      <c r="FOL81" s="10"/>
      <c r="FOM81" s="10"/>
      <c r="FON81" s="10"/>
      <c r="FOO81" s="10"/>
      <c r="FOP81" s="10"/>
      <c r="FOQ81" s="10"/>
      <c r="FOR81" s="10"/>
      <c r="FOS81" s="10"/>
      <c r="FOT81" s="10"/>
      <c r="FOU81" s="10"/>
      <c r="FOV81" s="10"/>
      <c r="FOW81" s="10"/>
      <c r="FOX81" s="10"/>
      <c r="FOY81" s="10"/>
      <c r="FOZ81" s="10"/>
      <c r="FPA81" s="10"/>
      <c r="FPB81" s="10"/>
      <c r="FPC81" s="10"/>
      <c r="FPD81" s="10"/>
      <c r="FPE81" s="10"/>
      <c r="FPF81" s="10"/>
      <c r="FPG81" s="10"/>
      <c r="FPH81" s="10"/>
      <c r="FPI81" s="10"/>
      <c r="FPJ81" s="10"/>
      <c r="FPK81" s="10"/>
      <c r="FPL81" s="10"/>
      <c r="FPM81" s="10"/>
      <c r="FPN81" s="10"/>
      <c r="FPO81" s="10"/>
      <c r="FPP81" s="10"/>
      <c r="FPQ81" s="10"/>
      <c r="FPR81" s="10"/>
      <c r="FPS81" s="10"/>
      <c r="FPT81" s="10"/>
      <c r="FPU81" s="10"/>
      <c r="FPV81" s="10"/>
      <c r="FPW81" s="10"/>
      <c r="FPX81" s="10"/>
      <c r="FPY81" s="10"/>
      <c r="FPZ81" s="10"/>
      <c r="FQA81" s="10"/>
      <c r="FQB81" s="10"/>
      <c r="FQC81" s="10"/>
      <c r="FQD81" s="10"/>
      <c r="FQE81" s="10"/>
      <c r="FQF81" s="10"/>
      <c r="FQG81" s="10"/>
      <c r="FQH81" s="10"/>
      <c r="FQI81" s="10"/>
      <c r="FQJ81" s="10"/>
      <c r="FQK81" s="10"/>
      <c r="FQL81" s="10"/>
      <c r="FQM81" s="10"/>
      <c r="FQN81" s="10"/>
      <c r="FQO81" s="10"/>
      <c r="FQP81" s="10"/>
      <c r="FQQ81" s="10"/>
      <c r="FQR81" s="10"/>
      <c r="FQS81" s="10"/>
      <c r="FQT81" s="10"/>
      <c r="FQU81" s="10"/>
      <c r="FQV81" s="10"/>
      <c r="FQW81" s="10"/>
      <c r="FQX81" s="10"/>
      <c r="FQY81" s="10"/>
      <c r="FQZ81" s="10"/>
      <c r="FRA81" s="10"/>
      <c r="FRB81" s="10"/>
      <c r="FRC81" s="10"/>
      <c r="FRD81" s="10"/>
      <c r="FRE81" s="10"/>
      <c r="FRF81" s="10"/>
      <c r="FRG81" s="10"/>
      <c r="FRH81" s="10"/>
      <c r="FRI81" s="10"/>
      <c r="FRJ81" s="10"/>
      <c r="FRK81" s="10"/>
      <c r="FRL81" s="10"/>
      <c r="FRM81" s="10"/>
      <c r="FRN81" s="10"/>
      <c r="FRO81" s="10"/>
      <c r="FRP81" s="10"/>
      <c r="FRQ81" s="10"/>
      <c r="FRR81" s="10"/>
      <c r="FRS81" s="10"/>
      <c r="FRT81" s="10"/>
      <c r="FRU81" s="10"/>
      <c r="FRV81" s="10"/>
      <c r="FRW81" s="10"/>
      <c r="FRX81" s="10"/>
      <c r="FRY81" s="10"/>
      <c r="FRZ81" s="10"/>
      <c r="FSA81" s="10"/>
      <c r="FSB81" s="10"/>
      <c r="FSC81" s="10"/>
      <c r="FSD81" s="10"/>
      <c r="FSE81" s="10"/>
      <c r="FSF81" s="10"/>
      <c r="FSG81" s="10"/>
      <c r="FSH81" s="10"/>
      <c r="FSI81" s="10"/>
      <c r="FSJ81" s="10"/>
      <c r="FSK81" s="10"/>
      <c r="FSL81" s="10"/>
      <c r="FSM81" s="10"/>
      <c r="FSN81" s="10"/>
      <c r="FSO81" s="10"/>
      <c r="FSP81" s="10"/>
      <c r="FSQ81" s="10"/>
      <c r="FSR81" s="10"/>
      <c r="FSS81" s="10"/>
      <c r="FST81" s="10"/>
      <c r="FSU81" s="10"/>
      <c r="FSV81" s="10"/>
      <c r="FSW81" s="10"/>
      <c r="FSX81" s="10"/>
      <c r="FSY81" s="10"/>
      <c r="FSZ81" s="10"/>
      <c r="FTA81" s="10"/>
      <c r="FTB81" s="10"/>
      <c r="FTC81" s="10"/>
      <c r="FTD81" s="10"/>
      <c r="FTE81" s="10"/>
      <c r="FTF81" s="10"/>
      <c r="FTG81" s="10"/>
      <c r="FTH81" s="10"/>
      <c r="FTI81" s="10"/>
      <c r="FTJ81" s="10"/>
      <c r="FTK81" s="10"/>
      <c r="FTL81" s="10"/>
      <c r="FTM81" s="10"/>
      <c r="FTN81" s="10"/>
      <c r="FTO81" s="10"/>
      <c r="FTP81" s="10"/>
      <c r="FTQ81" s="10"/>
      <c r="FTR81" s="10"/>
      <c r="FTS81" s="10"/>
      <c r="FTT81" s="10"/>
      <c r="FTU81" s="10"/>
      <c r="FTV81" s="10"/>
      <c r="FTW81" s="10"/>
      <c r="FTX81" s="10"/>
      <c r="FTY81" s="10"/>
      <c r="FTZ81" s="10"/>
      <c r="FUA81" s="10"/>
      <c r="FUB81" s="10"/>
      <c r="FUC81" s="10"/>
      <c r="FUD81" s="10"/>
      <c r="FUE81" s="10"/>
      <c r="FUF81" s="10"/>
      <c r="FUG81" s="10"/>
      <c r="FUH81" s="10"/>
      <c r="FUI81" s="10"/>
      <c r="FUJ81" s="10"/>
      <c r="FUK81" s="10"/>
      <c r="FUL81" s="10"/>
      <c r="FUM81" s="10"/>
      <c r="FUN81" s="10"/>
      <c r="FUO81" s="10"/>
      <c r="FUP81" s="10"/>
      <c r="FUQ81" s="10"/>
      <c r="FUR81" s="10"/>
      <c r="FUS81" s="10"/>
      <c r="FUT81" s="10"/>
      <c r="FUU81" s="10"/>
      <c r="FUV81" s="10"/>
      <c r="FUW81" s="10"/>
      <c r="FUX81" s="10"/>
      <c r="FUY81" s="10"/>
      <c r="FUZ81" s="10"/>
      <c r="FVA81" s="10"/>
      <c r="FVB81" s="10"/>
      <c r="FVC81" s="10"/>
      <c r="FVD81" s="10"/>
      <c r="FVE81" s="10"/>
      <c r="FVF81" s="10"/>
      <c r="FVG81" s="10"/>
      <c r="FVH81" s="10"/>
      <c r="FVI81" s="10"/>
      <c r="FVJ81" s="10"/>
      <c r="FVK81" s="10"/>
      <c r="FVL81" s="10"/>
      <c r="FVM81" s="10"/>
      <c r="FVN81" s="10"/>
      <c r="FVO81" s="10"/>
      <c r="FVP81" s="10"/>
      <c r="FVQ81" s="10"/>
      <c r="FVR81" s="10"/>
      <c r="FVS81" s="10"/>
      <c r="FVT81" s="10"/>
      <c r="FVU81" s="10"/>
      <c r="FVV81" s="10"/>
      <c r="FVW81" s="10"/>
      <c r="FVX81" s="10"/>
      <c r="FVY81" s="10"/>
      <c r="FVZ81" s="10"/>
      <c r="FWA81" s="10"/>
      <c r="FWB81" s="10"/>
      <c r="FWC81" s="10"/>
      <c r="FWD81" s="10"/>
      <c r="FWE81" s="10"/>
      <c r="FWF81" s="10"/>
      <c r="FWG81" s="10"/>
      <c r="FWH81" s="10"/>
      <c r="FWI81" s="10"/>
      <c r="FWJ81" s="10"/>
      <c r="FWK81" s="10"/>
      <c r="FWL81" s="10"/>
      <c r="FWM81" s="10"/>
      <c r="FWN81" s="10"/>
      <c r="FWO81" s="10"/>
      <c r="FWP81" s="10"/>
      <c r="FWQ81" s="10"/>
      <c r="FWR81" s="10"/>
      <c r="FWS81" s="10"/>
      <c r="FWT81" s="10"/>
      <c r="FWU81" s="10"/>
      <c r="FWV81" s="10"/>
      <c r="FWW81" s="10"/>
      <c r="FWX81" s="10"/>
      <c r="FWY81" s="10"/>
      <c r="FWZ81" s="10"/>
      <c r="FXA81" s="10"/>
      <c r="FXB81" s="10"/>
      <c r="FXC81" s="10"/>
      <c r="FXD81" s="10"/>
      <c r="FXE81" s="10"/>
      <c r="FXF81" s="10"/>
      <c r="FXG81" s="10"/>
      <c r="FXH81" s="10"/>
      <c r="FXI81" s="10"/>
      <c r="FXJ81" s="10"/>
      <c r="FXK81" s="10"/>
      <c r="FXL81" s="10"/>
      <c r="FXM81" s="10"/>
      <c r="FXN81" s="10"/>
      <c r="FXO81" s="10"/>
      <c r="FXP81" s="10"/>
      <c r="FXQ81" s="10"/>
      <c r="FXR81" s="10"/>
      <c r="FXS81" s="10"/>
      <c r="FXT81" s="10"/>
      <c r="FXU81" s="10"/>
      <c r="FXV81" s="10"/>
      <c r="FXW81" s="10"/>
      <c r="FXX81" s="10"/>
      <c r="FXY81" s="10"/>
      <c r="FXZ81" s="10"/>
      <c r="FYA81" s="10"/>
      <c r="FYB81" s="10"/>
      <c r="FYC81" s="10"/>
      <c r="FYD81" s="10"/>
      <c r="FYE81" s="10"/>
      <c r="FYF81" s="10"/>
      <c r="FYG81" s="10"/>
      <c r="FYH81" s="10"/>
      <c r="FYI81" s="10"/>
      <c r="FYJ81" s="10"/>
      <c r="FYK81" s="10"/>
      <c r="FYL81" s="10"/>
      <c r="FYM81" s="10"/>
      <c r="FYN81" s="10"/>
      <c r="FYO81" s="10"/>
      <c r="FYP81" s="10"/>
      <c r="FYQ81" s="10"/>
      <c r="FYR81" s="10"/>
      <c r="FYS81" s="10"/>
      <c r="FYT81" s="10"/>
      <c r="FYU81" s="10"/>
      <c r="FYV81" s="10"/>
      <c r="FYW81" s="10"/>
      <c r="FYX81" s="10"/>
      <c r="FYY81" s="10"/>
      <c r="FYZ81" s="10"/>
      <c r="FZA81" s="10"/>
      <c r="FZB81" s="10"/>
      <c r="FZC81" s="10"/>
      <c r="FZD81" s="10"/>
      <c r="FZE81" s="10"/>
      <c r="FZF81" s="10"/>
      <c r="FZG81" s="10"/>
      <c r="FZH81" s="10"/>
      <c r="FZI81" s="10"/>
      <c r="FZJ81" s="10"/>
      <c r="FZK81" s="10"/>
      <c r="FZL81" s="10"/>
      <c r="FZM81" s="10"/>
      <c r="FZN81" s="10"/>
      <c r="FZO81" s="10"/>
      <c r="FZP81" s="10"/>
      <c r="FZQ81" s="10"/>
      <c r="FZR81" s="10"/>
      <c r="FZS81" s="10"/>
      <c r="FZT81" s="10"/>
      <c r="FZU81" s="10"/>
      <c r="FZV81" s="10"/>
      <c r="FZW81" s="10"/>
      <c r="FZX81" s="10"/>
      <c r="FZY81" s="10"/>
      <c r="FZZ81" s="10"/>
      <c r="GAA81" s="10"/>
      <c r="GAB81" s="10"/>
      <c r="GAC81" s="10"/>
      <c r="GAD81" s="10"/>
      <c r="GAE81" s="10"/>
      <c r="GAF81" s="10"/>
      <c r="GAG81" s="10"/>
      <c r="GAH81" s="10"/>
      <c r="GAI81" s="10"/>
      <c r="GAJ81" s="10"/>
      <c r="GAK81" s="10"/>
      <c r="GAL81" s="10"/>
      <c r="GAM81" s="10"/>
      <c r="GAN81" s="10"/>
      <c r="GAO81" s="10"/>
      <c r="GAP81" s="10"/>
      <c r="GAQ81" s="10"/>
      <c r="GAR81" s="10"/>
      <c r="GAS81" s="10"/>
      <c r="GAT81" s="10"/>
      <c r="GAU81" s="10"/>
      <c r="GAV81" s="10"/>
      <c r="GAW81" s="10"/>
      <c r="GAX81" s="10"/>
      <c r="GAY81" s="10"/>
      <c r="GAZ81" s="10"/>
      <c r="GBA81" s="10"/>
      <c r="GBB81" s="10"/>
      <c r="GBC81" s="10"/>
      <c r="GBD81" s="10"/>
      <c r="GBE81" s="10"/>
      <c r="GBF81" s="10"/>
      <c r="GBG81" s="10"/>
      <c r="GBH81" s="10"/>
      <c r="GBI81" s="10"/>
      <c r="GBJ81" s="10"/>
      <c r="GBK81" s="10"/>
      <c r="GBL81" s="10"/>
      <c r="GBM81" s="10"/>
      <c r="GBN81" s="10"/>
      <c r="GBO81" s="10"/>
      <c r="GBP81" s="10"/>
      <c r="GBQ81" s="10"/>
      <c r="GBR81" s="10"/>
      <c r="GBS81" s="10"/>
      <c r="GBT81" s="10"/>
      <c r="GBU81" s="10"/>
      <c r="GBV81" s="10"/>
      <c r="GBW81" s="10"/>
      <c r="GBX81" s="10"/>
      <c r="GBY81" s="10"/>
      <c r="GBZ81" s="10"/>
      <c r="GCA81" s="10"/>
      <c r="GCB81" s="10"/>
      <c r="GCC81" s="10"/>
      <c r="GCD81" s="10"/>
      <c r="GCE81" s="10"/>
      <c r="GCF81" s="10"/>
      <c r="GCG81" s="10"/>
      <c r="GCH81" s="10"/>
      <c r="GCI81" s="10"/>
      <c r="GCJ81" s="10"/>
      <c r="GCK81" s="10"/>
      <c r="GCL81" s="10"/>
      <c r="GCM81" s="10"/>
      <c r="GCN81" s="10"/>
      <c r="GCO81" s="10"/>
      <c r="GCP81" s="10"/>
      <c r="GCQ81" s="10"/>
      <c r="GCR81" s="10"/>
      <c r="GCS81" s="10"/>
      <c r="GCT81" s="10"/>
      <c r="GCU81" s="10"/>
      <c r="GCV81" s="10"/>
      <c r="GCW81" s="10"/>
      <c r="GCX81" s="10"/>
      <c r="GCY81" s="10"/>
      <c r="GCZ81" s="10"/>
      <c r="GDA81" s="10"/>
      <c r="GDB81" s="10"/>
      <c r="GDC81" s="10"/>
      <c r="GDD81" s="10"/>
      <c r="GDE81" s="10"/>
      <c r="GDF81" s="10"/>
      <c r="GDG81" s="10"/>
      <c r="GDH81" s="10"/>
      <c r="GDI81" s="10"/>
      <c r="GDJ81" s="10"/>
      <c r="GDK81" s="10"/>
      <c r="GDL81" s="10"/>
      <c r="GDM81" s="10"/>
      <c r="GDN81" s="10"/>
      <c r="GDO81" s="10"/>
      <c r="GDP81" s="10"/>
      <c r="GDQ81" s="10"/>
      <c r="GDR81" s="10"/>
      <c r="GDS81" s="10"/>
      <c r="GDT81" s="10"/>
      <c r="GDU81" s="10"/>
      <c r="GDV81" s="10"/>
      <c r="GDW81" s="10"/>
      <c r="GDX81" s="10"/>
      <c r="GDY81" s="10"/>
      <c r="GDZ81" s="10"/>
      <c r="GEA81" s="10"/>
      <c r="GEB81" s="10"/>
      <c r="GEC81" s="10"/>
      <c r="GED81" s="10"/>
      <c r="GEE81" s="10"/>
      <c r="GEF81" s="10"/>
      <c r="GEG81" s="10"/>
      <c r="GEH81" s="10"/>
      <c r="GEI81" s="10"/>
      <c r="GEJ81" s="10"/>
      <c r="GEK81" s="10"/>
      <c r="GEL81" s="10"/>
      <c r="GEM81" s="10"/>
      <c r="GEN81" s="10"/>
      <c r="GEO81" s="10"/>
      <c r="GEP81" s="10"/>
      <c r="GEQ81" s="10"/>
      <c r="GER81" s="10"/>
      <c r="GES81" s="10"/>
      <c r="GET81" s="10"/>
      <c r="GEU81" s="10"/>
      <c r="GEV81" s="10"/>
      <c r="GEW81" s="10"/>
      <c r="GEX81" s="10"/>
      <c r="GEY81" s="10"/>
      <c r="GEZ81" s="10"/>
      <c r="GFA81" s="10"/>
      <c r="GFB81" s="10"/>
      <c r="GFC81" s="10"/>
      <c r="GFD81" s="10"/>
      <c r="GFE81" s="10"/>
      <c r="GFF81" s="10"/>
      <c r="GFG81" s="10"/>
      <c r="GFH81" s="10"/>
      <c r="GFI81" s="10"/>
      <c r="GFJ81" s="10"/>
      <c r="GFK81" s="10"/>
      <c r="GFL81" s="10"/>
      <c r="GFM81" s="10"/>
      <c r="GFN81" s="10"/>
      <c r="GFO81" s="10"/>
      <c r="GFP81" s="10"/>
      <c r="GFQ81" s="10"/>
      <c r="GFR81" s="10"/>
      <c r="GFS81" s="10"/>
      <c r="GFT81" s="10"/>
      <c r="GFU81" s="10"/>
      <c r="GFV81" s="10"/>
      <c r="GFW81" s="10"/>
      <c r="GFX81" s="10"/>
      <c r="GFY81" s="10"/>
      <c r="GFZ81" s="10"/>
      <c r="GGA81" s="10"/>
      <c r="GGB81" s="10"/>
      <c r="GGC81" s="10"/>
      <c r="GGD81" s="10"/>
      <c r="GGE81" s="10"/>
      <c r="GGF81" s="10"/>
      <c r="GGG81" s="10"/>
      <c r="GGH81" s="10"/>
      <c r="GGI81" s="10"/>
      <c r="GGJ81" s="10"/>
      <c r="GGK81" s="10"/>
      <c r="GGL81" s="10"/>
      <c r="GGM81" s="10"/>
      <c r="GGN81" s="10"/>
      <c r="GGO81" s="10"/>
      <c r="GGP81" s="10"/>
      <c r="GGQ81" s="10"/>
      <c r="GGR81" s="10"/>
      <c r="GGS81" s="10"/>
      <c r="GGT81" s="10"/>
      <c r="GGU81" s="10"/>
      <c r="GGV81" s="10"/>
      <c r="GGW81" s="10"/>
      <c r="GGX81" s="10"/>
      <c r="GGY81" s="10"/>
      <c r="GGZ81" s="10"/>
      <c r="GHA81" s="10"/>
      <c r="GHB81" s="10"/>
      <c r="GHC81" s="10"/>
      <c r="GHD81" s="10"/>
      <c r="GHE81" s="10"/>
      <c r="GHF81" s="10"/>
      <c r="GHG81" s="10"/>
      <c r="GHH81" s="10"/>
      <c r="GHI81" s="10"/>
      <c r="GHJ81" s="10"/>
      <c r="GHK81" s="10"/>
      <c r="GHL81" s="10"/>
      <c r="GHM81" s="10"/>
      <c r="GHN81" s="10"/>
      <c r="GHO81" s="10"/>
      <c r="GHP81" s="10"/>
      <c r="GHQ81" s="10"/>
      <c r="GHR81" s="10"/>
      <c r="GHS81" s="10"/>
      <c r="GHT81" s="10"/>
      <c r="GHU81" s="10"/>
      <c r="GHV81" s="10"/>
      <c r="GHW81" s="10"/>
      <c r="GHX81" s="10"/>
      <c r="GHY81" s="10"/>
      <c r="GHZ81" s="10"/>
      <c r="GIA81" s="10"/>
      <c r="GIB81" s="10"/>
      <c r="GIC81" s="10"/>
      <c r="GID81" s="10"/>
      <c r="GIE81" s="10"/>
      <c r="GIF81" s="10"/>
      <c r="GIG81" s="10"/>
      <c r="GIH81" s="10"/>
      <c r="GII81" s="10"/>
      <c r="GIJ81" s="10"/>
      <c r="GIK81" s="10"/>
      <c r="GIL81" s="10"/>
      <c r="GIM81" s="10"/>
      <c r="GIN81" s="10"/>
      <c r="GIO81" s="10"/>
      <c r="GIP81" s="10"/>
      <c r="GIQ81" s="10"/>
      <c r="GIR81" s="10"/>
      <c r="GIS81" s="10"/>
      <c r="GIT81" s="10"/>
      <c r="GIU81" s="10"/>
      <c r="GIV81" s="10"/>
      <c r="GIW81" s="10"/>
      <c r="GIX81" s="10"/>
      <c r="GIY81" s="10"/>
      <c r="GIZ81" s="10"/>
      <c r="GJA81" s="10"/>
      <c r="GJB81" s="10"/>
      <c r="GJC81" s="10"/>
      <c r="GJD81" s="10"/>
      <c r="GJE81" s="10"/>
      <c r="GJF81" s="10"/>
      <c r="GJG81" s="10"/>
      <c r="GJH81" s="10"/>
      <c r="GJI81" s="10"/>
      <c r="GJJ81" s="10"/>
      <c r="GJK81" s="10"/>
      <c r="GJL81" s="10"/>
      <c r="GJM81" s="10"/>
      <c r="GJN81" s="10"/>
      <c r="GJO81" s="10"/>
      <c r="GJP81" s="10"/>
      <c r="GJQ81" s="10"/>
      <c r="GJR81" s="10"/>
      <c r="GJS81" s="10"/>
      <c r="GJT81" s="10"/>
      <c r="GJU81" s="10"/>
      <c r="GJV81" s="10"/>
      <c r="GJW81" s="10"/>
      <c r="GJX81" s="10"/>
      <c r="GJY81" s="10"/>
      <c r="GJZ81" s="10"/>
      <c r="GKA81" s="10"/>
      <c r="GKB81" s="10"/>
      <c r="GKC81" s="10"/>
      <c r="GKD81" s="10"/>
      <c r="GKE81" s="10"/>
      <c r="GKF81" s="10"/>
      <c r="GKG81" s="10"/>
      <c r="GKH81" s="10"/>
      <c r="GKI81" s="10"/>
      <c r="GKJ81" s="10"/>
      <c r="GKK81" s="10"/>
      <c r="GKL81" s="10"/>
      <c r="GKM81" s="10"/>
      <c r="GKN81" s="10"/>
      <c r="GKO81" s="10"/>
      <c r="GKP81" s="10"/>
      <c r="GKQ81" s="10"/>
      <c r="GKR81" s="10"/>
      <c r="GKS81" s="10"/>
      <c r="GKT81" s="10"/>
      <c r="GKU81" s="10"/>
      <c r="GKV81" s="10"/>
      <c r="GKW81" s="10"/>
      <c r="GKX81" s="10"/>
      <c r="GKY81" s="10"/>
      <c r="GKZ81" s="10"/>
      <c r="GLA81" s="10"/>
      <c r="GLB81" s="10"/>
      <c r="GLC81" s="10"/>
      <c r="GLD81" s="10"/>
      <c r="GLE81" s="10"/>
      <c r="GLF81" s="10"/>
      <c r="GLG81" s="10"/>
      <c r="GLH81" s="10"/>
      <c r="GLI81" s="10"/>
      <c r="GLJ81" s="10"/>
      <c r="GLK81" s="10"/>
      <c r="GLL81" s="10"/>
      <c r="GLM81" s="10"/>
      <c r="GLN81" s="10"/>
      <c r="GLO81" s="10"/>
      <c r="GLP81" s="10"/>
      <c r="GLQ81" s="10"/>
      <c r="GLR81" s="10"/>
      <c r="GLS81" s="10"/>
      <c r="GLT81" s="10"/>
      <c r="GLU81" s="10"/>
      <c r="GLV81" s="10"/>
      <c r="GLW81" s="10"/>
      <c r="GLX81" s="10"/>
      <c r="GLY81" s="10"/>
      <c r="GLZ81" s="10"/>
      <c r="GMA81" s="10"/>
      <c r="GMB81" s="10"/>
      <c r="GMC81" s="10"/>
      <c r="GMD81" s="10"/>
      <c r="GME81" s="10"/>
      <c r="GMF81" s="10"/>
      <c r="GMG81" s="10"/>
      <c r="GMH81" s="10"/>
      <c r="GMI81" s="10"/>
      <c r="GMJ81" s="10"/>
      <c r="GMK81" s="10"/>
      <c r="GML81" s="10"/>
      <c r="GMM81" s="10"/>
      <c r="GMN81" s="10"/>
      <c r="GMO81" s="10"/>
      <c r="GMP81" s="10"/>
      <c r="GMQ81" s="10"/>
      <c r="GMR81" s="10"/>
      <c r="GMS81" s="10"/>
      <c r="GMT81" s="10"/>
      <c r="GMU81" s="10"/>
      <c r="GMV81" s="10"/>
      <c r="GMW81" s="10"/>
      <c r="GMX81" s="10"/>
      <c r="GMY81" s="10"/>
      <c r="GMZ81" s="10"/>
      <c r="GNA81" s="10"/>
      <c r="GNB81" s="10"/>
      <c r="GNC81" s="10"/>
      <c r="GND81" s="10"/>
      <c r="GNE81" s="10"/>
      <c r="GNF81" s="10"/>
      <c r="GNG81" s="10"/>
      <c r="GNH81" s="10"/>
      <c r="GNI81" s="10"/>
      <c r="GNJ81" s="10"/>
      <c r="GNK81" s="10"/>
      <c r="GNL81" s="10"/>
      <c r="GNM81" s="10"/>
      <c r="GNN81" s="10"/>
      <c r="GNO81" s="10"/>
      <c r="GNP81" s="10"/>
      <c r="GNQ81" s="10"/>
      <c r="GNR81" s="10"/>
      <c r="GNS81" s="10"/>
      <c r="GNT81" s="10"/>
      <c r="GNU81" s="10"/>
      <c r="GNV81" s="10"/>
      <c r="GNW81" s="10"/>
      <c r="GNX81" s="10"/>
      <c r="GNY81" s="10"/>
      <c r="GNZ81" s="10"/>
      <c r="GOA81" s="10"/>
      <c r="GOB81" s="10"/>
      <c r="GOC81" s="10"/>
      <c r="GOD81" s="10"/>
      <c r="GOE81" s="10"/>
      <c r="GOF81" s="10"/>
      <c r="GOG81" s="10"/>
      <c r="GOH81" s="10"/>
      <c r="GOI81" s="10"/>
      <c r="GOJ81" s="10"/>
      <c r="GOK81" s="10"/>
      <c r="GOL81" s="10"/>
      <c r="GOM81" s="10"/>
      <c r="GON81" s="10"/>
      <c r="GOO81" s="10"/>
      <c r="GOP81" s="10"/>
      <c r="GOQ81" s="10"/>
      <c r="GOR81" s="10"/>
      <c r="GOS81" s="10"/>
      <c r="GOT81" s="10"/>
      <c r="GOU81" s="10"/>
      <c r="GOV81" s="10"/>
      <c r="GOW81" s="10"/>
      <c r="GOX81" s="10"/>
      <c r="GOY81" s="10"/>
      <c r="GOZ81" s="10"/>
      <c r="GPA81" s="10"/>
      <c r="GPB81" s="10"/>
      <c r="GPC81" s="10"/>
      <c r="GPD81" s="10"/>
      <c r="GPE81" s="10"/>
      <c r="GPF81" s="10"/>
      <c r="GPG81" s="10"/>
      <c r="GPH81" s="10"/>
      <c r="GPI81" s="10"/>
      <c r="GPJ81" s="10"/>
      <c r="GPK81" s="10"/>
      <c r="GPL81" s="10"/>
      <c r="GPM81" s="10"/>
      <c r="GPN81" s="10"/>
      <c r="GPO81" s="10"/>
      <c r="GPP81" s="10"/>
      <c r="GPQ81" s="10"/>
      <c r="GPR81" s="10"/>
      <c r="GPS81" s="10"/>
      <c r="GPT81" s="10"/>
      <c r="GPU81" s="10"/>
      <c r="GPV81" s="10"/>
      <c r="GPW81" s="10"/>
      <c r="GPX81" s="10"/>
      <c r="GPY81" s="10"/>
      <c r="GPZ81" s="10"/>
      <c r="GQA81" s="10"/>
      <c r="GQB81" s="10"/>
      <c r="GQC81" s="10"/>
      <c r="GQD81" s="10"/>
      <c r="GQE81" s="10"/>
      <c r="GQF81" s="10"/>
      <c r="GQG81" s="10"/>
      <c r="GQH81" s="10"/>
      <c r="GQI81" s="10"/>
      <c r="GQJ81" s="10"/>
      <c r="GQK81" s="10"/>
      <c r="GQL81" s="10"/>
      <c r="GQM81" s="10"/>
      <c r="GQN81" s="10"/>
      <c r="GQO81" s="10"/>
      <c r="GQP81" s="10"/>
      <c r="GQQ81" s="10"/>
      <c r="GQR81" s="10"/>
      <c r="GQS81" s="10"/>
      <c r="GQT81" s="10"/>
      <c r="GQU81" s="10"/>
      <c r="GQV81" s="10"/>
      <c r="GQW81" s="10"/>
      <c r="GQX81" s="10"/>
      <c r="GQY81" s="10"/>
      <c r="GQZ81" s="10"/>
      <c r="GRA81" s="10"/>
      <c r="GRB81" s="10"/>
      <c r="GRC81" s="10"/>
      <c r="GRD81" s="10"/>
      <c r="GRE81" s="10"/>
      <c r="GRF81" s="10"/>
      <c r="GRG81" s="10"/>
      <c r="GRH81" s="10"/>
      <c r="GRI81" s="10"/>
      <c r="GRJ81" s="10"/>
      <c r="GRK81" s="10"/>
      <c r="GRL81" s="10"/>
      <c r="GRM81" s="10"/>
      <c r="GRN81" s="10"/>
      <c r="GRO81" s="10"/>
      <c r="GRP81" s="10"/>
      <c r="GRQ81" s="10"/>
      <c r="GRR81" s="10"/>
      <c r="GRS81" s="10"/>
      <c r="GRT81" s="10"/>
      <c r="GRU81" s="10"/>
      <c r="GRV81" s="10"/>
      <c r="GRW81" s="10"/>
      <c r="GRX81" s="10"/>
      <c r="GRY81" s="10"/>
      <c r="GRZ81" s="10"/>
      <c r="GSA81" s="10"/>
      <c r="GSB81" s="10"/>
      <c r="GSC81" s="10"/>
      <c r="GSD81" s="10"/>
      <c r="GSE81" s="10"/>
      <c r="GSF81" s="10"/>
      <c r="GSG81" s="10"/>
      <c r="GSH81" s="10"/>
      <c r="GSI81" s="10"/>
      <c r="GSJ81" s="10"/>
      <c r="GSK81" s="10"/>
      <c r="GSL81" s="10"/>
      <c r="GSM81" s="10"/>
      <c r="GSN81" s="10"/>
      <c r="GSO81" s="10"/>
      <c r="GSP81" s="10"/>
      <c r="GSQ81" s="10"/>
      <c r="GSR81" s="10"/>
      <c r="GSS81" s="10"/>
      <c r="GST81" s="10"/>
      <c r="GSU81" s="10"/>
      <c r="GSV81" s="10"/>
      <c r="GSW81" s="10"/>
      <c r="GSX81" s="10"/>
      <c r="GSY81" s="10"/>
      <c r="GSZ81" s="10"/>
      <c r="GTA81" s="10"/>
      <c r="GTB81" s="10"/>
      <c r="GTC81" s="10"/>
      <c r="GTD81" s="10"/>
      <c r="GTE81" s="10"/>
      <c r="GTF81" s="10"/>
      <c r="GTG81" s="10"/>
      <c r="GTH81" s="10"/>
      <c r="GTI81" s="10"/>
      <c r="GTJ81" s="10"/>
      <c r="GTK81" s="10"/>
      <c r="GTL81" s="10"/>
      <c r="GTM81" s="10"/>
      <c r="GTN81" s="10"/>
      <c r="GTO81" s="10"/>
      <c r="GTP81" s="10"/>
      <c r="GTQ81" s="10"/>
      <c r="GTR81" s="10"/>
      <c r="GTS81" s="10"/>
      <c r="GTT81" s="10"/>
      <c r="GTU81" s="10"/>
      <c r="GTV81" s="10"/>
      <c r="GTW81" s="10"/>
      <c r="GTX81" s="10"/>
      <c r="GTY81" s="10"/>
      <c r="GTZ81" s="10"/>
      <c r="GUA81" s="10"/>
      <c r="GUB81" s="10"/>
      <c r="GUC81" s="10"/>
      <c r="GUD81" s="10"/>
      <c r="GUE81" s="10"/>
      <c r="GUF81" s="10"/>
      <c r="GUG81" s="10"/>
      <c r="GUH81" s="10"/>
      <c r="GUI81" s="10"/>
      <c r="GUJ81" s="10"/>
      <c r="GUK81" s="10"/>
      <c r="GUL81" s="10"/>
      <c r="GUM81" s="10"/>
      <c r="GUN81" s="10"/>
      <c r="GUO81" s="10"/>
      <c r="GUP81" s="10"/>
      <c r="GUQ81" s="10"/>
      <c r="GUR81" s="10"/>
      <c r="GUS81" s="10"/>
      <c r="GUT81" s="10"/>
      <c r="GUU81" s="10"/>
      <c r="GUV81" s="10"/>
      <c r="GUW81" s="10"/>
      <c r="GUX81" s="10"/>
      <c r="GUY81" s="10"/>
      <c r="GUZ81" s="10"/>
      <c r="GVA81" s="10"/>
      <c r="GVB81" s="10"/>
      <c r="GVC81" s="10"/>
      <c r="GVD81" s="10"/>
      <c r="GVE81" s="10"/>
      <c r="GVF81" s="10"/>
      <c r="GVG81" s="10"/>
      <c r="GVH81" s="10"/>
      <c r="GVI81" s="10"/>
      <c r="GVJ81" s="10"/>
      <c r="GVK81" s="10"/>
      <c r="GVL81" s="10"/>
      <c r="GVM81" s="10"/>
      <c r="GVN81" s="10"/>
      <c r="GVO81" s="10"/>
      <c r="GVP81" s="10"/>
      <c r="GVQ81" s="10"/>
      <c r="GVR81" s="10"/>
      <c r="GVS81" s="10"/>
      <c r="GVT81" s="10"/>
      <c r="GVU81" s="10"/>
      <c r="GVV81" s="10"/>
      <c r="GVW81" s="10"/>
      <c r="GVX81" s="10"/>
      <c r="GVY81" s="10"/>
      <c r="GVZ81" s="10"/>
      <c r="GWA81" s="10"/>
      <c r="GWB81" s="10"/>
      <c r="GWC81" s="10"/>
      <c r="GWD81" s="10"/>
      <c r="GWE81" s="10"/>
      <c r="GWF81" s="10"/>
      <c r="GWG81" s="10"/>
      <c r="GWH81" s="10"/>
      <c r="GWI81" s="10"/>
      <c r="GWJ81" s="10"/>
      <c r="GWK81" s="10"/>
      <c r="GWL81" s="10"/>
      <c r="GWM81" s="10"/>
      <c r="GWN81" s="10"/>
      <c r="GWO81" s="10"/>
      <c r="GWP81" s="10"/>
      <c r="GWQ81" s="10"/>
      <c r="GWR81" s="10"/>
      <c r="GWS81" s="10"/>
      <c r="GWT81" s="10"/>
      <c r="GWU81" s="10"/>
      <c r="GWV81" s="10"/>
      <c r="GWW81" s="10"/>
      <c r="GWX81" s="10"/>
      <c r="GWY81" s="10"/>
      <c r="GWZ81" s="10"/>
      <c r="GXA81" s="10"/>
      <c r="GXB81" s="10"/>
      <c r="GXC81" s="10"/>
      <c r="GXD81" s="10"/>
      <c r="GXE81" s="10"/>
      <c r="GXF81" s="10"/>
      <c r="GXG81" s="10"/>
      <c r="GXH81" s="10"/>
      <c r="GXI81" s="10"/>
      <c r="GXJ81" s="10"/>
      <c r="GXK81" s="10"/>
      <c r="GXL81" s="10"/>
      <c r="GXM81" s="10"/>
      <c r="GXN81" s="10"/>
      <c r="GXO81" s="10"/>
      <c r="GXP81" s="10"/>
      <c r="GXQ81" s="10"/>
      <c r="GXR81" s="10"/>
      <c r="GXS81" s="10"/>
      <c r="GXT81" s="10"/>
      <c r="GXU81" s="10"/>
      <c r="GXV81" s="10"/>
      <c r="GXW81" s="10"/>
      <c r="GXX81" s="10"/>
      <c r="GXY81" s="10"/>
      <c r="GXZ81" s="10"/>
      <c r="GYA81" s="10"/>
      <c r="GYB81" s="10"/>
      <c r="GYC81" s="10"/>
      <c r="GYD81" s="10"/>
      <c r="GYE81" s="10"/>
      <c r="GYF81" s="10"/>
      <c r="GYG81" s="10"/>
      <c r="GYH81" s="10"/>
      <c r="GYI81" s="10"/>
      <c r="GYJ81" s="10"/>
      <c r="GYK81" s="10"/>
      <c r="GYL81" s="10"/>
      <c r="GYM81" s="10"/>
      <c r="GYN81" s="10"/>
      <c r="GYO81" s="10"/>
      <c r="GYP81" s="10"/>
      <c r="GYQ81" s="10"/>
      <c r="GYR81" s="10"/>
      <c r="GYS81" s="10"/>
      <c r="GYT81" s="10"/>
      <c r="GYU81" s="10"/>
      <c r="GYV81" s="10"/>
      <c r="GYW81" s="10"/>
      <c r="GYX81" s="10"/>
      <c r="GYY81" s="10"/>
      <c r="GYZ81" s="10"/>
      <c r="GZA81" s="10"/>
      <c r="GZB81" s="10"/>
      <c r="GZC81" s="10"/>
      <c r="GZD81" s="10"/>
      <c r="GZE81" s="10"/>
      <c r="GZF81" s="10"/>
      <c r="GZG81" s="10"/>
      <c r="GZH81" s="10"/>
      <c r="GZI81" s="10"/>
      <c r="GZJ81" s="10"/>
      <c r="GZK81" s="10"/>
      <c r="GZL81" s="10"/>
      <c r="GZM81" s="10"/>
      <c r="GZN81" s="10"/>
      <c r="GZO81" s="10"/>
      <c r="GZP81" s="10"/>
      <c r="GZQ81" s="10"/>
      <c r="GZR81" s="10"/>
      <c r="GZS81" s="10"/>
      <c r="GZT81" s="10"/>
      <c r="GZU81" s="10"/>
      <c r="GZV81" s="10"/>
      <c r="GZW81" s="10"/>
      <c r="GZX81" s="10"/>
      <c r="GZY81" s="10"/>
      <c r="GZZ81" s="10"/>
      <c r="HAA81" s="10"/>
      <c r="HAB81" s="10"/>
      <c r="HAC81" s="10"/>
      <c r="HAD81" s="10"/>
      <c r="HAE81" s="10"/>
      <c r="HAF81" s="10"/>
      <c r="HAG81" s="10"/>
      <c r="HAH81" s="10"/>
      <c r="HAI81" s="10"/>
      <c r="HAJ81" s="10"/>
      <c r="HAK81" s="10"/>
      <c r="HAL81" s="10"/>
      <c r="HAM81" s="10"/>
      <c r="HAN81" s="10"/>
      <c r="HAO81" s="10"/>
      <c r="HAP81" s="10"/>
      <c r="HAQ81" s="10"/>
      <c r="HAR81" s="10"/>
      <c r="HAS81" s="10"/>
      <c r="HAT81" s="10"/>
      <c r="HAU81" s="10"/>
      <c r="HAV81" s="10"/>
      <c r="HAW81" s="10"/>
      <c r="HAX81" s="10"/>
      <c r="HAY81" s="10"/>
      <c r="HAZ81" s="10"/>
      <c r="HBA81" s="10"/>
      <c r="HBB81" s="10"/>
      <c r="HBC81" s="10"/>
      <c r="HBD81" s="10"/>
      <c r="HBE81" s="10"/>
      <c r="HBF81" s="10"/>
      <c r="HBG81" s="10"/>
      <c r="HBH81" s="10"/>
      <c r="HBI81" s="10"/>
      <c r="HBJ81" s="10"/>
      <c r="HBK81" s="10"/>
      <c r="HBL81" s="10"/>
      <c r="HBM81" s="10"/>
      <c r="HBN81" s="10"/>
      <c r="HBO81" s="10"/>
      <c r="HBP81" s="10"/>
      <c r="HBQ81" s="10"/>
      <c r="HBR81" s="10"/>
      <c r="HBS81" s="10"/>
      <c r="HBT81" s="10"/>
      <c r="HBU81" s="10"/>
      <c r="HBV81" s="10"/>
      <c r="HBW81" s="10"/>
      <c r="HBX81" s="10"/>
      <c r="HBY81" s="10"/>
      <c r="HBZ81" s="10"/>
      <c r="HCA81" s="10"/>
      <c r="HCB81" s="10"/>
      <c r="HCC81" s="10"/>
      <c r="HCD81" s="10"/>
      <c r="HCE81" s="10"/>
      <c r="HCF81" s="10"/>
      <c r="HCG81" s="10"/>
      <c r="HCH81" s="10"/>
      <c r="HCI81" s="10"/>
      <c r="HCJ81" s="10"/>
      <c r="HCK81" s="10"/>
      <c r="HCL81" s="10"/>
      <c r="HCM81" s="10"/>
      <c r="HCN81" s="10"/>
      <c r="HCO81" s="10"/>
      <c r="HCP81" s="10"/>
      <c r="HCQ81" s="10"/>
      <c r="HCR81" s="10"/>
      <c r="HCS81" s="10"/>
      <c r="HCT81" s="10"/>
      <c r="HCU81" s="10"/>
      <c r="HCV81" s="10"/>
      <c r="HCW81" s="10"/>
      <c r="HCX81" s="10"/>
      <c r="HCY81" s="10"/>
      <c r="HCZ81" s="10"/>
      <c r="HDA81" s="10"/>
      <c r="HDB81" s="10"/>
      <c r="HDC81" s="10"/>
      <c r="HDD81" s="10"/>
      <c r="HDE81" s="10"/>
      <c r="HDF81" s="10"/>
      <c r="HDG81" s="10"/>
      <c r="HDH81" s="10"/>
      <c r="HDI81" s="10"/>
      <c r="HDJ81" s="10"/>
      <c r="HDK81" s="10"/>
      <c r="HDL81" s="10"/>
      <c r="HDM81" s="10"/>
      <c r="HDN81" s="10"/>
      <c r="HDO81" s="10"/>
      <c r="HDP81" s="10"/>
      <c r="HDQ81" s="10"/>
      <c r="HDR81" s="10"/>
      <c r="HDS81" s="10"/>
      <c r="HDT81" s="10"/>
      <c r="HDU81" s="10"/>
      <c r="HDV81" s="10"/>
      <c r="HDW81" s="10"/>
      <c r="HDX81" s="10"/>
      <c r="HDY81" s="10"/>
      <c r="HDZ81" s="10"/>
      <c r="HEA81" s="10"/>
      <c r="HEB81" s="10"/>
      <c r="HEC81" s="10"/>
      <c r="HED81" s="10"/>
      <c r="HEE81" s="10"/>
      <c r="HEF81" s="10"/>
      <c r="HEG81" s="10"/>
      <c r="HEH81" s="10"/>
      <c r="HEI81" s="10"/>
      <c r="HEJ81" s="10"/>
      <c r="HEK81" s="10"/>
      <c r="HEL81" s="10"/>
      <c r="HEM81" s="10"/>
      <c r="HEN81" s="10"/>
      <c r="HEO81" s="10"/>
      <c r="HEP81" s="10"/>
      <c r="HEQ81" s="10"/>
      <c r="HER81" s="10"/>
      <c r="HES81" s="10"/>
      <c r="HET81" s="10"/>
      <c r="HEU81" s="10"/>
      <c r="HEV81" s="10"/>
      <c r="HEW81" s="10"/>
      <c r="HEX81" s="10"/>
      <c r="HEY81" s="10"/>
      <c r="HEZ81" s="10"/>
      <c r="HFA81" s="10"/>
      <c r="HFB81" s="10"/>
      <c r="HFC81" s="10"/>
      <c r="HFD81" s="10"/>
      <c r="HFE81" s="10"/>
      <c r="HFF81" s="10"/>
      <c r="HFG81" s="10"/>
      <c r="HFH81" s="10"/>
      <c r="HFI81" s="10"/>
      <c r="HFJ81" s="10"/>
      <c r="HFK81" s="10"/>
      <c r="HFL81" s="10"/>
      <c r="HFM81" s="10"/>
      <c r="HFN81" s="10"/>
      <c r="HFO81" s="10"/>
      <c r="HFP81" s="10"/>
      <c r="HFQ81" s="10"/>
      <c r="HFR81" s="10"/>
      <c r="HFS81" s="10"/>
      <c r="HFT81" s="10"/>
      <c r="HFU81" s="10"/>
      <c r="HFV81" s="10"/>
      <c r="HFW81" s="10"/>
      <c r="HFX81" s="10"/>
      <c r="HFY81" s="10"/>
      <c r="HFZ81" s="10"/>
      <c r="HGA81" s="10"/>
      <c r="HGB81" s="10"/>
      <c r="HGC81" s="10"/>
      <c r="HGD81" s="10"/>
      <c r="HGE81" s="10"/>
      <c r="HGF81" s="10"/>
      <c r="HGG81" s="10"/>
      <c r="HGH81" s="10"/>
      <c r="HGI81" s="10"/>
      <c r="HGJ81" s="10"/>
      <c r="HGK81" s="10"/>
      <c r="HGL81" s="10"/>
      <c r="HGM81" s="10"/>
      <c r="HGN81" s="10"/>
      <c r="HGO81" s="10"/>
      <c r="HGP81" s="10"/>
      <c r="HGQ81" s="10"/>
      <c r="HGR81" s="10"/>
      <c r="HGS81" s="10"/>
      <c r="HGT81" s="10"/>
      <c r="HGU81" s="10"/>
      <c r="HGV81" s="10"/>
      <c r="HGW81" s="10"/>
      <c r="HGX81" s="10"/>
      <c r="HGY81" s="10"/>
      <c r="HGZ81" s="10"/>
      <c r="HHA81" s="10"/>
      <c r="HHB81" s="10"/>
      <c r="HHC81" s="10"/>
      <c r="HHD81" s="10"/>
      <c r="HHE81" s="10"/>
      <c r="HHF81" s="10"/>
      <c r="HHG81" s="10"/>
      <c r="HHH81" s="10"/>
      <c r="HHI81" s="10"/>
      <c r="HHJ81" s="10"/>
      <c r="HHK81" s="10"/>
      <c r="HHL81" s="10"/>
      <c r="HHM81" s="10"/>
      <c r="HHN81" s="10"/>
      <c r="HHO81" s="10"/>
      <c r="HHP81" s="10"/>
      <c r="HHQ81" s="10"/>
      <c r="HHR81" s="10"/>
      <c r="HHS81" s="10"/>
      <c r="HHT81" s="10"/>
      <c r="HHU81" s="10"/>
      <c r="HHV81" s="10"/>
      <c r="HHW81" s="10"/>
      <c r="HHX81" s="10"/>
      <c r="HHY81" s="10"/>
      <c r="HHZ81" s="10"/>
      <c r="HIA81" s="10"/>
      <c r="HIB81" s="10"/>
      <c r="HIC81" s="10"/>
      <c r="HID81" s="10"/>
      <c r="HIE81" s="10"/>
      <c r="HIF81" s="10"/>
      <c r="HIG81" s="10"/>
      <c r="HIH81" s="10"/>
      <c r="HII81" s="10"/>
      <c r="HIJ81" s="10"/>
      <c r="HIK81" s="10"/>
      <c r="HIL81" s="10"/>
      <c r="HIM81" s="10"/>
      <c r="HIN81" s="10"/>
      <c r="HIO81" s="10"/>
      <c r="HIP81" s="10"/>
      <c r="HIQ81" s="10"/>
      <c r="HIR81" s="10"/>
      <c r="HIS81" s="10"/>
      <c r="HIT81" s="10"/>
      <c r="HIU81" s="10"/>
      <c r="HIV81" s="10"/>
      <c r="HIW81" s="10"/>
      <c r="HIX81" s="10"/>
      <c r="HIY81" s="10"/>
      <c r="HIZ81" s="10"/>
      <c r="HJA81" s="10"/>
      <c r="HJB81" s="10"/>
      <c r="HJC81" s="10"/>
      <c r="HJD81" s="10"/>
      <c r="HJE81" s="10"/>
      <c r="HJF81" s="10"/>
      <c r="HJG81" s="10"/>
      <c r="HJH81" s="10"/>
      <c r="HJI81" s="10"/>
      <c r="HJJ81" s="10"/>
      <c r="HJK81" s="10"/>
      <c r="HJL81" s="10"/>
      <c r="HJM81" s="10"/>
      <c r="HJN81" s="10"/>
      <c r="HJO81" s="10"/>
      <c r="HJP81" s="10"/>
      <c r="HJQ81" s="10"/>
      <c r="HJR81" s="10"/>
      <c r="HJS81" s="10"/>
      <c r="HJT81" s="10"/>
      <c r="HJU81" s="10"/>
      <c r="HJV81" s="10"/>
      <c r="HJW81" s="10"/>
      <c r="HJX81" s="10"/>
      <c r="HJY81" s="10"/>
      <c r="HJZ81" s="10"/>
      <c r="HKA81" s="10"/>
      <c r="HKB81" s="10"/>
      <c r="HKC81" s="10"/>
      <c r="HKD81" s="10"/>
      <c r="HKE81" s="10"/>
      <c r="HKF81" s="10"/>
      <c r="HKG81" s="10"/>
      <c r="HKH81" s="10"/>
      <c r="HKI81" s="10"/>
      <c r="HKJ81" s="10"/>
      <c r="HKK81" s="10"/>
      <c r="HKL81" s="10"/>
      <c r="HKM81" s="10"/>
      <c r="HKN81" s="10"/>
      <c r="HKO81" s="10"/>
      <c r="HKP81" s="10"/>
      <c r="HKQ81" s="10"/>
      <c r="HKR81" s="10"/>
      <c r="HKS81" s="10"/>
      <c r="HKT81" s="10"/>
      <c r="HKU81" s="10"/>
      <c r="HKV81" s="10"/>
      <c r="HKW81" s="10"/>
      <c r="HKX81" s="10"/>
      <c r="HKY81" s="10"/>
      <c r="HKZ81" s="10"/>
      <c r="HLA81" s="10"/>
      <c r="HLB81" s="10"/>
      <c r="HLC81" s="10"/>
      <c r="HLD81" s="10"/>
      <c r="HLE81" s="10"/>
      <c r="HLF81" s="10"/>
      <c r="HLG81" s="10"/>
      <c r="HLH81" s="10"/>
      <c r="HLI81" s="10"/>
      <c r="HLJ81" s="10"/>
      <c r="HLK81" s="10"/>
      <c r="HLL81" s="10"/>
      <c r="HLM81" s="10"/>
      <c r="HLN81" s="10"/>
      <c r="HLO81" s="10"/>
      <c r="HLP81" s="10"/>
      <c r="HLQ81" s="10"/>
      <c r="HLR81" s="10"/>
      <c r="HLS81" s="10"/>
      <c r="HLT81" s="10"/>
      <c r="HLU81" s="10"/>
      <c r="HLV81" s="10"/>
      <c r="HLW81" s="10"/>
      <c r="HLX81" s="10"/>
      <c r="HLY81" s="10"/>
      <c r="HLZ81" s="10"/>
      <c r="HMA81" s="10"/>
      <c r="HMB81" s="10"/>
      <c r="HMC81" s="10"/>
      <c r="HMD81" s="10"/>
      <c r="HME81" s="10"/>
      <c r="HMF81" s="10"/>
      <c r="HMG81" s="10"/>
      <c r="HMH81" s="10"/>
      <c r="HMI81" s="10"/>
      <c r="HMJ81" s="10"/>
      <c r="HMK81" s="10"/>
      <c r="HML81" s="10"/>
      <c r="HMM81" s="10"/>
      <c r="HMN81" s="10"/>
      <c r="HMO81" s="10"/>
      <c r="HMP81" s="10"/>
      <c r="HMQ81" s="10"/>
      <c r="HMR81" s="10"/>
      <c r="HMS81" s="10"/>
      <c r="HMT81" s="10"/>
      <c r="HMU81" s="10"/>
      <c r="HMV81" s="10"/>
      <c r="HMW81" s="10"/>
      <c r="HMX81" s="10"/>
      <c r="HMY81" s="10"/>
      <c r="HMZ81" s="10"/>
      <c r="HNA81" s="10"/>
      <c r="HNB81" s="10"/>
      <c r="HNC81" s="10"/>
      <c r="HND81" s="10"/>
      <c r="HNE81" s="10"/>
      <c r="HNF81" s="10"/>
      <c r="HNG81" s="10"/>
      <c r="HNH81" s="10"/>
      <c r="HNI81" s="10"/>
      <c r="HNJ81" s="10"/>
      <c r="HNK81" s="10"/>
      <c r="HNL81" s="10"/>
      <c r="HNM81" s="10"/>
      <c r="HNN81" s="10"/>
      <c r="HNO81" s="10"/>
      <c r="HNP81" s="10"/>
      <c r="HNQ81" s="10"/>
      <c r="HNR81" s="10"/>
      <c r="HNS81" s="10"/>
      <c r="HNT81" s="10"/>
      <c r="HNU81" s="10"/>
      <c r="HNV81" s="10"/>
      <c r="HNW81" s="10"/>
      <c r="HNX81" s="10"/>
      <c r="HNY81" s="10"/>
      <c r="HNZ81" s="10"/>
      <c r="HOA81" s="10"/>
      <c r="HOB81" s="10"/>
      <c r="HOC81" s="10"/>
      <c r="HOD81" s="10"/>
      <c r="HOE81" s="10"/>
      <c r="HOF81" s="10"/>
      <c r="HOG81" s="10"/>
      <c r="HOH81" s="10"/>
      <c r="HOI81" s="10"/>
      <c r="HOJ81" s="10"/>
      <c r="HOK81" s="10"/>
      <c r="HOL81" s="10"/>
      <c r="HOM81" s="10"/>
      <c r="HON81" s="10"/>
      <c r="HOO81" s="10"/>
      <c r="HOP81" s="10"/>
      <c r="HOQ81" s="10"/>
      <c r="HOR81" s="10"/>
      <c r="HOS81" s="10"/>
      <c r="HOT81" s="10"/>
      <c r="HOU81" s="10"/>
      <c r="HOV81" s="10"/>
      <c r="HOW81" s="10"/>
      <c r="HOX81" s="10"/>
      <c r="HOY81" s="10"/>
      <c r="HOZ81" s="10"/>
      <c r="HPA81" s="10"/>
      <c r="HPB81" s="10"/>
      <c r="HPC81" s="10"/>
      <c r="HPD81" s="10"/>
      <c r="HPE81" s="10"/>
      <c r="HPF81" s="10"/>
      <c r="HPG81" s="10"/>
      <c r="HPH81" s="10"/>
      <c r="HPI81" s="10"/>
      <c r="HPJ81" s="10"/>
      <c r="HPK81" s="10"/>
      <c r="HPL81" s="10"/>
      <c r="HPM81" s="10"/>
      <c r="HPN81" s="10"/>
      <c r="HPO81" s="10"/>
      <c r="HPP81" s="10"/>
      <c r="HPQ81" s="10"/>
      <c r="HPR81" s="10"/>
      <c r="HPS81" s="10"/>
      <c r="HPT81" s="10"/>
      <c r="HPU81" s="10"/>
      <c r="HPV81" s="10"/>
      <c r="HPW81" s="10"/>
      <c r="HPX81" s="10"/>
      <c r="HPY81" s="10"/>
      <c r="HPZ81" s="10"/>
      <c r="HQA81" s="10"/>
      <c r="HQB81" s="10"/>
      <c r="HQC81" s="10"/>
      <c r="HQD81" s="10"/>
      <c r="HQE81" s="10"/>
      <c r="HQF81" s="10"/>
      <c r="HQG81" s="10"/>
      <c r="HQH81" s="10"/>
      <c r="HQI81" s="10"/>
      <c r="HQJ81" s="10"/>
      <c r="HQK81" s="10"/>
      <c r="HQL81" s="10"/>
      <c r="HQM81" s="10"/>
      <c r="HQN81" s="10"/>
      <c r="HQO81" s="10"/>
      <c r="HQP81" s="10"/>
      <c r="HQQ81" s="10"/>
      <c r="HQR81" s="10"/>
      <c r="HQS81" s="10"/>
      <c r="HQT81" s="10"/>
      <c r="HQU81" s="10"/>
      <c r="HQV81" s="10"/>
      <c r="HQW81" s="10"/>
      <c r="HQX81" s="10"/>
      <c r="HQY81" s="10"/>
      <c r="HQZ81" s="10"/>
      <c r="HRA81" s="10"/>
      <c r="HRB81" s="10"/>
      <c r="HRC81" s="10"/>
      <c r="HRD81" s="10"/>
      <c r="HRE81" s="10"/>
      <c r="HRF81" s="10"/>
      <c r="HRG81" s="10"/>
      <c r="HRH81" s="10"/>
      <c r="HRI81" s="10"/>
      <c r="HRJ81" s="10"/>
      <c r="HRK81" s="10"/>
      <c r="HRL81" s="10"/>
      <c r="HRM81" s="10"/>
      <c r="HRN81" s="10"/>
      <c r="HRO81" s="10"/>
      <c r="HRP81" s="10"/>
      <c r="HRQ81" s="10"/>
      <c r="HRR81" s="10"/>
      <c r="HRS81" s="10"/>
      <c r="HRT81" s="10"/>
      <c r="HRU81" s="10"/>
      <c r="HRV81" s="10"/>
      <c r="HRW81" s="10"/>
      <c r="HRX81" s="10"/>
      <c r="HRY81" s="10"/>
      <c r="HRZ81" s="10"/>
      <c r="HSA81" s="10"/>
      <c r="HSB81" s="10"/>
      <c r="HSC81" s="10"/>
      <c r="HSD81" s="10"/>
      <c r="HSE81" s="10"/>
      <c r="HSF81" s="10"/>
      <c r="HSG81" s="10"/>
      <c r="HSH81" s="10"/>
      <c r="HSI81" s="10"/>
      <c r="HSJ81" s="10"/>
      <c r="HSK81" s="10"/>
      <c r="HSL81" s="10"/>
      <c r="HSM81" s="10"/>
      <c r="HSN81" s="10"/>
      <c r="HSO81" s="10"/>
      <c r="HSP81" s="10"/>
      <c r="HSQ81" s="10"/>
      <c r="HSR81" s="10"/>
      <c r="HSS81" s="10"/>
      <c r="HST81" s="10"/>
      <c r="HSU81" s="10"/>
      <c r="HSV81" s="10"/>
      <c r="HSW81" s="10"/>
      <c r="HSX81" s="10"/>
      <c r="HSY81" s="10"/>
      <c r="HSZ81" s="10"/>
      <c r="HTA81" s="10"/>
      <c r="HTB81" s="10"/>
      <c r="HTC81" s="10"/>
      <c r="HTD81" s="10"/>
      <c r="HTE81" s="10"/>
      <c r="HTF81" s="10"/>
      <c r="HTG81" s="10"/>
      <c r="HTH81" s="10"/>
      <c r="HTI81" s="10"/>
      <c r="HTJ81" s="10"/>
      <c r="HTK81" s="10"/>
      <c r="HTL81" s="10"/>
      <c r="HTM81" s="10"/>
      <c r="HTN81" s="10"/>
      <c r="HTO81" s="10"/>
      <c r="HTP81" s="10"/>
      <c r="HTQ81" s="10"/>
      <c r="HTR81" s="10"/>
      <c r="HTS81" s="10"/>
      <c r="HTT81" s="10"/>
      <c r="HTU81" s="10"/>
      <c r="HTV81" s="10"/>
      <c r="HTW81" s="10"/>
      <c r="HTX81" s="10"/>
      <c r="HTY81" s="10"/>
      <c r="HTZ81" s="10"/>
      <c r="HUA81" s="10"/>
      <c r="HUB81" s="10"/>
      <c r="HUC81" s="10"/>
      <c r="HUD81" s="10"/>
      <c r="HUE81" s="10"/>
      <c r="HUF81" s="10"/>
      <c r="HUG81" s="10"/>
      <c r="HUH81" s="10"/>
      <c r="HUI81" s="10"/>
      <c r="HUJ81" s="10"/>
      <c r="HUK81" s="10"/>
      <c r="HUL81" s="10"/>
      <c r="HUM81" s="10"/>
      <c r="HUN81" s="10"/>
      <c r="HUO81" s="10"/>
      <c r="HUP81" s="10"/>
      <c r="HUQ81" s="10"/>
      <c r="HUR81" s="10"/>
      <c r="HUS81" s="10"/>
      <c r="HUT81" s="10"/>
      <c r="HUU81" s="10"/>
      <c r="HUV81" s="10"/>
      <c r="HUW81" s="10"/>
      <c r="HUX81" s="10"/>
      <c r="HUY81" s="10"/>
      <c r="HUZ81" s="10"/>
      <c r="HVA81" s="10"/>
      <c r="HVB81" s="10"/>
      <c r="HVC81" s="10"/>
      <c r="HVD81" s="10"/>
      <c r="HVE81" s="10"/>
      <c r="HVF81" s="10"/>
      <c r="HVG81" s="10"/>
      <c r="HVH81" s="10"/>
      <c r="HVI81" s="10"/>
      <c r="HVJ81" s="10"/>
      <c r="HVK81" s="10"/>
      <c r="HVL81" s="10"/>
      <c r="HVM81" s="10"/>
      <c r="HVN81" s="10"/>
      <c r="HVO81" s="10"/>
      <c r="HVP81" s="10"/>
      <c r="HVQ81" s="10"/>
      <c r="HVR81" s="10"/>
      <c r="HVS81" s="10"/>
      <c r="HVT81" s="10"/>
      <c r="HVU81" s="10"/>
      <c r="HVV81" s="10"/>
      <c r="HVW81" s="10"/>
      <c r="HVX81" s="10"/>
      <c r="HVY81" s="10"/>
      <c r="HVZ81" s="10"/>
      <c r="HWA81" s="10"/>
      <c r="HWB81" s="10"/>
      <c r="HWC81" s="10"/>
      <c r="HWD81" s="10"/>
      <c r="HWE81" s="10"/>
      <c r="HWF81" s="10"/>
      <c r="HWG81" s="10"/>
      <c r="HWH81" s="10"/>
      <c r="HWI81" s="10"/>
      <c r="HWJ81" s="10"/>
      <c r="HWK81" s="10"/>
      <c r="HWL81" s="10"/>
      <c r="HWM81" s="10"/>
      <c r="HWN81" s="10"/>
      <c r="HWO81" s="10"/>
      <c r="HWP81" s="10"/>
      <c r="HWQ81" s="10"/>
      <c r="HWR81" s="10"/>
      <c r="HWS81" s="10"/>
      <c r="HWT81" s="10"/>
      <c r="HWU81" s="10"/>
      <c r="HWV81" s="10"/>
      <c r="HWW81" s="10"/>
      <c r="HWX81" s="10"/>
      <c r="HWY81" s="10"/>
      <c r="HWZ81" s="10"/>
      <c r="HXA81" s="10"/>
      <c r="HXB81" s="10"/>
      <c r="HXC81" s="10"/>
      <c r="HXD81" s="10"/>
      <c r="HXE81" s="10"/>
      <c r="HXF81" s="10"/>
      <c r="HXG81" s="10"/>
      <c r="HXH81" s="10"/>
      <c r="HXI81" s="10"/>
      <c r="HXJ81" s="10"/>
      <c r="HXK81" s="10"/>
      <c r="HXL81" s="10"/>
      <c r="HXM81" s="10"/>
      <c r="HXN81" s="10"/>
      <c r="HXO81" s="10"/>
      <c r="HXP81" s="10"/>
      <c r="HXQ81" s="10"/>
      <c r="HXR81" s="10"/>
      <c r="HXS81" s="10"/>
      <c r="HXT81" s="10"/>
      <c r="HXU81" s="10"/>
      <c r="HXV81" s="10"/>
      <c r="HXW81" s="10"/>
      <c r="HXX81" s="10"/>
      <c r="HXY81" s="10"/>
      <c r="HXZ81" s="10"/>
      <c r="HYA81" s="10"/>
      <c r="HYB81" s="10"/>
      <c r="HYC81" s="10"/>
      <c r="HYD81" s="10"/>
      <c r="HYE81" s="10"/>
      <c r="HYF81" s="10"/>
      <c r="HYG81" s="10"/>
      <c r="HYH81" s="10"/>
      <c r="HYI81" s="10"/>
      <c r="HYJ81" s="10"/>
      <c r="HYK81" s="10"/>
      <c r="HYL81" s="10"/>
      <c r="HYM81" s="10"/>
      <c r="HYN81" s="10"/>
      <c r="HYO81" s="10"/>
      <c r="HYP81" s="10"/>
      <c r="HYQ81" s="10"/>
      <c r="HYR81" s="10"/>
      <c r="HYS81" s="10"/>
      <c r="HYT81" s="10"/>
      <c r="HYU81" s="10"/>
      <c r="HYV81" s="10"/>
      <c r="HYW81" s="10"/>
      <c r="HYX81" s="10"/>
      <c r="HYY81" s="10"/>
      <c r="HYZ81" s="10"/>
      <c r="HZA81" s="10"/>
      <c r="HZB81" s="10"/>
      <c r="HZC81" s="10"/>
      <c r="HZD81" s="10"/>
      <c r="HZE81" s="10"/>
      <c r="HZF81" s="10"/>
      <c r="HZG81" s="10"/>
      <c r="HZH81" s="10"/>
      <c r="HZI81" s="10"/>
      <c r="HZJ81" s="10"/>
      <c r="HZK81" s="10"/>
      <c r="HZL81" s="10"/>
      <c r="HZM81" s="10"/>
      <c r="HZN81" s="10"/>
      <c r="HZO81" s="10"/>
      <c r="HZP81" s="10"/>
      <c r="HZQ81" s="10"/>
      <c r="HZR81" s="10"/>
      <c r="HZS81" s="10"/>
      <c r="HZT81" s="10"/>
      <c r="HZU81" s="10"/>
      <c r="HZV81" s="10"/>
      <c r="HZW81" s="10"/>
      <c r="HZX81" s="10"/>
      <c r="HZY81" s="10"/>
      <c r="HZZ81" s="10"/>
      <c r="IAA81" s="10"/>
      <c r="IAB81" s="10"/>
      <c r="IAC81" s="10"/>
      <c r="IAD81" s="10"/>
      <c r="IAE81" s="10"/>
      <c r="IAF81" s="10"/>
      <c r="IAG81" s="10"/>
      <c r="IAH81" s="10"/>
      <c r="IAI81" s="10"/>
      <c r="IAJ81" s="10"/>
      <c r="IAK81" s="10"/>
      <c r="IAL81" s="10"/>
      <c r="IAM81" s="10"/>
      <c r="IAN81" s="10"/>
      <c r="IAO81" s="10"/>
      <c r="IAP81" s="10"/>
      <c r="IAQ81" s="10"/>
      <c r="IAR81" s="10"/>
      <c r="IAS81" s="10"/>
      <c r="IAT81" s="10"/>
      <c r="IAU81" s="10"/>
      <c r="IAV81" s="10"/>
      <c r="IAW81" s="10"/>
      <c r="IAX81" s="10"/>
      <c r="IAY81" s="10"/>
      <c r="IAZ81" s="10"/>
      <c r="IBA81" s="10"/>
      <c r="IBB81" s="10"/>
      <c r="IBC81" s="10"/>
      <c r="IBD81" s="10"/>
      <c r="IBE81" s="10"/>
      <c r="IBF81" s="10"/>
      <c r="IBG81" s="10"/>
      <c r="IBH81" s="10"/>
      <c r="IBI81" s="10"/>
      <c r="IBJ81" s="10"/>
      <c r="IBK81" s="10"/>
      <c r="IBL81" s="10"/>
      <c r="IBM81" s="10"/>
      <c r="IBN81" s="10"/>
      <c r="IBO81" s="10"/>
      <c r="IBP81" s="10"/>
      <c r="IBQ81" s="10"/>
      <c r="IBR81" s="10"/>
      <c r="IBS81" s="10"/>
      <c r="IBT81" s="10"/>
      <c r="IBU81" s="10"/>
      <c r="IBV81" s="10"/>
      <c r="IBW81" s="10"/>
      <c r="IBX81" s="10"/>
      <c r="IBY81" s="10"/>
      <c r="IBZ81" s="10"/>
      <c r="ICA81" s="10"/>
      <c r="ICB81" s="10"/>
      <c r="ICC81" s="10"/>
      <c r="ICD81" s="10"/>
      <c r="ICE81" s="10"/>
      <c r="ICF81" s="10"/>
      <c r="ICG81" s="10"/>
      <c r="ICH81" s="10"/>
      <c r="ICI81" s="10"/>
      <c r="ICJ81" s="10"/>
      <c r="ICK81" s="10"/>
      <c r="ICL81" s="10"/>
      <c r="ICM81" s="10"/>
      <c r="ICN81" s="10"/>
      <c r="ICO81" s="10"/>
      <c r="ICP81" s="10"/>
      <c r="ICQ81" s="10"/>
      <c r="ICR81" s="10"/>
      <c r="ICS81" s="10"/>
      <c r="ICT81" s="10"/>
      <c r="ICU81" s="10"/>
      <c r="ICV81" s="10"/>
      <c r="ICW81" s="10"/>
      <c r="ICX81" s="10"/>
      <c r="ICY81" s="10"/>
      <c r="ICZ81" s="10"/>
      <c r="IDA81" s="10"/>
      <c r="IDB81" s="10"/>
      <c r="IDC81" s="10"/>
      <c r="IDD81" s="10"/>
      <c r="IDE81" s="10"/>
      <c r="IDF81" s="10"/>
      <c r="IDG81" s="10"/>
      <c r="IDH81" s="10"/>
      <c r="IDI81" s="10"/>
      <c r="IDJ81" s="10"/>
      <c r="IDK81" s="10"/>
      <c r="IDL81" s="10"/>
      <c r="IDM81" s="10"/>
      <c r="IDN81" s="10"/>
      <c r="IDO81" s="10"/>
      <c r="IDP81" s="10"/>
      <c r="IDQ81" s="10"/>
      <c r="IDR81" s="10"/>
      <c r="IDS81" s="10"/>
      <c r="IDT81" s="10"/>
      <c r="IDU81" s="10"/>
      <c r="IDV81" s="10"/>
      <c r="IDW81" s="10"/>
      <c r="IDX81" s="10"/>
      <c r="IDY81" s="10"/>
      <c r="IDZ81" s="10"/>
      <c r="IEA81" s="10"/>
      <c r="IEB81" s="10"/>
      <c r="IEC81" s="10"/>
      <c r="IED81" s="10"/>
      <c r="IEE81" s="10"/>
      <c r="IEF81" s="10"/>
      <c r="IEG81" s="10"/>
      <c r="IEH81" s="10"/>
      <c r="IEI81" s="10"/>
      <c r="IEJ81" s="10"/>
      <c r="IEK81" s="10"/>
      <c r="IEL81" s="10"/>
      <c r="IEM81" s="10"/>
      <c r="IEN81" s="10"/>
      <c r="IEO81" s="10"/>
      <c r="IEP81" s="10"/>
      <c r="IEQ81" s="10"/>
      <c r="IER81" s="10"/>
      <c r="IES81" s="10"/>
      <c r="IET81" s="10"/>
      <c r="IEU81" s="10"/>
      <c r="IEV81" s="10"/>
      <c r="IEW81" s="10"/>
      <c r="IEX81" s="10"/>
      <c r="IEY81" s="10"/>
      <c r="IEZ81" s="10"/>
      <c r="IFA81" s="10"/>
      <c r="IFB81" s="10"/>
      <c r="IFC81" s="10"/>
      <c r="IFD81" s="10"/>
      <c r="IFE81" s="10"/>
      <c r="IFF81" s="10"/>
      <c r="IFG81" s="10"/>
      <c r="IFH81" s="10"/>
      <c r="IFI81" s="10"/>
      <c r="IFJ81" s="10"/>
      <c r="IFK81" s="10"/>
      <c r="IFL81" s="10"/>
      <c r="IFM81" s="10"/>
      <c r="IFN81" s="10"/>
      <c r="IFO81" s="10"/>
      <c r="IFP81" s="10"/>
      <c r="IFQ81" s="10"/>
      <c r="IFR81" s="10"/>
      <c r="IFS81" s="10"/>
      <c r="IFT81" s="10"/>
      <c r="IFU81" s="10"/>
      <c r="IFV81" s="10"/>
      <c r="IFW81" s="10"/>
      <c r="IFX81" s="10"/>
      <c r="IFY81" s="10"/>
      <c r="IFZ81" s="10"/>
      <c r="IGA81" s="10"/>
      <c r="IGB81" s="10"/>
      <c r="IGC81" s="10"/>
      <c r="IGD81" s="10"/>
      <c r="IGE81" s="10"/>
      <c r="IGF81" s="10"/>
      <c r="IGG81" s="10"/>
      <c r="IGH81" s="10"/>
      <c r="IGI81" s="10"/>
      <c r="IGJ81" s="10"/>
      <c r="IGK81" s="10"/>
      <c r="IGL81" s="10"/>
      <c r="IGM81" s="10"/>
      <c r="IGN81" s="10"/>
      <c r="IGO81" s="10"/>
      <c r="IGP81" s="10"/>
      <c r="IGQ81" s="10"/>
      <c r="IGR81" s="10"/>
      <c r="IGS81" s="10"/>
      <c r="IGT81" s="10"/>
      <c r="IGU81" s="10"/>
      <c r="IGV81" s="10"/>
      <c r="IGW81" s="10"/>
      <c r="IGX81" s="10"/>
      <c r="IGY81" s="10"/>
      <c r="IGZ81" s="10"/>
      <c r="IHA81" s="10"/>
      <c r="IHB81" s="10"/>
      <c r="IHC81" s="10"/>
      <c r="IHD81" s="10"/>
      <c r="IHE81" s="10"/>
      <c r="IHF81" s="10"/>
      <c r="IHG81" s="10"/>
      <c r="IHH81" s="10"/>
      <c r="IHI81" s="10"/>
      <c r="IHJ81" s="10"/>
      <c r="IHK81" s="10"/>
      <c r="IHL81" s="10"/>
      <c r="IHM81" s="10"/>
      <c r="IHN81" s="10"/>
      <c r="IHO81" s="10"/>
      <c r="IHP81" s="10"/>
      <c r="IHQ81" s="10"/>
      <c r="IHR81" s="10"/>
      <c r="IHS81" s="10"/>
      <c r="IHT81" s="10"/>
      <c r="IHU81" s="10"/>
      <c r="IHV81" s="10"/>
      <c r="IHW81" s="10"/>
      <c r="IHX81" s="10"/>
      <c r="IHY81" s="10"/>
      <c r="IHZ81" s="10"/>
      <c r="IIA81" s="10"/>
      <c r="IIB81" s="10"/>
      <c r="IIC81" s="10"/>
      <c r="IID81" s="10"/>
      <c r="IIE81" s="10"/>
      <c r="IIF81" s="10"/>
      <c r="IIG81" s="10"/>
      <c r="IIH81" s="10"/>
      <c r="III81" s="10"/>
      <c r="IIJ81" s="10"/>
      <c r="IIK81" s="10"/>
      <c r="IIL81" s="10"/>
      <c r="IIM81" s="10"/>
      <c r="IIN81" s="10"/>
      <c r="IIO81" s="10"/>
      <c r="IIP81" s="10"/>
      <c r="IIQ81" s="10"/>
      <c r="IIR81" s="10"/>
      <c r="IIS81" s="10"/>
      <c r="IIT81" s="10"/>
      <c r="IIU81" s="10"/>
      <c r="IIV81" s="10"/>
      <c r="IIW81" s="10"/>
      <c r="IIX81" s="10"/>
      <c r="IIY81" s="10"/>
      <c r="IIZ81" s="10"/>
      <c r="IJA81" s="10"/>
      <c r="IJB81" s="10"/>
      <c r="IJC81" s="10"/>
      <c r="IJD81" s="10"/>
      <c r="IJE81" s="10"/>
      <c r="IJF81" s="10"/>
      <c r="IJG81" s="10"/>
      <c r="IJH81" s="10"/>
      <c r="IJI81" s="10"/>
      <c r="IJJ81" s="10"/>
      <c r="IJK81" s="10"/>
      <c r="IJL81" s="10"/>
      <c r="IJM81" s="10"/>
      <c r="IJN81" s="10"/>
      <c r="IJO81" s="10"/>
      <c r="IJP81" s="10"/>
      <c r="IJQ81" s="10"/>
      <c r="IJR81" s="10"/>
      <c r="IJS81" s="10"/>
      <c r="IJT81" s="10"/>
      <c r="IJU81" s="10"/>
      <c r="IJV81" s="10"/>
      <c r="IJW81" s="10"/>
      <c r="IJX81" s="10"/>
      <c r="IJY81" s="10"/>
      <c r="IJZ81" s="10"/>
      <c r="IKA81" s="10"/>
      <c r="IKB81" s="10"/>
      <c r="IKC81" s="10"/>
      <c r="IKD81" s="10"/>
      <c r="IKE81" s="10"/>
      <c r="IKF81" s="10"/>
      <c r="IKG81" s="10"/>
      <c r="IKH81" s="10"/>
      <c r="IKI81" s="10"/>
      <c r="IKJ81" s="10"/>
      <c r="IKK81" s="10"/>
      <c r="IKL81" s="10"/>
      <c r="IKM81" s="10"/>
      <c r="IKN81" s="10"/>
      <c r="IKO81" s="10"/>
      <c r="IKP81" s="10"/>
      <c r="IKQ81" s="10"/>
      <c r="IKR81" s="10"/>
      <c r="IKS81" s="10"/>
      <c r="IKT81" s="10"/>
      <c r="IKU81" s="10"/>
      <c r="IKV81" s="10"/>
      <c r="IKW81" s="10"/>
      <c r="IKX81" s="10"/>
      <c r="IKY81" s="10"/>
      <c r="IKZ81" s="10"/>
      <c r="ILA81" s="10"/>
      <c r="ILB81" s="10"/>
      <c r="ILC81" s="10"/>
      <c r="ILD81" s="10"/>
      <c r="ILE81" s="10"/>
      <c r="ILF81" s="10"/>
      <c r="ILG81" s="10"/>
      <c r="ILH81" s="10"/>
      <c r="ILI81" s="10"/>
      <c r="ILJ81" s="10"/>
      <c r="ILK81" s="10"/>
      <c r="ILL81" s="10"/>
      <c r="ILM81" s="10"/>
      <c r="ILN81" s="10"/>
      <c r="ILO81" s="10"/>
      <c r="ILP81" s="10"/>
      <c r="ILQ81" s="10"/>
      <c r="ILR81" s="10"/>
      <c r="ILS81" s="10"/>
      <c r="ILT81" s="10"/>
      <c r="ILU81" s="10"/>
      <c r="ILV81" s="10"/>
      <c r="ILW81" s="10"/>
      <c r="ILX81" s="10"/>
      <c r="ILY81" s="10"/>
      <c r="ILZ81" s="10"/>
      <c r="IMA81" s="10"/>
      <c r="IMB81" s="10"/>
      <c r="IMC81" s="10"/>
      <c r="IMD81" s="10"/>
      <c r="IME81" s="10"/>
      <c r="IMF81" s="10"/>
      <c r="IMG81" s="10"/>
      <c r="IMH81" s="10"/>
      <c r="IMI81" s="10"/>
      <c r="IMJ81" s="10"/>
      <c r="IMK81" s="10"/>
      <c r="IML81" s="10"/>
      <c r="IMM81" s="10"/>
      <c r="IMN81" s="10"/>
      <c r="IMO81" s="10"/>
      <c r="IMP81" s="10"/>
      <c r="IMQ81" s="10"/>
      <c r="IMR81" s="10"/>
      <c r="IMS81" s="10"/>
      <c r="IMT81" s="10"/>
      <c r="IMU81" s="10"/>
      <c r="IMV81" s="10"/>
      <c r="IMW81" s="10"/>
      <c r="IMX81" s="10"/>
      <c r="IMY81" s="10"/>
      <c r="IMZ81" s="10"/>
      <c r="INA81" s="10"/>
      <c r="INB81" s="10"/>
      <c r="INC81" s="10"/>
      <c r="IND81" s="10"/>
      <c r="INE81" s="10"/>
      <c r="INF81" s="10"/>
      <c r="ING81" s="10"/>
      <c r="INH81" s="10"/>
      <c r="INI81" s="10"/>
      <c r="INJ81" s="10"/>
      <c r="INK81" s="10"/>
      <c r="INL81" s="10"/>
      <c r="INM81" s="10"/>
      <c r="INN81" s="10"/>
      <c r="INO81" s="10"/>
      <c r="INP81" s="10"/>
      <c r="INQ81" s="10"/>
      <c r="INR81" s="10"/>
      <c r="INS81" s="10"/>
      <c r="INT81" s="10"/>
      <c r="INU81" s="10"/>
      <c r="INV81" s="10"/>
      <c r="INW81" s="10"/>
      <c r="INX81" s="10"/>
      <c r="INY81" s="10"/>
      <c r="INZ81" s="10"/>
      <c r="IOA81" s="10"/>
      <c r="IOB81" s="10"/>
      <c r="IOC81" s="10"/>
      <c r="IOD81" s="10"/>
      <c r="IOE81" s="10"/>
      <c r="IOF81" s="10"/>
      <c r="IOG81" s="10"/>
      <c r="IOH81" s="10"/>
      <c r="IOI81" s="10"/>
      <c r="IOJ81" s="10"/>
      <c r="IOK81" s="10"/>
      <c r="IOL81" s="10"/>
      <c r="IOM81" s="10"/>
      <c r="ION81" s="10"/>
      <c r="IOO81" s="10"/>
      <c r="IOP81" s="10"/>
      <c r="IOQ81" s="10"/>
      <c r="IOR81" s="10"/>
      <c r="IOS81" s="10"/>
      <c r="IOT81" s="10"/>
      <c r="IOU81" s="10"/>
      <c r="IOV81" s="10"/>
      <c r="IOW81" s="10"/>
      <c r="IOX81" s="10"/>
      <c r="IOY81" s="10"/>
      <c r="IOZ81" s="10"/>
      <c r="IPA81" s="10"/>
      <c r="IPB81" s="10"/>
      <c r="IPC81" s="10"/>
      <c r="IPD81" s="10"/>
      <c r="IPE81" s="10"/>
      <c r="IPF81" s="10"/>
      <c r="IPG81" s="10"/>
      <c r="IPH81" s="10"/>
      <c r="IPI81" s="10"/>
      <c r="IPJ81" s="10"/>
      <c r="IPK81" s="10"/>
      <c r="IPL81" s="10"/>
      <c r="IPM81" s="10"/>
      <c r="IPN81" s="10"/>
      <c r="IPO81" s="10"/>
      <c r="IPP81" s="10"/>
      <c r="IPQ81" s="10"/>
      <c r="IPR81" s="10"/>
      <c r="IPS81" s="10"/>
      <c r="IPT81" s="10"/>
      <c r="IPU81" s="10"/>
      <c r="IPV81" s="10"/>
      <c r="IPW81" s="10"/>
      <c r="IPX81" s="10"/>
      <c r="IPY81" s="10"/>
      <c r="IPZ81" s="10"/>
      <c r="IQA81" s="10"/>
      <c r="IQB81" s="10"/>
      <c r="IQC81" s="10"/>
      <c r="IQD81" s="10"/>
      <c r="IQE81" s="10"/>
      <c r="IQF81" s="10"/>
      <c r="IQG81" s="10"/>
      <c r="IQH81" s="10"/>
      <c r="IQI81" s="10"/>
      <c r="IQJ81" s="10"/>
      <c r="IQK81" s="10"/>
      <c r="IQL81" s="10"/>
      <c r="IQM81" s="10"/>
      <c r="IQN81" s="10"/>
      <c r="IQO81" s="10"/>
      <c r="IQP81" s="10"/>
      <c r="IQQ81" s="10"/>
      <c r="IQR81" s="10"/>
      <c r="IQS81" s="10"/>
      <c r="IQT81" s="10"/>
      <c r="IQU81" s="10"/>
      <c r="IQV81" s="10"/>
      <c r="IQW81" s="10"/>
      <c r="IQX81" s="10"/>
      <c r="IQY81" s="10"/>
      <c r="IQZ81" s="10"/>
      <c r="IRA81" s="10"/>
      <c r="IRB81" s="10"/>
      <c r="IRC81" s="10"/>
      <c r="IRD81" s="10"/>
      <c r="IRE81" s="10"/>
      <c r="IRF81" s="10"/>
      <c r="IRG81" s="10"/>
      <c r="IRH81" s="10"/>
      <c r="IRI81" s="10"/>
      <c r="IRJ81" s="10"/>
      <c r="IRK81" s="10"/>
      <c r="IRL81" s="10"/>
      <c r="IRM81" s="10"/>
      <c r="IRN81" s="10"/>
      <c r="IRO81" s="10"/>
      <c r="IRP81" s="10"/>
      <c r="IRQ81" s="10"/>
      <c r="IRR81" s="10"/>
      <c r="IRS81" s="10"/>
      <c r="IRT81" s="10"/>
      <c r="IRU81" s="10"/>
      <c r="IRV81" s="10"/>
      <c r="IRW81" s="10"/>
      <c r="IRX81" s="10"/>
      <c r="IRY81" s="10"/>
      <c r="IRZ81" s="10"/>
      <c r="ISA81" s="10"/>
      <c r="ISB81" s="10"/>
      <c r="ISC81" s="10"/>
      <c r="ISD81" s="10"/>
      <c r="ISE81" s="10"/>
      <c r="ISF81" s="10"/>
      <c r="ISG81" s="10"/>
      <c r="ISH81" s="10"/>
      <c r="ISI81" s="10"/>
      <c r="ISJ81" s="10"/>
      <c r="ISK81" s="10"/>
      <c r="ISL81" s="10"/>
      <c r="ISM81" s="10"/>
      <c r="ISN81" s="10"/>
      <c r="ISO81" s="10"/>
      <c r="ISP81" s="10"/>
      <c r="ISQ81" s="10"/>
      <c r="ISR81" s="10"/>
      <c r="ISS81" s="10"/>
      <c r="IST81" s="10"/>
      <c r="ISU81" s="10"/>
      <c r="ISV81" s="10"/>
      <c r="ISW81" s="10"/>
      <c r="ISX81" s="10"/>
      <c r="ISY81" s="10"/>
      <c r="ISZ81" s="10"/>
      <c r="ITA81" s="10"/>
      <c r="ITB81" s="10"/>
      <c r="ITC81" s="10"/>
      <c r="ITD81" s="10"/>
      <c r="ITE81" s="10"/>
      <c r="ITF81" s="10"/>
      <c r="ITG81" s="10"/>
      <c r="ITH81" s="10"/>
      <c r="ITI81" s="10"/>
      <c r="ITJ81" s="10"/>
      <c r="ITK81" s="10"/>
      <c r="ITL81" s="10"/>
      <c r="ITM81" s="10"/>
      <c r="ITN81" s="10"/>
      <c r="ITO81" s="10"/>
      <c r="ITP81" s="10"/>
      <c r="ITQ81" s="10"/>
      <c r="ITR81" s="10"/>
      <c r="ITS81" s="10"/>
      <c r="ITT81" s="10"/>
      <c r="ITU81" s="10"/>
      <c r="ITV81" s="10"/>
      <c r="ITW81" s="10"/>
      <c r="ITX81" s="10"/>
      <c r="ITY81" s="10"/>
      <c r="ITZ81" s="10"/>
      <c r="IUA81" s="10"/>
      <c r="IUB81" s="10"/>
      <c r="IUC81" s="10"/>
      <c r="IUD81" s="10"/>
      <c r="IUE81" s="10"/>
      <c r="IUF81" s="10"/>
      <c r="IUG81" s="10"/>
      <c r="IUH81" s="10"/>
      <c r="IUI81" s="10"/>
      <c r="IUJ81" s="10"/>
      <c r="IUK81" s="10"/>
      <c r="IUL81" s="10"/>
      <c r="IUM81" s="10"/>
      <c r="IUN81" s="10"/>
      <c r="IUO81" s="10"/>
      <c r="IUP81" s="10"/>
      <c r="IUQ81" s="10"/>
      <c r="IUR81" s="10"/>
      <c r="IUS81" s="10"/>
      <c r="IUT81" s="10"/>
      <c r="IUU81" s="10"/>
      <c r="IUV81" s="10"/>
      <c r="IUW81" s="10"/>
      <c r="IUX81" s="10"/>
      <c r="IUY81" s="10"/>
      <c r="IUZ81" s="10"/>
      <c r="IVA81" s="10"/>
      <c r="IVB81" s="10"/>
      <c r="IVC81" s="10"/>
      <c r="IVD81" s="10"/>
      <c r="IVE81" s="10"/>
      <c r="IVF81" s="10"/>
      <c r="IVG81" s="10"/>
      <c r="IVH81" s="10"/>
      <c r="IVI81" s="10"/>
      <c r="IVJ81" s="10"/>
      <c r="IVK81" s="10"/>
      <c r="IVL81" s="10"/>
      <c r="IVM81" s="10"/>
      <c r="IVN81" s="10"/>
      <c r="IVO81" s="10"/>
      <c r="IVP81" s="10"/>
      <c r="IVQ81" s="10"/>
      <c r="IVR81" s="10"/>
      <c r="IVS81" s="10"/>
      <c r="IVT81" s="10"/>
      <c r="IVU81" s="10"/>
      <c r="IVV81" s="10"/>
      <c r="IVW81" s="10"/>
      <c r="IVX81" s="10"/>
      <c r="IVY81" s="10"/>
      <c r="IVZ81" s="10"/>
      <c r="IWA81" s="10"/>
      <c r="IWB81" s="10"/>
      <c r="IWC81" s="10"/>
      <c r="IWD81" s="10"/>
      <c r="IWE81" s="10"/>
      <c r="IWF81" s="10"/>
      <c r="IWG81" s="10"/>
      <c r="IWH81" s="10"/>
      <c r="IWI81" s="10"/>
      <c r="IWJ81" s="10"/>
      <c r="IWK81" s="10"/>
      <c r="IWL81" s="10"/>
      <c r="IWM81" s="10"/>
      <c r="IWN81" s="10"/>
      <c r="IWO81" s="10"/>
      <c r="IWP81" s="10"/>
      <c r="IWQ81" s="10"/>
      <c r="IWR81" s="10"/>
      <c r="IWS81" s="10"/>
      <c r="IWT81" s="10"/>
      <c r="IWU81" s="10"/>
      <c r="IWV81" s="10"/>
      <c r="IWW81" s="10"/>
      <c r="IWX81" s="10"/>
      <c r="IWY81" s="10"/>
      <c r="IWZ81" s="10"/>
      <c r="IXA81" s="10"/>
      <c r="IXB81" s="10"/>
      <c r="IXC81" s="10"/>
      <c r="IXD81" s="10"/>
      <c r="IXE81" s="10"/>
      <c r="IXF81" s="10"/>
      <c r="IXG81" s="10"/>
      <c r="IXH81" s="10"/>
      <c r="IXI81" s="10"/>
      <c r="IXJ81" s="10"/>
      <c r="IXK81" s="10"/>
      <c r="IXL81" s="10"/>
      <c r="IXM81" s="10"/>
      <c r="IXN81" s="10"/>
      <c r="IXO81" s="10"/>
      <c r="IXP81" s="10"/>
      <c r="IXQ81" s="10"/>
      <c r="IXR81" s="10"/>
      <c r="IXS81" s="10"/>
      <c r="IXT81" s="10"/>
      <c r="IXU81" s="10"/>
      <c r="IXV81" s="10"/>
      <c r="IXW81" s="10"/>
      <c r="IXX81" s="10"/>
      <c r="IXY81" s="10"/>
      <c r="IXZ81" s="10"/>
      <c r="IYA81" s="10"/>
      <c r="IYB81" s="10"/>
      <c r="IYC81" s="10"/>
      <c r="IYD81" s="10"/>
      <c r="IYE81" s="10"/>
      <c r="IYF81" s="10"/>
      <c r="IYG81" s="10"/>
      <c r="IYH81" s="10"/>
      <c r="IYI81" s="10"/>
      <c r="IYJ81" s="10"/>
      <c r="IYK81" s="10"/>
      <c r="IYL81" s="10"/>
      <c r="IYM81" s="10"/>
      <c r="IYN81" s="10"/>
      <c r="IYO81" s="10"/>
      <c r="IYP81" s="10"/>
      <c r="IYQ81" s="10"/>
      <c r="IYR81" s="10"/>
      <c r="IYS81" s="10"/>
      <c r="IYT81" s="10"/>
      <c r="IYU81" s="10"/>
      <c r="IYV81" s="10"/>
      <c r="IYW81" s="10"/>
      <c r="IYX81" s="10"/>
      <c r="IYY81" s="10"/>
      <c r="IYZ81" s="10"/>
      <c r="IZA81" s="10"/>
      <c r="IZB81" s="10"/>
      <c r="IZC81" s="10"/>
      <c r="IZD81" s="10"/>
      <c r="IZE81" s="10"/>
      <c r="IZF81" s="10"/>
      <c r="IZG81" s="10"/>
      <c r="IZH81" s="10"/>
      <c r="IZI81" s="10"/>
      <c r="IZJ81" s="10"/>
      <c r="IZK81" s="10"/>
      <c r="IZL81" s="10"/>
      <c r="IZM81" s="10"/>
      <c r="IZN81" s="10"/>
      <c r="IZO81" s="10"/>
      <c r="IZP81" s="10"/>
      <c r="IZQ81" s="10"/>
      <c r="IZR81" s="10"/>
      <c r="IZS81" s="10"/>
      <c r="IZT81" s="10"/>
      <c r="IZU81" s="10"/>
      <c r="IZV81" s="10"/>
      <c r="IZW81" s="10"/>
      <c r="IZX81" s="10"/>
      <c r="IZY81" s="10"/>
      <c r="IZZ81" s="10"/>
      <c r="JAA81" s="10"/>
      <c r="JAB81" s="10"/>
      <c r="JAC81" s="10"/>
      <c r="JAD81" s="10"/>
      <c r="JAE81" s="10"/>
      <c r="JAF81" s="10"/>
      <c r="JAG81" s="10"/>
      <c r="JAH81" s="10"/>
      <c r="JAI81" s="10"/>
      <c r="JAJ81" s="10"/>
      <c r="JAK81" s="10"/>
      <c r="JAL81" s="10"/>
      <c r="JAM81" s="10"/>
      <c r="JAN81" s="10"/>
      <c r="JAO81" s="10"/>
      <c r="JAP81" s="10"/>
      <c r="JAQ81" s="10"/>
      <c r="JAR81" s="10"/>
      <c r="JAS81" s="10"/>
      <c r="JAT81" s="10"/>
      <c r="JAU81" s="10"/>
      <c r="JAV81" s="10"/>
      <c r="JAW81" s="10"/>
      <c r="JAX81" s="10"/>
      <c r="JAY81" s="10"/>
      <c r="JAZ81" s="10"/>
      <c r="JBA81" s="10"/>
      <c r="JBB81" s="10"/>
      <c r="JBC81" s="10"/>
      <c r="JBD81" s="10"/>
      <c r="JBE81" s="10"/>
      <c r="JBF81" s="10"/>
      <c r="JBG81" s="10"/>
      <c r="JBH81" s="10"/>
      <c r="JBI81" s="10"/>
      <c r="JBJ81" s="10"/>
      <c r="JBK81" s="10"/>
      <c r="JBL81" s="10"/>
      <c r="JBM81" s="10"/>
      <c r="JBN81" s="10"/>
      <c r="JBO81" s="10"/>
      <c r="JBP81" s="10"/>
      <c r="JBQ81" s="10"/>
      <c r="JBR81" s="10"/>
      <c r="JBS81" s="10"/>
      <c r="JBT81" s="10"/>
      <c r="JBU81" s="10"/>
      <c r="JBV81" s="10"/>
      <c r="JBW81" s="10"/>
      <c r="JBX81" s="10"/>
      <c r="JBY81" s="10"/>
      <c r="JBZ81" s="10"/>
      <c r="JCA81" s="10"/>
      <c r="JCB81" s="10"/>
      <c r="JCC81" s="10"/>
      <c r="JCD81" s="10"/>
      <c r="JCE81" s="10"/>
      <c r="JCF81" s="10"/>
      <c r="JCG81" s="10"/>
      <c r="JCH81" s="10"/>
      <c r="JCI81" s="10"/>
      <c r="JCJ81" s="10"/>
      <c r="JCK81" s="10"/>
      <c r="JCL81" s="10"/>
      <c r="JCM81" s="10"/>
      <c r="JCN81" s="10"/>
      <c r="JCO81" s="10"/>
      <c r="JCP81" s="10"/>
      <c r="JCQ81" s="10"/>
      <c r="JCR81" s="10"/>
      <c r="JCS81" s="10"/>
      <c r="JCT81" s="10"/>
      <c r="JCU81" s="10"/>
      <c r="JCV81" s="10"/>
      <c r="JCW81" s="10"/>
      <c r="JCX81" s="10"/>
      <c r="JCY81" s="10"/>
      <c r="JCZ81" s="10"/>
      <c r="JDA81" s="10"/>
      <c r="JDB81" s="10"/>
      <c r="JDC81" s="10"/>
      <c r="JDD81" s="10"/>
      <c r="JDE81" s="10"/>
      <c r="JDF81" s="10"/>
      <c r="JDG81" s="10"/>
      <c r="JDH81" s="10"/>
      <c r="JDI81" s="10"/>
      <c r="JDJ81" s="10"/>
      <c r="JDK81" s="10"/>
      <c r="JDL81" s="10"/>
      <c r="JDM81" s="10"/>
      <c r="JDN81" s="10"/>
      <c r="JDO81" s="10"/>
      <c r="JDP81" s="10"/>
      <c r="JDQ81" s="10"/>
      <c r="JDR81" s="10"/>
      <c r="JDS81" s="10"/>
      <c r="JDT81" s="10"/>
      <c r="JDU81" s="10"/>
      <c r="JDV81" s="10"/>
      <c r="JDW81" s="10"/>
      <c r="JDX81" s="10"/>
      <c r="JDY81" s="10"/>
      <c r="JDZ81" s="10"/>
      <c r="JEA81" s="10"/>
      <c r="JEB81" s="10"/>
      <c r="JEC81" s="10"/>
      <c r="JED81" s="10"/>
      <c r="JEE81" s="10"/>
      <c r="JEF81" s="10"/>
      <c r="JEG81" s="10"/>
      <c r="JEH81" s="10"/>
      <c r="JEI81" s="10"/>
      <c r="JEJ81" s="10"/>
      <c r="JEK81" s="10"/>
      <c r="JEL81" s="10"/>
      <c r="JEM81" s="10"/>
      <c r="JEN81" s="10"/>
      <c r="JEO81" s="10"/>
      <c r="JEP81" s="10"/>
      <c r="JEQ81" s="10"/>
      <c r="JER81" s="10"/>
      <c r="JES81" s="10"/>
      <c r="JET81" s="10"/>
      <c r="JEU81" s="10"/>
      <c r="JEV81" s="10"/>
      <c r="JEW81" s="10"/>
      <c r="JEX81" s="10"/>
      <c r="JEY81" s="10"/>
      <c r="JEZ81" s="10"/>
      <c r="JFA81" s="10"/>
      <c r="JFB81" s="10"/>
      <c r="JFC81" s="10"/>
      <c r="JFD81" s="10"/>
      <c r="JFE81" s="10"/>
      <c r="JFF81" s="10"/>
      <c r="JFG81" s="10"/>
      <c r="JFH81" s="10"/>
      <c r="JFI81" s="10"/>
      <c r="JFJ81" s="10"/>
      <c r="JFK81" s="10"/>
      <c r="JFL81" s="10"/>
      <c r="JFM81" s="10"/>
      <c r="JFN81" s="10"/>
      <c r="JFO81" s="10"/>
      <c r="JFP81" s="10"/>
      <c r="JFQ81" s="10"/>
      <c r="JFR81" s="10"/>
      <c r="JFS81" s="10"/>
      <c r="JFT81" s="10"/>
      <c r="JFU81" s="10"/>
      <c r="JFV81" s="10"/>
      <c r="JFW81" s="10"/>
      <c r="JFX81" s="10"/>
      <c r="JFY81" s="10"/>
      <c r="JFZ81" s="10"/>
      <c r="JGA81" s="10"/>
      <c r="JGB81" s="10"/>
      <c r="JGC81" s="10"/>
      <c r="JGD81" s="10"/>
      <c r="JGE81" s="10"/>
      <c r="JGF81" s="10"/>
      <c r="JGG81" s="10"/>
      <c r="JGH81" s="10"/>
      <c r="JGI81" s="10"/>
      <c r="JGJ81" s="10"/>
      <c r="JGK81" s="10"/>
      <c r="JGL81" s="10"/>
      <c r="JGM81" s="10"/>
      <c r="JGN81" s="10"/>
      <c r="JGO81" s="10"/>
      <c r="JGP81" s="10"/>
      <c r="JGQ81" s="10"/>
      <c r="JGR81" s="10"/>
      <c r="JGS81" s="10"/>
      <c r="JGT81" s="10"/>
      <c r="JGU81" s="10"/>
      <c r="JGV81" s="10"/>
      <c r="JGW81" s="10"/>
      <c r="JGX81" s="10"/>
      <c r="JGY81" s="10"/>
      <c r="JGZ81" s="10"/>
      <c r="JHA81" s="10"/>
      <c r="JHB81" s="10"/>
      <c r="JHC81" s="10"/>
      <c r="JHD81" s="10"/>
      <c r="JHE81" s="10"/>
      <c r="JHF81" s="10"/>
      <c r="JHG81" s="10"/>
      <c r="JHH81" s="10"/>
      <c r="JHI81" s="10"/>
      <c r="JHJ81" s="10"/>
      <c r="JHK81" s="10"/>
      <c r="JHL81" s="10"/>
      <c r="JHM81" s="10"/>
      <c r="JHN81" s="10"/>
      <c r="JHO81" s="10"/>
      <c r="JHP81" s="10"/>
      <c r="JHQ81" s="10"/>
      <c r="JHR81" s="10"/>
      <c r="JHS81" s="10"/>
      <c r="JHT81" s="10"/>
      <c r="JHU81" s="10"/>
      <c r="JHV81" s="10"/>
      <c r="JHW81" s="10"/>
      <c r="JHX81" s="10"/>
      <c r="JHY81" s="10"/>
      <c r="JHZ81" s="10"/>
      <c r="JIA81" s="10"/>
      <c r="JIB81" s="10"/>
      <c r="JIC81" s="10"/>
      <c r="JID81" s="10"/>
      <c r="JIE81" s="10"/>
      <c r="JIF81" s="10"/>
      <c r="JIG81" s="10"/>
      <c r="JIH81" s="10"/>
      <c r="JII81" s="10"/>
      <c r="JIJ81" s="10"/>
      <c r="JIK81" s="10"/>
      <c r="JIL81" s="10"/>
      <c r="JIM81" s="10"/>
      <c r="JIN81" s="10"/>
      <c r="JIO81" s="10"/>
      <c r="JIP81" s="10"/>
      <c r="JIQ81" s="10"/>
      <c r="JIR81" s="10"/>
      <c r="JIS81" s="10"/>
      <c r="JIT81" s="10"/>
      <c r="JIU81" s="10"/>
      <c r="JIV81" s="10"/>
      <c r="JIW81" s="10"/>
      <c r="JIX81" s="10"/>
      <c r="JIY81" s="10"/>
      <c r="JIZ81" s="10"/>
      <c r="JJA81" s="10"/>
      <c r="JJB81" s="10"/>
      <c r="JJC81" s="10"/>
      <c r="JJD81" s="10"/>
      <c r="JJE81" s="10"/>
      <c r="JJF81" s="10"/>
      <c r="JJG81" s="10"/>
      <c r="JJH81" s="10"/>
      <c r="JJI81" s="10"/>
      <c r="JJJ81" s="10"/>
      <c r="JJK81" s="10"/>
      <c r="JJL81" s="10"/>
      <c r="JJM81" s="10"/>
      <c r="JJN81" s="10"/>
      <c r="JJO81" s="10"/>
      <c r="JJP81" s="10"/>
      <c r="JJQ81" s="10"/>
      <c r="JJR81" s="10"/>
      <c r="JJS81" s="10"/>
      <c r="JJT81" s="10"/>
      <c r="JJU81" s="10"/>
      <c r="JJV81" s="10"/>
      <c r="JJW81" s="10"/>
      <c r="JJX81" s="10"/>
      <c r="JJY81" s="10"/>
      <c r="JJZ81" s="10"/>
      <c r="JKA81" s="10"/>
      <c r="JKB81" s="10"/>
      <c r="JKC81" s="10"/>
      <c r="JKD81" s="10"/>
      <c r="JKE81" s="10"/>
      <c r="JKF81" s="10"/>
      <c r="JKG81" s="10"/>
      <c r="JKH81" s="10"/>
      <c r="JKI81" s="10"/>
      <c r="JKJ81" s="10"/>
      <c r="JKK81" s="10"/>
      <c r="JKL81" s="10"/>
      <c r="JKM81" s="10"/>
      <c r="JKN81" s="10"/>
      <c r="JKO81" s="10"/>
      <c r="JKP81" s="10"/>
      <c r="JKQ81" s="10"/>
      <c r="JKR81" s="10"/>
      <c r="JKS81" s="10"/>
      <c r="JKT81" s="10"/>
      <c r="JKU81" s="10"/>
      <c r="JKV81" s="10"/>
      <c r="JKW81" s="10"/>
      <c r="JKX81" s="10"/>
      <c r="JKY81" s="10"/>
      <c r="JKZ81" s="10"/>
      <c r="JLA81" s="10"/>
      <c r="JLB81" s="10"/>
      <c r="JLC81" s="10"/>
      <c r="JLD81" s="10"/>
      <c r="JLE81" s="10"/>
      <c r="JLF81" s="10"/>
      <c r="JLG81" s="10"/>
      <c r="JLH81" s="10"/>
      <c r="JLI81" s="10"/>
      <c r="JLJ81" s="10"/>
      <c r="JLK81" s="10"/>
      <c r="JLL81" s="10"/>
      <c r="JLM81" s="10"/>
      <c r="JLN81" s="10"/>
      <c r="JLO81" s="10"/>
      <c r="JLP81" s="10"/>
      <c r="JLQ81" s="10"/>
      <c r="JLR81" s="10"/>
      <c r="JLS81" s="10"/>
      <c r="JLT81" s="10"/>
      <c r="JLU81" s="10"/>
      <c r="JLV81" s="10"/>
      <c r="JLW81" s="10"/>
      <c r="JLX81" s="10"/>
      <c r="JLY81" s="10"/>
      <c r="JLZ81" s="10"/>
      <c r="JMA81" s="10"/>
      <c r="JMB81" s="10"/>
      <c r="JMC81" s="10"/>
      <c r="JMD81" s="10"/>
      <c r="JME81" s="10"/>
      <c r="JMF81" s="10"/>
      <c r="JMG81" s="10"/>
      <c r="JMH81" s="10"/>
      <c r="JMI81" s="10"/>
      <c r="JMJ81" s="10"/>
      <c r="JMK81" s="10"/>
      <c r="JML81" s="10"/>
      <c r="JMM81" s="10"/>
      <c r="JMN81" s="10"/>
      <c r="JMO81" s="10"/>
      <c r="JMP81" s="10"/>
      <c r="JMQ81" s="10"/>
      <c r="JMR81" s="10"/>
      <c r="JMS81" s="10"/>
      <c r="JMT81" s="10"/>
      <c r="JMU81" s="10"/>
      <c r="JMV81" s="10"/>
      <c r="JMW81" s="10"/>
      <c r="JMX81" s="10"/>
      <c r="JMY81" s="10"/>
      <c r="JMZ81" s="10"/>
      <c r="JNA81" s="10"/>
      <c r="JNB81" s="10"/>
      <c r="JNC81" s="10"/>
      <c r="JND81" s="10"/>
      <c r="JNE81" s="10"/>
      <c r="JNF81" s="10"/>
      <c r="JNG81" s="10"/>
      <c r="JNH81" s="10"/>
      <c r="JNI81" s="10"/>
      <c r="JNJ81" s="10"/>
      <c r="JNK81" s="10"/>
      <c r="JNL81" s="10"/>
      <c r="JNM81" s="10"/>
      <c r="JNN81" s="10"/>
      <c r="JNO81" s="10"/>
      <c r="JNP81" s="10"/>
      <c r="JNQ81" s="10"/>
      <c r="JNR81" s="10"/>
      <c r="JNS81" s="10"/>
      <c r="JNT81" s="10"/>
      <c r="JNU81" s="10"/>
      <c r="JNV81" s="10"/>
      <c r="JNW81" s="10"/>
      <c r="JNX81" s="10"/>
      <c r="JNY81" s="10"/>
      <c r="JNZ81" s="10"/>
      <c r="JOA81" s="10"/>
      <c r="JOB81" s="10"/>
      <c r="JOC81" s="10"/>
      <c r="JOD81" s="10"/>
      <c r="JOE81" s="10"/>
      <c r="JOF81" s="10"/>
      <c r="JOG81" s="10"/>
      <c r="JOH81" s="10"/>
      <c r="JOI81" s="10"/>
      <c r="JOJ81" s="10"/>
      <c r="JOK81" s="10"/>
      <c r="JOL81" s="10"/>
      <c r="JOM81" s="10"/>
      <c r="JON81" s="10"/>
      <c r="JOO81" s="10"/>
      <c r="JOP81" s="10"/>
      <c r="JOQ81" s="10"/>
      <c r="JOR81" s="10"/>
      <c r="JOS81" s="10"/>
      <c r="JOT81" s="10"/>
      <c r="JOU81" s="10"/>
      <c r="JOV81" s="10"/>
      <c r="JOW81" s="10"/>
      <c r="JOX81" s="10"/>
      <c r="JOY81" s="10"/>
      <c r="JOZ81" s="10"/>
      <c r="JPA81" s="10"/>
      <c r="JPB81" s="10"/>
      <c r="JPC81" s="10"/>
      <c r="JPD81" s="10"/>
      <c r="JPE81" s="10"/>
      <c r="JPF81" s="10"/>
      <c r="JPG81" s="10"/>
      <c r="JPH81" s="10"/>
      <c r="JPI81" s="10"/>
      <c r="JPJ81" s="10"/>
      <c r="JPK81" s="10"/>
      <c r="JPL81" s="10"/>
      <c r="JPM81" s="10"/>
      <c r="JPN81" s="10"/>
      <c r="JPO81" s="10"/>
      <c r="JPP81" s="10"/>
      <c r="JPQ81" s="10"/>
      <c r="JPR81" s="10"/>
      <c r="JPS81" s="10"/>
      <c r="JPT81" s="10"/>
      <c r="JPU81" s="10"/>
      <c r="JPV81" s="10"/>
      <c r="JPW81" s="10"/>
      <c r="JPX81" s="10"/>
      <c r="JPY81" s="10"/>
      <c r="JPZ81" s="10"/>
      <c r="JQA81" s="10"/>
      <c r="JQB81" s="10"/>
      <c r="JQC81" s="10"/>
      <c r="JQD81" s="10"/>
      <c r="JQE81" s="10"/>
      <c r="JQF81" s="10"/>
      <c r="JQG81" s="10"/>
      <c r="JQH81" s="10"/>
      <c r="JQI81" s="10"/>
      <c r="JQJ81" s="10"/>
      <c r="JQK81" s="10"/>
      <c r="JQL81" s="10"/>
      <c r="JQM81" s="10"/>
      <c r="JQN81" s="10"/>
      <c r="JQO81" s="10"/>
      <c r="JQP81" s="10"/>
      <c r="JQQ81" s="10"/>
      <c r="JQR81" s="10"/>
      <c r="JQS81" s="10"/>
      <c r="JQT81" s="10"/>
      <c r="JQU81" s="10"/>
      <c r="JQV81" s="10"/>
      <c r="JQW81" s="10"/>
      <c r="JQX81" s="10"/>
      <c r="JQY81" s="10"/>
      <c r="JQZ81" s="10"/>
      <c r="JRA81" s="10"/>
      <c r="JRB81" s="10"/>
      <c r="JRC81" s="10"/>
      <c r="JRD81" s="10"/>
      <c r="JRE81" s="10"/>
      <c r="JRF81" s="10"/>
      <c r="JRG81" s="10"/>
      <c r="JRH81" s="10"/>
      <c r="JRI81" s="10"/>
      <c r="JRJ81" s="10"/>
      <c r="JRK81" s="10"/>
      <c r="JRL81" s="10"/>
      <c r="JRM81" s="10"/>
      <c r="JRN81" s="10"/>
      <c r="JRO81" s="10"/>
      <c r="JRP81" s="10"/>
      <c r="JRQ81" s="10"/>
      <c r="JRR81" s="10"/>
      <c r="JRS81" s="10"/>
      <c r="JRT81" s="10"/>
      <c r="JRU81" s="10"/>
      <c r="JRV81" s="10"/>
      <c r="JRW81" s="10"/>
      <c r="JRX81" s="10"/>
      <c r="JRY81" s="10"/>
      <c r="JRZ81" s="10"/>
      <c r="JSA81" s="10"/>
      <c r="JSB81" s="10"/>
      <c r="JSC81" s="10"/>
      <c r="JSD81" s="10"/>
      <c r="JSE81" s="10"/>
      <c r="JSF81" s="10"/>
      <c r="JSG81" s="10"/>
      <c r="JSH81" s="10"/>
      <c r="JSI81" s="10"/>
      <c r="JSJ81" s="10"/>
      <c r="JSK81" s="10"/>
      <c r="JSL81" s="10"/>
      <c r="JSM81" s="10"/>
      <c r="JSN81" s="10"/>
      <c r="JSO81" s="10"/>
      <c r="JSP81" s="10"/>
      <c r="JSQ81" s="10"/>
      <c r="JSR81" s="10"/>
      <c r="JSS81" s="10"/>
      <c r="JST81" s="10"/>
      <c r="JSU81" s="10"/>
      <c r="JSV81" s="10"/>
      <c r="JSW81" s="10"/>
      <c r="JSX81" s="10"/>
      <c r="JSY81" s="10"/>
      <c r="JSZ81" s="10"/>
      <c r="JTA81" s="10"/>
      <c r="JTB81" s="10"/>
      <c r="JTC81" s="10"/>
      <c r="JTD81" s="10"/>
      <c r="JTE81" s="10"/>
      <c r="JTF81" s="10"/>
      <c r="JTG81" s="10"/>
      <c r="JTH81" s="10"/>
      <c r="JTI81" s="10"/>
      <c r="JTJ81" s="10"/>
      <c r="JTK81" s="10"/>
      <c r="JTL81" s="10"/>
      <c r="JTM81" s="10"/>
      <c r="JTN81" s="10"/>
      <c r="JTO81" s="10"/>
      <c r="JTP81" s="10"/>
      <c r="JTQ81" s="10"/>
      <c r="JTR81" s="10"/>
      <c r="JTS81" s="10"/>
      <c r="JTT81" s="10"/>
      <c r="JTU81" s="10"/>
      <c r="JTV81" s="10"/>
      <c r="JTW81" s="10"/>
      <c r="JTX81" s="10"/>
      <c r="JTY81" s="10"/>
      <c r="JTZ81" s="10"/>
      <c r="JUA81" s="10"/>
      <c r="JUB81" s="10"/>
      <c r="JUC81" s="10"/>
      <c r="JUD81" s="10"/>
      <c r="JUE81" s="10"/>
      <c r="JUF81" s="10"/>
      <c r="JUG81" s="10"/>
      <c r="JUH81" s="10"/>
      <c r="JUI81" s="10"/>
      <c r="JUJ81" s="10"/>
      <c r="JUK81" s="10"/>
      <c r="JUL81" s="10"/>
      <c r="JUM81" s="10"/>
      <c r="JUN81" s="10"/>
      <c r="JUO81" s="10"/>
      <c r="JUP81" s="10"/>
      <c r="JUQ81" s="10"/>
      <c r="JUR81" s="10"/>
      <c r="JUS81" s="10"/>
      <c r="JUT81" s="10"/>
      <c r="JUU81" s="10"/>
      <c r="JUV81" s="10"/>
      <c r="JUW81" s="10"/>
      <c r="JUX81" s="10"/>
      <c r="JUY81" s="10"/>
      <c r="JUZ81" s="10"/>
      <c r="JVA81" s="10"/>
      <c r="JVB81" s="10"/>
      <c r="JVC81" s="10"/>
      <c r="JVD81" s="10"/>
      <c r="JVE81" s="10"/>
      <c r="JVF81" s="10"/>
      <c r="JVG81" s="10"/>
      <c r="JVH81" s="10"/>
      <c r="JVI81" s="10"/>
      <c r="JVJ81" s="10"/>
      <c r="JVK81" s="10"/>
      <c r="JVL81" s="10"/>
      <c r="JVM81" s="10"/>
      <c r="JVN81" s="10"/>
      <c r="JVO81" s="10"/>
      <c r="JVP81" s="10"/>
      <c r="JVQ81" s="10"/>
      <c r="JVR81" s="10"/>
      <c r="JVS81" s="10"/>
      <c r="JVT81" s="10"/>
      <c r="JVU81" s="10"/>
      <c r="JVV81" s="10"/>
      <c r="JVW81" s="10"/>
      <c r="JVX81" s="10"/>
      <c r="JVY81" s="10"/>
      <c r="JVZ81" s="10"/>
      <c r="JWA81" s="10"/>
      <c r="JWB81" s="10"/>
      <c r="JWC81" s="10"/>
      <c r="JWD81" s="10"/>
      <c r="JWE81" s="10"/>
      <c r="JWF81" s="10"/>
      <c r="JWG81" s="10"/>
      <c r="JWH81" s="10"/>
      <c r="JWI81" s="10"/>
      <c r="JWJ81" s="10"/>
      <c r="JWK81" s="10"/>
      <c r="JWL81" s="10"/>
      <c r="JWM81" s="10"/>
      <c r="JWN81" s="10"/>
      <c r="JWO81" s="10"/>
      <c r="JWP81" s="10"/>
      <c r="JWQ81" s="10"/>
      <c r="JWR81" s="10"/>
      <c r="JWS81" s="10"/>
      <c r="JWT81" s="10"/>
      <c r="JWU81" s="10"/>
      <c r="JWV81" s="10"/>
      <c r="JWW81" s="10"/>
      <c r="JWX81" s="10"/>
      <c r="JWY81" s="10"/>
      <c r="JWZ81" s="10"/>
      <c r="JXA81" s="10"/>
      <c r="JXB81" s="10"/>
      <c r="JXC81" s="10"/>
      <c r="JXD81" s="10"/>
      <c r="JXE81" s="10"/>
      <c r="JXF81" s="10"/>
      <c r="JXG81" s="10"/>
      <c r="JXH81" s="10"/>
      <c r="JXI81" s="10"/>
      <c r="JXJ81" s="10"/>
      <c r="JXK81" s="10"/>
      <c r="JXL81" s="10"/>
      <c r="JXM81" s="10"/>
      <c r="JXN81" s="10"/>
      <c r="JXO81" s="10"/>
      <c r="JXP81" s="10"/>
      <c r="JXQ81" s="10"/>
      <c r="JXR81" s="10"/>
      <c r="JXS81" s="10"/>
      <c r="JXT81" s="10"/>
      <c r="JXU81" s="10"/>
      <c r="JXV81" s="10"/>
      <c r="JXW81" s="10"/>
      <c r="JXX81" s="10"/>
      <c r="JXY81" s="10"/>
      <c r="JXZ81" s="10"/>
      <c r="JYA81" s="10"/>
      <c r="JYB81" s="10"/>
      <c r="JYC81" s="10"/>
      <c r="JYD81" s="10"/>
      <c r="JYE81" s="10"/>
      <c r="JYF81" s="10"/>
      <c r="JYG81" s="10"/>
      <c r="JYH81" s="10"/>
      <c r="JYI81" s="10"/>
      <c r="JYJ81" s="10"/>
      <c r="JYK81" s="10"/>
      <c r="JYL81" s="10"/>
      <c r="JYM81" s="10"/>
      <c r="JYN81" s="10"/>
      <c r="JYO81" s="10"/>
      <c r="JYP81" s="10"/>
      <c r="JYQ81" s="10"/>
      <c r="JYR81" s="10"/>
      <c r="JYS81" s="10"/>
      <c r="JYT81" s="10"/>
      <c r="JYU81" s="10"/>
      <c r="JYV81" s="10"/>
      <c r="JYW81" s="10"/>
      <c r="JYX81" s="10"/>
      <c r="JYY81" s="10"/>
      <c r="JYZ81" s="10"/>
      <c r="JZA81" s="10"/>
      <c r="JZB81" s="10"/>
      <c r="JZC81" s="10"/>
      <c r="JZD81" s="10"/>
      <c r="JZE81" s="10"/>
      <c r="JZF81" s="10"/>
      <c r="JZG81" s="10"/>
      <c r="JZH81" s="10"/>
      <c r="JZI81" s="10"/>
      <c r="JZJ81" s="10"/>
      <c r="JZK81" s="10"/>
      <c r="JZL81" s="10"/>
      <c r="JZM81" s="10"/>
      <c r="JZN81" s="10"/>
      <c r="JZO81" s="10"/>
      <c r="JZP81" s="10"/>
      <c r="JZQ81" s="10"/>
      <c r="JZR81" s="10"/>
      <c r="JZS81" s="10"/>
      <c r="JZT81" s="10"/>
      <c r="JZU81" s="10"/>
      <c r="JZV81" s="10"/>
      <c r="JZW81" s="10"/>
      <c r="JZX81" s="10"/>
      <c r="JZY81" s="10"/>
      <c r="JZZ81" s="10"/>
      <c r="KAA81" s="10"/>
      <c r="KAB81" s="10"/>
      <c r="KAC81" s="10"/>
      <c r="KAD81" s="10"/>
      <c r="KAE81" s="10"/>
      <c r="KAF81" s="10"/>
      <c r="KAG81" s="10"/>
      <c r="KAH81" s="10"/>
      <c r="KAI81" s="10"/>
      <c r="KAJ81" s="10"/>
      <c r="KAK81" s="10"/>
      <c r="KAL81" s="10"/>
      <c r="KAM81" s="10"/>
      <c r="KAN81" s="10"/>
      <c r="KAO81" s="10"/>
      <c r="KAP81" s="10"/>
      <c r="KAQ81" s="10"/>
      <c r="KAR81" s="10"/>
      <c r="KAS81" s="10"/>
      <c r="KAT81" s="10"/>
      <c r="KAU81" s="10"/>
      <c r="KAV81" s="10"/>
      <c r="KAW81" s="10"/>
      <c r="KAX81" s="10"/>
      <c r="KAY81" s="10"/>
      <c r="KAZ81" s="10"/>
      <c r="KBA81" s="10"/>
      <c r="KBB81" s="10"/>
      <c r="KBC81" s="10"/>
      <c r="KBD81" s="10"/>
      <c r="KBE81" s="10"/>
      <c r="KBF81" s="10"/>
      <c r="KBG81" s="10"/>
      <c r="KBH81" s="10"/>
      <c r="KBI81" s="10"/>
      <c r="KBJ81" s="10"/>
      <c r="KBK81" s="10"/>
      <c r="KBL81" s="10"/>
      <c r="KBM81" s="10"/>
      <c r="KBN81" s="10"/>
      <c r="KBO81" s="10"/>
      <c r="KBP81" s="10"/>
      <c r="KBQ81" s="10"/>
      <c r="KBR81" s="10"/>
      <c r="KBS81" s="10"/>
      <c r="KBT81" s="10"/>
      <c r="KBU81" s="10"/>
      <c r="KBV81" s="10"/>
      <c r="KBW81" s="10"/>
      <c r="KBX81" s="10"/>
      <c r="KBY81" s="10"/>
      <c r="KBZ81" s="10"/>
      <c r="KCA81" s="10"/>
      <c r="KCB81" s="10"/>
      <c r="KCC81" s="10"/>
      <c r="KCD81" s="10"/>
      <c r="KCE81" s="10"/>
      <c r="KCF81" s="10"/>
      <c r="KCG81" s="10"/>
      <c r="KCH81" s="10"/>
      <c r="KCI81" s="10"/>
      <c r="KCJ81" s="10"/>
      <c r="KCK81" s="10"/>
      <c r="KCL81" s="10"/>
      <c r="KCM81" s="10"/>
      <c r="KCN81" s="10"/>
      <c r="KCO81" s="10"/>
      <c r="KCP81" s="10"/>
      <c r="KCQ81" s="10"/>
      <c r="KCR81" s="10"/>
      <c r="KCS81" s="10"/>
      <c r="KCT81" s="10"/>
      <c r="KCU81" s="10"/>
      <c r="KCV81" s="10"/>
      <c r="KCW81" s="10"/>
      <c r="KCX81" s="10"/>
      <c r="KCY81" s="10"/>
      <c r="KCZ81" s="10"/>
      <c r="KDA81" s="10"/>
      <c r="KDB81" s="10"/>
      <c r="KDC81" s="10"/>
      <c r="KDD81" s="10"/>
      <c r="KDE81" s="10"/>
      <c r="KDF81" s="10"/>
      <c r="KDG81" s="10"/>
      <c r="KDH81" s="10"/>
      <c r="KDI81" s="10"/>
      <c r="KDJ81" s="10"/>
      <c r="KDK81" s="10"/>
      <c r="KDL81" s="10"/>
      <c r="KDM81" s="10"/>
      <c r="KDN81" s="10"/>
      <c r="KDO81" s="10"/>
      <c r="KDP81" s="10"/>
      <c r="KDQ81" s="10"/>
      <c r="KDR81" s="10"/>
      <c r="KDS81" s="10"/>
      <c r="KDT81" s="10"/>
      <c r="KDU81" s="10"/>
      <c r="KDV81" s="10"/>
      <c r="KDW81" s="10"/>
      <c r="KDX81" s="10"/>
      <c r="KDY81" s="10"/>
      <c r="KDZ81" s="10"/>
      <c r="KEA81" s="10"/>
      <c r="KEB81" s="10"/>
      <c r="KEC81" s="10"/>
      <c r="KED81" s="10"/>
      <c r="KEE81" s="10"/>
      <c r="KEF81" s="10"/>
      <c r="KEG81" s="10"/>
      <c r="KEH81" s="10"/>
      <c r="KEI81" s="10"/>
      <c r="KEJ81" s="10"/>
      <c r="KEK81" s="10"/>
      <c r="KEL81" s="10"/>
      <c r="KEM81" s="10"/>
      <c r="KEN81" s="10"/>
      <c r="KEO81" s="10"/>
      <c r="KEP81" s="10"/>
      <c r="KEQ81" s="10"/>
      <c r="KER81" s="10"/>
      <c r="KES81" s="10"/>
      <c r="KET81" s="10"/>
      <c r="KEU81" s="10"/>
      <c r="KEV81" s="10"/>
      <c r="KEW81" s="10"/>
      <c r="KEX81" s="10"/>
      <c r="KEY81" s="10"/>
      <c r="KEZ81" s="10"/>
      <c r="KFA81" s="10"/>
      <c r="KFB81" s="10"/>
      <c r="KFC81" s="10"/>
      <c r="KFD81" s="10"/>
      <c r="KFE81" s="10"/>
      <c r="KFF81" s="10"/>
      <c r="KFG81" s="10"/>
      <c r="KFH81" s="10"/>
      <c r="KFI81" s="10"/>
      <c r="KFJ81" s="10"/>
      <c r="KFK81" s="10"/>
      <c r="KFL81" s="10"/>
      <c r="KFM81" s="10"/>
      <c r="KFN81" s="10"/>
      <c r="KFO81" s="10"/>
      <c r="KFP81" s="10"/>
      <c r="KFQ81" s="10"/>
      <c r="KFR81" s="10"/>
      <c r="KFS81" s="10"/>
      <c r="KFT81" s="10"/>
      <c r="KFU81" s="10"/>
      <c r="KFV81" s="10"/>
      <c r="KFW81" s="10"/>
      <c r="KFX81" s="10"/>
      <c r="KFY81" s="10"/>
      <c r="KFZ81" s="10"/>
      <c r="KGA81" s="10"/>
      <c r="KGB81" s="10"/>
      <c r="KGC81" s="10"/>
      <c r="KGD81" s="10"/>
      <c r="KGE81" s="10"/>
      <c r="KGF81" s="10"/>
      <c r="KGG81" s="10"/>
      <c r="KGH81" s="10"/>
      <c r="KGI81" s="10"/>
      <c r="KGJ81" s="10"/>
      <c r="KGK81" s="10"/>
      <c r="KGL81" s="10"/>
      <c r="KGM81" s="10"/>
      <c r="KGN81" s="10"/>
      <c r="KGO81" s="10"/>
      <c r="KGP81" s="10"/>
      <c r="KGQ81" s="10"/>
      <c r="KGR81" s="10"/>
      <c r="KGS81" s="10"/>
      <c r="KGT81" s="10"/>
      <c r="KGU81" s="10"/>
      <c r="KGV81" s="10"/>
      <c r="KGW81" s="10"/>
      <c r="KGX81" s="10"/>
      <c r="KGY81" s="10"/>
      <c r="KGZ81" s="10"/>
      <c r="KHA81" s="10"/>
      <c r="KHB81" s="10"/>
      <c r="KHC81" s="10"/>
      <c r="KHD81" s="10"/>
      <c r="KHE81" s="10"/>
      <c r="KHF81" s="10"/>
      <c r="KHG81" s="10"/>
      <c r="KHH81" s="10"/>
      <c r="KHI81" s="10"/>
      <c r="KHJ81" s="10"/>
      <c r="KHK81" s="10"/>
      <c r="KHL81" s="10"/>
      <c r="KHM81" s="10"/>
      <c r="KHN81" s="10"/>
      <c r="KHO81" s="10"/>
      <c r="KHP81" s="10"/>
      <c r="KHQ81" s="10"/>
      <c r="KHR81" s="10"/>
      <c r="KHS81" s="10"/>
      <c r="KHT81" s="10"/>
      <c r="KHU81" s="10"/>
      <c r="KHV81" s="10"/>
      <c r="KHW81" s="10"/>
      <c r="KHX81" s="10"/>
      <c r="KHY81" s="10"/>
      <c r="KHZ81" s="10"/>
      <c r="KIA81" s="10"/>
      <c r="KIB81" s="10"/>
      <c r="KIC81" s="10"/>
      <c r="KID81" s="10"/>
      <c r="KIE81" s="10"/>
      <c r="KIF81" s="10"/>
      <c r="KIG81" s="10"/>
      <c r="KIH81" s="10"/>
      <c r="KII81" s="10"/>
      <c r="KIJ81" s="10"/>
      <c r="KIK81" s="10"/>
      <c r="KIL81" s="10"/>
      <c r="KIM81" s="10"/>
      <c r="KIN81" s="10"/>
      <c r="KIO81" s="10"/>
      <c r="KIP81" s="10"/>
      <c r="KIQ81" s="10"/>
      <c r="KIR81" s="10"/>
      <c r="KIS81" s="10"/>
      <c r="KIT81" s="10"/>
      <c r="KIU81" s="10"/>
      <c r="KIV81" s="10"/>
      <c r="KIW81" s="10"/>
      <c r="KIX81" s="10"/>
      <c r="KIY81" s="10"/>
      <c r="KIZ81" s="10"/>
      <c r="KJA81" s="10"/>
      <c r="KJB81" s="10"/>
      <c r="KJC81" s="10"/>
      <c r="KJD81" s="10"/>
      <c r="KJE81" s="10"/>
      <c r="KJF81" s="10"/>
      <c r="KJG81" s="10"/>
      <c r="KJH81" s="10"/>
      <c r="KJI81" s="10"/>
      <c r="KJJ81" s="10"/>
      <c r="KJK81" s="10"/>
      <c r="KJL81" s="10"/>
      <c r="KJM81" s="10"/>
      <c r="KJN81" s="10"/>
      <c r="KJO81" s="10"/>
      <c r="KJP81" s="10"/>
      <c r="KJQ81" s="10"/>
      <c r="KJR81" s="10"/>
      <c r="KJS81" s="10"/>
      <c r="KJT81" s="10"/>
      <c r="KJU81" s="10"/>
      <c r="KJV81" s="10"/>
      <c r="KJW81" s="10"/>
      <c r="KJX81" s="10"/>
      <c r="KJY81" s="10"/>
      <c r="KJZ81" s="10"/>
      <c r="KKA81" s="10"/>
      <c r="KKB81" s="10"/>
      <c r="KKC81" s="10"/>
      <c r="KKD81" s="10"/>
      <c r="KKE81" s="10"/>
      <c r="KKF81" s="10"/>
      <c r="KKG81" s="10"/>
      <c r="KKH81" s="10"/>
      <c r="KKI81" s="10"/>
      <c r="KKJ81" s="10"/>
      <c r="KKK81" s="10"/>
      <c r="KKL81" s="10"/>
      <c r="KKM81" s="10"/>
      <c r="KKN81" s="10"/>
      <c r="KKO81" s="10"/>
      <c r="KKP81" s="10"/>
      <c r="KKQ81" s="10"/>
      <c r="KKR81" s="10"/>
      <c r="KKS81" s="10"/>
      <c r="KKT81" s="10"/>
      <c r="KKU81" s="10"/>
      <c r="KKV81" s="10"/>
      <c r="KKW81" s="10"/>
      <c r="KKX81" s="10"/>
      <c r="KKY81" s="10"/>
      <c r="KKZ81" s="10"/>
      <c r="KLA81" s="10"/>
      <c r="KLB81" s="10"/>
      <c r="KLC81" s="10"/>
      <c r="KLD81" s="10"/>
      <c r="KLE81" s="10"/>
      <c r="KLF81" s="10"/>
      <c r="KLG81" s="10"/>
      <c r="KLH81" s="10"/>
      <c r="KLI81" s="10"/>
      <c r="KLJ81" s="10"/>
      <c r="KLK81" s="10"/>
      <c r="KLL81" s="10"/>
      <c r="KLM81" s="10"/>
      <c r="KLN81" s="10"/>
      <c r="KLO81" s="10"/>
      <c r="KLP81" s="10"/>
      <c r="KLQ81" s="10"/>
      <c r="KLR81" s="10"/>
      <c r="KLS81" s="10"/>
      <c r="KLT81" s="10"/>
      <c r="KLU81" s="10"/>
      <c r="KLV81" s="10"/>
      <c r="KLW81" s="10"/>
      <c r="KLX81" s="10"/>
      <c r="KLY81" s="10"/>
      <c r="KLZ81" s="10"/>
      <c r="KMA81" s="10"/>
      <c r="KMB81" s="10"/>
      <c r="KMC81" s="10"/>
      <c r="KMD81" s="10"/>
      <c r="KME81" s="10"/>
      <c r="KMF81" s="10"/>
      <c r="KMG81" s="10"/>
      <c r="KMH81" s="10"/>
      <c r="KMI81" s="10"/>
      <c r="KMJ81" s="10"/>
      <c r="KMK81" s="10"/>
      <c r="KML81" s="10"/>
      <c r="KMM81" s="10"/>
      <c r="KMN81" s="10"/>
      <c r="KMO81" s="10"/>
      <c r="KMP81" s="10"/>
      <c r="KMQ81" s="10"/>
      <c r="KMR81" s="10"/>
      <c r="KMS81" s="10"/>
      <c r="KMT81" s="10"/>
      <c r="KMU81" s="10"/>
      <c r="KMV81" s="10"/>
      <c r="KMW81" s="10"/>
      <c r="KMX81" s="10"/>
      <c r="KMY81" s="10"/>
      <c r="KMZ81" s="10"/>
      <c r="KNA81" s="10"/>
      <c r="KNB81" s="10"/>
      <c r="KNC81" s="10"/>
      <c r="KND81" s="10"/>
      <c r="KNE81" s="10"/>
      <c r="KNF81" s="10"/>
      <c r="KNG81" s="10"/>
      <c r="KNH81" s="10"/>
      <c r="KNI81" s="10"/>
      <c r="KNJ81" s="10"/>
      <c r="KNK81" s="10"/>
      <c r="KNL81" s="10"/>
      <c r="KNM81" s="10"/>
      <c r="KNN81" s="10"/>
      <c r="KNO81" s="10"/>
      <c r="KNP81" s="10"/>
      <c r="KNQ81" s="10"/>
      <c r="KNR81" s="10"/>
      <c r="KNS81" s="10"/>
      <c r="KNT81" s="10"/>
      <c r="KNU81" s="10"/>
      <c r="KNV81" s="10"/>
      <c r="KNW81" s="10"/>
      <c r="KNX81" s="10"/>
      <c r="KNY81" s="10"/>
      <c r="KNZ81" s="10"/>
      <c r="KOA81" s="10"/>
      <c r="KOB81" s="10"/>
      <c r="KOC81" s="10"/>
      <c r="KOD81" s="10"/>
      <c r="KOE81" s="10"/>
      <c r="KOF81" s="10"/>
      <c r="KOG81" s="10"/>
      <c r="KOH81" s="10"/>
      <c r="KOI81" s="10"/>
      <c r="KOJ81" s="10"/>
      <c r="KOK81" s="10"/>
      <c r="KOL81" s="10"/>
      <c r="KOM81" s="10"/>
      <c r="KON81" s="10"/>
      <c r="KOO81" s="10"/>
      <c r="KOP81" s="10"/>
      <c r="KOQ81" s="10"/>
      <c r="KOR81" s="10"/>
      <c r="KOS81" s="10"/>
      <c r="KOT81" s="10"/>
      <c r="KOU81" s="10"/>
      <c r="KOV81" s="10"/>
      <c r="KOW81" s="10"/>
      <c r="KOX81" s="10"/>
      <c r="KOY81" s="10"/>
      <c r="KOZ81" s="10"/>
      <c r="KPA81" s="10"/>
      <c r="KPB81" s="10"/>
      <c r="KPC81" s="10"/>
      <c r="KPD81" s="10"/>
      <c r="KPE81" s="10"/>
      <c r="KPF81" s="10"/>
      <c r="KPG81" s="10"/>
      <c r="KPH81" s="10"/>
      <c r="KPI81" s="10"/>
      <c r="KPJ81" s="10"/>
      <c r="KPK81" s="10"/>
      <c r="KPL81" s="10"/>
      <c r="KPM81" s="10"/>
      <c r="KPN81" s="10"/>
      <c r="KPO81" s="10"/>
      <c r="KPP81" s="10"/>
      <c r="KPQ81" s="10"/>
      <c r="KPR81" s="10"/>
      <c r="KPS81" s="10"/>
      <c r="KPT81" s="10"/>
      <c r="KPU81" s="10"/>
      <c r="KPV81" s="10"/>
      <c r="KPW81" s="10"/>
      <c r="KPX81" s="10"/>
      <c r="KPY81" s="10"/>
      <c r="KPZ81" s="10"/>
      <c r="KQA81" s="10"/>
      <c r="KQB81" s="10"/>
      <c r="KQC81" s="10"/>
      <c r="KQD81" s="10"/>
      <c r="KQE81" s="10"/>
      <c r="KQF81" s="10"/>
      <c r="KQG81" s="10"/>
      <c r="KQH81" s="10"/>
      <c r="KQI81" s="10"/>
      <c r="KQJ81" s="10"/>
      <c r="KQK81" s="10"/>
      <c r="KQL81" s="10"/>
      <c r="KQM81" s="10"/>
      <c r="KQN81" s="10"/>
      <c r="KQO81" s="10"/>
      <c r="KQP81" s="10"/>
      <c r="KQQ81" s="10"/>
      <c r="KQR81" s="10"/>
      <c r="KQS81" s="10"/>
      <c r="KQT81" s="10"/>
      <c r="KQU81" s="10"/>
      <c r="KQV81" s="10"/>
      <c r="KQW81" s="10"/>
      <c r="KQX81" s="10"/>
      <c r="KQY81" s="10"/>
      <c r="KQZ81" s="10"/>
      <c r="KRA81" s="10"/>
      <c r="KRB81" s="10"/>
      <c r="KRC81" s="10"/>
      <c r="KRD81" s="10"/>
      <c r="KRE81" s="10"/>
      <c r="KRF81" s="10"/>
      <c r="KRG81" s="10"/>
      <c r="KRH81" s="10"/>
      <c r="KRI81" s="10"/>
      <c r="KRJ81" s="10"/>
      <c r="KRK81" s="10"/>
      <c r="KRL81" s="10"/>
      <c r="KRM81" s="10"/>
      <c r="KRN81" s="10"/>
      <c r="KRO81" s="10"/>
      <c r="KRP81" s="10"/>
      <c r="KRQ81" s="10"/>
      <c r="KRR81" s="10"/>
      <c r="KRS81" s="10"/>
      <c r="KRT81" s="10"/>
      <c r="KRU81" s="10"/>
      <c r="KRV81" s="10"/>
      <c r="KRW81" s="10"/>
      <c r="KRX81" s="10"/>
      <c r="KRY81" s="10"/>
      <c r="KRZ81" s="10"/>
      <c r="KSA81" s="10"/>
      <c r="KSB81" s="10"/>
      <c r="KSC81" s="10"/>
      <c r="KSD81" s="10"/>
      <c r="KSE81" s="10"/>
      <c r="KSF81" s="10"/>
      <c r="KSG81" s="10"/>
      <c r="KSH81" s="10"/>
      <c r="KSI81" s="10"/>
      <c r="KSJ81" s="10"/>
      <c r="KSK81" s="10"/>
      <c r="KSL81" s="10"/>
      <c r="KSM81" s="10"/>
      <c r="KSN81" s="10"/>
      <c r="KSO81" s="10"/>
      <c r="KSP81" s="10"/>
      <c r="KSQ81" s="10"/>
      <c r="KSR81" s="10"/>
      <c r="KSS81" s="10"/>
      <c r="KST81" s="10"/>
      <c r="KSU81" s="10"/>
      <c r="KSV81" s="10"/>
      <c r="KSW81" s="10"/>
      <c r="KSX81" s="10"/>
      <c r="KSY81" s="10"/>
      <c r="KSZ81" s="10"/>
      <c r="KTA81" s="10"/>
      <c r="KTB81" s="10"/>
      <c r="KTC81" s="10"/>
      <c r="KTD81" s="10"/>
      <c r="KTE81" s="10"/>
      <c r="KTF81" s="10"/>
      <c r="KTG81" s="10"/>
      <c r="KTH81" s="10"/>
      <c r="KTI81" s="10"/>
      <c r="KTJ81" s="10"/>
      <c r="KTK81" s="10"/>
      <c r="KTL81" s="10"/>
      <c r="KTM81" s="10"/>
      <c r="KTN81" s="10"/>
      <c r="KTO81" s="10"/>
      <c r="KTP81" s="10"/>
      <c r="KTQ81" s="10"/>
      <c r="KTR81" s="10"/>
      <c r="KTS81" s="10"/>
      <c r="KTT81" s="10"/>
      <c r="KTU81" s="10"/>
      <c r="KTV81" s="10"/>
      <c r="KTW81" s="10"/>
      <c r="KTX81" s="10"/>
      <c r="KTY81" s="10"/>
      <c r="KTZ81" s="10"/>
      <c r="KUA81" s="10"/>
      <c r="KUB81" s="10"/>
      <c r="KUC81" s="10"/>
      <c r="KUD81" s="10"/>
      <c r="KUE81" s="10"/>
      <c r="KUF81" s="10"/>
      <c r="KUG81" s="10"/>
      <c r="KUH81" s="10"/>
      <c r="KUI81" s="10"/>
      <c r="KUJ81" s="10"/>
      <c r="KUK81" s="10"/>
      <c r="KUL81" s="10"/>
      <c r="KUM81" s="10"/>
      <c r="KUN81" s="10"/>
      <c r="KUO81" s="10"/>
      <c r="KUP81" s="10"/>
      <c r="KUQ81" s="10"/>
      <c r="KUR81" s="10"/>
      <c r="KUS81" s="10"/>
      <c r="KUT81" s="10"/>
      <c r="KUU81" s="10"/>
      <c r="KUV81" s="10"/>
      <c r="KUW81" s="10"/>
      <c r="KUX81" s="10"/>
      <c r="KUY81" s="10"/>
      <c r="KUZ81" s="10"/>
      <c r="KVA81" s="10"/>
      <c r="KVB81" s="10"/>
      <c r="KVC81" s="10"/>
      <c r="KVD81" s="10"/>
      <c r="KVE81" s="10"/>
      <c r="KVF81" s="10"/>
      <c r="KVG81" s="10"/>
      <c r="KVH81" s="10"/>
      <c r="KVI81" s="10"/>
      <c r="KVJ81" s="10"/>
      <c r="KVK81" s="10"/>
      <c r="KVL81" s="10"/>
      <c r="KVM81" s="10"/>
      <c r="KVN81" s="10"/>
      <c r="KVO81" s="10"/>
      <c r="KVP81" s="10"/>
      <c r="KVQ81" s="10"/>
      <c r="KVR81" s="10"/>
      <c r="KVS81" s="10"/>
      <c r="KVT81" s="10"/>
      <c r="KVU81" s="10"/>
      <c r="KVV81" s="10"/>
      <c r="KVW81" s="10"/>
      <c r="KVX81" s="10"/>
      <c r="KVY81" s="10"/>
      <c r="KVZ81" s="10"/>
      <c r="KWA81" s="10"/>
      <c r="KWB81" s="10"/>
      <c r="KWC81" s="10"/>
      <c r="KWD81" s="10"/>
      <c r="KWE81" s="10"/>
      <c r="KWF81" s="10"/>
      <c r="KWG81" s="10"/>
      <c r="KWH81" s="10"/>
      <c r="KWI81" s="10"/>
      <c r="KWJ81" s="10"/>
      <c r="KWK81" s="10"/>
      <c r="KWL81" s="10"/>
      <c r="KWM81" s="10"/>
      <c r="KWN81" s="10"/>
      <c r="KWO81" s="10"/>
      <c r="KWP81" s="10"/>
      <c r="KWQ81" s="10"/>
      <c r="KWR81" s="10"/>
      <c r="KWS81" s="10"/>
      <c r="KWT81" s="10"/>
      <c r="KWU81" s="10"/>
      <c r="KWV81" s="10"/>
      <c r="KWW81" s="10"/>
      <c r="KWX81" s="10"/>
      <c r="KWY81" s="10"/>
      <c r="KWZ81" s="10"/>
      <c r="KXA81" s="10"/>
      <c r="KXB81" s="10"/>
      <c r="KXC81" s="10"/>
      <c r="KXD81" s="10"/>
      <c r="KXE81" s="10"/>
      <c r="KXF81" s="10"/>
      <c r="KXG81" s="10"/>
      <c r="KXH81" s="10"/>
      <c r="KXI81" s="10"/>
      <c r="KXJ81" s="10"/>
      <c r="KXK81" s="10"/>
      <c r="KXL81" s="10"/>
      <c r="KXM81" s="10"/>
      <c r="KXN81" s="10"/>
      <c r="KXO81" s="10"/>
      <c r="KXP81" s="10"/>
      <c r="KXQ81" s="10"/>
      <c r="KXR81" s="10"/>
      <c r="KXS81" s="10"/>
      <c r="KXT81" s="10"/>
      <c r="KXU81" s="10"/>
      <c r="KXV81" s="10"/>
      <c r="KXW81" s="10"/>
      <c r="KXX81" s="10"/>
      <c r="KXY81" s="10"/>
      <c r="KXZ81" s="10"/>
      <c r="KYA81" s="10"/>
      <c r="KYB81" s="10"/>
      <c r="KYC81" s="10"/>
      <c r="KYD81" s="10"/>
      <c r="KYE81" s="10"/>
      <c r="KYF81" s="10"/>
      <c r="KYG81" s="10"/>
      <c r="KYH81" s="10"/>
      <c r="KYI81" s="10"/>
      <c r="KYJ81" s="10"/>
      <c r="KYK81" s="10"/>
      <c r="KYL81" s="10"/>
      <c r="KYM81" s="10"/>
      <c r="KYN81" s="10"/>
      <c r="KYO81" s="10"/>
      <c r="KYP81" s="10"/>
      <c r="KYQ81" s="10"/>
      <c r="KYR81" s="10"/>
      <c r="KYS81" s="10"/>
      <c r="KYT81" s="10"/>
      <c r="KYU81" s="10"/>
      <c r="KYV81" s="10"/>
      <c r="KYW81" s="10"/>
      <c r="KYX81" s="10"/>
      <c r="KYY81" s="10"/>
      <c r="KYZ81" s="10"/>
      <c r="KZA81" s="10"/>
      <c r="KZB81" s="10"/>
      <c r="KZC81" s="10"/>
      <c r="KZD81" s="10"/>
      <c r="KZE81" s="10"/>
      <c r="KZF81" s="10"/>
      <c r="KZG81" s="10"/>
      <c r="KZH81" s="10"/>
      <c r="KZI81" s="10"/>
      <c r="KZJ81" s="10"/>
      <c r="KZK81" s="10"/>
      <c r="KZL81" s="10"/>
      <c r="KZM81" s="10"/>
      <c r="KZN81" s="10"/>
      <c r="KZO81" s="10"/>
      <c r="KZP81" s="10"/>
      <c r="KZQ81" s="10"/>
      <c r="KZR81" s="10"/>
      <c r="KZS81" s="10"/>
      <c r="KZT81" s="10"/>
      <c r="KZU81" s="10"/>
      <c r="KZV81" s="10"/>
      <c r="KZW81" s="10"/>
      <c r="KZX81" s="10"/>
      <c r="KZY81" s="10"/>
      <c r="KZZ81" s="10"/>
      <c r="LAA81" s="10"/>
      <c r="LAB81" s="10"/>
      <c r="LAC81" s="10"/>
      <c r="LAD81" s="10"/>
      <c r="LAE81" s="10"/>
      <c r="LAF81" s="10"/>
      <c r="LAG81" s="10"/>
      <c r="LAH81" s="10"/>
      <c r="LAI81" s="10"/>
      <c r="LAJ81" s="10"/>
      <c r="LAK81" s="10"/>
      <c r="LAL81" s="10"/>
      <c r="LAM81" s="10"/>
      <c r="LAN81" s="10"/>
      <c r="LAO81" s="10"/>
      <c r="LAP81" s="10"/>
      <c r="LAQ81" s="10"/>
      <c r="LAR81" s="10"/>
      <c r="LAS81" s="10"/>
      <c r="LAT81" s="10"/>
      <c r="LAU81" s="10"/>
      <c r="LAV81" s="10"/>
      <c r="LAW81" s="10"/>
      <c r="LAX81" s="10"/>
      <c r="LAY81" s="10"/>
      <c r="LAZ81" s="10"/>
      <c r="LBA81" s="10"/>
      <c r="LBB81" s="10"/>
      <c r="LBC81" s="10"/>
      <c r="LBD81" s="10"/>
      <c r="LBE81" s="10"/>
      <c r="LBF81" s="10"/>
      <c r="LBG81" s="10"/>
      <c r="LBH81" s="10"/>
      <c r="LBI81" s="10"/>
      <c r="LBJ81" s="10"/>
      <c r="LBK81" s="10"/>
      <c r="LBL81" s="10"/>
      <c r="LBM81" s="10"/>
      <c r="LBN81" s="10"/>
      <c r="LBO81" s="10"/>
      <c r="LBP81" s="10"/>
      <c r="LBQ81" s="10"/>
      <c r="LBR81" s="10"/>
      <c r="LBS81" s="10"/>
      <c r="LBT81" s="10"/>
      <c r="LBU81" s="10"/>
      <c r="LBV81" s="10"/>
      <c r="LBW81" s="10"/>
      <c r="LBX81" s="10"/>
      <c r="LBY81" s="10"/>
      <c r="LBZ81" s="10"/>
      <c r="LCA81" s="10"/>
      <c r="LCB81" s="10"/>
      <c r="LCC81" s="10"/>
      <c r="LCD81" s="10"/>
      <c r="LCE81" s="10"/>
      <c r="LCF81" s="10"/>
      <c r="LCG81" s="10"/>
      <c r="LCH81" s="10"/>
      <c r="LCI81" s="10"/>
      <c r="LCJ81" s="10"/>
      <c r="LCK81" s="10"/>
      <c r="LCL81" s="10"/>
      <c r="LCM81" s="10"/>
      <c r="LCN81" s="10"/>
      <c r="LCO81" s="10"/>
      <c r="LCP81" s="10"/>
      <c r="LCQ81" s="10"/>
      <c r="LCR81" s="10"/>
      <c r="LCS81" s="10"/>
      <c r="LCT81" s="10"/>
      <c r="LCU81" s="10"/>
      <c r="LCV81" s="10"/>
      <c r="LCW81" s="10"/>
      <c r="LCX81" s="10"/>
      <c r="LCY81" s="10"/>
      <c r="LCZ81" s="10"/>
      <c r="LDA81" s="10"/>
      <c r="LDB81" s="10"/>
      <c r="LDC81" s="10"/>
      <c r="LDD81" s="10"/>
      <c r="LDE81" s="10"/>
      <c r="LDF81" s="10"/>
      <c r="LDG81" s="10"/>
      <c r="LDH81" s="10"/>
      <c r="LDI81" s="10"/>
      <c r="LDJ81" s="10"/>
      <c r="LDK81" s="10"/>
      <c r="LDL81" s="10"/>
      <c r="LDM81" s="10"/>
      <c r="LDN81" s="10"/>
      <c r="LDO81" s="10"/>
      <c r="LDP81" s="10"/>
      <c r="LDQ81" s="10"/>
      <c r="LDR81" s="10"/>
      <c r="LDS81" s="10"/>
      <c r="LDT81" s="10"/>
      <c r="LDU81" s="10"/>
      <c r="LDV81" s="10"/>
      <c r="LDW81" s="10"/>
      <c r="LDX81" s="10"/>
      <c r="LDY81" s="10"/>
      <c r="LDZ81" s="10"/>
      <c r="LEA81" s="10"/>
      <c r="LEB81" s="10"/>
      <c r="LEC81" s="10"/>
      <c r="LED81" s="10"/>
      <c r="LEE81" s="10"/>
      <c r="LEF81" s="10"/>
      <c r="LEG81" s="10"/>
      <c r="LEH81" s="10"/>
      <c r="LEI81" s="10"/>
      <c r="LEJ81" s="10"/>
      <c r="LEK81" s="10"/>
      <c r="LEL81" s="10"/>
      <c r="LEM81" s="10"/>
      <c r="LEN81" s="10"/>
      <c r="LEO81" s="10"/>
      <c r="LEP81" s="10"/>
      <c r="LEQ81" s="10"/>
      <c r="LER81" s="10"/>
      <c r="LES81" s="10"/>
      <c r="LET81" s="10"/>
      <c r="LEU81" s="10"/>
      <c r="LEV81" s="10"/>
      <c r="LEW81" s="10"/>
      <c r="LEX81" s="10"/>
      <c r="LEY81" s="10"/>
      <c r="LEZ81" s="10"/>
      <c r="LFA81" s="10"/>
      <c r="LFB81" s="10"/>
      <c r="LFC81" s="10"/>
      <c r="LFD81" s="10"/>
      <c r="LFE81" s="10"/>
      <c r="LFF81" s="10"/>
      <c r="LFG81" s="10"/>
      <c r="LFH81" s="10"/>
      <c r="LFI81" s="10"/>
      <c r="LFJ81" s="10"/>
      <c r="LFK81" s="10"/>
      <c r="LFL81" s="10"/>
      <c r="LFM81" s="10"/>
      <c r="LFN81" s="10"/>
      <c r="LFO81" s="10"/>
      <c r="LFP81" s="10"/>
      <c r="LFQ81" s="10"/>
      <c r="LFR81" s="10"/>
      <c r="LFS81" s="10"/>
      <c r="LFT81" s="10"/>
      <c r="LFU81" s="10"/>
      <c r="LFV81" s="10"/>
      <c r="LFW81" s="10"/>
      <c r="LFX81" s="10"/>
      <c r="LFY81" s="10"/>
      <c r="LFZ81" s="10"/>
      <c r="LGA81" s="10"/>
      <c r="LGB81" s="10"/>
      <c r="LGC81" s="10"/>
      <c r="LGD81" s="10"/>
      <c r="LGE81" s="10"/>
      <c r="LGF81" s="10"/>
      <c r="LGG81" s="10"/>
      <c r="LGH81" s="10"/>
      <c r="LGI81" s="10"/>
      <c r="LGJ81" s="10"/>
      <c r="LGK81" s="10"/>
      <c r="LGL81" s="10"/>
      <c r="LGM81" s="10"/>
      <c r="LGN81" s="10"/>
      <c r="LGO81" s="10"/>
      <c r="LGP81" s="10"/>
      <c r="LGQ81" s="10"/>
      <c r="LGR81" s="10"/>
      <c r="LGS81" s="10"/>
      <c r="LGT81" s="10"/>
      <c r="LGU81" s="10"/>
      <c r="LGV81" s="10"/>
      <c r="LGW81" s="10"/>
      <c r="LGX81" s="10"/>
      <c r="LGY81" s="10"/>
      <c r="LGZ81" s="10"/>
      <c r="LHA81" s="10"/>
      <c r="LHB81" s="10"/>
      <c r="LHC81" s="10"/>
      <c r="LHD81" s="10"/>
      <c r="LHE81" s="10"/>
      <c r="LHF81" s="10"/>
      <c r="LHG81" s="10"/>
      <c r="LHH81" s="10"/>
      <c r="LHI81" s="10"/>
      <c r="LHJ81" s="10"/>
      <c r="LHK81" s="10"/>
      <c r="LHL81" s="10"/>
      <c r="LHM81" s="10"/>
      <c r="LHN81" s="10"/>
      <c r="LHO81" s="10"/>
      <c r="LHP81" s="10"/>
      <c r="LHQ81" s="10"/>
      <c r="LHR81" s="10"/>
      <c r="LHS81" s="10"/>
      <c r="LHT81" s="10"/>
      <c r="LHU81" s="10"/>
      <c r="LHV81" s="10"/>
      <c r="LHW81" s="10"/>
      <c r="LHX81" s="10"/>
      <c r="LHY81" s="10"/>
      <c r="LHZ81" s="10"/>
      <c r="LIA81" s="10"/>
      <c r="LIB81" s="10"/>
      <c r="LIC81" s="10"/>
      <c r="LID81" s="10"/>
      <c r="LIE81" s="10"/>
      <c r="LIF81" s="10"/>
      <c r="LIG81" s="10"/>
      <c r="LIH81" s="10"/>
      <c r="LII81" s="10"/>
      <c r="LIJ81" s="10"/>
      <c r="LIK81" s="10"/>
      <c r="LIL81" s="10"/>
      <c r="LIM81" s="10"/>
      <c r="LIN81" s="10"/>
      <c r="LIO81" s="10"/>
      <c r="LIP81" s="10"/>
      <c r="LIQ81" s="10"/>
      <c r="LIR81" s="10"/>
      <c r="LIS81" s="10"/>
      <c r="LIT81" s="10"/>
      <c r="LIU81" s="10"/>
      <c r="LIV81" s="10"/>
      <c r="LIW81" s="10"/>
      <c r="LIX81" s="10"/>
      <c r="LIY81" s="10"/>
      <c r="LIZ81" s="10"/>
      <c r="LJA81" s="10"/>
      <c r="LJB81" s="10"/>
      <c r="LJC81" s="10"/>
      <c r="LJD81" s="10"/>
      <c r="LJE81" s="10"/>
      <c r="LJF81" s="10"/>
      <c r="LJG81" s="10"/>
      <c r="LJH81" s="10"/>
      <c r="LJI81" s="10"/>
      <c r="LJJ81" s="10"/>
      <c r="LJK81" s="10"/>
      <c r="LJL81" s="10"/>
      <c r="LJM81" s="10"/>
      <c r="LJN81" s="10"/>
      <c r="LJO81" s="10"/>
      <c r="LJP81" s="10"/>
      <c r="LJQ81" s="10"/>
      <c r="LJR81" s="10"/>
      <c r="LJS81" s="10"/>
      <c r="LJT81" s="10"/>
      <c r="LJU81" s="10"/>
      <c r="LJV81" s="10"/>
      <c r="LJW81" s="10"/>
      <c r="LJX81" s="10"/>
      <c r="LJY81" s="10"/>
      <c r="LJZ81" s="10"/>
      <c r="LKA81" s="10"/>
      <c r="LKB81" s="10"/>
      <c r="LKC81" s="10"/>
      <c r="LKD81" s="10"/>
      <c r="LKE81" s="10"/>
      <c r="LKF81" s="10"/>
      <c r="LKG81" s="10"/>
      <c r="LKH81" s="10"/>
      <c r="LKI81" s="10"/>
      <c r="LKJ81" s="10"/>
      <c r="LKK81" s="10"/>
      <c r="LKL81" s="10"/>
      <c r="LKM81" s="10"/>
      <c r="LKN81" s="10"/>
      <c r="LKO81" s="10"/>
      <c r="LKP81" s="10"/>
      <c r="LKQ81" s="10"/>
      <c r="LKR81" s="10"/>
      <c r="LKS81" s="10"/>
      <c r="LKT81" s="10"/>
      <c r="LKU81" s="10"/>
      <c r="LKV81" s="10"/>
      <c r="LKW81" s="10"/>
      <c r="LKX81" s="10"/>
      <c r="LKY81" s="10"/>
      <c r="LKZ81" s="10"/>
      <c r="LLA81" s="10"/>
      <c r="LLB81" s="10"/>
      <c r="LLC81" s="10"/>
      <c r="LLD81" s="10"/>
      <c r="LLE81" s="10"/>
      <c r="LLF81" s="10"/>
      <c r="LLG81" s="10"/>
      <c r="LLH81" s="10"/>
      <c r="LLI81" s="10"/>
      <c r="LLJ81" s="10"/>
      <c r="LLK81" s="10"/>
      <c r="LLL81" s="10"/>
      <c r="LLM81" s="10"/>
      <c r="LLN81" s="10"/>
      <c r="LLO81" s="10"/>
      <c r="LLP81" s="10"/>
      <c r="LLQ81" s="10"/>
      <c r="LLR81" s="10"/>
      <c r="LLS81" s="10"/>
      <c r="LLT81" s="10"/>
      <c r="LLU81" s="10"/>
      <c r="LLV81" s="10"/>
      <c r="LLW81" s="10"/>
      <c r="LLX81" s="10"/>
      <c r="LLY81" s="10"/>
      <c r="LLZ81" s="10"/>
      <c r="LMA81" s="10"/>
      <c r="LMB81" s="10"/>
      <c r="LMC81" s="10"/>
      <c r="LMD81" s="10"/>
      <c r="LME81" s="10"/>
      <c r="LMF81" s="10"/>
      <c r="LMG81" s="10"/>
      <c r="LMH81" s="10"/>
      <c r="LMI81" s="10"/>
      <c r="LMJ81" s="10"/>
      <c r="LMK81" s="10"/>
      <c r="LML81" s="10"/>
      <c r="LMM81" s="10"/>
      <c r="LMN81" s="10"/>
      <c r="LMO81" s="10"/>
      <c r="LMP81" s="10"/>
      <c r="LMQ81" s="10"/>
      <c r="LMR81" s="10"/>
      <c r="LMS81" s="10"/>
      <c r="LMT81" s="10"/>
      <c r="LMU81" s="10"/>
      <c r="LMV81" s="10"/>
      <c r="LMW81" s="10"/>
      <c r="LMX81" s="10"/>
      <c r="LMY81" s="10"/>
      <c r="LMZ81" s="10"/>
      <c r="LNA81" s="10"/>
      <c r="LNB81" s="10"/>
      <c r="LNC81" s="10"/>
      <c r="LND81" s="10"/>
      <c r="LNE81" s="10"/>
      <c r="LNF81" s="10"/>
      <c r="LNG81" s="10"/>
      <c r="LNH81" s="10"/>
      <c r="LNI81" s="10"/>
      <c r="LNJ81" s="10"/>
      <c r="LNK81" s="10"/>
      <c r="LNL81" s="10"/>
      <c r="LNM81" s="10"/>
      <c r="LNN81" s="10"/>
      <c r="LNO81" s="10"/>
      <c r="LNP81" s="10"/>
      <c r="LNQ81" s="10"/>
      <c r="LNR81" s="10"/>
      <c r="LNS81" s="10"/>
      <c r="LNT81" s="10"/>
      <c r="LNU81" s="10"/>
      <c r="LNV81" s="10"/>
      <c r="LNW81" s="10"/>
      <c r="LNX81" s="10"/>
      <c r="LNY81" s="10"/>
      <c r="LNZ81" s="10"/>
      <c r="LOA81" s="10"/>
      <c r="LOB81" s="10"/>
      <c r="LOC81" s="10"/>
      <c r="LOD81" s="10"/>
      <c r="LOE81" s="10"/>
      <c r="LOF81" s="10"/>
      <c r="LOG81" s="10"/>
      <c r="LOH81" s="10"/>
      <c r="LOI81" s="10"/>
      <c r="LOJ81" s="10"/>
      <c r="LOK81" s="10"/>
      <c r="LOL81" s="10"/>
      <c r="LOM81" s="10"/>
      <c r="LON81" s="10"/>
      <c r="LOO81" s="10"/>
      <c r="LOP81" s="10"/>
      <c r="LOQ81" s="10"/>
      <c r="LOR81" s="10"/>
      <c r="LOS81" s="10"/>
      <c r="LOT81" s="10"/>
      <c r="LOU81" s="10"/>
      <c r="LOV81" s="10"/>
      <c r="LOW81" s="10"/>
      <c r="LOX81" s="10"/>
      <c r="LOY81" s="10"/>
      <c r="LOZ81" s="10"/>
      <c r="LPA81" s="10"/>
      <c r="LPB81" s="10"/>
      <c r="LPC81" s="10"/>
      <c r="LPD81" s="10"/>
      <c r="LPE81" s="10"/>
      <c r="LPF81" s="10"/>
      <c r="LPG81" s="10"/>
      <c r="LPH81" s="10"/>
      <c r="LPI81" s="10"/>
      <c r="LPJ81" s="10"/>
      <c r="LPK81" s="10"/>
      <c r="LPL81" s="10"/>
      <c r="LPM81" s="10"/>
      <c r="LPN81" s="10"/>
      <c r="LPO81" s="10"/>
      <c r="LPP81" s="10"/>
      <c r="LPQ81" s="10"/>
      <c r="LPR81" s="10"/>
      <c r="LPS81" s="10"/>
      <c r="LPT81" s="10"/>
      <c r="LPU81" s="10"/>
      <c r="LPV81" s="10"/>
      <c r="LPW81" s="10"/>
      <c r="LPX81" s="10"/>
      <c r="LPY81" s="10"/>
      <c r="LPZ81" s="10"/>
      <c r="LQA81" s="10"/>
      <c r="LQB81" s="10"/>
      <c r="LQC81" s="10"/>
      <c r="LQD81" s="10"/>
      <c r="LQE81" s="10"/>
      <c r="LQF81" s="10"/>
      <c r="LQG81" s="10"/>
      <c r="LQH81" s="10"/>
      <c r="LQI81" s="10"/>
      <c r="LQJ81" s="10"/>
      <c r="LQK81" s="10"/>
      <c r="LQL81" s="10"/>
      <c r="LQM81" s="10"/>
      <c r="LQN81" s="10"/>
      <c r="LQO81" s="10"/>
      <c r="LQP81" s="10"/>
      <c r="LQQ81" s="10"/>
      <c r="LQR81" s="10"/>
      <c r="LQS81" s="10"/>
      <c r="LQT81" s="10"/>
      <c r="LQU81" s="10"/>
      <c r="LQV81" s="10"/>
      <c r="LQW81" s="10"/>
      <c r="LQX81" s="10"/>
      <c r="LQY81" s="10"/>
      <c r="LQZ81" s="10"/>
      <c r="LRA81" s="10"/>
      <c r="LRB81" s="10"/>
      <c r="LRC81" s="10"/>
      <c r="LRD81" s="10"/>
      <c r="LRE81" s="10"/>
      <c r="LRF81" s="10"/>
      <c r="LRG81" s="10"/>
      <c r="LRH81" s="10"/>
      <c r="LRI81" s="10"/>
      <c r="LRJ81" s="10"/>
      <c r="LRK81" s="10"/>
      <c r="LRL81" s="10"/>
      <c r="LRM81" s="10"/>
      <c r="LRN81" s="10"/>
      <c r="LRO81" s="10"/>
      <c r="LRP81" s="10"/>
      <c r="LRQ81" s="10"/>
      <c r="LRR81" s="10"/>
      <c r="LRS81" s="10"/>
      <c r="LRT81" s="10"/>
      <c r="LRU81" s="10"/>
      <c r="LRV81" s="10"/>
      <c r="LRW81" s="10"/>
      <c r="LRX81" s="10"/>
      <c r="LRY81" s="10"/>
      <c r="LRZ81" s="10"/>
      <c r="LSA81" s="10"/>
      <c r="LSB81" s="10"/>
      <c r="LSC81" s="10"/>
      <c r="LSD81" s="10"/>
      <c r="LSE81" s="10"/>
      <c r="LSF81" s="10"/>
      <c r="LSG81" s="10"/>
      <c r="LSH81" s="10"/>
      <c r="LSI81" s="10"/>
      <c r="LSJ81" s="10"/>
      <c r="LSK81" s="10"/>
      <c r="LSL81" s="10"/>
      <c r="LSM81" s="10"/>
      <c r="LSN81" s="10"/>
      <c r="LSO81" s="10"/>
      <c r="LSP81" s="10"/>
      <c r="LSQ81" s="10"/>
      <c r="LSR81" s="10"/>
      <c r="LSS81" s="10"/>
      <c r="LST81" s="10"/>
      <c r="LSU81" s="10"/>
      <c r="LSV81" s="10"/>
      <c r="LSW81" s="10"/>
      <c r="LSX81" s="10"/>
      <c r="LSY81" s="10"/>
      <c r="LSZ81" s="10"/>
      <c r="LTA81" s="10"/>
      <c r="LTB81" s="10"/>
      <c r="LTC81" s="10"/>
      <c r="LTD81" s="10"/>
      <c r="LTE81" s="10"/>
      <c r="LTF81" s="10"/>
      <c r="LTG81" s="10"/>
      <c r="LTH81" s="10"/>
      <c r="LTI81" s="10"/>
      <c r="LTJ81" s="10"/>
      <c r="LTK81" s="10"/>
      <c r="LTL81" s="10"/>
      <c r="LTM81" s="10"/>
      <c r="LTN81" s="10"/>
      <c r="LTO81" s="10"/>
      <c r="LTP81" s="10"/>
      <c r="LTQ81" s="10"/>
      <c r="LTR81" s="10"/>
      <c r="LTS81" s="10"/>
      <c r="LTT81" s="10"/>
      <c r="LTU81" s="10"/>
      <c r="LTV81" s="10"/>
      <c r="LTW81" s="10"/>
      <c r="LTX81" s="10"/>
      <c r="LTY81" s="10"/>
      <c r="LTZ81" s="10"/>
      <c r="LUA81" s="10"/>
      <c r="LUB81" s="10"/>
      <c r="LUC81" s="10"/>
      <c r="LUD81" s="10"/>
      <c r="LUE81" s="10"/>
      <c r="LUF81" s="10"/>
      <c r="LUG81" s="10"/>
      <c r="LUH81" s="10"/>
      <c r="LUI81" s="10"/>
      <c r="LUJ81" s="10"/>
      <c r="LUK81" s="10"/>
      <c r="LUL81" s="10"/>
      <c r="LUM81" s="10"/>
      <c r="LUN81" s="10"/>
      <c r="LUO81" s="10"/>
      <c r="LUP81" s="10"/>
      <c r="LUQ81" s="10"/>
      <c r="LUR81" s="10"/>
      <c r="LUS81" s="10"/>
      <c r="LUT81" s="10"/>
      <c r="LUU81" s="10"/>
      <c r="LUV81" s="10"/>
      <c r="LUW81" s="10"/>
      <c r="LUX81" s="10"/>
      <c r="LUY81" s="10"/>
      <c r="LUZ81" s="10"/>
      <c r="LVA81" s="10"/>
      <c r="LVB81" s="10"/>
      <c r="LVC81" s="10"/>
      <c r="LVD81" s="10"/>
      <c r="LVE81" s="10"/>
      <c r="LVF81" s="10"/>
      <c r="LVG81" s="10"/>
      <c r="LVH81" s="10"/>
      <c r="LVI81" s="10"/>
      <c r="LVJ81" s="10"/>
      <c r="LVK81" s="10"/>
      <c r="LVL81" s="10"/>
      <c r="LVM81" s="10"/>
      <c r="LVN81" s="10"/>
      <c r="LVO81" s="10"/>
      <c r="LVP81" s="10"/>
      <c r="LVQ81" s="10"/>
      <c r="LVR81" s="10"/>
      <c r="LVS81" s="10"/>
      <c r="LVT81" s="10"/>
      <c r="LVU81" s="10"/>
      <c r="LVV81" s="10"/>
      <c r="LVW81" s="10"/>
      <c r="LVX81" s="10"/>
      <c r="LVY81" s="10"/>
      <c r="LVZ81" s="10"/>
      <c r="LWA81" s="10"/>
      <c r="LWB81" s="10"/>
      <c r="LWC81" s="10"/>
      <c r="LWD81" s="10"/>
      <c r="LWE81" s="10"/>
      <c r="LWF81" s="10"/>
      <c r="LWG81" s="10"/>
      <c r="LWH81" s="10"/>
      <c r="LWI81" s="10"/>
      <c r="LWJ81" s="10"/>
      <c r="LWK81" s="10"/>
      <c r="LWL81" s="10"/>
      <c r="LWM81" s="10"/>
      <c r="LWN81" s="10"/>
      <c r="LWO81" s="10"/>
      <c r="LWP81" s="10"/>
      <c r="LWQ81" s="10"/>
      <c r="LWR81" s="10"/>
      <c r="LWS81" s="10"/>
      <c r="LWT81" s="10"/>
      <c r="LWU81" s="10"/>
      <c r="LWV81" s="10"/>
      <c r="LWW81" s="10"/>
      <c r="LWX81" s="10"/>
      <c r="LWY81" s="10"/>
      <c r="LWZ81" s="10"/>
      <c r="LXA81" s="10"/>
      <c r="LXB81" s="10"/>
      <c r="LXC81" s="10"/>
      <c r="LXD81" s="10"/>
      <c r="LXE81" s="10"/>
      <c r="LXF81" s="10"/>
      <c r="LXG81" s="10"/>
      <c r="LXH81" s="10"/>
      <c r="LXI81" s="10"/>
      <c r="LXJ81" s="10"/>
      <c r="LXK81" s="10"/>
      <c r="LXL81" s="10"/>
      <c r="LXM81" s="10"/>
      <c r="LXN81" s="10"/>
      <c r="LXO81" s="10"/>
      <c r="LXP81" s="10"/>
      <c r="LXQ81" s="10"/>
      <c r="LXR81" s="10"/>
      <c r="LXS81" s="10"/>
      <c r="LXT81" s="10"/>
      <c r="LXU81" s="10"/>
      <c r="LXV81" s="10"/>
      <c r="LXW81" s="10"/>
      <c r="LXX81" s="10"/>
      <c r="LXY81" s="10"/>
      <c r="LXZ81" s="10"/>
      <c r="LYA81" s="10"/>
      <c r="LYB81" s="10"/>
      <c r="LYC81" s="10"/>
      <c r="LYD81" s="10"/>
      <c r="LYE81" s="10"/>
      <c r="LYF81" s="10"/>
      <c r="LYG81" s="10"/>
      <c r="LYH81" s="10"/>
      <c r="LYI81" s="10"/>
      <c r="LYJ81" s="10"/>
      <c r="LYK81" s="10"/>
      <c r="LYL81" s="10"/>
      <c r="LYM81" s="10"/>
      <c r="LYN81" s="10"/>
      <c r="LYO81" s="10"/>
      <c r="LYP81" s="10"/>
      <c r="LYQ81" s="10"/>
      <c r="LYR81" s="10"/>
      <c r="LYS81" s="10"/>
      <c r="LYT81" s="10"/>
      <c r="LYU81" s="10"/>
      <c r="LYV81" s="10"/>
      <c r="LYW81" s="10"/>
      <c r="LYX81" s="10"/>
      <c r="LYY81" s="10"/>
      <c r="LYZ81" s="10"/>
      <c r="LZA81" s="10"/>
      <c r="LZB81" s="10"/>
      <c r="LZC81" s="10"/>
      <c r="LZD81" s="10"/>
      <c r="LZE81" s="10"/>
      <c r="LZF81" s="10"/>
      <c r="LZG81" s="10"/>
      <c r="LZH81" s="10"/>
      <c r="LZI81" s="10"/>
      <c r="LZJ81" s="10"/>
      <c r="LZK81" s="10"/>
      <c r="LZL81" s="10"/>
      <c r="LZM81" s="10"/>
      <c r="LZN81" s="10"/>
      <c r="LZO81" s="10"/>
      <c r="LZP81" s="10"/>
      <c r="LZQ81" s="10"/>
      <c r="LZR81" s="10"/>
      <c r="LZS81" s="10"/>
      <c r="LZT81" s="10"/>
      <c r="LZU81" s="10"/>
      <c r="LZV81" s="10"/>
      <c r="LZW81" s="10"/>
      <c r="LZX81" s="10"/>
      <c r="LZY81" s="10"/>
      <c r="LZZ81" s="10"/>
      <c r="MAA81" s="10"/>
      <c r="MAB81" s="10"/>
      <c r="MAC81" s="10"/>
      <c r="MAD81" s="10"/>
      <c r="MAE81" s="10"/>
      <c r="MAF81" s="10"/>
      <c r="MAG81" s="10"/>
      <c r="MAH81" s="10"/>
      <c r="MAI81" s="10"/>
      <c r="MAJ81" s="10"/>
      <c r="MAK81" s="10"/>
      <c r="MAL81" s="10"/>
      <c r="MAM81" s="10"/>
      <c r="MAN81" s="10"/>
      <c r="MAO81" s="10"/>
      <c r="MAP81" s="10"/>
      <c r="MAQ81" s="10"/>
      <c r="MAR81" s="10"/>
      <c r="MAS81" s="10"/>
      <c r="MAT81" s="10"/>
      <c r="MAU81" s="10"/>
      <c r="MAV81" s="10"/>
      <c r="MAW81" s="10"/>
      <c r="MAX81" s="10"/>
      <c r="MAY81" s="10"/>
      <c r="MAZ81" s="10"/>
      <c r="MBA81" s="10"/>
      <c r="MBB81" s="10"/>
      <c r="MBC81" s="10"/>
      <c r="MBD81" s="10"/>
      <c r="MBE81" s="10"/>
      <c r="MBF81" s="10"/>
      <c r="MBG81" s="10"/>
      <c r="MBH81" s="10"/>
      <c r="MBI81" s="10"/>
      <c r="MBJ81" s="10"/>
      <c r="MBK81" s="10"/>
      <c r="MBL81" s="10"/>
      <c r="MBM81" s="10"/>
      <c r="MBN81" s="10"/>
      <c r="MBO81" s="10"/>
      <c r="MBP81" s="10"/>
      <c r="MBQ81" s="10"/>
      <c r="MBR81" s="10"/>
      <c r="MBS81" s="10"/>
      <c r="MBT81" s="10"/>
      <c r="MBU81" s="10"/>
      <c r="MBV81" s="10"/>
      <c r="MBW81" s="10"/>
      <c r="MBX81" s="10"/>
      <c r="MBY81" s="10"/>
      <c r="MBZ81" s="10"/>
      <c r="MCA81" s="10"/>
      <c r="MCB81" s="10"/>
      <c r="MCC81" s="10"/>
      <c r="MCD81" s="10"/>
      <c r="MCE81" s="10"/>
      <c r="MCF81" s="10"/>
      <c r="MCG81" s="10"/>
      <c r="MCH81" s="10"/>
      <c r="MCI81" s="10"/>
      <c r="MCJ81" s="10"/>
      <c r="MCK81" s="10"/>
      <c r="MCL81" s="10"/>
      <c r="MCM81" s="10"/>
      <c r="MCN81" s="10"/>
      <c r="MCO81" s="10"/>
      <c r="MCP81" s="10"/>
      <c r="MCQ81" s="10"/>
      <c r="MCR81" s="10"/>
      <c r="MCS81" s="10"/>
      <c r="MCT81" s="10"/>
      <c r="MCU81" s="10"/>
      <c r="MCV81" s="10"/>
      <c r="MCW81" s="10"/>
      <c r="MCX81" s="10"/>
      <c r="MCY81" s="10"/>
      <c r="MCZ81" s="10"/>
      <c r="MDA81" s="10"/>
      <c r="MDB81" s="10"/>
      <c r="MDC81" s="10"/>
      <c r="MDD81" s="10"/>
      <c r="MDE81" s="10"/>
      <c r="MDF81" s="10"/>
      <c r="MDG81" s="10"/>
      <c r="MDH81" s="10"/>
      <c r="MDI81" s="10"/>
      <c r="MDJ81" s="10"/>
      <c r="MDK81" s="10"/>
      <c r="MDL81" s="10"/>
      <c r="MDM81" s="10"/>
      <c r="MDN81" s="10"/>
      <c r="MDO81" s="10"/>
      <c r="MDP81" s="10"/>
      <c r="MDQ81" s="10"/>
      <c r="MDR81" s="10"/>
      <c r="MDS81" s="10"/>
      <c r="MDT81" s="10"/>
      <c r="MDU81" s="10"/>
      <c r="MDV81" s="10"/>
      <c r="MDW81" s="10"/>
      <c r="MDX81" s="10"/>
      <c r="MDY81" s="10"/>
      <c r="MDZ81" s="10"/>
      <c r="MEA81" s="10"/>
      <c r="MEB81" s="10"/>
      <c r="MEC81" s="10"/>
      <c r="MED81" s="10"/>
      <c r="MEE81" s="10"/>
      <c r="MEF81" s="10"/>
      <c r="MEG81" s="10"/>
      <c r="MEH81" s="10"/>
      <c r="MEI81" s="10"/>
      <c r="MEJ81" s="10"/>
      <c r="MEK81" s="10"/>
      <c r="MEL81" s="10"/>
      <c r="MEM81" s="10"/>
      <c r="MEN81" s="10"/>
      <c r="MEO81" s="10"/>
      <c r="MEP81" s="10"/>
      <c r="MEQ81" s="10"/>
      <c r="MER81" s="10"/>
      <c r="MES81" s="10"/>
      <c r="MET81" s="10"/>
      <c r="MEU81" s="10"/>
      <c r="MEV81" s="10"/>
      <c r="MEW81" s="10"/>
      <c r="MEX81" s="10"/>
      <c r="MEY81" s="10"/>
      <c r="MEZ81" s="10"/>
      <c r="MFA81" s="10"/>
      <c r="MFB81" s="10"/>
      <c r="MFC81" s="10"/>
      <c r="MFD81" s="10"/>
      <c r="MFE81" s="10"/>
      <c r="MFF81" s="10"/>
      <c r="MFG81" s="10"/>
      <c r="MFH81" s="10"/>
      <c r="MFI81" s="10"/>
      <c r="MFJ81" s="10"/>
      <c r="MFK81" s="10"/>
      <c r="MFL81" s="10"/>
      <c r="MFM81" s="10"/>
      <c r="MFN81" s="10"/>
      <c r="MFO81" s="10"/>
      <c r="MFP81" s="10"/>
      <c r="MFQ81" s="10"/>
      <c r="MFR81" s="10"/>
      <c r="MFS81" s="10"/>
      <c r="MFT81" s="10"/>
      <c r="MFU81" s="10"/>
      <c r="MFV81" s="10"/>
      <c r="MFW81" s="10"/>
      <c r="MFX81" s="10"/>
      <c r="MFY81" s="10"/>
      <c r="MFZ81" s="10"/>
      <c r="MGA81" s="10"/>
      <c r="MGB81" s="10"/>
      <c r="MGC81" s="10"/>
      <c r="MGD81" s="10"/>
      <c r="MGE81" s="10"/>
      <c r="MGF81" s="10"/>
      <c r="MGG81" s="10"/>
      <c r="MGH81" s="10"/>
      <c r="MGI81" s="10"/>
      <c r="MGJ81" s="10"/>
      <c r="MGK81" s="10"/>
      <c r="MGL81" s="10"/>
      <c r="MGM81" s="10"/>
      <c r="MGN81" s="10"/>
      <c r="MGO81" s="10"/>
      <c r="MGP81" s="10"/>
      <c r="MGQ81" s="10"/>
      <c r="MGR81" s="10"/>
      <c r="MGS81" s="10"/>
      <c r="MGT81" s="10"/>
      <c r="MGU81" s="10"/>
      <c r="MGV81" s="10"/>
      <c r="MGW81" s="10"/>
      <c r="MGX81" s="10"/>
      <c r="MGY81" s="10"/>
      <c r="MGZ81" s="10"/>
      <c r="MHA81" s="10"/>
      <c r="MHB81" s="10"/>
      <c r="MHC81" s="10"/>
      <c r="MHD81" s="10"/>
      <c r="MHE81" s="10"/>
      <c r="MHF81" s="10"/>
      <c r="MHG81" s="10"/>
      <c r="MHH81" s="10"/>
      <c r="MHI81" s="10"/>
      <c r="MHJ81" s="10"/>
      <c r="MHK81" s="10"/>
      <c r="MHL81" s="10"/>
      <c r="MHM81" s="10"/>
      <c r="MHN81" s="10"/>
      <c r="MHO81" s="10"/>
      <c r="MHP81" s="10"/>
      <c r="MHQ81" s="10"/>
      <c r="MHR81" s="10"/>
      <c r="MHS81" s="10"/>
      <c r="MHT81" s="10"/>
      <c r="MHU81" s="10"/>
      <c r="MHV81" s="10"/>
      <c r="MHW81" s="10"/>
      <c r="MHX81" s="10"/>
      <c r="MHY81" s="10"/>
      <c r="MHZ81" s="10"/>
      <c r="MIA81" s="10"/>
      <c r="MIB81" s="10"/>
      <c r="MIC81" s="10"/>
      <c r="MID81" s="10"/>
      <c r="MIE81" s="10"/>
      <c r="MIF81" s="10"/>
      <c r="MIG81" s="10"/>
      <c r="MIH81" s="10"/>
      <c r="MII81" s="10"/>
      <c r="MIJ81" s="10"/>
      <c r="MIK81" s="10"/>
      <c r="MIL81" s="10"/>
      <c r="MIM81" s="10"/>
      <c r="MIN81" s="10"/>
      <c r="MIO81" s="10"/>
      <c r="MIP81" s="10"/>
      <c r="MIQ81" s="10"/>
      <c r="MIR81" s="10"/>
      <c r="MIS81" s="10"/>
      <c r="MIT81" s="10"/>
      <c r="MIU81" s="10"/>
      <c r="MIV81" s="10"/>
      <c r="MIW81" s="10"/>
      <c r="MIX81" s="10"/>
      <c r="MIY81" s="10"/>
      <c r="MIZ81" s="10"/>
      <c r="MJA81" s="10"/>
      <c r="MJB81" s="10"/>
      <c r="MJC81" s="10"/>
      <c r="MJD81" s="10"/>
      <c r="MJE81" s="10"/>
      <c r="MJF81" s="10"/>
      <c r="MJG81" s="10"/>
      <c r="MJH81" s="10"/>
      <c r="MJI81" s="10"/>
      <c r="MJJ81" s="10"/>
      <c r="MJK81" s="10"/>
      <c r="MJL81" s="10"/>
      <c r="MJM81" s="10"/>
      <c r="MJN81" s="10"/>
      <c r="MJO81" s="10"/>
      <c r="MJP81" s="10"/>
      <c r="MJQ81" s="10"/>
      <c r="MJR81" s="10"/>
      <c r="MJS81" s="10"/>
      <c r="MJT81" s="10"/>
      <c r="MJU81" s="10"/>
      <c r="MJV81" s="10"/>
      <c r="MJW81" s="10"/>
      <c r="MJX81" s="10"/>
      <c r="MJY81" s="10"/>
      <c r="MJZ81" s="10"/>
      <c r="MKA81" s="10"/>
      <c r="MKB81" s="10"/>
      <c r="MKC81" s="10"/>
      <c r="MKD81" s="10"/>
      <c r="MKE81" s="10"/>
      <c r="MKF81" s="10"/>
      <c r="MKG81" s="10"/>
      <c r="MKH81" s="10"/>
      <c r="MKI81" s="10"/>
      <c r="MKJ81" s="10"/>
      <c r="MKK81" s="10"/>
      <c r="MKL81" s="10"/>
      <c r="MKM81" s="10"/>
      <c r="MKN81" s="10"/>
      <c r="MKO81" s="10"/>
      <c r="MKP81" s="10"/>
      <c r="MKQ81" s="10"/>
      <c r="MKR81" s="10"/>
      <c r="MKS81" s="10"/>
      <c r="MKT81" s="10"/>
      <c r="MKU81" s="10"/>
      <c r="MKV81" s="10"/>
      <c r="MKW81" s="10"/>
      <c r="MKX81" s="10"/>
      <c r="MKY81" s="10"/>
      <c r="MKZ81" s="10"/>
      <c r="MLA81" s="10"/>
      <c r="MLB81" s="10"/>
      <c r="MLC81" s="10"/>
      <c r="MLD81" s="10"/>
      <c r="MLE81" s="10"/>
      <c r="MLF81" s="10"/>
      <c r="MLG81" s="10"/>
      <c r="MLH81" s="10"/>
      <c r="MLI81" s="10"/>
      <c r="MLJ81" s="10"/>
      <c r="MLK81" s="10"/>
      <c r="MLL81" s="10"/>
      <c r="MLM81" s="10"/>
      <c r="MLN81" s="10"/>
      <c r="MLO81" s="10"/>
      <c r="MLP81" s="10"/>
      <c r="MLQ81" s="10"/>
      <c r="MLR81" s="10"/>
      <c r="MLS81" s="10"/>
      <c r="MLT81" s="10"/>
      <c r="MLU81" s="10"/>
      <c r="MLV81" s="10"/>
      <c r="MLW81" s="10"/>
      <c r="MLX81" s="10"/>
      <c r="MLY81" s="10"/>
      <c r="MLZ81" s="10"/>
      <c r="MMA81" s="10"/>
      <c r="MMB81" s="10"/>
      <c r="MMC81" s="10"/>
      <c r="MMD81" s="10"/>
      <c r="MME81" s="10"/>
      <c r="MMF81" s="10"/>
      <c r="MMG81" s="10"/>
      <c r="MMH81" s="10"/>
      <c r="MMI81" s="10"/>
      <c r="MMJ81" s="10"/>
      <c r="MMK81" s="10"/>
      <c r="MML81" s="10"/>
      <c r="MMM81" s="10"/>
      <c r="MMN81" s="10"/>
      <c r="MMO81" s="10"/>
      <c r="MMP81" s="10"/>
      <c r="MMQ81" s="10"/>
      <c r="MMR81" s="10"/>
      <c r="MMS81" s="10"/>
      <c r="MMT81" s="10"/>
      <c r="MMU81" s="10"/>
      <c r="MMV81" s="10"/>
      <c r="MMW81" s="10"/>
      <c r="MMX81" s="10"/>
      <c r="MMY81" s="10"/>
      <c r="MMZ81" s="10"/>
      <c r="MNA81" s="10"/>
      <c r="MNB81" s="10"/>
      <c r="MNC81" s="10"/>
      <c r="MND81" s="10"/>
      <c r="MNE81" s="10"/>
      <c r="MNF81" s="10"/>
      <c r="MNG81" s="10"/>
      <c r="MNH81" s="10"/>
      <c r="MNI81" s="10"/>
      <c r="MNJ81" s="10"/>
      <c r="MNK81" s="10"/>
      <c r="MNL81" s="10"/>
      <c r="MNM81" s="10"/>
      <c r="MNN81" s="10"/>
      <c r="MNO81" s="10"/>
      <c r="MNP81" s="10"/>
      <c r="MNQ81" s="10"/>
      <c r="MNR81" s="10"/>
      <c r="MNS81" s="10"/>
      <c r="MNT81" s="10"/>
      <c r="MNU81" s="10"/>
      <c r="MNV81" s="10"/>
      <c r="MNW81" s="10"/>
      <c r="MNX81" s="10"/>
      <c r="MNY81" s="10"/>
      <c r="MNZ81" s="10"/>
      <c r="MOA81" s="10"/>
      <c r="MOB81" s="10"/>
      <c r="MOC81" s="10"/>
      <c r="MOD81" s="10"/>
      <c r="MOE81" s="10"/>
      <c r="MOF81" s="10"/>
      <c r="MOG81" s="10"/>
      <c r="MOH81" s="10"/>
      <c r="MOI81" s="10"/>
      <c r="MOJ81" s="10"/>
      <c r="MOK81" s="10"/>
      <c r="MOL81" s="10"/>
      <c r="MOM81" s="10"/>
      <c r="MON81" s="10"/>
      <c r="MOO81" s="10"/>
      <c r="MOP81" s="10"/>
      <c r="MOQ81" s="10"/>
      <c r="MOR81" s="10"/>
      <c r="MOS81" s="10"/>
      <c r="MOT81" s="10"/>
      <c r="MOU81" s="10"/>
      <c r="MOV81" s="10"/>
      <c r="MOW81" s="10"/>
      <c r="MOX81" s="10"/>
      <c r="MOY81" s="10"/>
      <c r="MOZ81" s="10"/>
      <c r="MPA81" s="10"/>
      <c r="MPB81" s="10"/>
      <c r="MPC81" s="10"/>
      <c r="MPD81" s="10"/>
      <c r="MPE81" s="10"/>
      <c r="MPF81" s="10"/>
      <c r="MPG81" s="10"/>
      <c r="MPH81" s="10"/>
      <c r="MPI81" s="10"/>
      <c r="MPJ81" s="10"/>
      <c r="MPK81" s="10"/>
      <c r="MPL81" s="10"/>
      <c r="MPM81" s="10"/>
      <c r="MPN81" s="10"/>
      <c r="MPO81" s="10"/>
      <c r="MPP81" s="10"/>
      <c r="MPQ81" s="10"/>
      <c r="MPR81" s="10"/>
      <c r="MPS81" s="10"/>
      <c r="MPT81" s="10"/>
      <c r="MPU81" s="10"/>
      <c r="MPV81" s="10"/>
      <c r="MPW81" s="10"/>
      <c r="MPX81" s="10"/>
      <c r="MPY81" s="10"/>
      <c r="MPZ81" s="10"/>
      <c r="MQA81" s="10"/>
      <c r="MQB81" s="10"/>
      <c r="MQC81" s="10"/>
      <c r="MQD81" s="10"/>
      <c r="MQE81" s="10"/>
      <c r="MQF81" s="10"/>
      <c r="MQG81" s="10"/>
      <c r="MQH81" s="10"/>
      <c r="MQI81" s="10"/>
      <c r="MQJ81" s="10"/>
      <c r="MQK81" s="10"/>
      <c r="MQL81" s="10"/>
      <c r="MQM81" s="10"/>
      <c r="MQN81" s="10"/>
      <c r="MQO81" s="10"/>
      <c r="MQP81" s="10"/>
      <c r="MQQ81" s="10"/>
      <c r="MQR81" s="10"/>
      <c r="MQS81" s="10"/>
      <c r="MQT81" s="10"/>
      <c r="MQU81" s="10"/>
      <c r="MQV81" s="10"/>
      <c r="MQW81" s="10"/>
      <c r="MQX81" s="10"/>
      <c r="MQY81" s="10"/>
      <c r="MQZ81" s="10"/>
      <c r="MRA81" s="10"/>
      <c r="MRB81" s="10"/>
      <c r="MRC81" s="10"/>
      <c r="MRD81" s="10"/>
      <c r="MRE81" s="10"/>
      <c r="MRF81" s="10"/>
      <c r="MRG81" s="10"/>
      <c r="MRH81" s="10"/>
      <c r="MRI81" s="10"/>
      <c r="MRJ81" s="10"/>
      <c r="MRK81" s="10"/>
      <c r="MRL81" s="10"/>
      <c r="MRM81" s="10"/>
      <c r="MRN81" s="10"/>
      <c r="MRO81" s="10"/>
      <c r="MRP81" s="10"/>
      <c r="MRQ81" s="10"/>
      <c r="MRR81" s="10"/>
      <c r="MRS81" s="10"/>
      <c r="MRT81" s="10"/>
      <c r="MRU81" s="10"/>
      <c r="MRV81" s="10"/>
      <c r="MRW81" s="10"/>
      <c r="MRX81" s="10"/>
      <c r="MRY81" s="10"/>
      <c r="MRZ81" s="10"/>
      <c r="MSA81" s="10"/>
      <c r="MSB81" s="10"/>
      <c r="MSC81" s="10"/>
      <c r="MSD81" s="10"/>
      <c r="MSE81" s="10"/>
      <c r="MSF81" s="10"/>
      <c r="MSG81" s="10"/>
      <c r="MSH81" s="10"/>
      <c r="MSI81" s="10"/>
      <c r="MSJ81" s="10"/>
      <c r="MSK81" s="10"/>
      <c r="MSL81" s="10"/>
      <c r="MSM81" s="10"/>
      <c r="MSN81" s="10"/>
      <c r="MSO81" s="10"/>
      <c r="MSP81" s="10"/>
      <c r="MSQ81" s="10"/>
      <c r="MSR81" s="10"/>
      <c r="MSS81" s="10"/>
      <c r="MST81" s="10"/>
      <c r="MSU81" s="10"/>
      <c r="MSV81" s="10"/>
      <c r="MSW81" s="10"/>
      <c r="MSX81" s="10"/>
      <c r="MSY81" s="10"/>
      <c r="MSZ81" s="10"/>
      <c r="MTA81" s="10"/>
      <c r="MTB81" s="10"/>
      <c r="MTC81" s="10"/>
      <c r="MTD81" s="10"/>
      <c r="MTE81" s="10"/>
      <c r="MTF81" s="10"/>
      <c r="MTG81" s="10"/>
      <c r="MTH81" s="10"/>
      <c r="MTI81" s="10"/>
      <c r="MTJ81" s="10"/>
      <c r="MTK81" s="10"/>
      <c r="MTL81" s="10"/>
      <c r="MTM81" s="10"/>
      <c r="MTN81" s="10"/>
      <c r="MTO81" s="10"/>
      <c r="MTP81" s="10"/>
      <c r="MTQ81" s="10"/>
      <c r="MTR81" s="10"/>
      <c r="MTS81" s="10"/>
      <c r="MTT81" s="10"/>
      <c r="MTU81" s="10"/>
      <c r="MTV81" s="10"/>
      <c r="MTW81" s="10"/>
      <c r="MTX81" s="10"/>
      <c r="MTY81" s="10"/>
      <c r="MTZ81" s="10"/>
      <c r="MUA81" s="10"/>
      <c r="MUB81" s="10"/>
      <c r="MUC81" s="10"/>
      <c r="MUD81" s="10"/>
      <c r="MUE81" s="10"/>
      <c r="MUF81" s="10"/>
      <c r="MUG81" s="10"/>
      <c r="MUH81" s="10"/>
      <c r="MUI81" s="10"/>
      <c r="MUJ81" s="10"/>
      <c r="MUK81" s="10"/>
      <c r="MUL81" s="10"/>
      <c r="MUM81" s="10"/>
      <c r="MUN81" s="10"/>
      <c r="MUO81" s="10"/>
      <c r="MUP81" s="10"/>
      <c r="MUQ81" s="10"/>
      <c r="MUR81" s="10"/>
      <c r="MUS81" s="10"/>
      <c r="MUT81" s="10"/>
      <c r="MUU81" s="10"/>
      <c r="MUV81" s="10"/>
      <c r="MUW81" s="10"/>
      <c r="MUX81" s="10"/>
      <c r="MUY81" s="10"/>
      <c r="MUZ81" s="10"/>
      <c r="MVA81" s="10"/>
      <c r="MVB81" s="10"/>
      <c r="MVC81" s="10"/>
      <c r="MVD81" s="10"/>
      <c r="MVE81" s="10"/>
      <c r="MVF81" s="10"/>
      <c r="MVG81" s="10"/>
      <c r="MVH81" s="10"/>
      <c r="MVI81" s="10"/>
      <c r="MVJ81" s="10"/>
      <c r="MVK81" s="10"/>
      <c r="MVL81" s="10"/>
      <c r="MVM81" s="10"/>
      <c r="MVN81" s="10"/>
      <c r="MVO81" s="10"/>
      <c r="MVP81" s="10"/>
      <c r="MVQ81" s="10"/>
      <c r="MVR81" s="10"/>
      <c r="MVS81" s="10"/>
      <c r="MVT81" s="10"/>
      <c r="MVU81" s="10"/>
      <c r="MVV81" s="10"/>
      <c r="MVW81" s="10"/>
      <c r="MVX81" s="10"/>
      <c r="MVY81" s="10"/>
      <c r="MVZ81" s="10"/>
      <c r="MWA81" s="10"/>
      <c r="MWB81" s="10"/>
      <c r="MWC81" s="10"/>
      <c r="MWD81" s="10"/>
      <c r="MWE81" s="10"/>
      <c r="MWF81" s="10"/>
      <c r="MWG81" s="10"/>
      <c r="MWH81" s="10"/>
      <c r="MWI81" s="10"/>
      <c r="MWJ81" s="10"/>
      <c r="MWK81" s="10"/>
      <c r="MWL81" s="10"/>
      <c r="MWM81" s="10"/>
      <c r="MWN81" s="10"/>
      <c r="MWO81" s="10"/>
      <c r="MWP81" s="10"/>
      <c r="MWQ81" s="10"/>
      <c r="MWR81" s="10"/>
      <c r="MWS81" s="10"/>
      <c r="MWT81" s="10"/>
      <c r="MWU81" s="10"/>
      <c r="MWV81" s="10"/>
      <c r="MWW81" s="10"/>
      <c r="MWX81" s="10"/>
      <c r="MWY81" s="10"/>
      <c r="MWZ81" s="10"/>
      <c r="MXA81" s="10"/>
      <c r="MXB81" s="10"/>
      <c r="MXC81" s="10"/>
      <c r="MXD81" s="10"/>
      <c r="MXE81" s="10"/>
      <c r="MXF81" s="10"/>
      <c r="MXG81" s="10"/>
      <c r="MXH81" s="10"/>
      <c r="MXI81" s="10"/>
      <c r="MXJ81" s="10"/>
      <c r="MXK81" s="10"/>
      <c r="MXL81" s="10"/>
      <c r="MXM81" s="10"/>
      <c r="MXN81" s="10"/>
      <c r="MXO81" s="10"/>
      <c r="MXP81" s="10"/>
      <c r="MXQ81" s="10"/>
      <c r="MXR81" s="10"/>
      <c r="MXS81" s="10"/>
      <c r="MXT81" s="10"/>
      <c r="MXU81" s="10"/>
      <c r="MXV81" s="10"/>
      <c r="MXW81" s="10"/>
      <c r="MXX81" s="10"/>
      <c r="MXY81" s="10"/>
      <c r="MXZ81" s="10"/>
      <c r="MYA81" s="10"/>
      <c r="MYB81" s="10"/>
      <c r="MYC81" s="10"/>
      <c r="MYD81" s="10"/>
      <c r="MYE81" s="10"/>
      <c r="MYF81" s="10"/>
      <c r="MYG81" s="10"/>
      <c r="MYH81" s="10"/>
      <c r="MYI81" s="10"/>
      <c r="MYJ81" s="10"/>
      <c r="MYK81" s="10"/>
      <c r="MYL81" s="10"/>
      <c r="MYM81" s="10"/>
      <c r="MYN81" s="10"/>
      <c r="MYO81" s="10"/>
      <c r="MYP81" s="10"/>
      <c r="MYQ81" s="10"/>
      <c r="MYR81" s="10"/>
      <c r="MYS81" s="10"/>
      <c r="MYT81" s="10"/>
      <c r="MYU81" s="10"/>
      <c r="MYV81" s="10"/>
      <c r="MYW81" s="10"/>
      <c r="MYX81" s="10"/>
      <c r="MYY81" s="10"/>
      <c r="MYZ81" s="10"/>
      <c r="MZA81" s="10"/>
      <c r="MZB81" s="10"/>
      <c r="MZC81" s="10"/>
      <c r="MZD81" s="10"/>
      <c r="MZE81" s="10"/>
      <c r="MZF81" s="10"/>
      <c r="MZG81" s="10"/>
      <c r="MZH81" s="10"/>
      <c r="MZI81" s="10"/>
      <c r="MZJ81" s="10"/>
      <c r="MZK81" s="10"/>
      <c r="MZL81" s="10"/>
      <c r="MZM81" s="10"/>
      <c r="MZN81" s="10"/>
      <c r="MZO81" s="10"/>
      <c r="MZP81" s="10"/>
      <c r="MZQ81" s="10"/>
      <c r="MZR81" s="10"/>
      <c r="MZS81" s="10"/>
      <c r="MZT81" s="10"/>
      <c r="MZU81" s="10"/>
      <c r="MZV81" s="10"/>
      <c r="MZW81" s="10"/>
      <c r="MZX81" s="10"/>
      <c r="MZY81" s="10"/>
      <c r="MZZ81" s="10"/>
      <c r="NAA81" s="10"/>
      <c r="NAB81" s="10"/>
      <c r="NAC81" s="10"/>
      <c r="NAD81" s="10"/>
      <c r="NAE81" s="10"/>
      <c r="NAF81" s="10"/>
      <c r="NAG81" s="10"/>
      <c r="NAH81" s="10"/>
      <c r="NAI81" s="10"/>
      <c r="NAJ81" s="10"/>
      <c r="NAK81" s="10"/>
      <c r="NAL81" s="10"/>
      <c r="NAM81" s="10"/>
      <c r="NAN81" s="10"/>
      <c r="NAO81" s="10"/>
      <c r="NAP81" s="10"/>
      <c r="NAQ81" s="10"/>
      <c r="NAR81" s="10"/>
      <c r="NAS81" s="10"/>
      <c r="NAT81" s="10"/>
      <c r="NAU81" s="10"/>
      <c r="NAV81" s="10"/>
      <c r="NAW81" s="10"/>
      <c r="NAX81" s="10"/>
      <c r="NAY81" s="10"/>
      <c r="NAZ81" s="10"/>
      <c r="NBA81" s="10"/>
      <c r="NBB81" s="10"/>
      <c r="NBC81" s="10"/>
      <c r="NBD81" s="10"/>
      <c r="NBE81" s="10"/>
      <c r="NBF81" s="10"/>
      <c r="NBG81" s="10"/>
      <c r="NBH81" s="10"/>
      <c r="NBI81" s="10"/>
      <c r="NBJ81" s="10"/>
      <c r="NBK81" s="10"/>
      <c r="NBL81" s="10"/>
      <c r="NBM81" s="10"/>
      <c r="NBN81" s="10"/>
      <c r="NBO81" s="10"/>
      <c r="NBP81" s="10"/>
      <c r="NBQ81" s="10"/>
      <c r="NBR81" s="10"/>
      <c r="NBS81" s="10"/>
      <c r="NBT81" s="10"/>
      <c r="NBU81" s="10"/>
      <c r="NBV81" s="10"/>
      <c r="NBW81" s="10"/>
      <c r="NBX81" s="10"/>
      <c r="NBY81" s="10"/>
      <c r="NBZ81" s="10"/>
      <c r="NCA81" s="10"/>
      <c r="NCB81" s="10"/>
      <c r="NCC81" s="10"/>
      <c r="NCD81" s="10"/>
      <c r="NCE81" s="10"/>
      <c r="NCF81" s="10"/>
      <c r="NCG81" s="10"/>
      <c r="NCH81" s="10"/>
      <c r="NCI81" s="10"/>
      <c r="NCJ81" s="10"/>
      <c r="NCK81" s="10"/>
      <c r="NCL81" s="10"/>
      <c r="NCM81" s="10"/>
      <c r="NCN81" s="10"/>
      <c r="NCO81" s="10"/>
      <c r="NCP81" s="10"/>
      <c r="NCQ81" s="10"/>
      <c r="NCR81" s="10"/>
      <c r="NCS81" s="10"/>
      <c r="NCT81" s="10"/>
      <c r="NCU81" s="10"/>
      <c r="NCV81" s="10"/>
      <c r="NCW81" s="10"/>
      <c r="NCX81" s="10"/>
      <c r="NCY81" s="10"/>
      <c r="NCZ81" s="10"/>
      <c r="NDA81" s="10"/>
      <c r="NDB81" s="10"/>
      <c r="NDC81" s="10"/>
      <c r="NDD81" s="10"/>
      <c r="NDE81" s="10"/>
      <c r="NDF81" s="10"/>
      <c r="NDG81" s="10"/>
      <c r="NDH81" s="10"/>
      <c r="NDI81" s="10"/>
      <c r="NDJ81" s="10"/>
      <c r="NDK81" s="10"/>
      <c r="NDL81" s="10"/>
      <c r="NDM81" s="10"/>
      <c r="NDN81" s="10"/>
      <c r="NDO81" s="10"/>
      <c r="NDP81" s="10"/>
      <c r="NDQ81" s="10"/>
      <c r="NDR81" s="10"/>
      <c r="NDS81" s="10"/>
      <c r="NDT81" s="10"/>
      <c r="NDU81" s="10"/>
      <c r="NDV81" s="10"/>
      <c r="NDW81" s="10"/>
      <c r="NDX81" s="10"/>
      <c r="NDY81" s="10"/>
      <c r="NDZ81" s="10"/>
      <c r="NEA81" s="10"/>
      <c r="NEB81" s="10"/>
      <c r="NEC81" s="10"/>
      <c r="NED81" s="10"/>
      <c r="NEE81" s="10"/>
      <c r="NEF81" s="10"/>
      <c r="NEG81" s="10"/>
      <c r="NEH81" s="10"/>
      <c r="NEI81" s="10"/>
      <c r="NEJ81" s="10"/>
      <c r="NEK81" s="10"/>
      <c r="NEL81" s="10"/>
      <c r="NEM81" s="10"/>
      <c r="NEN81" s="10"/>
      <c r="NEO81" s="10"/>
      <c r="NEP81" s="10"/>
      <c r="NEQ81" s="10"/>
      <c r="NER81" s="10"/>
      <c r="NES81" s="10"/>
      <c r="NET81" s="10"/>
      <c r="NEU81" s="10"/>
      <c r="NEV81" s="10"/>
      <c r="NEW81" s="10"/>
      <c r="NEX81" s="10"/>
      <c r="NEY81" s="10"/>
      <c r="NEZ81" s="10"/>
      <c r="NFA81" s="10"/>
      <c r="NFB81" s="10"/>
      <c r="NFC81" s="10"/>
      <c r="NFD81" s="10"/>
      <c r="NFE81" s="10"/>
      <c r="NFF81" s="10"/>
      <c r="NFG81" s="10"/>
      <c r="NFH81" s="10"/>
      <c r="NFI81" s="10"/>
      <c r="NFJ81" s="10"/>
      <c r="NFK81" s="10"/>
      <c r="NFL81" s="10"/>
      <c r="NFM81" s="10"/>
      <c r="NFN81" s="10"/>
      <c r="NFO81" s="10"/>
      <c r="NFP81" s="10"/>
      <c r="NFQ81" s="10"/>
      <c r="NFR81" s="10"/>
      <c r="NFS81" s="10"/>
      <c r="NFT81" s="10"/>
      <c r="NFU81" s="10"/>
      <c r="NFV81" s="10"/>
      <c r="NFW81" s="10"/>
      <c r="NFX81" s="10"/>
      <c r="NFY81" s="10"/>
      <c r="NFZ81" s="10"/>
      <c r="NGA81" s="10"/>
      <c r="NGB81" s="10"/>
      <c r="NGC81" s="10"/>
      <c r="NGD81" s="10"/>
      <c r="NGE81" s="10"/>
      <c r="NGF81" s="10"/>
      <c r="NGG81" s="10"/>
      <c r="NGH81" s="10"/>
      <c r="NGI81" s="10"/>
      <c r="NGJ81" s="10"/>
      <c r="NGK81" s="10"/>
      <c r="NGL81" s="10"/>
      <c r="NGM81" s="10"/>
      <c r="NGN81" s="10"/>
      <c r="NGO81" s="10"/>
      <c r="NGP81" s="10"/>
      <c r="NGQ81" s="10"/>
      <c r="NGR81" s="10"/>
      <c r="NGS81" s="10"/>
      <c r="NGT81" s="10"/>
      <c r="NGU81" s="10"/>
      <c r="NGV81" s="10"/>
      <c r="NGW81" s="10"/>
      <c r="NGX81" s="10"/>
      <c r="NGY81" s="10"/>
      <c r="NGZ81" s="10"/>
      <c r="NHA81" s="10"/>
      <c r="NHB81" s="10"/>
      <c r="NHC81" s="10"/>
      <c r="NHD81" s="10"/>
      <c r="NHE81" s="10"/>
      <c r="NHF81" s="10"/>
      <c r="NHG81" s="10"/>
      <c r="NHH81" s="10"/>
      <c r="NHI81" s="10"/>
      <c r="NHJ81" s="10"/>
      <c r="NHK81" s="10"/>
      <c r="NHL81" s="10"/>
      <c r="NHM81" s="10"/>
      <c r="NHN81" s="10"/>
      <c r="NHO81" s="10"/>
      <c r="NHP81" s="10"/>
      <c r="NHQ81" s="10"/>
      <c r="NHR81" s="10"/>
      <c r="NHS81" s="10"/>
      <c r="NHT81" s="10"/>
      <c r="NHU81" s="10"/>
      <c r="NHV81" s="10"/>
      <c r="NHW81" s="10"/>
      <c r="NHX81" s="10"/>
      <c r="NHY81" s="10"/>
      <c r="NHZ81" s="10"/>
      <c r="NIA81" s="10"/>
      <c r="NIB81" s="10"/>
      <c r="NIC81" s="10"/>
      <c r="NID81" s="10"/>
      <c r="NIE81" s="10"/>
      <c r="NIF81" s="10"/>
      <c r="NIG81" s="10"/>
      <c r="NIH81" s="10"/>
      <c r="NII81" s="10"/>
      <c r="NIJ81" s="10"/>
      <c r="NIK81" s="10"/>
      <c r="NIL81" s="10"/>
      <c r="NIM81" s="10"/>
      <c r="NIN81" s="10"/>
      <c r="NIO81" s="10"/>
      <c r="NIP81" s="10"/>
      <c r="NIQ81" s="10"/>
      <c r="NIR81" s="10"/>
      <c r="NIS81" s="10"/>
      <c r="NIT81" s="10"/>
      <c r="NIU81" s="10"/>
      <c r="NIV81" s="10"/>
      <c r="NIW81" s="10"/>
      <c r="NIX81" s="10"/>
      <c r="NIY81" s="10"/>
      <c r="NIZ81" s="10"/>
      <c r="NJA81" s="10"/>
      <c r="NJB81" s="10"/>
      <c r="NJC81" s="10"/>
      <c r="NJD81" s="10"/>
      <c r="NJE81" s="10"/>
      <c r="NJF81" s="10"/>
      <c r="NJG81" s="10"/>
      <c r="NJH81" s="10"/>
      <c r="NJI81" s="10"/>
      <c r="NJJ81" s="10"/>
      <c r="NJK81" s="10"/>
      <c r="NJL81" s="10"/>
      <c r="NJM81" s="10"/>
      <c r="NJN81" s="10"/>
      <c r="NJO81" s="10"/>
      <c r="NJP81" s="10"/>
      <c r="NJQ81" s="10"/>
      <c r="NJR81" s="10"/>
      <c r="NJS81" s="10"/>
      <c r="NJT81" s="10"/>
      <c r="NJU81" s="10"/>
      <c r="NJV81" s="10"/>
      <c r="NJW81" s="10"/>
      <c r="NJX81" s="10"/>
      <c r="NJY81" s="10"/>
      <c r="NJZ81" s="10"/>
      <c r="NKA81" s="10"/>
      <c r="NKB81" s="10"/>
      <c r="NKC81" s="10"/>
      <c r="NKD81" s="10"/>
      <c r="NKE81" s="10"/>
      <c r="NKF81" s="10"/>
      <c r="NKG81" s="10"/>
      <c r="NKH81" s="10"/>
      <c r="NKI81" s="10"/>
      <c r="NKJ81" s="10"/>
      <c r="NKK81" s="10"/>
      <c r="NKL81" s="10"/>
      <c r="NKM81" s="10"/>
      <c r="NKN81" s="10"/>
      <c r="NKO81" s="10"/>
      <c r="NKP81" s="10"/>
      <c r="NKQ81" s="10"/>
      <c r="NKR81" s="10"/>
      <c r="NKS81" s="10"/>
      <c r="NKT81" s="10"/>
      <c r="NKU81" s="10"/>
      <c r="NKV81" s="10"/>
      <c r="NKW81" s="10"/>
      <c r="NKX81" s="10"/>
      <c r="NKY81" s="10"/>
      <c r="NKZ81" s="10"/>
      <c r="NLA81" s="10"/>
      <c r="NLB81" s="10"/>
      <c r="NLC81" s="10"/>
      <c r="NLD81" s="10"/>
      <c r="NLE81" s="10"/>
      <c r="NLF81" s="10"/>
      <c r="NLG81" s="10"/>
      <c r="NLH81" s="10"/>
      <c r="NLI81" s="10"/>
      <c r="NLJ81" s="10"/>
      <c r="NLK81" s="10"/>
      <c r="NLL81" s="10"/>
      <c r="NLM81" s="10"/>
      <c r="NLN81" s="10"/>
      <c r="NLO81" s="10"/>
      <c r="NLP81" s="10"/>
      <c r="NLQ81" s="10"/>
      <c r="NLR81" s="10"/>
      <c r="NLS81" s="10"/>
      <c r="NLT81" s="10"/>
      <c r="NLU81" s="10"/>
      <c r="NLV81" s="10"/>
      <c r="NLW81" s="10"/>
      <c r="NLX81" s="10"/>
      <c r="NLY81" s="10"/>
      <c r="NLZ81" s="10"/>
      <c r="NMA81" s="10"/>
      <c r="NMB81" s="10"/>
      <c r="NMC81" s="10"/>
      <c r="NMD81" s="10"/>
      <c r="NME81" s="10"/>
      <c r="NMF81" s="10"/>
      <c r="NMG81" s="10"/>
      <c r="NMH81" s="10"/>
      <c r="NMI81" s="10"/>
      <c r="NMJ81" s="10"/>
      <c r="NMK81" s="10"/>
      <c r="NML81" s="10"/>
      <c r="NMM81" s="10"/>
      <c r="NMN81" s="10"/>
      <c r="NMO81" s="10"/>
      <c r="NMP81" s="10"/>
      <c r="NMQ81" s="10"/>
      <c r="NMR81" s="10"/>
      <c r="NMS81" s="10"/>
      <c r="NMT81" s="10"/>
      <c r="NMU81" s="10"/>
      <c r="NMV81" s="10"/>
      <c r="NMW81" s="10"/>
      <c r="NMX81" s="10"/>
      <c r="NMY81" s="10"/>
      <c r="NMZ81" s="10"/>
      <c r="NNA81" s="10"/>
      <c r="NNB81" s="10"/>
      <c r="NNC81" s="10"/>
      <c r="NND81" s="10"/>
      <c r="NNE81" s="10"/>
      <c r="NNF81" s="10"/>
      <c r="NNG81" s="10"/>
      <c r="NNH81" s="10"/>
      <c r="NNI81" s="10"/>
      <c r="NNJ81" s="10"/>
      <c r="NNK81" s="10"/>
      <c r="NNL81" s="10"/>
      <c r="NNM81" s="10"/>
      <c r="NNN81" s="10"/>
      <c r="NNO81" s="10"/>
      <c r="NNP81" s="10"/>
      <c r="NNQ81" s="10"/>
      <c r="NNR81" s="10"/>
      <c r="NNS81" s="10"/>
      <c r="NNT81" s="10"/>
      <c r="NNU81" s="10"/>
      <c r="NNV81" s="10"/>
      <c r="NNW81" s="10"/>
      <c r="NNX81" s="10"/>
      <c r="NNY81" s="10"/>
      <c r="NNZ81" s="10"/>
      <c r="NOA81" s="10"/>
      <c r="NOB81" s="10"/>
      <c r="NOC81" s="10"/>
      <c r="NOD81" s="10"/>
      <c r="NOE81" s="10"/>
      <c r="NOF81" s="10"/>
      <c r="NOG81" s="10"/>
      <c r="NOH81" s="10"/>
      <c r="NOI81" s="10"/>
      <c r="NOJ81" s="10"/>
      <c r="NOK81" s="10"/>
      <c r="NOL81" s="10"/>
      <c r="NOM81" s="10"/>
      <c r="NON81" s="10"/>
      <c r="NOO81" s="10"/>
      <c r="NOP81" s="10"/>
      <c r="NOQ81" s="10"/>
      <c r="NOR81" s="10"/>
      <c r="NOS81" s="10"/>
      <c r="NOT81" s="10"/>
      <c r="NOU81" s="10"/>
      <c r="NOV81" s="10"/>
      <c r="NOW81" s="10"/>
      <c r="NOX81" s="10"/>
      <c r="NOY81" s="10"/>
      <c r="NOZ81" s="10"/>
      <c r="NPA81" s="10"/>
      <c r="NPB81" s="10"/>
      <c r="NPC81" s="10"/>
      <c r="NPD81" s="10"/>
      <c r="NPE81" s="10"/>
      <c r="NPF81" s="10"/>
      <c r="NPG81" s="10"/>
      <c r="NPH81" s="10"/>
      <c r="NPI81" s="10"/>
      <c r="NPJ81" s="10"/>
      <c r="NPK81" s="10"/>
      <c r="NPL81" s="10"/>
      <c r="NPM81" s="10"/>
      <c r="NPN81" s="10"/>
      <c r="NPO81" s="10"/>
      <c r="NPP81" s="10"/>
      <c r="NPQ81" s="10"/>
      <c r="NPR81" s="10"/>
      <c r="NPS81" s="10"/>
      <c r="NPT81" s="10"/>
      <c r="NPU81" s="10"/>
      <c r="NPV81" s="10"/>
      <c r="NPW81" s="10"/>
      <c r="NPX81" s="10"/>
      <c r="NPY81" s="10"/>
      <c r="NPZ81" s="10"/>
      <c r="NQA81" s="10"/>
      <c r="NQB81" s="10"/>
      <c r="NQC81" s="10"/>
      <c r="NQD81" s="10"/>
      <c r="NQE81" s="10"/>
      <c r="NQF81" s="10"/>
      <c r="NQG81" s="10"/>
      <c r="NQH81" s="10"/>
      <c r="NQI81" s="10"/>
      <c r="NQJ81" s="10"/>
      <c r="NQK81" s="10"/>
      <c r="NQL81" s="10"/>
      <c r="NQM81" s="10"/>
      <c r="NQN81" s="10"/>
      <c r="NQO81" s="10"/>
      <c r="NQP81" s="10"/>
      <c r="NQQ81" s="10"/>
      <c r="NQR81" s="10"/>
      <c r="NQS81" s="10"/>
      <c r="NQT81" s="10"/>
      <c r="NQU81" s="10"/>
      <c r="NQV81" s="10"/>
      <c r="NQW81" s="10"/>
      <c r="NQX81" s="10"/>
      <c r="NQY81" s="10"/>
      <c r="NQZ81" s="10"/>
      <c r="NRA81" s="10"/>
      <c r="NRB81" s="10"/>
      <c r="NRC81" s="10"/>
      <c r="NRD81" s="10"/>
      <c r="NRE81" s="10"/>
      <c r="NRF81" s="10"/>
      <c r="NRG81" s="10"/>
      <c r="NRH81" s="10"/>
      <c r="NRI81" s="10"/>
      <c r="NRJ81" s="10"/>
      <c r="NRK81" s="10"/>
      <c r="NRL81" s="10"/>
      <c r="NRM81" s="10"/>
      <c r="NRN81" s="10"/>
      <c r="NRO81" s="10"/>
      <c r="NRP81" s="10"/>
      <c r="NRQ81" s="10"/>
      <c r="NRR81" s="10"/>
      <c r="NRS81" s="10"/>
      <c r="NRT81" s="10"/>
      <c r="NRU81" s="10"/>
      <c r="NRV81" s="10"/>
      <c r="NRW81" s="10"/>
      <c r="NRX81" s="10"/>
      <c r="NRY81" s="10"/>
      <c r="NRZ81" s="10"/>
      <c r="NSA81" s="10"/>
      <c r="NSB81" s="10"/>
      <c r="NSC81" s="10"/>
      <c r="NSD81" s="10"/>
      <c r="NSE81" s="10"/>
      <c r="NSF81" s="10"/>
      <c r="NSG81" s="10"/>
      <c r="NSH81" s="10"/>
      <c r="NSI81" s="10"/>
      <c r="NSJ81" s="10"/>
      <c r="NSK81" s="10"/>
      <c r="NSL81" s="10"/>
      <c r="NSM81" s="10"/>
      <c r="NSN81" s="10"/>
      <c r="NSO81" s="10"/>
      <c r="NSP81" s="10"/>
      <c r="NSQ81" s="10"/>
      <c r="NSR81" s="10"/>
      <c r="NSS81" s="10"/>
      <c r="NST81" s="10"/>
      <c r="NSU81" s="10"/>
      <c r="NSV81" s="10"/>
      <c r="NSW81" s="10"/>
      <c r="NSX81" s="10"/>
      <c r="NSY81" s="10"/>
      <c r="NSZ81" s="10"/>
      <c r="NTA81" s="10"/>
      <c r="NTB81" s="10"/>
      <c r="NTC81" s="10"/>
      <c r="NTD81" s="10"/>
      <c r="NTE81" s="10"/>
      <c r="NTF81" s="10"/>
      <c r="NTG81" s="10"/>
      <c r="NTH81" s="10"/>
      <c r="NTI81" s="10"/>
      <c r="NTJ81" s="10"/>
      <c r="NTK81" s="10"/>
      <c r="NTL81" s="10"/>
      <c r="NTM81" s="10"/>
      <c r="NTN81" s="10"/>
      <c r="NTO81" s="10"/>
      <c r="NTP81" s="10"/>
      <c r="NTQ81" s="10"/>
      <c r="NTR81" s="10"/>
      <c r="NTS81" s="10"/>
      <c r="NTT81" s="10"/>
      <c r="NTU81" s="10"/>
      <c r="NTV81" s="10"/>
      <c r="NTW81" s="10"/>
      <c r="NTX81" s="10"/>
      <c r="NTY81" s="10"/>
      <c r="NTZ81" s="10"/>
      <c r="NUA81" s="10"/>
      <c r="NUB81" s="10"/>
      <c r="NUC81" s="10"/>
      <c r="NUD81" s="10"/>
      <c r="NUE81" s="10"/>
      <c r="NUF81" s="10"/>
      <c r="NUG81" s="10"/>
      <c r="NUH81" s="10"/>
      <c r="NUI81" s="10"/>
      <c r="NUJ81" s="10"/>
      <c r="NUK81" s="10"/>
      <c r="NUL81" s="10"/>
      <c r="NUM81" s="10"/>
      <c r="NUN81" s="10"/>
      <c r="NUO81" s="10"/>
      <c r="NUP81" s="10"/>
      <c r="NUQ81" s="10"/>
      <c r="NUR81" s="10"/>
      <c r="NUS81" s="10"/>
      <c r="NUT81" s="10"/>
      <c r="NUU81" s="10"/>
      <c r="NUV81" s="10"/>
      <c r="NUW81" s="10"/>
      <c r="NUX81" s="10"/>
      <c r="NUY81" s="10"/>
      <c r="NUZ81" s="10"/>
      <c r="NVA81" s="10"/>
      <c r="NVB81" s="10"/>
      <c r="NVC81" s="10"/>
      <c r="NVD81" s="10"/>
      <c r="NVE81" s="10"/>
      <c r="NVF81" s="10"/>
      <c r="NVG81" s="10"/>
      <c r="NVH81" s="10"/>
      <c r="NVI81" s="10"/>
      <c r="NVJ81" s="10"/>
      <c r="NVK81" s="10"/>
      <c r="NVL81" s="10"/>
      <c r="NVM81" s="10"/>
      <c r="NVN81" s="10"/>
      <c r="NVO81" s="10"/>
      <c r="NVP81" s="10"/>
      <c r="NVQ81" s="10"/>
      <c r="NVR81" s="10"/>
      <c r="NVS81" s="10"/>
      <c r="NVT81" s="10"/>
      <c r="NVU81" s="10"/>
      <c r="NVV81" s="10"/>
      <c r="NVW81" s="10"/>
      <c r="NVX81" s="10"/>
      <c r="NVY81" s="10"/>
      <c r="NVZ81" s="10"/>
      <c r="NWA81" s="10"/>
      <c r="NWB81" s="10"/>
      <c r="NWC81" s="10"/>
      <c r="NWD81" s="10"/>
      <c r="NWE81" s="10"/>
      <c r="NWF81" s="10"/>
      <c r="NWG81" s="10"/>
      <c r="NWH81" s="10"/>
      <c r="NWI81" s="10"/>
      <c r="NWJ81" s="10"/>
      <c r="NWK81" s="10"/>
      <c r="NWL81" s="10"/>
      <c r="NWM81" s="10"/>
      <c r="NWN81" s="10"/>
      <c r="NWO81" s="10"/>
      <c r="NWP81" s="10"/>
      <c r="NWQ81" s="10"/>
      <c r="NWR81" s="10"/>
      <c r="NWS81" s="10"/>
      <c r="NWT81" s="10"/>
      <c r="NWU81" s="10"/>
      <c r="NWV81" s="10"/>
      <c r="NWW81" s="10"/>
      <c r="NWX81" s="10"/>
      <c r="NWY81" s="10"/>
      <c r="NWZ81" s="10"/>
      <c r="NXA81" s="10"/>
      <c r="NXB81" s="10"/>
      <c r="NXC81" s="10"/>
      <c r="NXD81" s="10"/>
      <c r="NXE81" s="10"/>
      <c r="NXF81" s="10"/>
      <c r="NXG81" s="10"/>
      <c r="NXH81" s="10"/>
      <c r="NXI81" s="10"/>
      <c r="NXJ81" s="10"/>
      <c r="NXK81" s="10"/>
      <c r="NXL81" s="10"/>
      <c r="NXM81" s="10"/>
      <c r="NXN81" s="10"/>
      <c r="NXO81" s="10"/>
      <c r="NXP81" s="10"/>
      <c r="NXQ81" s="10"/>
      <c r="NXR81" s="10"/>
      <c r="NXS81" s="10"/>
      <c r="NXT81" s="10"/>
      <c r="NXU81" s="10"/>
      <c r="NXV81" s="10"/>
      <c r="NXW81" s="10"/>
      <c r="NXX81" s="10"/>
      <c r="NXY81" s="10"/>
      <c r="NXZ81" s="10"/>
      <c r="NYA81" s="10"/>
      <c r="NYB81" s="10"/>
      <c r="NYC81" s="10"/>
      <c r="NYD81" s="10"/>
      <c r="NYE81" s="10"/>
      <c r="NYF81" s="10"/>
      <c r="NYG81" s="10"/>
      <c r="NYH81" s="10"/>
      <c r="NYI81" s="10"/>
      <c r="NYJ81" s="10"/>
      <c r="NYK81" s="10"/>
      <c r="NYL81" s="10"/>
      <c r="NYM81" s="10"/>
      <c r="NYN81" s="10"/>
      <c r="NYO81" s="10"/>
      <c r="NYP81" s="10"/>
      <c r="NYQ81" s="10"/>
      <c r="NYR81" s="10"/>
      <c r="NYS81" s="10"/>
      <c r="NYT81" s="10"/>
      <c r="NYU81" s="10"/>
      <c r="NYV81" s="10"/>
      <c r="NYW81" s="10"/>
      <c r="NYX81" s="10"/>
      <c r="NYY81" s="10"/>
      <c r="NYZ81" s="10"/>
      <c r="NZA81" s="10"/>
      <c r="NZB81" s="10"/>
      <c r="NZC81" s="10"/>
      <c r="NZD81" s="10"/>
      <c r="NZE81" s="10"/>
      <c r="NZF81" s="10"/>
      <c r="NZG81" s="10"/>
      <c r="NZH81" s="10"/>
      <c r="NZI81" s="10"/>
      <c r="NZJ81" s="10"/>
      <c r="NZK81" s="10"/>
      <c r="NZL81" s="10"/>
      <c r="NZM81" s="10"/>
      <c r="NZN81" s="10"/>
      <c r="NZO81" s="10"/>
      <c r="NZP81" s="10"/>
      <c r="NZQ81" s="10"/>
      <c r="NZR81" s="10"/>
      <c r="NZS81" s="10"/>
      <c r="NZT81" s="10"/>
      <c r="NZU81" s="10"/>
      <c r="NZV81" s="10"/>
      <c r="NZW81" s="10"/>
      <c r="NZX81" s="10"/>
      <c r="NZY81" s="10"/>
      <c r="NZZ81" s="10"/>
      <c r="OAA81" s="10"/>
      <c r="OAB81" s="10"/>
      <c r="OAC81" s="10"/>
      <c r="OAD81" s="10"/>
      <c r="OAE81" s="10"/>
      <c r="OAF81" s="10"/>
      <c r="OAG81" s="10"/>
      <c r="OAH81" s="10"/>
      <c r="OAI81" s="10"/>
      <c r="OAJ81" s="10"/>
      <c r="OAK81" s="10"/>
      <c r="OAL81" s="10"/>
      <c r="OAM81" s="10"/>
      <c r="OAN81" s="10"/>
      <c r="OAO81" s="10"/>
      <c r="OAP81" s="10"/>
      <c r="OAQ81" s="10"/>
      <c r="OAR81" s="10"/>
      <c r="OAS81" s="10"/>
      <c r="OAT81" s="10"/>
      <c r="OAU81" s="10"/>
      <c r="OAV81" s="10"/>
      <c r="OAW81" s="10"/>
      <c r="OAX81" s="10"/>
      <c r="OAY81" s="10"/>
      <c r="OAZ81" s="10"/>
      <c r="OBA81" s="10"/>
      <c r="OBB81" s="10"/>
      <c r="OBC81" s="10"/>
      <c r="OBD81" s="10"/>
      <c r="OBE81" s="10"/>
      <c r="OBF81" s="10"/>
      <c r="OBG81" s="10"/>
      <c r="OBH81" s="10"/>
      <c r="OBI81" s="10"/>
      <c r="OBJ81" s="10"/>
      <c r="OBK81" s="10"/>
      <c r="OBL81" s="10"/>
      <c r="OBM81" s="10"/>
      <c r="OBN81" s="10"/>
      <c r="OBO81" s="10"/>
      <c r="OBP81" s="10"/>
      <c r="OBQ81" s="10"/>
      <c r="OBR81" s="10"/>
      <c r="OBS81" s="10"/>
      <c r="OBT81" s="10"/>
      <c r="OBU81" s="10"/>
      <c r="OBV81" s="10"/>
      <c r="OBW81" s="10"/>
      <c r="OBX81" s="10"/>
      <c r="OBY81" s="10"/>
      <c r="OBZ81" s="10"/>
      <c r="OCA81" s="10"/>
      <c r="OCB81" s="10"/>
      <c r="OCC81" s="10"/>
      <c r="OCD81" s="10"/>
      <c r="OCE81" s="10"/>
      <c r="OCF81" s="10"/>
      <c r="OCG81" s="10"/>
      <c r="OCH81" s="10"/>
      <c r="OCI81" s="10"/>
      <c r="OCJ81" s="10"/>
      <c r="OCK81" s="10"/>
      <c r="OCL81" s="10"/>
      <c r="OCM81" s="10"/>
      <c r="OCN81" s="10"/>
      <c r="OCO81" s="10"/>
      <c r="OCP81" s="10"/>
      <c r="OCQ81" s="10"/>
      <c r="OCR81" s="10"/>
      <c r="OCS81" s="10"/>
      <c r="OCT81" s="10"/>
      <c r="OCU81" s="10"/>
      <c r="OCV81" s="10"/>
      <c r="OCW81" s="10"/>
      <c r="OCX81" s="10"/>
      <c r="OCY81" s="10"/>
      <c r="OCZ81" s="10"/>
      <c r="ODA81" s="10"/>
      <c r="ODB81" s="10"/>
      <c r="ODC81" s="10"/>
      <c r="ODD81" s="10"/>
      <c r="ODE81" s="10"/>
      <c r="ODF81" s="10"/>
      <c r="ODG81" s="10"/>
      <c r="ODH81" s="10"/>
      <c r="ODI81" s="10"/>
      <c r="ODJ81" s="10"/>
      <c r="ODK81" s="10"/>
      <c r="ODL81" s="10"/>
      <c r="ODM81" s="10"/>
      <c r="ODN81" s="10"/>
      <c r="ODO81" s="10"/>
      <c r="ODP81" s="10"/>
      <c r="ODQ81" s="10"/>
      <c r="ODR81" s="10"/>
      <c r="ODS81" s="10"/>
      <c r="ODT81" s="10"/>
      <c r="ODU81" s="10"/>
      <c r="ODV81" s="10"/>
      <c r="ODW81" s="10"/>
      <c r="ODX81" s="10"/>
      <c r="ODY81" s="10"/>
      <c r="ODZ81" s="10"/>
      <c r="OEA81" s="10"/>
      <c r="OEB81" s="10"/>
      <c r="OEC81" s="10"/>
      <c r="OED81" s="10"/>
      <c r="OEE81" s="10"/>
      <c r="OEF81" s="10"/>
      <c r="OEG81" s="10"/>
      <c r="OEH81" s="10"/>
      <c r="OEI81" s="10"/>
      <c r="OEJ81" s="10"/>
      <c r="OEK81" s="10"/>
      <c r="OEL81" s="10"/>
      <c r="OEM81" s="10"/>
      <c r="OEN81" s="10"/>
      <c r="OEO81" s="10"/>
      <c r="OEP81" s="10"/>
      <c r="OEQ81" s="10"/>
      <c r="OER81" s="10"/>
      <c r="OES81" s="10"/>
      <c r="OET81" s="10"/>
      <c r="OEU81" s="10"/>
      <c r="OEV81" s="10"/>
      <c r="OEW81" s="10"/>
      <c r="OEX81" s="10"/>
      <c r="OEY81" s="10"/>
      <c r="OEZ81" s="10"/>
      <c r="OFA81" s="10"/>
      <c r="OFB81" s="10"/>
      <c r="OFC81" s="10"/>
      <c r="OFD81" s="10"/>
      <c r="OFE81" s="10"/>
      <c r="OFF81" s="10"/>
      <c r="OFG81" s="10"/>
      <c r="OFH81" s="10"/>
      <c r="OFI81" s="10"/>
      <c r="OFJ81" s="10"/>
      <c r="OFK81" s="10"/>
      <c r="OFL81" s="10"/>
      <c r="OFM81" s="10"/>
      <c r="OFN81" s="10"/>
      <c r="OFO81" s="10"/>
      <c r="OFP81" s="10"/>
      <c r="OFQ81" s="10"/>
      <c r="OFR81" s="10"/>
      <c r="OFS81" s="10"/>
      <c r="OFT81" s="10"/>
      <c r="OFU81" s="10"/>
      <c r="OFV81" s="10"/>
      <c r="OFW81" s="10"/>
      <c r="OFX81" s="10"/>
      <c r="OFY81" s="10"/>
      <c r="OFZ81" s="10"/>
      <c r="OGA81" s="10"/>
      <c r="OGB81" s="10"/>
      <c r="OGC81" s="10"/>
      <c r="OGD81" s="10"/>
      <c r="OGE81" s="10"/>
      <c r="OGF81" s="10"/>
      <c r="OGG81" s="10"/>
      <c r="OGH81" s="10"/>
      <c r="OGI81" s="10"/>
      <c r="OGJ81" s="10"/>
      <c r="OGK81" s="10"/>
      <c r="OGL81" s="10"/>
      <c r="OGM81" s="10"/>
      <c r="OGN81" s="10"/>
      <c r="OGO81" s="10"/>
      <c r="OGP81" s="10"/>
      <c r="OGQ81" s="10"/>
      <c r="OGR81" s="10"/>
      <c r="OGS81" s="10"/>
      <c r="OGT81" s="10"/>
      <c r="OGU81" s="10"/>
      <c r="OGV81" s="10"/>
      <c r="OGW81" s="10"/>
      <c r="OGX81" s="10"/>
      <c r="OGY81" s="10"/>
      <c r="OGZ81" s="10"/>
      <c r="OHA81" s="10"/>
      <c r="OHB81" s="10"/>
      <c r="OHC81" s="10"/>
      <c r="OHD81" s="10"/>
      <c r="OHE81" s="10"/>
      <c r="OHF81" s="10"/>
      <c r="OHG81" s="10"/>
      <c r="OHH81" s="10"/>
      <c r="OHI81" s="10"/>
      <c r="OHJ81" s="10"/>
      <c r="OHK81" s="10"/>
      <c r="OHL81" s="10"/>
      <c r="OHM81" s="10"/>
      <c r="OHN81" s="10"/>
      <c r="OHO81" s="10"/>
      <c r="OHP81" s="10"/>
      <c r="OHQ81" s="10"/>
      <c r="OHR81" s="10"/>
      <c r="OHS81" s="10"/>
      <c r="OHT81" s="10"/>
      <c r="OHU81" s="10"/>
      <c r="OHV81" s="10"/>
      <c r="OHW81" s="10"/>
      <c r="OHX81" s="10"/>
      <c r="OHY81" s="10"/>
      <c r="OHZ81" s="10"/>
      <c r="OIA81" s="10"/>
      <c r="OIB81" s="10"/>
      <c r="OIC81" s="10"/>
      <c r="OID81" s="10"/>
      <c r="OIE81" s="10"/>
      <c r="OIF81" s="10"/>
      <c r="OIG81" s="10"/>
      <c r="OIH81" s="10"/>
      <c r="OII81" s="10"/>
      <c r="OIJ81" s="10"/>
      <c r="OIK81" s="10"/>
      <c r="OIL81" s="10"/>
      <c r="OIM81" s="10"/>
      <c r="OIN81" s="10"/>
      <c r="OIO81" s="10"/>
      <c r="OIP81" s="10"/>
      <c r="OIQ81" s="10"/>
      <c r="OIR81" s="10"/>
      <c r="OIS81" s="10"/>
      <c r="OIT81" s="10"/>
      <c r="OIU81" s="10"/>
      <c r="OIV81" s="10"/>
      <c r="OIW81" s="10"/>
      <c r="OIX81" s="10"/>
      <c r="OIY81" s="10"/>
      <c r="OIZ81" s="10"/>
      <c r="OJA81" s="10"/>
      <c r="OJB81" s="10"/>
      <c r="OJC81" s="10"/>
      <c r="OJD81" s="10"/>
      <c r="OJE81" s="10"/>
      <c r="OJF81" s="10"/>
      <c r="OJG81" s="10"/>
      <c r="OJH81" s="10"/>
      <c r="OJI81" s="10"/>
      <c r="OJJ81" s="10"/>
      <c r="OJK81" s="10"/>
      <c r="OJL81" s="10"/>
      <c r="OJM81" s="10"/>
      <c r="OJN81" s="10"/>
      <c r="OJO81" s="10"/>
      <c r="OJP81" s="10"/>
      <c r="OJQ81" s="10"/>
      <c r="OJR81" s="10"/>
      <c r="OJS81" s="10"/>
      <c r="OJT81" s="10"/>
      <c r="OJU81" s="10"/>
      <c r="OJV81" s="10"/>
      <c r="OJW81" s="10"/>
      <c r="OJX81" s="10"/>
      <c r="OJY81" s="10"/>
      <c r="OJZ81" s="10"/>
      <c r="OKA81" s="10"/>
      <c r="OKB81" s="10"/>
      <c r="OKC81" s="10"/>
      <c r="OKD81" s="10"/>
      <c r="OKE81" s="10"/>
      <c r="OKF81" s="10"/>
      <c r="OKG81" s="10"/>
      <c r="OKH81" s="10"/>
      <c r="OKI81" s="10"/>
      <c r="OKJ81" s="10"/>
      <c r="OKK81" s="10"/>
      <c r="OKL81" s="10"/>
      <c r="OKM81" s="10"/>
      <c r="OKN81" s="10"/>
      <c r="OKO81" s="10"/>
      <c r="OKP81" s="10"/>
      <c r="OKQ81" s="10"/>
      <c r="OKR81" s="10"/>
      <c r="OKS81" s="10"/>
      <c r="OKT81" s="10"/>
      <c r="OKU81" s="10"/>
      <c r="OKV81" s="10"/>
      <c r="OKW81" s="10"/>
      <c r="OKX81" s="10"/>
      <c r="OKY81" s="10"/>
      <c r="OKZ81" s="10"/>
      <c r="OLA81" s="10"/>
      <c r="OLB81" s="10"/>
      <c r="OLC81" s="10"/>
      <c r="OLD81" s="10"/>
      <c r="OLE81" s="10"/>
      <c r="OLF81" s="10"/>
      <c r="OLG81" s="10"/>
      <c r="OLH81" s="10"/>
      <c r="OLI81" s="10"/>
      <c r="OLJ81" s="10"/>
      <c r="OLK81" s="10"/>
      <c r="OLL81" s="10"/>
      <c r="OLM81" s="10"/>
      <c r="OLN81" s="10"/>
      <c r="OLO81" s="10"/>
      <c r="OLP81" s="10"/>
      <c r="OLQ81" s="10"/>
      <c r="OLR81" s="10"/>
      <c r="OLS81" s="10"/>
      <c r="OLT81" s="10"/>
      <c r="OLU81" s="10"/>
      <c r="OLV81" s="10"/>
      <c r="OLW81" s="10"/>
      <c r="OLX81" s="10"/>
      <c r="OLY81" s="10"/>
      <c r="OLZ81" s="10"/>
      <c r="OMA81" s="10"/>
      <c r="OMB81" s="10"/>
      <c r="OMC81" s="10"/>
      <c r="OMD81" s="10"/>
      <c r="OME81" s="10"/>
      <c r="OMF81" s="10"/>
      <c r="OMG81" s="10"/>
      <c r="OMH81" s="10"/>
      <c r="OMI81" s="10"/>
      <c r="OMJ81" s="10"/>
      <c r="OMK81" s="10"/>
      <c r="OML81" s="10"/>
      <c r="OMM81" s="10"/>
      <c r="OMN81" s="10"/>
      <c r="OMO81" s="10"/>
      <c r="OMP81" s="10"/>
      <c r="OMQ81" s="10"/>
      <c r="OMR81" s="10"/>
      <c r="OMS81" s="10"/>
      <c r="OMT81" s="10"/>
      <c r="OMU81" s="10"/>
      <c r="OMV81" s="10"/>
      <c r="OMW81" s="10"/>
      <c r="OMX81" s="10"/>
      <c r="OMY81" s="10"/>
      <c r="OMZ81" s="10"/>
      <c r="ONA81" s="10"/>
      <c r="ONB81" s="10"/>
      <c r="ONC81" s="10"/>
      <c r="OND81" s="10"/>
      <c r="ONE81" s="10"/>
      <c r="ONF81" s="10"/>
      <c r="ONG81" s="10"/>
      <c r="ONH81" s="10"/>
      <c r="ONI81" s="10"/>
      <c r="ONJ81" s="10"/>
      <c r="ONK81" s="10"/>
      <c r="ONL81" s="10"/>
      <c r="ONM81" s="10"/>
      <c r="ONN81" s="10"/>
      <c r="ONO81" s="10"/>
      <c r="ONP81" s="10"/>
      <c r="ONQ81" s="10"/>
      <c r="ONR81" s="10"/>
      <c r="ONS81" s="10"/>
      <c r="ONT81" s="10"/>
      <c r="ONU81" s="10"/>
      <c r="ONV81" s="10"/>
      <c r="ONW81" s="10"/>
      <c r="ONX81" s="10"/>
      <c r="ONY81" s="10"/>
      <c r="ONZ81" s="10"/>
      <c r="OOA81" s="10"/>
      <c r="OOB81" s="10"/>
      <c r="OOC81" s="10"/>
      <c r="OOD81" s="10"/>
      <c r="OOE81" s="10"/>
      <c r="OOF81" s="10"/>
      <c r="OOG81" s="10"/>
      <c r="OOH81" s="10"/>
      <c r="OOI81" s="10"/>
      <c r="OOJ81" s="10"/>
      <c r="OOK81" s="10"/>
      <c r="OOL81" s="10"/>
      <c r="OOM81" s="10"/>
      <c r="OON81" s="10"/>
      <c r="OOO81" s="10"/>
      <c r="OOP81" s="10"/>
      <c r="OOQ81" s="10"/>
      <c r="OOR81" s="10"/>
      <c r="OOS81" s="10"/>
      <c r="OOT81" s="10"/>
      <c r="OOU81" s="10"/>
      <c r="OOV81" s="10"/>
      <c r="OOW81" s="10"/>
      <c r="OOX81" s="10"/>
      <c r="OOY81" s="10"/>
      <c r="OOZ81" s="10"/>
      <c r="OPA81" s="10"/>
      <c r="OPB81" s="10"/>
      <c r="OPC81" s="10"/>
      <c r="OPD81" s="10"/>
      <c r="OPE81" s="10"/>
      <c r="OPF81" s="10"/>
      <c r="OPG81" s="10"/>
      <c r="OPH81" s="10"/>
      <c r="OPI81" s="10"/>
      <c r="OPJ81" s="10"/>
      <c r="OPK81" s="10"/>
      <c r="OPL81" s="10"/>
      <c r="OPM81" s="10"/>
      <c r="OPN81" s="10"/>
      <c r="OPO81" s="10"/>
      <c r="OPP81" s="10"/>
      <c r="OPQ81" s="10"/>
      <c r="OPR81" s="10"/>
      <c r="OPS81" s="10"/>
      <c r="OPT81" s="10"/>
      <c r="OPU81" s="10"/>
      <c r="OPV81" s="10"/>
      <c r="OPW81" s="10"/>
      <c r="OPX81" s="10"/>
      <c r="OPY81" s="10"/>
      <c r="OPZ81" s="10"/>
      <c r="OQA81" s="10"/>
      <c r="OQB81" s="10"/>
      <c r="OQC81" s="10"/>
      <c r="OQD81" s="10"/>
      <c r="OQE81" s="10"/>
      <c r="OQF81" s="10"/>
      <c r="OQG81" s="10"/>
      <c r="OQH81" s="10"/>
      <c r="OQI81" s="10"/>
      <c r="OQJ81" s="10"/>
      <c r="OQK81" s="10"/>
      <c r="OQL81" s="10"/>
      <c r="OQM81" s="10"/>
      <c r="OQN81" s="10"/>
      <c r="OQO81" s="10"/>
      <c r="OQP81" s="10"/>
      <c r="OQQ81" s="10"/>
      <c r="OQR81" s="10"/>
      <c r="OQS81" s="10"/>
      <c r="OQT81" s="10"/>
      <c r="OQU81" s="10"/>
      <c r="OQV81" s="10"/>
      <c r="OQW81" s="10"/>
      <c r="OQX81" s="10"/>
      <c r="OQY81" s="10"/>
      <c r="OQZ81" s="10"/>
      <c r="ORA81" s="10"/>
      <c r="ORB81" s="10"/>
      <c r="ORC81" s="10"/>
      <c r="ORD81" s="10"/>
      <c r="ORE81" s="10"/>
      <c r="ORF81" s="10"/>
      <c r="ORG81" s="10"/>
      <c r="ORH81" s="10"/>
      <c r="ORI81" s="10"/>
      <c r="ORJ81" s="10"/>
      <c r="ORK81" s="10"/>
      <c r="ORL81" s="10"/>
      <c r="ORM81" s="10"/>
      <c r="ORN81" s="10"/>
      <c r="ORO81" s="10"/>
      <c r="ORP81" s="10"/>
      <c r="ORQ81" s="10"/>
      <c r="ORR81" s="10"/>
      <c r="ORS81" s="10"/>
      <c r="ORT81" s="10"/>
      <c r="ORU81" s="10"/>
      <c r="ORV81" s="10"/>
      <c r="ORW81" s="10"/>
      <c r="ORX81" s="10"/>
      <c r="ORY81" s="10"/>
      <c r="ORZ81" s="10"/>
      <c r="OSA81" s="10"/>
      <c r="OSB81" s="10"/>
      <c r="OSC81" s="10"/>
      <c r="OSD81" s="10"/>
      <c r="OSE81" s="10"/>
      <c r="OSF81" s="10"/>
      <c r="OSG81" s="10"/>
      <c r="OSH81" s="10"/>
      <c r="OSI81" s="10"/>
      <c r="OSJ81" s="10"/>
      <c r="OSK81" s="10"/>
      <c r="OSL81" s="10"/>
      <c r="OSM81" s="10"/>
      <c r="OSN81" s="10"/>
      <c r="OSO81" s="10"/>
      <c r="OSP81" s="10"/>
      <c r="OSQ81" s="10"/>
      <c r="OSR81" s="10"/>
      <c r="OSS81" s="10"/>
      <c r="OST81" s="10"/>
      <c r="OSU81" s="10"/>
      <c r="OSV81" s="10"/>
      <c r="OSW81" s="10"/>
      <c r="OSX81" s="10"/>
      <c r="OSY81" s="10"/>
      <c r="OSZ81" s="10"/>
      <c r="OTA81" s="10"/>
      <c r="OTB81" s="10"/>
      <c r="OTC81" s="10"/>
      <c r="OTD81" s="10"/>
      <c r="OTE81" s="10"/>
      <c r="OTF81" s="10"/>
      <c r="OTG81" s="10"/>
      <c r="OTH81" s="10"/>
      <c r="OTI81" s="10"/>
      <c r="OTJ81" s="10"/>
      <c r="OTK81" s="10"/>
      <c r="OTL81" s="10"/>
      <c r="OTM81" s="10"/>
      <c r="OTN81" s="10"/>
      <c r="OTO81" s="10"/>
      <c r="OTP81" s="10"/>
      <c r="OTQ81" s="10"/>
      <c r="OTR81" s="10"/>
      <c r="OTS81" s="10"/>
      <c r="OTT81" s="10"/>
      <c r="OTU81" s="10"/>
      <c r="OTV81" s="10"/>
      <c r="OTW81" s="10"/>
      <c r="OTX81" s="10"/>
      <c r="OTY81" s="10"/>
      <c r="OTZ81" s="10"/>
      <c r="OUA81" s="10"/>
      <c r="OUB81" s="10"/>
      <c r="OUC81" s="10"/>
      <c r="OUD81" s="10"/>
      <c r="OUE81" s="10"/>
      <c r="OUF81" s="10"/>
      <c r="OUG81" s="10"/>
      <c r="OUH81" s="10"/>
      <c r="OUI81" s="10"/>
      <c r="OUJ81" s="10"/>
      <c r="OUK81" s="10"/>
      <c r="OUL81" s="10"/>
      <c r="OUM81" s="10"/>
      <c r="OUN81" s="10"/>
      <c r="OUO81" s="10"/>
      <c r="OUP81" s="10"/>
      <c r="OUQ81" s="10"/>
      <c r="OUR81" s="10"/>
      <c r="OUS81" s="10"/>
      <c r="OUT81" s="10"/>
      <c r="OUU81" s="10"/>
      <c r="OUV81" s="10"/>
      <c r="OUW81" s="10"/>
      <c r="OUX81" s="10"/>
      <c r="OUY81" s="10"/>
      <c r="OUZ81" s="10"/>
      <c r="OVA81" s="10"/>
      <c r="OVB81" s="10"/>
      <c r="OVC81" s="10"/>
      <c r="OVD81" s="10"/>
      <c r="OVE81" s="10"/>
      <c r="OVF81" s="10"/>
      <c r="OVG81" s="10"/>
      <c r="OVH81" s="10"/>
      <c r="OVI81" s="10"/>
      <c r="OVJ81" s="10"/>
      <c r="OVK81" s="10"/>
      <c r="OVL81" s="10"/>
      <c r="OVM81" s="10"/>
      <c r="OVN81" s="10"/>
      <c r="OVO81" s="10"/>
      <c r="OVP81" s="10"/>
      <c r="OVQ81" s="10"/>
      <c r="OVR81" s="10"/>
      <c r="OVS81" s="10"/>
      <c r="OVT81" s="10"/>
      <c r="OVU81" s="10"/>
      <c r="OVV81" s="10"/>
      <c r="OVW81" s="10"/>
      <c r="OVX81" s="10"/>
      <c r="OVY81" s="10"/>
      <c r="OVZ81" s="10"/>
      <c r="OWA81" s="10"/>
      <c r="OWB81" s="10"/>
      <c r="OWC81" s="10"/>
      <c r="OWD81" s="10"/>
      <c r="OWE81" s="10"/>
      <c r="OWF81" s="10"/>
      <c r="OWG81" s="10"/>
      <c r="OWH81" s="10"/>
      <c r="OWI81" s="10"/>
      <c r="OWJ81" s="10"/>
      <c r="OWK81" s="10"/>
      <c r="OWL81" s="10"/>
      <c r="OWM81" s="10"/>
      <c r="OWN81" s="10"/>
      <c r="OWO81" s="10"/>
      <c r="OWP81" s="10"/>
      <c r="OWQ81" s="10"/>
      <c r="OWR81" s="10"/>
      <c r="OWS81" s="10"/>
      <c r="OWT81" s="10"/>
      <c r="OWU81" s="10"/>
      <c r="OWV81" s="10"/>
      <c r="OWW81" s="10"/>
      <c r="OWX81" s="10"/>
      <c r="OWY81" s="10"/>
      <c r="OWZ81" s="10"/>
      <c r="OXA81" s="10"/>
      <c r="OXB81" s="10"/>
      <c r="OXC81" s="10"/>
      <c r="OXD81" s="10"/>
      <c r="OXE81" s="10"/>
      <c r="OXF81" s="10"/>
      <c r="OXG81" s="10"/>
      <c r="OXH81" s="10"/>
      <c r="OXI81" s="10"/>
      <c r="OXJ81" s="10"/>
      <c r="OXK81" s="10"/>
      <c r="OXL81" s="10"/>
      <c r="OXM81" s="10"/>
      <c r="OXN81" s="10"/>
      <c r="OXO81" s="10"/>
      <c r="OXP81" s="10"/>
      <c r="OXQ81" s="10"/>
      <c r="OXR81" s="10"/>
      <c r="OXS81" s="10"/>
      <c r="OXT81" s="10"/>
      <c r="OXU81" s="10"/>
      <c r="OXV81" s="10"/>
      <c r="OXW81" s="10"/>
      <c r="OXX81" s="10"/>
      <c r="OXY81" s="10"/>
      <c r="OXZ81" s="10"/>
      <c r="OYA81" s="10"/>
      <c r="OYB81" s="10"/>
      <c r="OYC81" s="10"/>
      <c r="OYD81" s="10"/>
      <c r="OYE81" s="10"/>
      <c r="OYF81" s="10"/>
      <c r="OYG81" s="10"/>
      <c r="OYH81" s="10"/>
      <c r="OYI81" s="10"/>
      <c r="OYJ81" s="10"/>
      <c r="OYK81" s="10"/>
      <c r="OYL81" s="10"/>
      <c r="OYM81" s="10"/>
      <c r="OYN81" s="10"/>
      <c r="OYO81" s="10"/>
      <c r="OYP81" s="10"/>
      <c r="OYQ81" s="10"/>
      <c r="OYR81" s="10"/>
      <c r="OYS81" s="10"/>
      <c r="OYT81" s="10"/>
      <c r="OYU81" s="10"/>
      <c r="OYV81" s="10"/>
      <c r="OYW81" s="10"/>
      <c r="OYX81" s="10"/>
      <c r="OYY81" s="10"/>
      <c r="OYZ81" s="10"/>
      <c r="OZA81" s="10"/>
      <c r="OZB81" s="10"/>
      <c r="OZC81" s="10"/>
      <c r="OZD81" s="10"/>
      <c r="OZE81" s="10"/>
      <c r="OZF81" s="10"/>
      <c r="OZG81" s="10"/>
      <c r="OZH81" s="10"/>
      <c r="OZI81" s="10"/>
      <c r="OZJ81" s="10"/>
      <c r="OZK81" s="10"/>
      <c r="OZL81" s="10"/>
      <c r="OZM81" s="10"/>
      <c r="OZN81" s="10"/>
      <c r="OZO81" s="10"/>
      <c r="OZP81" s="10"/>
      <c r="OZQ81" s="10"/>
      <c r="OZR81" s="10"/>
      <c r="OZS81" s="10"/>
      <c r="OZT81" s="10"/>
      <c r="OZU81" s="10"/>
      <c r="OZV81" s="10"/>
      <c r="OZW81" s="10"/>
      <c r="OZX81" s="10"/>
      <c r="OZY81" s="10"/>
      <c r="OZZ81" s="10"/>
      <c r="PAA81" s="10"/>
      <c r="PAB81" s="10"/>
      <c r="PAC81" s="10"/>
      <c r="PAD81" s="10"/>
      <c r="PAE81" s="10"/>
      <c r="PAF81" s="10"/>
      <c r="PAG81" s="10"/>
      <c r="PAH81" s="10"/>
      <c r="PAI81" s="10"/>
      <c r="PAJ81" s="10"/>
      <c r="PAK81" s="10"/>
      <c r="PAL81" s="10"/>
      <c r="PAM81" s="10"/>
      <c r="PAN81" s="10"/>
      <c r="PAO81" s="10"/>
      <c r="PAP81" s="10"/>
      <c r="PAQ81" s="10"/>
      <c r="PAR81" s="10"/>
      <c r="PAS81" s="10"/>
      <c r="PAT81" s="10"/>
      <c r="PAU81" s="10"/>
      <c r="PAV81" s="10"/>
      <c r="PAW81" s="10"/>
      <c r="PAX81" s="10"/>
      <c r="PAY81" s="10"/>
      <c r="PAZ81" s="10"/>
      <c r="PBA81" s="10"/>
      <c r="PBB81" s="10"/>
      <c r="PBC81" s="10"/>
      <c r="PBD81" s="10"/>
      <c r="PBE81" s="10"/>
      <c r="PBF81" s="10"/>
      <c r="PBG81" s="10"/>
      <c r="PBH81" s="10"/>
      <c r="PBI81" s="10"/>
      <c r="PBJ81" s="10"/>
      <c r="PBK81" s="10"/>
      <c r="PBL81" s="10"/>
      <c r="PBM81" s="10"/>
      <c r="PBN81" s="10"/>
      <c r="PBO81" s="10"/>
      <c r="PBP81" s="10"/>
      <c r="PBQ81" s="10"/>
      <c r="PBR81" s="10"/>
      <c r="PBS81" s="10"/>
      <c r="PBT81" s="10"/>
      <c r="PBU81" s="10"/>
      <c r="PBV81" s="10"/>
      <c r="PBW81" s="10"/>
      <c r="PBX81" s="10"/>
      <c r="PBY81" s="10"/>
      <c r="PBZ81" s="10"/>
      <c r="PCA81" s="10"/>
      <c r="PCB81" s="10"/>
      <c r="PCC81" s="10"/>
      <c r="PCD81" s="10"/>
      <c r="PCE81" s="10"/>
      <c r="PCF81" s="10"/>
      <c r="PCG81" s="10"/>
      <c r="PCH81" s="10"/>
      <c r="PCI81" s="10"/>
      <c r="PCJ81" s="10"/>
      <c r="PCK81" s="10"/>
      <c r="PCL81" s="10"/>
      <c r="PCM81" s="10"/>
      <c r="PCN81" s="10"/>
      <c r="PCO81" s="10"/>
      <c r="PCP81" s="10"/>
      <c r="PCQ81" s="10"/>
      <c r="PCR81" s="10"/>
      <c r="PCS81" s="10"/>
      <c r="PCT81" s="10"/>
      <c r="PCU81" s="10"/>
      <c r="PCV81" s="10"/>
      <c r="PCW81" s="10"/>
      <c r="PCX81" s="10"/>
      <c r="PCY81" s="10"/>
      <c r="PCZ81" s="10"/>
      <c r="PDA81" s="10"/>
      <c r="PDB81" s="10"/>
      <c r="PDC81" s="10"/>
      <c r="PDD81" s="10"/>
      <c r="PDE81" s="10"/>
      <c r="PDF81" s="10"/>
      <c r="PDG81" s="10"/>
      <c r="PDH81" s="10"/>
      <c r="PDI81" s="10"/>
      <c r="PDJ81" s="10"/>
      <c r="PDK81" s="10"/>
      <c r="PDL81" s="10"/>
      <c r="PDM81" s="10"/>
      <c r="PDN81" s="10"/>
      <c r="PDO81" s="10"/>
      <c r="PDP81" s="10"/>
      <c r="PDQ81" s="10"/>
      <c r="PDR81" s="10"/>
      <c r="PDS81" s="10"/>
      <c r="PDT81" s="10"/>
      <c r="PDU81" s="10"/>
      <c r="PDV81" s="10"/>
      <c r="PDW81" s="10"/>
      <c r="PDX81" s="10"/>
      <c r="PDY81" s="10"/>
      <c r="PDZ81" s="10"/>
      <c r="PEA81" s="10"/>
      <c r="PEB81" s="10"/>
      <c r="PEC81" s="10"/>
      <c r="PED81" s="10"/>
      <c r="PEE81" s="10"/>
      <c r="PEF81" s="10"/>
      <c r="PEG81" s="10"/>
      <c r="PEH81" s="10"/>
      <c r="PEI81" s="10"/>
      <c r="PEJ81" s="10"/>
      <c r="PEK81" s="10"/>
      <c r="PEL81" s="10"/>
      <c r="PEM81" s="10"/>
      <c r="PEN81" s="10"/>
      <c r="PEO81" s="10"/>
      <c r="PEP81" s="10"/>
      <c r="PEQ81" s="10"/>
      <c r="PER81" s="10"/>
      <c r="PES81" s="10"/>
      <c r="PET81" s="10"/>
      <c r="PEU81" s="10"/>
      <c r="PEV81" s="10"/>
      <c r="PEW81" s="10"/>
      <c r="PEX81" s="10"/>
      <c r="PEY81" s="10"/>
      <c r="PEZ81" s="10"/>
      <c r="PFA81" s="10"/>
      <c r="PFB81" s="10"/>
      <c r="PFC81" s="10"/>
      <c r="PFD81" s="10"/>
      <c r="PFE81" s="10"/>
      <c r="PFF81" s="10"/>
      <c r="PFG81" s="10"/>
      <c r="PFH81" s="10"/>
      <c r="PFI81" s="10"/>
      <c r="PFJ81" s="10"/>
      <c r="PFK81" s="10"/>
      <c r="PFL81" s="10"/>
      <c r="PFM81" s="10"/>
      <c r="PFN81" s="10"/>
      <c r="PFO81" s="10"/>
      <c r="PFP81" s="10"/>
      <c r="PFQ81" s="10"/>
      <c r="PFR81" s="10"/>
      <c r="PFS81" s="10"/>
      <c r="PFT81" s="10"/>
      <c r="PFU81" s="10"/>
      <c r="PFV81" s="10"/>
      <c r="PFW81" s="10"/>
      <c r="PFX81" s="10"/>
      <c r="PFY81" s="10"/>
      <c r="PFZ81" s="10"/>
      <c r="PGA81" s="10"/>
      <c r="PGB81" s="10"/>
      <c r="PGC81" s="10"/>
      <c r="PGD81" s="10"/>
      <c r="PGE81" s="10"/>
      <c r="PGF81" s="10"/>
      <c r="PGG81" s="10"/>
      <c r="PGH81" s="10"/>
      <c r="PGI81" s="10"/>
      <c r="PGJ81" s="10"/>
      <c r="PGK81" s="10"/>
      <c r="PGL81" s="10"/>
      <c r="PGM81" s="10"/>
      <c r="PGN81" s="10"/>
      <c r="PGO81" s="10"/>
      <c r="PGP81" s="10"/>
      <c r="PGQ81" s="10"/>
      <c r="PGR81" s="10"/>
      <c r="PGS81" s="10"/>
      <c r="PGT81" s="10"/>
      <c r="PGU81" s="10"/>
      <c r="PGV81" s="10"/>
      <c r="PGW81" s="10"/>
      <c r="PGX81" s="10"/>
      <c r="PGY81" s="10"/>
      <c r="PGZ81" s="10"/>
      <c r="PHA81" s="10"/>
      <c r="PHB81" s="10"/>
      <c r="PHC81" s="10"/>
      <c r="PHD81" s="10"/>
      <c r="PHE81" s="10"/>
      <c r="PHF81" s="10"/>
      <c r="PHG81" s="10"/>
      <c r="PHH81" s="10"/>
      <c r="PHI81" s="10"/>
      <c r="PHJ81" s="10"/>
      <c r="PHK81" s="10"/>
      <c r="PHL81" s="10"/>
      <c r="PHM81" s="10"/>
      <c r="PHN81" s="10"/>
      <c r="PHO81" s="10"/>
      <c r="PHP81" s="10"/>
      <c r="PHQ81" s="10"/>
      <c r="PHR81" s="10"/>
      <c r="PHS81" s="10"/>
      <c r="PHT81" s="10"/>
      <c r="PHU81" s="10"/>
      <c r="PHV81" s="10"/>
      <c r="PHW81" s="10"/>
      <c r="PHX81" s="10"/>
      <c r="PHY81" s="10"/>
      <c r="PHZ81" s="10"/>
      <c r="PIA81" s="10"/>
      <c r="PIB81" s="10"/>
      <c r="PIC81" s="10"/>
      <c r="PID81" s="10"/>
      <c r="PIE81" s="10"/>
      <c r="PIF81" s="10"/>
      <c r="PIG81" s="10"/>
      <c r="PIH81" s="10"/>
      <c r="PII81" s="10"/>
      <c r="PIJ81" s="10"/>
      <c r="PIK81" s="10"/>
      <c r="PIL81" s="10"/>
      <c r="PIM81" s="10"/>
      <c r="PIN81" s="10"/>
      <c r="PIO81" s="10"/>
      <c r="PIP81" s="10"/>
      <c r="PIQ81" s="10"/>
      <c r="PIR81" s="10"/>
      <c r="PIS81" s="10"/>
      <c r="PIT81" s="10"/>
      <c r="PIU81" s="10"/>
      <c r="PIV81" s="10"/>
      <c r="PIW81" s="10"/>
      <c r="PIX81" s="10"/>
      <c r="PIY81" s="10"/>
      <c r="PIZ81" s="10"/>
      <c r="PJA81" s="10"/>
      <c r="PJB81" s="10"/>
      <c r="PJC81" s="10"/>
      <c r="PJD81" s="10"/>
      <c r="PJE81" s="10"/>
      <c r="PJF81" s="10"/>
      <c r="PJG81" s="10"/>
      <c r="PJH81" s="10"/>
      <c r="PJI81" s="10"/>
      <c r="PJJ81" s="10"/>
      <c r="PJK81" s="10"/>
      <c r="PJL81" s="10"/>
      <c r="PJM81" s="10"/>
      <c r="PJN81" s="10"/>
      <c r="PJO81" s="10"/>
      <c r="PJP81" s="10"/>
      <c r="PJQ81" s="10"/>
      <c r="PJR81" s="10"/>
      <c r="PJS81" s="10"/>
      <c r="PJT81" s="10"/>
      <c r="PJU81" s="10"/>
      <c r="PJV81" s="10"/>
      <c r="PJW81" s="10"/>
      <c r="PJX81" s="10"/>
      <c r="PJY81" s="10"/>
      <c r="PJZ81" s="10"/>
      <c r="PKA81" s="10"/>
      <c r="PKB81" s="10"/>
      <c r="PKC81" s="10"/>
      <c r="PKD81" s="10"/>
      <c r="PKE81" s="10"/>
      <c r="PKF81" s="10"/>
      <c r="PKG81" s="10"/>
      <c r="PKH81" s="10"/>
      <c r="PKI81" s="10"/>
      <c r="PKJ81" s="10"/>
      <c r="PKK81" s="10"/>
      <c r="PKL81" s="10"/>
      <c r="PKM81" s="10"/>
      <c r="PKN81" s="10"/>
      <c r="PKO81" s="10"/>
      <c r="PKP81" s="10"/>
      <c r="PKQ81" s="10"/>
      <c r="PKR81" s="10"/>
      <c r="PKS81" s="10"/>
      <c r="PKT81" s="10"/>
      <c r="PKU81" s="10"/>
      <c r="PKV81" s="10"/>
      <c r="PKW81" s="10"/>
      <c r="PKX81" s="10"/>
      <c r="PKY81" s="10"/>
      <c r="PKZ81" s="10"/>
      <c r="PLA81" s="10"/>
      <c r="PLB81" s="10"/>
      <c r="PLC81" s="10"/>
      <c r="PLD81" s="10"/>
      <c r="PLE81" s="10"/>
      <c r="PLF81" s="10"/>
      <c r="PLG81" s="10"/>
      <c r="PLH81" s="10"/>
      <c r="PLI81" s="10"/>
      <c r="PLJ81" s="10"/>
      <c r="PLK81" s="10"/>
      <c r="PLL81" s="10"/>
      <c r="PLM81" s="10"/>
      <c r="PLN81" s="10"/>
      <c r="PLO81" s="10"/>
      <c r="PLP81" s="10"/>
      <c r="PLQ81" s="10"/>
      <c r="PLR81" s="10"/>
      <c r="PLS81" s="10"/>
      <c r="PLT81" s="10"/>
      <c r="PLU81" s="10"/>
      <c r="PLV81" s="10"/>
      <c r="PLW81" s="10"/>
      <c r="PLX81" s="10"/>
      <c r="PLY81" s="10"/>
      <c r="PLZ81" s="10"/>
      <c r="PMA81" s="10"/>
      <c r="PMB81" s="10"/>
      <c r="PMC81" s="10"/>
      <c r="PMD81" s="10"/>
      <c r="PME81" s="10"/>
      <c r="PMF81" s="10"/>
      <c r="PMG81" s="10"/>
      <c r="PMH81" s="10"/>
      <c r="PMI81" s="10"/>
      <c r="PMJ81" s="10"/>
      <c r="PMK81" s="10"/>
      <c r="PML81" s="10"/>
      <c r="PMM81" s="10"/>
      <c r="PMN81" s="10"/>
      <c r="PMO81" s="10"/>
      <c r="PMP81" s="10"/>
      <c r="PMQ81" s="10"/>
      <c r="PMR81" s="10"/>
      <c r="PMS81" s="10"/>
      <c r="PMT81" s="10"/>
      <c r="PMU81" s="10"/>
      <c r="PMV81" s="10"/>
      <c r="PMW81" s="10"/>
      <c r="PMX81" s="10"/>
      <c r="PMY81" s="10"/>
      <c r="PMZ81" s="10"/>
      <c r="PNA81" s="10"/>
      <c r="PNB81" s="10"/>
      <c r="PNC81" s="10"/>
      <c r="PND81" s="10"/>
      <c r="PNE81" s="10"/>
      <c r="PNF81" s="10"/>
      <c r="PNG81" s="10"/>
      <c r="PNH81" s="10"/>
      <c r="PNI81" s="10"/>
      <c r="PNJ81" s="10"/>
      <c r="PNK81" s="10"/>
      <c r="PNL81" s="10"/>
      <c r="PNM81" s="10"/>
      <c r="PNN81" s="10"/>
      <c r="PNO81" s="10"/>
      <c r="PNP81" s="10"/>
      <c r="PNQ81" s="10"/>
      <c r="PNR81" s="10"/>
      <c r="PNS81" s="10"/>
      <c r="PNT81" s="10"/>
      <c r="PNU81" s="10"/>
      <c r="PNV81" s="10"/>
      <c r="PNW81" s="10"/>
      <c r="PNX81" s="10"/>
      <c r="PNY81" s="10"/>
      <c r="PNZ81" s="10"/>
      <c r="POA81" s="10"/>
      <c r="POB81" s="10"/>
      <c r="POC81" s="10"/>
      <c r="POD81" s="10"/>
      <c r="POE81" s="10"/>
      <c r="POF81" s="10"/>
      <c r="POG81" s="10"/>
      <c r="POH81" s="10"/>
      <c r="POI81" s="10"/>
      <c r="POJ81" s="10"/>
      <c r="POK81" s="10"/>
      <c r="POL81" s="10"/>
      <c r="POM81" s="10"/>
      <c r="PON81" s="10"/>
      <c r="POO81" s="10"/>
      <c r="POP81" s="10"/>
      <c r="POQ81" s="10"/>
      <c r="POR81" s="10"/>
      <c r="POS81" s="10"/>
      <c r="POT81" s="10"/>
      <c r="POU81" s="10"/>
      <c r="POV81" s="10"/>
      <c r="POW81" s="10"/>
      <c r="POX81" s="10"/>
      <c r="POY81" s="10"/>
      <c r="POZ81" s="10"/>
      <c r="PPA81" s="10"/>
      <c r="PPB81" s="10"/>
      <c r="PPC81" s="10"/>
      <c r="PPD81" s="10"/>
      <c r="PPE81" s="10"/>
      <c r="PPF81" s="10"/>
      <c r="PPG81" s="10"/>
      <c r="PPH81" s="10"/>
      <c r="PPI81" s="10"/>
      <c r="PPJ81" s="10"/>
      <c r="PPK81" s="10"/>
      <c r="PPL81" s="10"/>
      <c r="PPM81" s="10"/>
      <c r="PPN81" s="10"/>
      <c r="PPO81" s="10"/>
      <c r="PPP81" s="10"/>
      <c r="PPQ81" s="10"/>
      <c r="PPR81" s="10"/>
      <c r="PPS81" s="10"/>
      <c r="PPT81" s="10"/>
      <c r="PPU81" s="10"/>
      <c r="PPV81" s="10"/>
      <c r="PPW81" s="10"/>
      <c r="PPX81" s="10"/>
      <c r="PPY81" s="10"/>
      <c r="PPZ81" s="10"/>
      <c r="PQA81" s="10"/>
      <c r="PQB81" s="10"/>
      <c r="PQC81" s="10"/>
      <c r="PQD81" s="10"/>
      <c r="PQE81" s="10"/>
      <c r="PQF81" s="10"/>
      <c r="PQG81" s="10"/>
      <c r="PQH81" s="10"/>
      <c r="PQI81" s="10"/>
      <c r="PQJ81" s="10"/>
      <c r="PQK81" s="10"/>
      <c r="PQL81" s="10"/>
      <c r="PQM81" s="10"/>
      <c r="PQN81" s="10"/>
      <c r="PQO81" s="10"/>
      <c r="PQP81" s="10"/>
      <c r="PQQ81" s="10"/>
      <c r="PQR81" s="10"/>
      <c r="PQS81" s="10"/>
      <c r="PQT81" s="10"/>
      <c r="PQU81" s="10"/>
      <c r="PQV81" s="10"/>
      <c r="PQW81" s="10"/>
      <c r="PQX81" s="10"/>
      <c r="PQY81" s="10"/>
      <c r="PQZ81" s="10"/>
      <c r="PRA81" s="10"/>
      <c r="PRB81" s="10"/>
      <c r="PRC81" s="10"/>
      <c r="PRD81" s="10"/>
      <c r="PRE81" s="10"/>
      <c r="PRF81" s="10"/>
      <c r="PRG81" s="10"/>
      <c r="PRH81" s="10"/>
      <c r="PRI81" s="10"/>
      <c r="PRJ81" s="10"/>
      <c r="PRK81" s="10"/>
      <c r="PRL81" s="10"/>
      <c r="PRM81" s="10"/>
      <c r="PRN81" s="10"/>
      <c r="PRO81" s="10"/>
      <c r="PRP81" s="10"/>
      <c r="PRQ81" s="10"/>
      <c r="PRR81" s="10"/>
      <c r="PRS81" s="10"/>
      <c r="PRT81" s="10"/>
      <c r="PRU81" s="10"/>
      <c r="PRV81" s="10"/>
      <c r="PRW81" s="10"/>
      <c r="PRX81" s="10"/>
      <c r="PRY81" s="10"/>
      <c r="PRZ81" s="10"/>
      <c r="PSA81" s="10"/>
      <c r="PSB81" s="10"/>
      <c r="PSC81" s="10"/>
      <c r="PSD81" s="10"/>
      <c r="PSE81" s="10"/>
      <c r="PSF81" s="10"/>
      <c r="PSG81" s="10"/>
      <c r="PSH81" s="10"/>
      <c r="PSI81" s="10"/>
      <c r="PSJ81" s="10"/>
      <c r="PSK81" s="10"/>
      <c r="PSL81" s="10"/>
      <c r="PSM81" s="10"/>
      <c r="PSN81" s="10"/>
      <c r="PSO81" s="10"/>
      <c r="PSP81" s="10"/>
      <c r="PSQ81" s="10"/>
      <c r="PSR81" s="10"/>
      <c r="PSS81" s="10"/>
      <c r="PST81" s="10"/>
      <c r="PSU81" s="10"/>
      <c r="PSV81" s="10"/>
      <c r="PSW81" s="10"/>
      <c r="PSX81" s="10"/>
      <c r="PSY81" s="10"/>
      <c r="PSZ81" s="10"/>
      <c r="PTA81" s="10"/>
      <c r="PTB81" s="10"/>
      <c r="PTC81" s="10"/>
      <c r="PTD81" s="10"/>
      <c r="PTE81" s="10"/>
      <c r="PTF81" s="10"/>
      <c r="PTG81" s="10"/>
      <c r="PTH81" s="10"/>
      <c r="PTI81" s="10"/>
      <c r="PTJ81" s="10"/>
      <c r="PTK81" s="10"/>
      <c r="PTL81" s="10"/>
      <c r="PTM81" s="10"/>
      <c r="PTN81" s="10"/>
      <c r="PTO81" s="10"/>
      <c r="PTP81" s="10"/>
      <c r="PTQ81" s="10"/>
      <c r="PTR81" s="10"/>
      <c r="PTS81" s="10"/>
      <c r="PTT81" s="10"/>
      <c r="PTU81" s="10"/>
      <c r="PTV81" s="10"/>
      <c r="PTW81" s="10"/>
      <c r="PTX81" s="10"/>
      <c r="PTY81" s="10"/>
      <c r="PTZ81" s="10"/>
      <c r="PUA81" s="10"/>
      <c r="PUB81" s="10"/>
      <c r="PUC81" s="10"/>
      <c r="PUD81" s="10"/>
      <c r="PUE81" s="10"/>
      <c r="PUF81" s="10"/>
      <c r="PUG81" s="10"/>
      <c r="PUH81" s="10"/>
      <c r="PUI81" s="10"/>
      <c r="PUJ81" s="10"/>
      <c r="PUK81" s="10"/>
      <c r="PUL81" s="10"/>
      <c r="PUM81" s="10"/>
      <c r="PUN81" s="10"/>
      <c r="PUO81" s="10"/>
      <c r="PUP81" s="10"/>
      <c r="PUQ81" s="10"/>
      <c r="PUR81" s="10"/>
      <c r="PUS81" s="10"/>
      <c r="PUT81" s="10"/>
      <c r="PUU81" s="10"/>
      <c r="PUV81" s="10"/>
      <c r="PUW81" s="10"/>
      <c r="PUX81" s="10"/>
      <c r="PUY81" s="10"/>
      <c r="PUZ81" s="10"/>
      <c r="PVA81" s="10"/>
      <c r="PVB81" s="10"/>
      <c r="PVC81" s="10"/>
      <c r="PVD81" s="10"/>
      <c r="PVE81" s="10"/>
      <c r="PVF81" s="10"/>
      <c r="PVG81" s="10"/>
      <c r="PVH81" s="10"/>
      <c r="PVI81" s="10"/>
      <c r="PVJ81" s="10"/>
      <c r="PVK81" s="10"/>
      <c r="PVL81" s="10"/>
      <c r="PVM81" s="10"/>
      <c r="PVN81" s="10"/>
      <c r="PVO81" s="10"/>
      <c r="PVP81" s="10"/>
      <c r="PVQ81" s="10"/>
      <c r="PVR81" s="10"/>
      <c r="PVS81" s="10"/>
      <c r="PVT81" s="10"/>
      <c r="PVU81" s="10"/>
      <c r="PVV81" s="10"/>
      <c r="PVW81" s="10"/>
      <c r="PVX81" s="10"/>
      <c r="PVY81" s="10"/>
      <c r="PVZ81" s="10"/>
      <c r="PWA81" s="10"/>
      <c r="PWB81" s="10"/>
      <c r="PWC81" s="10"/>
      <c r="PWD81" s="10"/>
      <c r="PWE81" s="10"/>
      <c r="PWF81" s="10"/>
      <c r="PWG81" s="10"/>
      <c r="PWH81" s="10"/>
      <c r="PWI81" s="10"/>
      <c r="PWJ81" s="10"/>
      <c r="PWK81" s="10"/>
      <c r="PWL81" s="10"/>
      <c r="PWM81" s="10"/>
      <c r="PWN81" s="10"/>
      <c r="PWO81" s="10"/>
      <c r="PWP81" s="10"/>
      <c r="PWQ81" s="10"/>
      <c r="PWR81" s="10"/>
      <c r="PWS81" s="10"/>
      <c r="PWT81" s="10"/>
      <c r="PWU81" s="10"/>
      <c r="PWV81" s="10"/>
      <c r="PWW81" s="10"/>
      <c r="PWX81" s="10"/>
      <c r="PWY81" s="10"/>
      <c r="PWZ81" s="10"/>
      <c r="PXA81" s="10"/>
      <c r="PXB81" s="10"/>
      <c r="PXC81" s="10"/>
      <c r="PXD81" s="10"/>
      <c r="PXE81" s="10"/>
      <c r="PXF81" s="10"/>
      <c r="PXG81" s="10"/>
      <c r="PXH81" s="10"/>
      <c r="PXI81" s="10"/>
      <c r="PXJ81" s="10"/>
      <c r="PXK81" s="10"/>
      <c r="PXL81" s="10"/>
      <c r="PXM81" s="10"/>
      <c r="PXN81" s="10"/>
      <c r="PXO81" s="10"/>
      <c r="PXP81" s="10"/>
      <c r="PXQ81" s="10"/>
      <c r="PXR81" s="10"/>
      <c r="PXS81" s="10"/>
      <c r="PXT81" s="10"/>
      <c r="PXU81" s="10"/>
      <c r="PXV81" s="10"/>
      <c r="PXW81" s="10"/>
      <c r="PXX81" s="10"/>
      <c r="PXY81" s="10"/>
      <c r="PXZ81" s="10"/>
      <c r="PYA81" s="10"/>
      <c r="PYB81" s="10"/>
      <c r="PYC81" s="10"/>
      <c r="PYD81" s="10"/>
      <c r="PYE81" s="10"/>
      <c r="PYF81" s="10"/>
      <c r="PYG81" s="10"/>
      <c r="PYH81" s="10"/>
      <c r="PYI81" s="10"/>
      <c r="PYJ81" s="10"/>
      <c r="PYK81" s="10"/>
      <c r="PYL81" s="10"/>
      <c r="PYM81" s="10"/>
      <c r="PYN81" s="10"/>
      <c r="PYO81" s="10"/>
      <c r="PYP81" s="10"/>
      <c r="PYQ81" s="10"/>
      <c r="PYR81" s="10"/>
      <c r="PYS81" s="10"/>
      <c r="PYT81" s="10"/>
      <c r="PYU81" s="10"/>
      <c r="PYV81" s="10"/>
      <c r="PYW81" s="10"/>
      <c r="PYX81" s="10"/>
      <c r="PYY81" s="10"/>
      <c r="PYZ81" s="10"/>
      <c r="PZA81" s="10"/>
      <c r="PZB81" s="10"/>
      <c r="PZC81" s="10"/>
      <c r="PZD81" s="10"/>
      <c r="PZE81" s="10"/>
      <c r="PZF81" s="10"/>
      <c r="PZG81" s="10"/>
      <c r="PZH81" s="10"/>
      <c r="PZI81" s="10"/>
      <c r="PZJ81" s="10"/>
      <c r="PZK81" s="10"/>
      <c r="PZL81" s="10"/>
      <c r="PZM81" s="10"/>
      <c r="PZN81" s="10"/>
      <c r="PZO81" s="10"/>
      <c r="PZP81" s="10"/>
      <c r="PZQ81" s="10"/>
      <c r="PZR81" s="10"/>
      <c r="PZS81" s="10"/>
      <c r="PZT81" s="10"/>
      <c r="PZU81" s="10"/>
      <c r="PZV81" s="10"/>
      <c r="PZW81" s="10"/>
      <c r="PZX81" s="10"/>
      <c r="PZY81" s="10"/>
      <c r="PZZ81" s="10"/>
      <c r="QAA81" s="10"/>
      <c r="QAB81" s="10"/>
      <c r="QAC81" s="10"/>
      <c r="QAD81" s="10"/>
      <c r="QAE81" s="10"/>
      <c r="QAF81" s="10"/>
      <c r="QAG81" s="10"/>
      <c r="QAH81" s="10"/>
      <c r="QAI81" s="10"/>
      <c r="QAJ81" s="10"/>
      <c r="QAK81" s="10"/>
      <c r="QAL81" s="10"/>
      <c r="QAM81" s="10"/>
      <c r="QAN81" s="10"/>
      <c r="QAO81" s="10"/>
      <c r="QAP81" s="10"/>
      <c r="QAQ81" s="10"/>
      <c r="QAR81" s="10"/>
      <c r="QAS81" s="10"/>
      <c r="QAT81" s="10"/>
      <c r="QAU81" s="10"/>
      <c r="QAV81" s="10"/>
      <c r="QAW81" s="10"/>
      <c r="QAX81" s="10"/>
      <c r="QAY81" s="10"/>
      <c r="QAZ81" s="10"/>
      <c r="QBA81" s="10"/>
      <c r="QBB81" s="10"/>
      <c r="QBC81" s="10"/>
      <c r="QBD81" s="10"/>
      <c r="QBE81" s="10"/>
      <c r="QBF81" s="10"/>
      <c r="QBG81" s="10"/>
      <c r="QBH81" s="10"/>
      <c r="QBI81" s="10"/>
      <c r="QBJ81" s="10"/>
      <c r="QBK81" s="10"/>
      <c r="QBL81" s="10"/>
      <c r="QBM81" s="10"/>
      <c r="QBN81" s="10"/>
      <c r="QBO81" s="10"/>
      <c r="QBP81" s="10"/>
      <c r="QBQ81" s="10"/>
      <c r="QBR81" s="10"/>
      <c r="QBS81" s="10"/>
      <c r="QBT81" s="10"/>
      <c r="QBU81" s="10"/>
      <c r="QBV81" s="10"/>
      <c r="QBW81" s="10"/>
      <c r="QBX81" s="10"/>
      <c r="QBY81" s="10"/>
      <c r="QBZ81" s="10"/>
      <c r="QCA81" s="10"/>
      <c r="QCB81" s="10"/>
      <c r="QCC81" s="10"/>
      <c r="QCD81" s="10"/>
      <c r="QCE81" s="10"/>
      <c r="QCF81" s="10"/>
      <c r="QCG81" s="10"/>
      <c r="QCH81" s="10"/>
      <c r="QCI81" s="10"/>
      <c r="QCJ81" s="10"/>
      <c r="QCK81" s="10"/>
      <c r="QCL81" s="10"/>
      <c r="QCM81" s="10"/>
      <c r="QCN81" s="10"/>
      <c r="QCO81" s="10"/>
      <c r="QCP81" s="10"/>
      <c r="QCQ81" s="10"/>
      <c r="QCR81" s="10"/>
      <c r="QCS81" s="10"/>
      <c r="QCT81" s="10"/>
      <c r="QCU81" s="10"/>
      <c r="QCV81" s="10"/>
      <c r="QCW81" s="10"/>
      <c r="QCX81" s="10"/>
      <c r="QCY81" s="10"/>
      <c r="QCZ81" s="10"/>
      <c r="QDA81" s="10"/>
      <c r="QDB81" s="10"/>
      <c r="QDC81" s="10"/>
      <c r="QDD81" s="10"/>
      <c r="QDE81" s="10"/>
      <c r="QDF81" s="10"/>
      <c r="QDG81" s="10"/>
      <c r="QDH81" s="10"/>
      <c r="QDI81" s="10"/>
      <c r="QDJ81" s="10"/>
      <c r="QDK81" s="10"/>
      <c r="QDL81" s="10"/>
      <c r="QDM81" s="10"/>
      <c r="QDN81" s="10"/>
      <c r="QDO81" s="10"/>
      <c r="QDP81" s="10"/>
      <c r="QDQ81" s="10"/>
      <c r="QDR81" s="10"/>
      <c r="QDS81" s="10"/>
      <c r="QDT81" s="10"/>
      <c r="QDU81" s="10"/>
      <c r="QDV81" s="10"/>
      <c r="QDW81" s="10"/>
      <c r="QDX81" s="10"/>
      <c r="QDY81" s="10"/>
      <c r="QDZ81" s="10"/>
      <c r="QEA81" s="10"/>
      <c r="QEB81" s="10"/>
      <c r="QEC81" s="10"/>
      <c r="QED81" s="10"/>
      <c r="QEE81" s="10"/>
      <c r="QEF81" s="10"/>
      <c r="QEG81" s="10"/>
      <c r="QEH81" s="10"/>
      <c r="QEI81" s="10"/>
      <c r="QEJ81" s="10"/>
      <c r="QEK81" s="10"/>
      <c r="QEL81" s="10"/>
      <c r="QEM81" s="10"/>
      <c r="QEN81" s="10"/>
      <c r="QEO81" s="10"/>
      <c r="QEP81" s="10"/>
      <c r="QEQ81" s="10"/>
      <c r="QER81" s="10"/>
      <c r="QES81" s="10"/>
      <c r="QET81" s="10"/>
      <c r="QEU81" s="10"/>
      <c r="QEV81" s="10"/>
      <c r="QEW81" s="10"/>
      <c r="QEX81" s="10"/>
      <c r="QEY81" s="10"/>
      <c r="QEZ81" s="10"/>
      <c r="QFA81" s="10"/>
      <c r="QFB81" s="10"/>
      <c r="QFC81" s="10"/>
      <c r="QFD81" s="10"/>
      <c r="QFE81" s="10"/>
      <c r="QFF81" s="10"/>
      <c r="QFG81" s="10"/>
      <c r="QFH81" s="10"/>
      <c r="QFI81" s="10"/>
      <c r="QFJ81" s="10"/>
      <c r="QFK81" s="10"/>
      <c r="QFL81" s="10"/>
      <c r="QFM81" s="10"/>
      <c r="QFN81" s="10"/>
      <c r="QFO81" s="10"/>
      <c r="QFP81" s="10"/>
      <c r="QFQ81" s="10"/>
      <c r="QFR81" s="10"/>
      <c r="QFS81" s="10"/>
      <c r="QFT81" s="10"/>
      <c r="QFU81" s="10"/>
      <c r="QFV81" s="10"/>
      <c r="QFW81" s="10"/>
      <c r="QFX81" s="10"/>
      <c r="QFY81" s="10"/>
      <c r="QFZ81" s="10"/>
      <c r="QGA81" s="10"/>
      <c r="QGB81" s="10"/>
      <c r="QGC81" s="10"/>
      <c r="QGD81" s="10"/>
      <c r="QGE81" s="10"/>
      <c r="QGF81" s="10"/>
      <c r="QGG81" s="10"/>
      <c r="QGH81" s="10"/>
      <c r="QGI81" s="10"/>
      <c r="QGJ81" s="10"/>
      <c r="QGK81" s="10"/>
      <c r="QGL81" s="10"/>
      <c r="QGM81" s="10"/>
      <c r="QGN81" s="10"/>
      <c r="QGO81" s="10"/>
      <c r="QGP81" s="10"/>
      <c r="QGQ81" s="10"/>
      <c r="QGR81" s="10"/>
      <c r="QGS81" s="10"/>
      <c r="QGT81" s="10"/>
      <c r="QGU81" s="10"/>
      <c r="QGV81" s="10"/>
      <c r="QGW81" s="10"/>
      <c r="QGX81" s="10"/>
      <c r="QGY81" s="10"/>
      <c r="QGZ81" s="10"/>
      <c r="QHA81" s="10"/>
      <c r="QHB81" s="10"/>
      <c r="QHC81" s="10"/>
      <c r="QHD81" s="10"/>
      <c r="QHE81" s="10"/>
      <c r="QHF81" s="10"/>
      <c r="QHG81" s="10"/>
      <c r="QHH81" s="10"/>
      <c r="QHI81" s="10"/>
      <c r="QHJ81" s="10"/>
      <c r="QHK81" s="10"/>
      <c r="QHL81" s="10"/>
      <c r="QHM81" s="10"/>
      <c r="QHN81" s="10"/>
      <c r="QHO81" s="10"/>
      <c r="QHP81" s="10"/>
      <c r="QHQ81" s="10"/>
      <c r="QHR81" s="10"/>
      <c r="QHS81" s="10"/>
      <c r="QHT81" s="10"/>
      <c r="QHU81" s="10"/>
      <c r="QHV81" s="10"/>
      <c r="QHW81" s="10"/>
      <c r="QHX81" s="10"/>
      <c r="QHY81" s="10"/>
      <c r="QHZ81" s="10"/>
      <c r="QIA81" s="10"/>
      <c r="QIB81" s="10"/>
      <c r="QIC81" s="10"/>
      <c r="QID81" s="10"/>
      <c r="QIE81" s="10"/>
      <c r="QIF81" s="10"/>
      <c r="QIG81" s="10"/>
      <c r="QIH81" s="10"/>
      <c r="QII81" s="10"/>
      <c r="QIJ81" s="10"/>
      <c r="QIK81" s="10"/>
      <c r="QIL81" s="10"/>
      <c r="QIM81" s="10"/>
      <c r="QIN81" s="10"/>
      <c r="QIO81" s="10"/>
      <c r="QIP81" s="10"/>
      <c r="QIQ81" s="10"/>
      <c r="QIR81" s="10"/>
      <c r="QIS81" s="10"/>
      <c r="QIT81" s="10"/>
      <c r="QIU81" s="10"/>
      <c r="QIV81" s="10"/>
      <c r="QIW81" s="10"/>
      <c r="QIX81" s="10"/>
      <c r="QIY81" s="10"/>
      <c r="QIZ81" s="10"/>
      <c r="QJA81" s="10"/>
      <c r="QJB81" s="10"/>
      <c r="QJC81" s="10"/>
      <c r="QJD81" s="10"/>
      <c r="QJE81" s="10"/>
      <c r="QJF81" s="10"/>
      <c r="QJG81" s="10"/>
      <c r="QJH81" s="10"/>
      <c r="QJI81" s="10"/>
      <c r="QJJ81" s="10"/>
      <c r="QJK81" s="10"/>
      <c r="QJL81" s="10"/>
      <c r="QJM81" s="10"/>
      <c r="QJN81" s="10"/>
      <c r="QJO81" s="10"/>
      <c r="QJP81" s="10"/>
      <c r="QJQ81" s="10"/>
      <c r="QJR81" s="10"/>
      <c r="QJS81" s="10"/>
      <c r="QJT81" s="10"/>
      <c r="QJU81" s="10"/>
      <c r="QJV81" s="10"/>
      <c r="QJW81" s="10"/>
      <c r="QJX81" s="10"/>
      <c r="QJY81" s="10"/>
      <c r="QJZ81" s="10"/>
      <c r="QKA81" s="10"/>
      <c r="QKB81" s="10"/>
      <c r="QKC81" s="10"/>
      <c r="QKD81" s="10"/>
      <c r="QKE81" s="10"/>
      <c r="QKF81" s="10"/>
      <c r="QKG81" s="10"/>
      <c r="QKH81" s="10"/>
      <c r="QKI81" s="10"/>
      <c r="QKJ81" s="10"/>
      <c r="QKK81" s="10"/>
      <c r="QKL81" s="10"/>
      <c r="QKM81" s="10"/>
      <c r="QKN81" s="10"/>
      <c r="QKO81" s="10"/>
      <c r="QKP81" s="10"/>
      <c r="QKQ81" s="10"/>
      <c r="QKR81" s="10"/>
      <c r="QKS81" s="10"/>
      <c r="QKT81" s="10"/>
      <c r="QKU81" s="10"/>
      <c r="QKV81" s="10"/>
      <c r="QKW81" s="10"/>
      <c r="QKX81" s="10"/>
      <c r="QKY81" s="10"/>
      <c r="QKZ81" s="10"/>
      <c r="QLA81" s="10"/>
      <c r="QLB81" s="10"/>
      <c r="QLC81" s="10"/>
      <c r="QLD81" s="10"/>
      <c r="QLE81" s="10"/>
      <c r="QLF81" s="10"/>
      <c r="QLG81" s="10"/>
      <c r="QLH81" s="10"/>
      <c r="QLI81" s="10"/>
      <c r="QLJ81" s="10"/>
      <c r="QLK81" s="10"/>
      <c r="QLL81" s="10"/>
      <c r="QLM81" s="10"/>
      <c r="QLN81" s="10"/>
      <c r="QLO81" s="10"/>
      <c r="QLP81" s="10"/>
      <c r="QLQ81" s="10"/>
      <c r="QLR81" s="10"/>
      <c r="QLS81" s="10"/>
      <c r="QLT81" s="10"/>
      <c r="QLU81" s="10"/>
      <c r="QLV81" s="10"/>
      <c r="QLW81" s="10"/>
      <c r="QLX81" s="10"/>
      <c r="QLY81" s="10"/>
      <c r="QLZ81" s="10"/>
      <c r="QMA81" s="10"/>
      <c r="QMB81" s="10"/>
      <c r="QMC81" s="10"/>
      <c r="QMD81" s="10"/>
      <c r="QME81" s="10"/>
      <c r="QMF81" s="10"/>
      <c r="QMG81" s="10"/>
      <c r="QMH81" s="10"/>
      <c r="QMI81" s="10"/>
      <c r="QMJ81" s="10"/>
      <c r="QMK81" s="10"/>
      <c r="QML81" s="10"/>
      <c r="QMM81" s="10"/>
      <c r="QMN81" s="10"/>
      <c r="QMO81" s="10"/>
      <c r="QMP81" s="10"/>
      <c r="QMQ81" s="10"/>
      <c r="QMR81" s="10"/>
      <c r="QMS81" s="10"/>
      <c r="QMT81" s="10"/>
      <c r="QMU81" s="10"/>
      <c r="QMV81" s="10"/>
      <c r="QMW81" s="10"/>
      <c r="QMX81" s="10"/>
      <c r="QMY81" s="10"/>
      <c r="QMZ81" s="10"/>
      <c r="QNA81" s="10"/>
      <c r="QNB81" s="10"/>
      <c r="QNC81" s="10"/>
      <c r="QND81" s="10"/>
      <c r="QNE81" s="10"/>
      <c r="QNF81" s="10"/>
      <c r="QNG81" s="10"/>
      <c r="QNH81" s="10"/>
      <c r="QNI81" s="10"/>
      <c r="QNJ81" s="10"/>
      <c r="QNK81" s="10"/>
      <c r="QNL81" s="10"/>
      <c r="QNM81" s="10"/>
      <c r="QNN81" s="10"/>
      <c r="QNO81" s="10"/>
      <c r="QNP81" s="10"/>
      <c r="QNQ81" s="10"/>
      <c r="QNR81" s="10"/>
      <c r="QNS81" s="10"/>
      <c r="QNT81" s="10"/>
      <c r="QNU81" s="10"/>
      <c r="QNV81" s="10"/>
      <c r="QNW81" s="10"/>
      <c r="QNX81" s="10"/>
      <c r="QNY81" s="10"/>
      <c r="QNZ81" s="10"/>
      <c r="QOA81" s="10"/>
      <c r="QOB81" s="10"/>
      <c r="QOC81" s="10"/>
      <c r="QOD81" s="10"/>
      <c r="QOE81" s="10"/>
      <c r="QOF81" s="10"/>
      <c r="QOG81" s="10"/>
      <c r="QOH81" s="10"/>
      <c r="QOI81" s="10"/>
      <c r="QOJ81" s="10"/>
      <c r="QOK81" s="10"/>
      <c r="QOL81" s="10"/>
      <c r="QOM81" s="10"/>
      <c r="QON81" s="10"/>
      <c r="QOO81" s="10"/>
      <c r="QOP81" s="10"/>
      <c r="QOQ81" s="10"/>
      <c r="QOR81" s="10"/>
      <c r="QOS81" s="10"/>
      <c r="QOT81" s="10"/>
      <c r="QOU81" s="10"/>
      <c r="QOV81" s="10"/>
      <c r="QOW81" s="10"/>
      <c r="QOX81" s="10"/>
      <c r="QOY81" s="10"/>
      <c r="QOZ81" s="10"/>
      <c r="QPA81" s="10"/>
      <c r="QPB81" s="10"/>
      <c r="QPC81" s="10"/>
      <c r="QPD81" s="10"/>
      <c r="QPE81" s="10"/>
      <c r="QPF81" s="10"/>
      <c r="QPG81" s="10"/>
      <c r="QPH81" s="10"/>
      <c r="QPI81" s="10"/>
      <c r="QPJ81" s="10"/>
      <c r="QPK81" s="10"/>
      <c r="QPL81" s="10"/>
      <c r="QPM81" s="10"/>
      <c r="QPN81" s="10"/>
      <c r="QPO81" s="10"/>
      <c r="QPP81" s="10"/>
      <c r="QPQ81" s="10"/>
      <c r="QPR81" s="10"/>
      <c r="QPS81" s="10"/>
      <c r="QPT81" s="10"/>
      <c r="QPU81" s="10"/>
      <c r="QPV81" s="10"/>
      <c r="QPW81" s="10"/>
      <c r="QPX81" s="10"/>
      <c r="QPY81" s="10"/>
      <c r="QPZ81" s="10"/>
      <c r="QQA81" s="10"/>
      <c r="QQB81" s="10"/>
      <c r="QQC81" s="10"/>
      <c r="QQD81" s="10"/>
      <c r="QQE81" s="10"/>
      <c r="QQF81" s="10"/>
      <c r="QQG81" s="10"/>
      <c r="QQH81" s="10"/>
      <c r="QQI81" s="10"/>
      <c r="QQJ81" s="10"/>
      <c r="QQK81" s="10"/>
      <c r="QQL81" s="10"/>
      <c r="QQM81" s="10"/>
      <c r="QQN81" s="10"/>
      <c r="QQO81" s="10"/>
      <c r="QQP81" s="10"/>
      <c r="QQQ81" s="10"/>
      <c r="QQR81" s="10"/>
      <c r="QQS81" s="10"/>
      <c r="QQT81" s="10"/>
      <c r="QQU81" s="10"/>
      <c r="QQV81" s="10"/>
      <c r="QQW81" s="10"/>
      <c r="QQX81" s="10"/>
      <c r="QQY81" s="10"/>
      <c r="QQZ81" s="10"/>
      <c r="QRA81" s="10"/>
      <c r="QRB81" s="10"/>
      <c r="QRC81" s="10"/>
      <c r="QRD81" s="10"/>
      <c r="QRE81" s="10"/>
      <c r="QRF81" s="10"/>
      <c r="QRG81" s="10"/>
      <c r="QRH81" s="10"/>
      <c r="QRI81" s="10"/>
      <c r="QRJ81" s="10"/>
      <c r="QRK81" s="10"/>
      <c r="QRL81" s="10"/>
      <c r="QRM81" s="10"/>
      <c r="QRN81" s="10"/>
      <c r="QRO81" s="10"/>
      <c r="QRP81" s="10"/>
      <c r="QRQ81" s="10"/>
      <c r="QRR81" s="10"/>
      <c r="QRS81" s="10"/>
      <c r="QRT81" s="10"/>
      <c r="QRU81" s="10"/>
      <c r="QRV81" s="10"/>
      <c r="QRW81" s="10"/>
      <c r="QRX81" s="10"/>
      <c r="QRY81" s="10"/>
      <c r="QRZ81" s="10"/>
      <c r="QSA81" s="10"/>
      <c r="QSB81" s="10"/>
      <c r="QSC81" s="10"/>
      <c r="QSD81" s="10"/>
      <c r="QSE81" s="10"/>
      <c r="QSF81" s="10"/>
      <c r="QSG81" s="10"/>
      <c r="QSH81" s="10"/>
      <c r="QSI81" s="10"/>
      <c r="QSJ81" s="10"/>
      <c r="QSK81" s="10"/>
      <c r="QSL81" s="10"/>
      <c r="QSM81" s="10"/>
      <c r="QSN81" s="10"/>
      <c r="QSO81" s="10"/>
      <c r="QSP81" s="10"/>
      <c r="QSQ81" s="10"/>
      <c r="QSR81" s="10"/>
      <c r="QSS81" s="10"/>
      <c r="QST81" s="10"/>
      <c r="QSU81" s="10"/>
      <c r="QSV81" s="10"/>
      <c r="QSW81" s="10"/>
      <c r="QSX81" s="10"/>
      <c r="QSY81" s="10"/>
      <c r="QSZ81" s="10"/>
      <c r="QTA81" s="10"/>
      <c r="QTB81" s="10"/>
      <c r="QTC81" s="10"/>
      <c r="QTD81" s="10"/>
      <c r="QTE81" s="10"/>
      <c r="QTF81" s="10"/>
      <c r="QTG81" s="10"/>
      <c r="QTH81" s="10"/>
      <c r="QTI81" s="10"/>
      <c r="QTJ81" s="10"/>
      <c r="QTK81" s="10"/>
      <c r="QTL81" s="10"/>
      <c r="QTM81" s="10"/>
      <c r="QTN81" s="10"/>
      <c r="QTO81" s="10"/>
      <c r="QTP81" s="10"/>
      <c r="QTQ81" s="10"/>
      <c r="QTR81" s="10"/>
      <c r="QTS81" s="10"/>
      <c r="QTT81" s="10"/>
      <c r="QTU81" s="10"/>
      <c r="QTV81" s="10"/>
      <c r="QTW81" s="10"/>
      <c r="QTX81" s="10"/>
      <c r="QTY81" s="10"/>
      <c r="QTZ81" s="10"/>
      <c r="QUA81" s="10"/>
      <c r="QUB81" s="10"/>
      <c r="QUC81" s="10"/>
      <c r="QUD81" s="10"/>
      <c r="QUE81" s="10"/>
      <c r="QUF81" s="10"/>
      <c r="QUG81" s="10"/>
      <c r="QUH81" s="10"/>
      <c r="QUI81" s="10"/>
      <c r="QUJ81" s="10"/>
      <c r="QUK81" s="10"/>
      <c r="QUL81" s="10"/>
      <c r="QUM81" s="10"/>
      <c r="QUN81" s="10"/>
      <c r="QUO81" s="10"/>
      <c r="QUP81" s="10"/>
      <c r="QUQ81" s="10"/>
      <c r="QUR81" s="10"/>
      <c r="QUS81" s="10"/>
      <c r="QUT81" s="10"/>
      <c r="QUU81" s="10"/>
      <c r="QUV81" s="10"/>
      <c r="QUW81" s="10"/>
      <c r="QUX81" s="10"/>
      <c r="QUY81" s="10"/>
      <c r="QUZ81" s="10"/>
      <c r="QVA81" s="10"/>
      <c r="QVB81" s="10"/>
      <c r="QVC81" s="10"/>
      <c r="QVD81" s="10"/>
      <c r="QVE81" s="10"/>
      <c r="QVF81" s="10"/>
      <c r="QVG81" s="10"/>
      <c r="QVH81" s="10"/>
      <c r="QVI81" s="10"/>
      <c r="QVJ81" s="10"/>
      <c r="QVK81" s="10"/>
      <c r="QVL81" s="10"/>
      <c r="QVM81" s="10"/>
      <c r="QVN81" s="10"/>
      <c r="QVO81" s="10"/>
      <c r="QVP81" s="10"/>
      <c r="QVQ81" s="10"/>
      <c r="QVR81" s="10"/>
      <c r="QVS81" s="10"/>
      <c r="QVT81" s="10"/>
      <c r="QVU81" s="10"/>
      <c r="QVV81" s="10"/>
      <c r="QVW81" s="10"/>
      <c r="QVX81" s="10"/>
      <c r="QVY81" s="10"/>
      <c r="QVZ81" s="10"/>
      <c r="QWA81" s="10"/>
      <c r="QWB81" s="10"/>
      <c r="QWC81" s="10"/>
      <c r="QWD81" s="10"/>
      <c r="QWE81" s="10"/>
      <c r="QWF81" s="10"/>
      <c r="QWG81" s="10"/>
      <c r="QWH81" s="10"/>
      <c r="QWI81" s="10"/>
      <c r="QWJ81" s="10"/>
      <c r="QWK81" s="10"/>
      <c r="QWL81" s="10"/>
      <c r="QWM81" s="10"/>
      <c r="QWN81" s="10"/>
      <c r="QWO81" s="10"/>
      <c r="QWP81" s="10"/>
      <c r="QWQ81" s="10"/>
      <c r="QWR81" s="10"/>
      <c r="QWS81" s="10"/>
      <c r="QWT81" s="10"/>
      <c r="QWU81" s="10"/>
      <c r="QWV81" s="10"/>
      <c r="QWW81" s="10"/>
      <c r="QWX81" s="10"/>
      <c r="QWY81" s="10"/>
      <c r="QWZ81" s="10"/>
      <c r="QXA81" s="10"/>
      <c r="QXB81" s="10"/>
      <c r="QXC81" s="10"/>
      <c r="QXD81" s="10"/>
      <c r="QXE81" s="10"/>
      <c r="QXF81" s="10"/>
      <c r="QXG81" s="10"/>
      <c r="QXH81" s="10"/>
      <c r="QXI81" s="10"/>
      <c r="QXJ81" s="10"/>
      <c r="QXK81" s="10"/>
      <c r="QXL81" s="10"/>
      <c r="QXM81" s="10"/>
      <c r="QXN81" s="10"/>
      <c r="QXO81" s="10"/>
      <c r="QXP81" s="10"/>
      <c r="QXQ81" s="10"/>
      <c r="QXR81" s="10"/>
      <c r="QXS81" s="10"/>
      <c r="QXT81" s="10"/>
      <c r="QXU81" s="10"/>
      <c r="QXV81" s="10"/>
      <c r="QXW81" s="10"/>
      <c r="QXX81" s="10"/>
      <c r="QXY81" s="10"/>
      <c r="QXZ81" s="10"/>
      <c r="QYA81" s="10"/>
      <c r="QYB81" s="10"/>
      <c r="QYC81" s="10"/>
      <c r="QYD81" s="10"/>
      <c r="QYE81" s="10"/>
      <c r="QYF81" s="10"/>
      <c r="QYG81" s="10"/>
      <c r="QYH81" s="10"/>
      <c r="QYI81" s="10"/>
      <c r="QYJ81" s="10"/>
      <c r="QYK81" s="10"/>
      <c r="QYL81" s="10"/>
      <c r="QYM81" s="10"/>
      <c r="QYN81" s="10"/>
      <c r="QYO81" s="10"/>
      <c r="QYP81" s="10"/>
      <c r="QYQ81" s="10"/>
      <c r="QYR81" s="10"/>
      <c r="QYS81" s="10"/>
      <c r="QYT81" s="10"/>
      <c r="QYU81" s="10"/>
      <c r="QYV81" s="10"/>
      <c r="QYW81" s="10"/>
      <c r="QYX81" s="10"/>
      <c r="QYY81" s="10"/>
      <c r="QYZ81" s="10"/>
      <c r="QZA81" s="10"/>
      <c r="QZB81" s="10"/>
      <c r="QZC81" s="10"/>
      <c r="QZD81" s="10"/>
      <c r="QZE81" s="10"/>
      <c r="QZF81" s="10"/>
      <c r="QZG81" s="10"/>
      <c r="QZH81" s="10"/>
      <c r="QZI81" s="10"/>
      <c r="QZJ81" s="10"/>
      <c r="QZK81" s="10"/>
      <c r="QZL81" s="10"/>
      <c r="QZM81" s="10"/>
      <c r="QZN81" s="10"/>
      <c r="QZO81" s="10"/>
      <c r="QZP81" s="10"/>
      <c r="QZQ81" s="10"/>
      <c r="QZR81" s="10"/>
      <c r="QZS81" s="10"/>
      <c r="QZT81" s="10"/>
      <c r="QZU81" s="10"/>
      <c r="QZV81" s="10"/>
      <c r="QZW81" s="10"/>
      <c r="QZX81" s="10"/>
      <c r="QZY81" s="10"/>
      <c r="QZZ81" s="10"/>
      <c r="RAA81" s="10"/>
      <c r="RAB81" s="10"/>
      <c r="RAC81" s="10"/>
      <c r="RAD81" s="10"/>
      <c r="RAE81" s="10"/>
      <c r="RAF81" s="10"/>
      <c r="RAG81" s="10"/>
      <c r="RAH81" s="10"/>
      <c r="RAI81" s="10"/>
      <c r="RAJ81" s="10"/>
      <c r="RAK81" s="10"/>
      <c r="RAL81" s="10"/>
      <c r="RAM81" s="10"/>
      <c r="RAN81" s="10"/>
      <c r="RAO81" s="10"/>
      <c r="RAP81" s="10"/>
      <c r="RAQ81" s="10"/>
      <c r="RAR81" s="10"/>
      <c r="RAS81" s="10"/>
      <c r="RAT81" s="10"/>
      <c r="RAU81" s="10"/>
      <c r="RAV81" s="10"/>
      <c r="RAW81" s="10"/>
      <c r="RAX81" s="10"/>
      <c r="RAY81" s="10"/>
      <c r="RAZ81" s="10"/>
      <c r="RBA81" s="10"/>
      <c r="RBB81" s="10"/>
      <c r="RBC81" s="10"/>
      <c r="RBD81" s="10"/>
      <c r="RBE81" s="10"/>
      <c r="RBF81" s="10"/>
      <c r="RBG81" s="10"/>
      <c r="RBH81" s="10"/>
      <c r="RBI81" s="10"/>
      <c r="RBJ81" s="10"/>
      <c r="RBK81" s="10"/>
      <c r="RBL81" s="10"/>
      <c r="RBM81" s="10"/>
      <c r="RBN81" s="10"/>
      <c r="RBO81" s="10"/>
      <c r="RBP81" s="10"/>
      <c r="RBQ81" s="10"/>
      <c r="RBR81" s="10"/>
      <c r="RBS81" s="10"/>
      <c r="RBT81" s="10"/>
      <c r="RBU81" s="10"/>
      <c r="RBV81" s="10"/>
      <c r="RBW81" s="10"/>
      <c r="RBX81" s="10"/>
      <c r="RBY81" s="10"/>
      <c r="RBZ81" s="10"/>
      <c r="RCA81" s="10"/>
      <c r="RCB81" s="10"/>
      <c r="RCC81" s="10"/>
      <c r="RCD81" s="10"/>
      <c r="RCE81" s="10"/>
      <c r="RCF81" s="10"/>
      <c r="RCG81" s="10"/>
      <c r="RCH81" s="10"/>
      <c r="RCI81" s="10"/>
      <c r="RCJ81" s="10"/>
      <c r="RCK81" s="10"/>
      <c r="RCL81" s="10"/>
      <c r="RCM81" s="10"/>
      <c r="RCN81" s="10"/>
      <c r="RCO81" s="10"/>
      <c r="RCP81" s="10"/>
      <c r="RCQ81" s="10"/>
      <c r="RCR81" s="10"/>
      <c r="RCS81" s="10"/>
      <c r="RCT81" s="10"/>
      <c r="RCU81" s="10"/>
      <c r="RCV81" s="10"/>
      <c r="RCW81" s="10"/>
      <c r="RCX81" s="10"/>
      <c r="RCY81" s="10"/>
      <c r="RCZ81" s="10"/>
      <c r="RDA81" s="10"/>
      <c r="RDB81" s="10"/>
      <c r="RDC81" s="10"/>
      <c r="RDD81" s="10"/>
      <c r="RDE81" s="10"/>
      <c r="RDF81" s="10"/>
      <c r="RDG81" s="10"/>
      <c r="RDH81" s="10"/>
      <c r="RDI81" s="10"/>
      <c r="RDJ81" s="10"/>
      <c r="RDK81" s="10"/>
      <c r="RDL81" s="10"/>
      <c r="RDM81" s="10"/>
      <c r="RDN81" s="10"/>
      <c r="RDO81" s="10"/>
      <c r="RDP81" s="10"/>
      <c r="RDQ81" s="10"/>
      <c r="RDR81" s="10"/>
      <c r="RDS81" s="10"/>
      <c r="RDT81" s="10"/>
      <c r="RDU81" s="10"/>
      <c r="RDV81" s="10"/>
      <c r="RDW81" s="10"/>
      <c r="RDX81" s="10"/>
      <c r="RDY81" s="10"/>
      <c r="RDZ81" s="10"/>
      <c r="REA81" s="10"/>
      <c r="REB81" s="10"/>
      <c r="REC81" s="10"/>
      <c r="RED81" s="10"/>
      <c r="REE81" s="10"/>
      <c r="REF81" s="10"/>
      <c r="REG81" s="10"/>
      <c r="REH81" s="10"/>
      <c r="REI81" s="10"/>
      <c r="REJ81" s="10"/>
      <c r="REK81" s="10"/>
      <c r="REL81" s="10"/>
      <c r="REM81" s="10"/>
      <c r="REN81" s="10"/>
      <c r="REO81" s="10"/>
      <c r="REP81" s="10"/>
      <c r="REQ81" s="10"/>
      <c r="RER81" s="10"/>
      <c r="RES81" s="10"/>
      <c r="RET81" s="10"/>
      <c r="REU81" s="10"/>
      <c r="REV81" s="10"/>
      <c r="REW81" s="10"/>
      <c r="REX81" s="10"/>
      <c r="REY81" s="10"/>
      <c r="REZ81" s="10"/>
      <c r="RFA81" s="10"/>
      <c r="RFB81" s="10"/>
      <c r="RFC81" s="10"/>
      <c r="RFD81" s="10"/>
      <c r="RFE81" s="10"/>
      <c r="RFF81" s="10"/>
      <c r="RFG81" s="10"/>
      <c r="RFH81" s="10"/>
      <c r="RFI81" s="10"/>
      <c r="RFJ81" s="10"/>
      <c r="RFK81" s="10"/>
      <c r="RFL81" s="10"/>
      <c r="RFM81" s="10"/>
      <c r="RFN81" s="10"/>
      <c r="RFO81" s="10"/>
      <c r="RFP81" s="10"/>
      <c r="RFQ81" s="10"/>
      <c r="RFR81" s="10"/>
      <c r="RFS81" s="10"/>
      <c r="RFT81" s="10"/>
      <c r="RFU81" s="10"/>
      <c r="RFV81" s="10"/>
      <c r="RFW81" s="10"/>
      <c r="RFX81" s="10"/>
      <c r="RFY81" s="10"/>
      <c r="RFZ81" s="10"/>
      <c r="RGA81" s="10"/>
      <c r="RGB81" s="10"/>
      <c r="RGC81" s="10"/>
      <c r="RGD81" s="10"/>
      <c r="RGE81" s="10"/>
      <c r="RGF81" s="10"/>
      <c r="RGG81" s="10"/>
      <c r="RGH81" s="10"/>
      <c r="RGI81" s="10"/>
      <c r="RGJ81" s="10"/>
      <c r="RGK81" s="10"/>
      <c r="RGL81" s="10"/>
      <c r="RGM81" s="10"/>
      <c r="RGN81" s="10"/>
      <c r="RGO81" s="10"/>
      <c r="RGP81" s="10"/>
      <c r="RGQ81" s="10"/>
      <c r="RGR81" s="10"/>
      <c r="RGS81" s="10"/>
      <c r="RGT81" s="10"/>
      <c r="RGU81" s="10"/>
      <c r="RGV81" s="10"/>
      <c r="RGW81" s="10"/>
      <c r="RGX81" s="10"/>
      <c r="RGY81" s="10"/>
      <c r="RGZ81" s="10"/>
      <c r="RHA81" s="10"/>
      <c r="RHB81" s="10"/>
      <c r="RHC81" s="10"/>
      <c r="RHD81" s="10"/>
      <c r="RHE81" s="10"/>
      <c r="RHF81" s="10"/>
      <c r="RHG81" s="10"/>
      <c r="RHH81" s="10"/>
      <c r="RHI81" s="10"/>
      <c r="RHJ81" s="10"/>
      <c r="RHK81" s="10"/>
      <c r="RHL81" s="10"/>
      <c r="RHM81" s="10"/>
      <c r="RHN81" s="10"/>
      <c r="RHO81" s="10"/>
      <c r="RHP81" s="10"/>
      <c r="RHQ81" s="10"/>
      <c r="RHR81" s="10"/>
      <c r="RHS81" s="10"/>
      <c r="RHT81" s="10"/>
      <c r="RHU81" s="10"/>
      <c r="RHV81" s="10"/>
      <c r="RHW81" s="10"/>
      <c r="RHX81" s="10"/>
      <c r="RHY81" s="10"/>
      <c r="RHZ81" s="10"/>
      <c r="RIA81" s="10"/>
      <c r="RIB81" s="10"/>
      <c r="RIC81" s="10"/>
      <c r="RID81" s="10"/>
      <c r="RIE81" s="10"/>
      <c r="RIF81" s="10"/>
      <c r="RIG81" s="10"/>
      <c r="RIH81" s="10"/>
      <c r="RII81" s="10"/>
      <c r="RIJ81" s="10"/>
      <c r="RIK81" s="10"/>
      <c r="RIL81" s="10"/>
      <c r="RIM81" s="10"/>
      <c r="RIN81" s="10"/>
      <c r="RIO81" s="10"/>
      <c r="RIP81" s="10"/>
      <c r="RIQ81" s="10"/>
      <c r="RIR81" s="10"/>
      <c r="RIS81" s="10"/>
      <c r="RIT81" s="10"/>
      <c r="RIU81" s="10"/>
      <c r="RIV81" s="10"/>
      <c r="RIW81" s="10"/>
      <c r="RIX81" s="10"/>
      <c r="RIY81" s="10"/>
      <c r="RIZ81" s="10"/>
      <c r="RJA81" s="10"/>
      <c r="RJB81" s="10"/>
      <c r="RJC81" s="10"/>
      <c r="RJD81" s="10"/>
      <c r="RJE81" s="10"/>
      <c r="RJF81" s="10"/>
      <c r="RJG81" s="10"/>
      <c r="RJH81" s="10"/>
      <c r="RJI81" s="10"/>
      <c r="RJJ81" s="10"/>
      <c r="RJK81" s="10"/>
      <c r="RJL81" s="10"/>
      <c r="RJM81" s="10"/>
      <c r="RJN81" s="10"/>
      <c r="RJO81" s="10"/>
      <c r="RJP81" s="10"/>
      <c r="RJQ81" s="10"/>
      <c r="RJR81" s="10"/>
      <c r="RJS81" s="10"/>
      <c r="RJT81" s="10"/>
      <c r="RJU81" s="10"/>
      <c r="RJV81" s="10"/>
      <c r="RJW81" s="10"/>
      <c r="RJX81" s="10"/>
      <c r="RJY81" s="10"/>
      <c r="RJZ81" s="10"/>
      <c r="RKA81" s="10"/>
      <c r="RKB81" s="10"/>
      <c r="RKC81" s="10"/>
      <c r="RKD81" s="10"/>
      <c r="RKE81" s="10"/>
      <c r="RKF81" s="10"/>
      <c r="RKG81" s="10"/>
      <c r="RKH81" s="10"/>
      <c r="RKI81" s="10"/>
      <c r="RKJ81" s="10"/>
      <c r="RKK81" s="10"/>
      <c r="RKL81" s="10"/>
      <c r="RKM81" s="10"/>
      <c r="RKN81" s="10"/>
      <c r="RKO81" s="10"/>
      <c r="RKP81" s="10"/>
      <c r="RKQ81" s="10"/>
      <c r="RKR81" s="10"/>
      <c r="RKS81" s="10"/>
      <c r="RKT81" s="10"/>
      <c r="RKU81" s="10"/>
      <c r="RKV81" s="10"/>
      <c r="RKW81" s="10"/>
      <c r="RKX81" s="10"/>
      <c r="RKY81" s="10"/>
      <c r="RKZ81" s="10"/>
      <c r="RLA81" s="10"/>
      <c r="RLB81" s="10"/>
      <c r="RLC81" s="10"/>
      <c r="RLD81" s="10"/>
      <c r="RLE81" s="10"/>
      <c r="RLF81" s="10"/>
      <c r="RLG81" s="10"/>
      <c r="RLH81" s="10"/>
      <c r="RLI81" s="10"/>
      <c r="RLJ81" s="10"/>
      <c r="RLK81" s="10"/>
      <c r="RLL81" s="10"/>
      <c r="RLM81" s="10"/>
      <c r="RLN81" s="10"/>
      <c r="RLO81" s="10"/>
      <c r="RLP81" s="10"/>
      <c r="RLQ81" s="10"/>
      <c r="RLR81" s="10"/>
      <c r="RLS81" s="10"/>
      <c r="RLT81" s="10"/>
      <c r="RLU81" s="10"/>
      <c r="RLV81" s="10"/>
      <c r="RLW81" s="10"/>
      <c r="RLX81" s="10"/>
      <c r="RLY81" s="10"/>
      <c r="RLZ81" s="10"/>
      <c r="RMA81" s="10"/>
      <c r="RMB81" s="10"/>
      <c r="RMC81" s="10"/>
      <c r="RMD81" s="10"/>
      <c r="RME81" s="10"/>
      <c r="RMF81" s="10"/>
      <c r="RMG81" s="10"/>
      <c r="RMH81" s="10"/>
      <c r="RMI81" s="10"/>
      <c r="RMJ81" s="10"/>
      <c r="RMK81" s="10"/>
      <c r="RML81" s="10"/>
      <c r="RMM81" s="10"/>
      <c r="RMN81" s="10"/>
      <c r="RMO81" s="10"/>
      <c r="RMP81" s="10"/>
      <c r="RMQ81" s="10"/>
      <c r="RMR81" s="10"/>
      <c r="RMS81" s="10"/>
      <c r="RMT81" s="10"/>
      <c r="RMU81" s="10"/>
      <c r="RMV81" s="10"/>
      <c r="RMW81" s="10"/>
      <c r="RMX81" s="10"/>
      <c r="RMY81" s="10"/>
      <c r="RMZ81" s="10"/>
      <c r="RNA81" s="10"/>
      <c r="RNB81" s="10"/>
      <c r="RNC81" s="10"/>
      <c r="RND81" s="10"/>
      <c r="RNE81" s="10"/>
      <c r="RNF81" s="10"/>
      <c r="RNG81" s="10"/>
      <c r="RNH81" s="10"/>
      <c r="RNI81" s="10"/>
      <c r="RNJ81" s="10"/>
      <c r="RNK81" s="10"/>
      <c r="RNL81" s="10"/>
      <c r="RNM81" s="10"/>
      <c r="RNN81" s="10"/>
      <c r="RNO81" s="10"/>
      <c r="RNP81" s="10"/>
      <c r="RNQ81" s="10"/>
      <c r="RNR81" s="10"/>
      <c r="RNS81" s="10"/>
      <c r="RNT81" s="10"/>
      <c r="RNU81" s="10"/>
      <c r="RNV81" s="10"/>
      <c r="RNW81" s="10"/>
      <c r="RNX81" s="10"/>
      <c r="RNY81" s="10"/>
      <c r="RNZ81" s="10"/>
      <c r="ROA81" s="10"/>
      <c r="ROB81" s="10"/>
      <c r="ROC81" s="10"/>
      <c r="ROD81" s="10"/>
      <c r="ROE81" s="10"/>
      <c r="ROF81" s="10"/>
      <c r="ROG81" s="10"/>
      <c r="ROH81" s="10"/>
      <c r="ROI81" s="10"/>
      <c r="ROJ81" s="10"/>
      <c r="ROK81" s="10"/>
      <c r="ROL81" s="10"/>
      <c r="ROM81" s="10"/>
      <c r="RON81" s="10"/>
      <c r="ROO81" s="10"/>
      <c r="ROP81" s="10"/>
      <c r="ROQ81" s="10"/>
      <c r="ROR81" s="10"/>
      <c r="ROS81" s="10"/>
      <c r="ROT81" s="10"/>
      <c r="ROU81" s="10"/>
      <c r="ROV81" s="10"/>
      <c r="ROW81" s="10"/>
      <c r="ROX81" s="10"/>
      <c r="ROY81" s="10"/>
      <c r="ROZ81" s="10"/>
      <c r="RPA81" s="10"/>
      <c r="RPB81" s="10"/>
      <c r="RPC81" s="10"/>
      <c r="RPD81" s="10"/>
      <c r="RPE81" s="10"/>
      <c r="RPF81" s="10"/>
      <c r="RPG81" s="10"/>
      <c r="RPH81" s="10"/>
      <c r="RPI81" s="10"/>
      <c r="RPJ81" s="10"/>
      <c r="RPK81" s="10"/>
      <c r="RPL81" s="10"/>
      <c r="RPM81" s="10"/>
      <c r="RPN81" s="10"/>
      <c r="RPO81" s="10"/>
      <c r="RPP81" s="10"/>
      <c r="RPQ81" s="10"/>
      <c r="RPR81" s="10"/>
      <c r="RPS81" s="10"/>
      <c r="RPT81" s="10"/>
      <c r="RPU81" s="10"/>
      <c r="RPV81" s="10"/>
      <c r="RPW81" s="10"/>
      <c r="RPX81" s="10"/>
      <c r="RPY81" s="10"/>
      <c r="RPZ81" s="10"/>
      <c r="RQA81" s="10"/>
      <c r="RQB81" s="10"/>
      <c r="RQC81" s="10"/>
      <c r="RQD81" s="10"/>
      <c r="RQE81" s="10"/>
      <c r="RQF81" s="10"/>
      <c r="RQG81" s="10"/>
      <c r="RQH81" s="10"/>
      <c r="RQI81" s="10"/>
      <c r="RQJ81" s="10"/>
      <c r="RQK81" s="10"/>
      <c r="RQL81" s="10"/>
      <c r="RQM81" s="10"/>
      <c r="RQN81" s="10"/>
      <c r="RQO81" s="10"/>
      <c r="RQP81" s="10"/>
      <c r="RQQ81" s="10"/>
      <c r="RQR81" s="10"/>
      <c r="RQS81" s="10"/>
      <c r="RQT81" s="10"/>
      <c r="RQU81" s="10"/>
      <c r="RQV81" s="10"/>
      <c r="RQW81" s="10"/>
      <c r="RQX81" s="10"/>
      <c r="RQY81" s="10"/>
      <c r="RQZ81" s="10"/>
      <c r="RRA81" s="10"/>
      <c r="RRB81" s="10"/>
      <c r="RRC81" s="10"/>
      <c r="RRD81" s="10"/>
      <c r="RRE81" s="10"/>
      <c r="RRF81" s="10"/>
      <c r="RRG81" s="10"/>
      <c r="RRH81" s="10"/>
      <c r="RRI81" s="10"/>
      <c r="RRJ81" s="10"/>
      <c r="RRK81" s="10"/>
      <c r="RRL81" s="10"/>
      <c r="RRM81" s="10"/>
      <c r="RRN81" s="10"/>
      <c r="RRO81" s="10"/>
      <c r="RRP81" s="10"/>
      <c r="RRQ81" s="10"/>
      <c r="RRR81" s="10"/>
      <c r="RRS81" s="10"/>
      <c r="RRT81" s="10"/>
      <c r="RRU81" s="10"/>
      <c r="RRV81" s="10"/>
      <c r="RRW81" s="10"/>
      <c r="RRX81" s="10"/>
      <c r="RRY81" s="10"/>
      <c r="RRZ81" s="10"/>
      <c r="RSA81" s="10"/>
      <c r="RSB81" s="10"/>
      <c r="RSC81" s="10"/>
      <c r="RSD81" s="10"/>
      <c r="RSE81" s="10"/>
      <c r="RSF81" s="10"/>
      <c r="RSG81" s="10"/>
      <c r="RSH81" s="10"/>
      <c r="RSI81" s="10"/>
      <c r="RSJ81" s="10"/>
      <c r="RSK81" s="10"/>
      <c r="RSL81" s="10"/>
      <c r="RSM81" s="10"/>
      <c r="RSN81" s="10"/>
      <c r="RSO81" s="10"/>
      <c r="RSP81" s="10"/>
      <c r="RSQ81" s="10"/>
      <c r="RSR81" s="10"/>
      <c r="RSS81" s="10"/>
      <c r="RST81" s="10"/>
      <c r="RSU81" s="10"/>
      <c r="RSV81" s="10"/>
      <c r="RSW81" s="10"/>
      <c r="RSX81" s="10"/>
      <c r="RSY81" s="10"/>
      <c r="RSZ81" s="10"/>
      <c r="RTA81" s="10"/>
      <c r="RTB81" s="10"/>
      <c r="RTC81" s="10"/>
      <c r="RTD81" s="10"/>
      <c r="RTE81" s="10"/>
      <c r="RTF81" s="10"/>
      <c r="RTG81" s="10"/>
      <c r="RTH81" s="10"/>
      <c r="RTI81" s="10"/>
      <c r="RTJ81" s="10"/>
      <c r="RTK81" s="10"/>
      <c r="RTL81" s="10"/>
      <c r="RTM81" s="10"/>
      <c r="RTN81" s="10"/>
      <c r="RTO81" s="10"/>
      <c r="RTP81" s="10"/>
      <c r="RTQ81" s="10"/>
      <c r="RTR81" s="10"/>
      <c r="RTS81" s="10"/>
      <c r="RTT81" s="10"/>
      <c r="RTU81" s="10"/>
      <c r="RTV81" s="10"/>
      <c r="RTW81" s="10"/>
      <c r="RTX81" s="10"/>
      <c r="RTY81" s="10"/>
      <c r="RTZ81" s="10"/>
      <c r="RUA81" s="10"/>
      <c r="RUB81" s="10"/>
      <c r="RUC81" s="10"/>
      <c r="RUD81" s="10"/>
      <c r="RUE81" s="10"/>
      <c r="RUF81" s="10"/>
      <c r="RUG81" s="10"/>
      <c r="RUH81" s="10"/>
      <c r="RUI81" s="10"/>
      <c r="RUJ81" s="10"/>
      <c r="RUK81" s="10"/>
      <c r="RUL81" s="10"/>
      <c r="RUM81" s="10"/>
      <c r="RUN81" s="10"/>
      <c r="RUO81" s="10"/>
      <c r="RUP81" s="10"/>
      <c r="RUQ81" s="10"/>
      <c r="RUR81" s="10"/>
      <c r="RUS81" s="10"/>
      <c r="RUT81" s="10"/>
      <c r="RUU81" s="10"/>
      <c r="RUV81" s="10"/>
      <c r="RUW81" s="10"/>
      <c r="RUX81" s="10"/>
      <c r="RUY81" s="10"/>
      <c r="RUZ81" s="10"/>
      <c r="RVA81" s="10"/>
      <c r="RVB81" s="10"/>
      <c r="RVC81" s="10"/>
      <c r="RVD81" s="10"/>
      <c r="RVE81" s="10"/>
      <c r="RVF81" s="10"/>
      <c r="RVG81" s="10"/>
      <c r="RVH81" s="10"/>
      <c r="RVI81" s="10"/>
      <c r="RVJ81" s="10"/>
      <c r="RVK81" s="10"/>
      <c r="RVL81" s="10"/>
      <c r="RVM81" s="10"/>
      <c r="RVN81" s="10"/>
      <c r="RVO81" s="10"/>
      <c r="RVP81" s="10"/>
      <c r="RVQ81" s="10"/>
      <c r="RVR81" s="10"/>
      <c r="RVS81" s="10"/>
      <c r="RVT81" s="10"/>
      <c r="RVU81" s="10"/>
      <c r="RVV81" s="10"/>
      <c r="RVW81" s="10"/>
      <c r="RVX81" s="10"/>
      <c r="RVY81" s="10"/>
      <c r="RVZ81" s="10"/>
      <c r="RWA81" s="10"/>
      <c r="RWB81" s="10"/>
      <c r="RWC81" s="10"/>
      <c r="RWD81" s="10"/>
      <c r="RWE81" s="10"/>
      <c r="RWF81" s="10"/>
      <c r="RWG81" s="10"/>
      <c r="RWH81" s="10"/>
      <c r="RWI81" s="10"/>
      <c r="RWJ81" s="10"/>
      <c r="RWK81" s="10"/>
      <c r="RWL81" s="10"/>
      <c r="RWM81" s="10"/>
      <c r="RWN81" s="10"/>
      <c r="RWO81" s="10"/>
      <c r="RWP81" s="10"/>
      <c r="RWQ81" s="10"/>
      <c r="RWR81" s="10"/>
      <c r="RWS81" s="10"/>
      <c r="RWT81" s="10"/>
      <c r="RWU81" s="10"/>
      <c r="RWV81" s="10"/>
      <c r="RWW81" s="10"/>
      <c r="RWX81" s="10"/>
      <c r="RWY81" s="10"/>
      <c r="RWZ81" s="10"/>
      <c r="RXA81" s="10"/>
      <c r="RXB81" s="10"/>
      <c r="RXC81" s="10"/>
      <c r="RXD81" s="10"/>
      <c r="RXE81" s="10"/>
      <c r="RXF81" s="10"/>
      <c r="RXG81" s="10"/>
      <c r="RXH81" s="10"/>
      <c r="RXI81" s="10"/>
      <c r="RXJ81" s="10"/>
      <c r="RXK81" s="10"/>
      <c r="RXL81" s="10"/>
      <c r="RXM81" s="10"/>
      <c r="RXN81" s="10"/>
      <c r="RXO81" s="10"/>
      <c r="RXP81" s="10"/>
      <c r="RXQ81" s="10"/>
      <c r="RXR81" s="10"/>
      <c r="RXS81" s="10"/>
      <c r="RXT81" s="10"/>
      <c r="RXU81" s="10"/>
      <c r="RXV81" s="10"/>
      <c r="RXW81" s="10"/>
      <c r="RXX81" s="10"/>
      <c r="RXY81" s="10"/>
      <c r="RXZ81" s="10"/>
      <c r="RYA81" s="10"/>
      <c r="RYB81" s="10"/>
      <c r="RYC81" s="10"/>
      <c r="RYD81" s="10"/>
      <c r="RYE81" s="10"/>
      <c r="RYF81" s="10"/>
      <c r="RYG81" s="10"/>
      <c r="RYH81" s="10"/>
      <c r="RYI81" s="10"/>
      <c r="RYJ81" s="10"/>
      <c r="RYK81" s="10"/>
      <c r="RYL81" s="10"/>
      <c r="RYM81" s="10"/>
      <c r="RYN81" s="10"/>
      <c r="RYO81" s="10"/>
      <c r="RYP81" s="10"/>
      <c r="RYQ81" s="10"/>
      <c r="RYR81" s="10"/>
      <c r="RYS81" s="10"/>
      <c r="RYT81" s="10"/>
      <c r="RYU81" s="10"/>
      <c r="RYV81" s="10"/>
      <c r="RYW81" s="10"/>
      <c r="RYX81" s="10"/>
      <c r="RYY81" s="10"/>
      <c r="RYZ81" s="10"/>
      <c r="RZA81" s="10"/>
      <c r="RZB81" s="10"/>
      <c r="RZC81" s="10"/>
      <c r="RZD81" s="10"/>
      <c r="RZE81" s="10"/>
      <c r="RZF81" s="10"/>
      <c r="RZG81" s="10"/>
      <c r="RZH81" s="10"/>
      <c r="RZI81" s="10"/>
      <c r="RZJ81" s="10"/>
      <c r="RZK81" s="10"/>
      <c r="RZL81" s="10"/>
      <c r="RZM81" s="10"/>
      <c r="RZN81" s="10"/>
      <c r="RZO81" s="10"/>
      <c r="RZP81" s="10"/>
      <c r="RZQ81" s="10"/>
      <c r="RZR81" s="10"/>
      <c r="RZS81" s="10"/>
      <c r="RZT81" s="10"/>
      <c r="RZU81" s="10"/>
      <c r="RZV81" s="10"/>
      <c r="RZW81" s="10"/>
      <c r="RZX81" s="10"/>
      <c r="RZY81" s="10"/>
      <c r="RZZ81" s="10"/>
      <c r="SAA81" s="10"/>
      <c r="SAB81" s="10"/>
      <c r="SAC81" s="10"/>
      <c r="SAD81" s="10"/>
      <c r="SAE81" s="10"/>
      <c r="SAF81" s="10"/>
      <c r="SAG81" s="10"/>
      <c r="SAH81" s="10"/>
      <c r="SAI81" s="10"/>
      <c r="SAJ81" s="10"/>
      <c r="SAK81" s="10"/>
      <c r="SAL81" s="10"/>
      <c r="SAM81" s="10"/>
      <c r="SAN81" s="10"/>
      <c r="SAO81" s="10"/>
      <c r="SAP81" s="10"/>
      <c r="SAQ81" s="10"/>
      <c r="SAR81" s="10"/>
      <c r="SAS81" s="10"/>
      <c r="SAT81" s="10"/>
      <c r="SAU81" s="10"/>
      <c r="SAV81" s="10"/>
      <c r="SAW81" s="10"/>
      <c r="SAX81" s="10"/>
      <c r="SAY81" s="10"/>
      <c r="SAZ81" s="10"/>
      <c r="SBA81" s="10"/>
      <c r="SBB81" s="10"/>
      <c r="SBC81" s="10"/>
      <c r="SBD81" s="10"/>
      <c r="SBE81" s="10"/>
      <c r="SBF81" s="10"/>
      <c r="SBG81" s="10"/>
      <c r="SBH81" s="10"/>
      <c r="SBI81" s="10"/>
      <c r="SBJ81" s="10"/>
      <c r="SBK81" s="10"/>
      <c r="SBL81" s="10"/>
      <c r="SBM81" s="10"/>
      <c r="SBN81" s="10"/>
      <c r="SBO81" s="10"/>
      <c r="SBP81" s="10"/>
      <c r="SBQ81" s="10"/>
      <c r="SBR81" s="10"/>
      <c r="SBS81" s="10"/>
      <c r="SBT81" s="10"/>
      <c r="SBU81" s="10"/>
      <c r="SBV81" s="10"/>
      <c r="SBW81" s="10"/>
      <c r="SBX81" s="10"/>
      <c r="SBY81" s="10"/>
      <c r="SBZ81" s="10"/>
      <c r="SCA81" s="10"/>
      <c r="SCB81" s="10"/>
      <c r="SCC81" s="10"/>
      <c r="SCD81" s="10"/>
      <c r="SCE81" s="10"/>
      <c r="SCF81" s="10"/>
      <c r="SCG81" s="10"/>
      <c r="SCH81" s="10"/>
      <c r="SCI81" s="10"/>
      <c r="SCJ81" s="10"/>
      <c r="SCK81" s="10"/>
      <c r="SCL81" s="10"/>
      <c r="SCM81" s="10"/>
      <c r="SCN81" s="10"/>
      <c r="SCO81" s="10"/>
      <c r="SCP81" s="10"/>
      <c r="SCQ81" s="10"/>
      <c r="SCR81" s="10"/>
      <c r="SCS81" s="10"/>
      <c r="SCT81" s="10"/>
      <c r="SCU81" s="10"/>
      <c r="SCV81" s="10"/>
      <c r="SCW81" s="10"/>
      <c r="SCX81" s="10"/>
      <c r="SCY81" s="10"/>
      <c r="SCZ81" s="10"/>
      <c r="SDA81" s="10"/>
      <c r="SDB81" s="10"/>
      <c r="SDC81" s="10"/>
      <c r="SDD81" s="10"/>
      <c r="SDE81" s="10"/>
      <c r="SDF81" s="10"/>
      <c r="SDG81" s="10"/>
      <c r="SDH81" s="10"/>
      <c r="SDI81" s="10"/>
      <c r="SDJ81" s="10"/>
      <c r="SDK81" s="10"/>
      <c r="SDL81" s="10"/>
      <c r="SDM81" s="10"/>
      <c r="SDN81" s="10"/>
      <c r="SDO81" s="10"/>
      <c r="SDP81" s="10"/>
      <c r="SDQ81" s="10"/>
      <c r="SDR81" s="10"/>
      <c r="SDS81" s="10"/>
      <c r="SDT81" s="10"/>
      <c r="SDU81" s="10"/>
      <c r="SDV81" s="10"/>
      <c r="SDW81" s="10"/>
      <c r="SDX81" s="10"/>
      <c r="SDY81" s="10"/>
      <c r="SDZ81" s="10"/>
      <c r="SEA81" s="10"/>
      <c r="SEB81" s="10"/>
      <c r="SEC81" s="10"/>
      <c r="SED81" s="10"/>
      <c r="SEE81" s="10"/>
      <c r="SEF81" s="10"/>
      <c r="SEG81" s="10"/>
      <c r="SEH81" s="10"/>
      <c r="SEI81" s="10"/>
      <c r="SEJ81" s="10"/>
      <c r="SEK81" s="10"/>
      <c r="SEL81" s="10"/>
      <c r="SEM81" s="10"/>
      <c r="SEN81" s="10"/>
      <c r="SEO81" s="10"/>
      <c r="SEP81" s="10"/>
      <c r="SEQ81" s="10"/>
      <c r="SER81" s="10"/>
      <c r="SES81" s="10"/>
      <c r="SET81" s="10"/>
      <c r="SEU81" s="10"/>
      <c r="SEV81" s="10"/>
      <c r="SEW81" s="10"/>
      <c r="SEX81" s="10"/>
      <c r="SEY81" s="10"/>
      <c r="SEZ81" s="10"/>
      <c r="SFA81" s="10"/>
      <c r="SFB81" s="10"/>
      <c r="SFC81" s="10"/>
      <c r="SFD81" s="10"/>
      <c r="SFE81" s="10"/>
      <c r="SFF81" s="10"/>
      <c r="SFG81" s="10"/>
      <c r="SFH81" s="10"/>
      <c r="SFI81" s="10"/>
      <c r="SFJ81" s="10"/>
      <c r="SFK81" s="10"/>
      <c r="SFL81" s="10"/>
      <c r="SFM81" s="10"/>
      <c r="SFN81" s="10"/>
      <c r="SFO81" s="10"/>
      <c r="SFP81" s="10"/>
      <c r="SFQ81" s="10"/>
      <c r="SFR81" s="10"/>
      <c r="SFS81" s="10"/>
      <c r="SFT81" s="10"/>
      <c r="SFU81" s="10"/>
      <c r="SFV81" s="10"/>
      <c r="SFW81" s="10"/>
      <c r="SFX81" s="10"/>
      <c r="SFY81" s="10"/>
      <c r="SFZ81" s="10"/>
      <c r="SGA81" s="10"/>
      <c r="SGB81" s="10"/>
      <c r="SGC81" s="10"/>
      <c r="SGD81" s="10"/>
      <c r="SGE81" s="10"/>
      <c r="SGF81" s="10"/>
      <c r="SGG81" s="10"/>
      <c r="SGH81" s="10"/>
      <c r="SGI81" s="10"/>
      <c r="SGJ81" s="10"/>
      <c r="SGK81" s="10"/>
      <c r="SGL81" s="10"/>
      <c r="SGM81" s="10"/>
      <c r="SGN81" s="10"/>
      <c r="SGO81" s="10"/>
      <c r="SGP81" s="10"/>
      <c r="SGQ81" s="10"/>
      <c r="SGR81" s="10"/>
      <c r="SGS81" s="10"/>
      <c r="SGT81" s="10"/>
      <c r="SGU81" s="10"/>
      <c r="SGV81" s="10"/>
      <c r="SGW81" s="10"/>
      <c r="SGX81" s="10"/>
      <c r="SGY81" s="10"/>
      <c r="SGZ81" s="10"/>
      <c r="SHA81" s="10"/>
      <c r="SHB81" s="10"/>
      <c r="SHC81" s="10"/>
      <c r="SHD81" s="10"/>
      <c r="SHE81" s="10"/>
      <c r="SHF81" s="10"/>
      <c r="SHG81" s="10"/>
      <c r="SHH81" s="10"/>
      <c r="SHI81" s="10"/>
      <c r="SHJ81" s="10"/>
      <c r="SHK81" s="10"/>
      <c r="SHL81" s="10"/>
      <c r="SHM81" s="10"/>
      <c r="SHN81" s="10"/>
      <c r="SHO81" s="10"/>
      <c r="SHP81" s="10"/>
      <c r="SHQ81" s="10"/>
      <c r="SHR81" s="10"/>
      <c r="SHS81" s="10"/>
      <c r="SHT81" s="10"/>
      <c r="SHU81" s="10"/>
      <c r="SHV81" s="10"/>
      <c r="SHW81" s="10"/>
      <c r="SHX81" s="10"/>
      <c r="SHY81" s="10"/>
      <c r="SHZ81" s="10"/>
      <c r="SIA81" s="10"/>
      <c r="SIB81" s="10"/>
      <c r="SIC81" s="10"/>
      <c r="SID81" s="10"/>
      <c r="SIE81" s="10"/>
      <c r="SIF81" s="10"/>
      <c r="SIG81" s="10"/>
      <c r="SIH81" s="10"/>
      <c r="SII81" s="10"/>
      <c r="SIJ81" s="10"/>
      <c r="SIK81" s="10"/>
      <c r="SIL81" s="10"/>
      <c r="SIM81" s="10"/>
      <c r="SIN81" s="10"/>
      <c r="SIO81" s="10"/>
      <c r="SIP81" s="10"/>
      <c r="SIQ81" s="10"/>
      <c r="SIR81" s="10"/>
      <c r="SIS81" s="10"/>
      <c r="SIT81" s="10"/>
      <c r="SIU81" s="10"/>
      <c r="SIV81" s="10"/>
      <c r="SIW81" s="10"/>
      <c r="SIX81" s="10"/>
      <c r="SIY81" s="10"/>
      <c r="SIZ81" s="10"/>
      <c r="SJA81" s="10"/>
      <c r="SJB81" s="10"/>
      <c r="SJC81" s="10"/>
      <c r="SJD81" s="10"/>
      <c r="SJE81" s="10"/>
      <c r="SJF81" s="10"/>
      <c r="SJG81" s="10"/>
      <c r="SJH81" s="10"/>
      <c r="SJI81" s="10"/>
      <c r="SJJ81" s="10"/>
      <c r="SJK81" s="10"/>
      <c r="SJL81" s="10"/>
      <c r="SJM81" s="10"/>
      <c r="SJN81" s="10"/>
      <c r="SJO81" s="10"/>
      <c r="SJP81" s="10"/>
      <c r="SJQ81" s="10"/>
      <c r="SJR81" s="10"/>
      <c r="SJS81" s="10"/>
      <c r="SJT81" s="10"/>
      <c r="SJU81" s="10"/>
      <c r="SJV81" s="10"/>
      <c r="SJW81" s="10"/>
      <c r="SJX81" s="10"/>
      <c r="SJY81" s="10"/>
      <c r="SJZ81" s="10"/>
      <c r="SKA81" s="10"/>
      <c r="SKB81" s="10"/>
      <c r="SKC81" s="10"/>
      <c r="SKD81" s="10"/>
      <c r="SKE81" s="10"/>
      <c r="SKF81" s="10"/>
      <c r="SKG81" s="10"/>
      <c r="SKH81" s="10"/>
      <c r="SKI81" s="10"/>
      <c r="SKJ81" s="10"/>
      <c r="SKK81" s="10"/>
      <c r="SKL81" s="10"/>
      <c r="SKM81" s="10"/>
      <c r="SKN81" s="10"/>
      <c r="SKO81" s="10"/>
      <c r="SKP81" s="10"/>
      <c r="SKQ81" s="10"/>
      <c r="SKR81" s="10"/>
      <c r="SKS81" s="10"/>
      <c r="SKT81" s="10"/>
      <c r="SKU81" s="10"/>
      <c r="SKV81" s="10"/>
      <c r="SKW81" s="10"/>
      <c r="SKX81" s="10"/>
      <c r="SKY81" s="10"/>
      <c r="SKZ81" s="10"/>
      <c r="SLA81" s="10"/>
      <c r="SLB81" s="10"/>
      <c r="SLC81" s="10"/>
      <c r="SLD81" s="10"/>
      <c r="SLE81" s="10"/>
      <c r="SLF81" s="10"/>
      <c r="SLG81" s="10"/>
      <c r="SLH81" s="10"/>
      <c r="SLI81" s="10"/>
      <c r="SLJ81" s="10"/>
      <c r="SLK81" s="10"/>
      <c r="SLL81" s="10"/>
      <c r="SLM81" s="10"/>
      <c r="SLN81" s="10"/>
      <c r="SLO81" s="10"/>
      <c r="SLP81" s="10"/>
      <c r="SLQ81" s="10"/>
      <c r="SLR81" s="10"/>
      <c r="SLS81" s="10"/>
      <c r="SLT81" s="10"/>
      <c r="SLU81" s="10"/>
      <c r="SLV81" s="10"/>
      <c r="SLW81" s="10"/>
      <c r="SLX81" s="10"/>
      <c r="SLY81" s="10"/>
      <c r="SLZ81" s="10"/>
      <c r="SMA81" s="10"/>
      <c r="SMB81" s="10"/>
      <c r="SMC81" s="10"/>
      <c r="SMD81" s="10"/>
      <c r="SME81" s="10"/>
      <c r="SMF81" s="10"/>
      <c r="SMG81" s="10"/>
      <c r="SMH81" s="10"/>
      <c r="SMI81" s="10"/>
      <c r="SMJ81" s="10"/>
      <c r="SMK81" s="10"/>
      <c r="SML81" s="10"/>
      <c r="SMM81" s="10"/>
      <c r="SMN81" s="10"/>
      <c r="SMO81" s="10"/>
      <c r="SMP81" s="10"/>
      <c r="SMQ81" s="10"/>
      <c r="SMR81" s="10"/>
      <c r="SMS81" s="10"/>
      <c r="SMT81" s="10"/>
      <c r="SMU81" s="10"/>
      <c r="SMV81" s="10"/>
      <c r="SMW81" s="10"/>
      <c r="SMX81" s="10"/>
      <c r="SMY81" s="10"/>
      <c r="SMZ81" s="10"/>
      <c r="SNA81" s="10"/>
      <c r="SNB81" s="10"/>
      <c r="SNC81" s="10"/>
      <c r="SND81" s="10"/>
      <c r="SNE81" s="10"/>
      <c r="SNF81" s="10"/>
      <c r="SNG81" s="10"/>
      <c r="SNH81" s="10"/>
      <c r="SNI81" s="10"/>
      <c r="SNJ81" s="10"/>
      <c r="SNK81" s="10"/>
      <c r="SNL81" s="10"/>
      <c r="SNM81" s="10"/>
      <c r="SNN81" s="10"/>
      <c r="SNO81" s="10"/>
      <c r="SNP81" s="10"/>
      <c r="SNQ81" s="10"/>
      <c r="SNR81" s="10"/>
      <c r="SNS81" s="10"/>
      <c r="SNT81" s="10"/>
      <c r="SNU81" s="10"/>
      <c r="SNV81" s="10"/>
      <c r="SNW81" s="10"/>
      <c r="SNX81" s="10"/>
      <c r="SNY81" s="10"/>
      <c r="SNZ81" s="10"/>
      <c r="SOA81" s="10"/>
      <c r="SOB81" s="10"/>
      <c r="SOC81" s="10"/>
      <c r="SOD81" s="10"/>
      <c r="SOE81" s="10"/>
      <c r="SOF81" s="10"/>
      <c r="SOG81" s="10"/>
      <c r="SOH81" s="10"/>
      <c r="SOI81" s="10"/>
      <c r="SOJ81" s="10"/>
      <c r="SOK81" s="10"/>
      <c r="SOL81" s="10"/>
      <c r="SOM81" s="10"/>
      <c r="SON81" s="10"/>
      <c r="SOO81" s="10"/>
      <c r="SOP81" s="10"/>
      <c r="SOQ81" s="10"/>
      <c r="SOR81" s="10"/>
      <c r="SOS81" s="10"/>
      <c r="SOT81" s="10"/>
      <c r="SOU81" s="10"/>
      <c r="SOV81" s="10"/>
      <c r="SOW81" s="10"/>
      <c r="SOX81" s="10"/>
      <c r="SOY81" s="10"/>
      <c r="SOZ81" s="10"/>
      <c r="SPA81" s="10"/>
      <c r="SPB81" s="10"/>
      <c r="SPC81" s="10"/>
      <c r="SPD81" s="10"/>
      <c r="SPE81" s="10"/>
      <c r="SPF81" s="10"/>
      <c r="SPG81" s="10"/>
      <c r="SPH81" s="10"/>
      <c r="SPI81" s="10"/>
      <c r="SPJ81" s="10"/>
      <c r="SPK81" s="10"/>
      <c r="SPL81" s="10"/>
      <c r="SPM81" s="10"/>
      <c r="SPN81" s="10"/>
      <c r="SPO81" s="10"/>
      <c r="SPP81" s="10"/>
      <c r="SPQ81" s="10"/>
      <c r="SPR81" s="10"/>
      <c r="SPS81" s="10"/>
      <c r="SPT81" s="10"/>
      <c r="SPU81" s="10"/>
      <c r="SPV81" s="10"/>
      <c r="SPW81" s="10"/>
      <c r="SPX81" s="10"/>
      <c r="SPY81" s="10"/>
      <c r="SPZ81" s="10"/>
      <c r="SQA81" s="10"/>
      <c r="SQB81" s="10"/>
      <c r="SQC81" s="10"/>
      <c r="SQD81" s="10"/>
      <c r="SQE81" s="10"/>
      <c r="SQF81" s="10"/>
      <c r="SQG81" s="10"/>
      <c r="SQH81" s="10"/>
      <c r="SQI81" s="10"/>
      <c r="SQJ81" s="10"/>
      <c r="SQK81" s="10"/>
      <c r="SQL81" s="10"/>
      <c r="SQM81" s="10"/>
      <c r="SQN81" s="10"/>
      <c r="SQO81" s="10"/>
      <c r="SQP81" s="10"/>
      <c r="SQQ81" s="10"/>
      <c r="SQR81" s="10"/>
      <c r="SQS81" s="10"/>
      <c r="SQT81" s="10"/>
      <c r="SQU81" s="10"/>
      <c r="SQV81" s="10"/>
      <c r="SQW81" s="10"/>
      <c r="SQX81" s="10"/>
      <c r="SQY81" s="10"/>
      <c r="SQZ81" s="10"/>
      <c r="SRA81" s="10"/>
      <c r="SRB81" s="10"/>
      <c r="SRC81" s="10"/>
      <c r="SRD81" s="10"/>
      <c r="SRE81" s="10"/>
      <c r="SRF81" s="10"/>
      <c r="SRG81" s="10"/>
      <c r="SRH81" s="10"/>
      <c r="SRI81" s="10"/>
      <c r="SRJ81" s="10"/>
      <c r="SRK81" s="10"/>
      <c r="SRL81" s="10"/>
      <c r="SRM81" s="10"/>
      <c r="SRN81" s="10"/>
      <c r="SRO81" s="10"/>
      <c r="SRP81" s="10"/>
      <c r="SRQ81" s="10"/>
      <c r="SRR81" s="10"/>
      <c r="SRS81" s="10"/>
      <c r="SRT81" s="10"/>
      <c r="SRU81" s="10"/>
      <c r="SRV81" s="10"/>
      <c r="SRW81" s="10"/>
      <c r="SRX81" s="10"/>
      <c r="SRY81" s="10"/>
      <c r="SRZ81" s="10"/>
      <c r="SSA81" s="10"/>
      <c r="SSB81" s="10"/>
      <c r="SSC81" s="10"/>
      <c r="SSD81" s="10"/>
      <c r="SSE81" s="10"/>
      <c r="SSF81" s="10"/>
      <c r="SSG81" s="10"/>
      <c r="SSH81" s="10"/>
      <c r="SSI81" s="10"/>
      <c r="SSJ81" s="10"/>
      <c r="SSK81" s="10"/>
      <c r="SSL81" s="10"/>
      <c r="SSM81" s="10"/>
      <c r="SSN81" s="10"/>
      <c r="SSO81" s="10"/>
      <c r="SSP81" s="10"/>
      <c r="SSQ81" s="10"/>
      <c r="SSR81" s="10"/>
      <c r="SSS81" s="10"/>
      <c r="SST81" s="10"/>
      <c r="SSU81" s="10"/>
      <c r="SSV81" s="10"/>
      <c r="SSW81" s="10"/>
      <c r="SSX81" s="10"/>
      <c r="SSY81" s="10"/>
      <c r="SSZ81" s="10"/>
      <c r="STA81" s="10"/>
      <c r="STB81" s="10"/>
      <c r="STC81" s="10"/>
      <c r="STD81" s="10"/>
      <c r="STE81" s="10"/>
      <c r="STF81" s="10"/>
      <c r="STG81" s="10"/>
      <c r="STH81" s="10"/>
      <c r="STI81" s="10"/>
      <c r="STJ81" s="10"/>
      <c r="STK81" s="10"/>
      <c r="STL81" s="10"/>
      <c r="STM81" s="10"/>
      <c r="STN81" s="10"/>
      <c r="STO81" s="10"/>
      <c r="STP81" s="10"/>
      <c r="STQ81" s="10"/>
      <c r="STR81" s="10"/>
      <c r="STS81" s="10"/>
      <c r="STT81" s="10"/>
      <c r="STU81" s="10"/>
      <c r="STV81" s="10"/>
      <c r="STW81" s="10"/>
      <c r="STX81" s="10"/>
      <c r="STY81" s="10"/>
      <c r="STZ81" s="10"/>
      <c r="SUA81" s="10"/>
      <c r="SUB81" s="10"/>
      <c r="SUC81" s="10"/>
      <c r="SUD81" s="10"/>
      <c r="SUE81" s="10"/>
      <c r="SUF81" s="10"/>
      <c r="SUG81" s="10"/>
      <c r="SUH81" s="10"/>
      <c r="SUI81" s="10"/>
      <c r="SUJ81" s="10"/>
      <c r="SUK81" s="10"/>
      <c r="SUL81" s="10"/>
      <c r="SUM81" s="10"/>
      <c r="SUN81" s="10"/>
      <c r="SUO81" s="10"/>
      <c r="SUP81" s="10"/>
      <c r="SUQ81" s="10"/>
      <c r="SUR81" s="10"/>
      <c r="SUS81" s="10"/>
      <c r="SUT81" s="10"/>
      <c r="SUU81" s="10"/>
      <c r="SUV81" s="10"/>
      <c r="SUW81" s="10"/>
      <c r="SUX81" s="10"/>
      <c r="SUY81" s="10"/>
      <c r="SUZ81" s="10"/>
      <c r="SVA81" s="10"/>
      <c r="SVB81" s="10"/>
      <c r="SVC81" s="10"/>
      <c r="SVD81" s="10"/>
      <c r="SVE81" s="10"/>
      <c r="SVF81" s="10"/>
      <c r="SVG81" s="10"/>
      <c r="SVH81" s="10"/>
      <c r="SVI81" s="10"/>
      <c r="SVJ81" s="10"/>
      <c r="SVK81" s="10"/>
      <c r="SVL81" s="10"/>
      <c r="SVM81" s="10"/>
      <c r="SVN81" s="10"/>
      <c r="SVO81" s="10"/>
      <c r="SVP81" s="10"/>
      <c r="SVQ81" s="10"/>
      <c r="SVR81" s="10"/>
      <c r="SVS81" s="10"/>
      <c r="SVT81" s="10"/>
      <c r="SVU81" s="10"/>
      <c r="SVV81" s="10"/>
      <c r="SVW81" s="10"/>
      <c r="SVX81" s="10"/>
      <c r="SVY81" s="10"/>
      <c r="SVZ81" s="10"/>
      <c r="SWA81" s="10"/>
      <c r="SWB81" s="10"/>
      <c r="SWC81" s="10"/>
      <c r="SWD81" s="10"/>
      <c r="SWE81" s="10"/>
      <c r="SWF81" s="10"/>
      <c r="SWG81" s="10"/>
      <c r="SWH81" s="10"/>
      <c r="SWI81" s="10"/>
      <c r="SWJ81" s="10"/>
      <c r="SWK81" s="10"/>
      <c r="SWL81" s="10"/>
      <c r="SWM81" s="10"/>
      <c r="SWN81" s="10"/>
      <c r="SWO81" s="10"/>
      <c r="SWP81" s="10"/>
      <c r="SWQ81" s="10"/>
      <c r="SWR81" s="10"/>
      <c r="SWS81" s="10"/>
      <c r="SWT81" s="10"/>
      <c r="SWU81" s="10"/>
      <c r="SWV81" s="10"/>
      <c r="SWW81" s="10"/>
      <c r="SWX81" s="10"/>
      <c r="SWY81" s="10"/>
      <c r="SWZ81" s="10"/>
      <c r="SXA81" s="10"/>
      <c r="SXB81" s="10"/>
      <c r="SXC81" s="10"/>
      <c r="SXD81" s="10"/>
      <c r="SXE81" s="10"/>
      <c r="SXF81" s="10"/>
      <c r="SXG81" s="10"/>
      <c r="SXH81" s="10"/>
      <c r="SXI81" s="10"/>
      <c r="SXJ81" s="10"/>
      <c r="SXK81" s="10"/>
      <c r="SXL81" s="10"/>
      <c r="SXM81" s="10"/>
      <c r="SXN81" s="10"/>
      <c r="SXO81" s="10"/>
      <c r="SXP81" s="10"/>
      <c r="SXQ81" s="10"/>
      <c r="SXR81" s="10"/>
      <c r="SXS81" s="10"/>
      <c r="SXT81" s="10"/>
      <c r="SXU81" s="10"/>
      <c r="SXV81" s="10"/>
      <c r="SXW81" s="10"/>
      <c r="SXX81" s="10"/>
      <c r="SXY81" s="10"/>
      <c r="SXZ81" s="10"/>
      <c r="SYA81" s="10"/>
      <c r="SYB81" s="10"/>
      <c r="SYC81" s="10"/>
      <c r="SYD81" s="10"/>
      <c r="SYE81" s="10"/>
      <c r="SYF81" s="10"/>
      <c r="SYG81" s="10"/>
      <c r="SYH81" s="10"/>
      <c r="SYI81" s="10"/>
      <c r="SYJ81" s="10"/>
      <c r="SYK81" s="10"/>
      <c r="SYL81" s="10"/>
      <c r="SYM81" s="10"/>
      <c r="SYN81" s="10"/>
      <c r="SYO81" s="10"/>
      <c r="SYP81" s="10"/>
      <c r="SYQ81" s="10"/>
      <c r="SYR81" s="10"/>
      <c r="SYS81" s="10"/>
      <c r="SYT81" s="10"/>
      <c r="SYU81" s="10"/>
      <c r="SYV81" s="10"/>
      <c r="SYW81" s="10"/>
      <c r="SYX81" s="10"/>
      <c r="SYY81" s="10"/>
      <c r="SYZ81" s="10"/>
      <c r="SZA81" s="10"/>
      <c r="SZB81" s="10"/>
      <c r="SZC81" s="10"/>
      <c r="SZD81" s="10"/>
      <c r="SZE81" s="10"/>
      <c r="SZF81" s="10"/>
      <c r="SZG81" s="10"/>
      <c r="SZH81" s="10"/>
      <c r="SZI81" s="10"/>
      <c r="SZJ81" s="10"/>
      <c r="SZK81" s="10"/>
      <c r="SZL81" s="10"/>
      <c r="SZM81" s="10"/>
      <c r="SZN81" s="10"/>
      <c r="SZO81" s="10"/>
      <c r="SZP81" s="10"/>
      <c r="SZQ81" s="10"/>
      <c r="SZR81" s="10"/>
      <c r="SZS81" s="10"/>
      <c r="SZT81" s="10"/>
      <c r="SZU81" s="10"/>
      <c r="SZV81" s="10"/>
      <c r="SZW81" s="10"/>
      <c r="SZX81" s="10"/>
      <c r="SZY81" s="10"/>
      <c r="SZZ81" s="10"/>
      <c r="TAA81" s="10"/>
      <c r="TAB81" s="10"/>
      <c r="TAC81" s="10"/>
      <c r="TAD81" s="10"/>
      <c r="TAE81" s="10"/>
      <c r="TAF81" s="10"/>
      <c r="TAG81" s="10"/>
      <c r="TAH81" s="10"/>
      <c r="TAI81" s="10"/>
      <c r="TAJ81" s="10"/>
      <c r="TAK81" s="10"/>
      <c r="TAL81" s="10"/>
      <c r="TAM81" s="10"/>
      <c r="TAN81" s="10"/>
      <c r="TAO81" s="10"/>
      <c r="TAP81" s="10"/>
      <c r="TAQ81" s="10"/>
      <c r="TAR81" s="10"/>
      <c r="TAS81" s="10"/>
      <c r="TAT81" s="10"/>
      <c r="TAU81" s="10"/>
      <c r="TAV81" s="10"/>
      <c r="TAW81" s="10"/>
      <c r="TAX81" s="10"/>
      <c r="TAY81" s="10"/>
      <c r="TAZ81" s="10"/>
      <c r="TBA81" s="10"/>
      <c r="TBB81" s="10"/>
      <c r="TBC81" s="10"/>
      <c r="TBD81" s="10"/>
      <c r="TBE81" s="10"/>
      <c r="TBF81" s="10"/>
      <c r="TBG81" s="10"/>
      <c r="TBH81" s="10"/>
      <c r="TBI81" s="10"/>
      <c r="TBJ81" s="10"/>
      <c r="TBK81" s="10"/>
      <c r="TBL81" s="10"/>
      <c r="TBM81" s="10"/>
      <c r="TBN81" s="10"/>
      <c r="TBO81" s="10"/>
      <c r="TBP81" s="10"/>
      <c r="TBQ81" s="10"/>
      <c r="TBR81" s="10"/>
      <c r="TBS81" s="10"/>
      <c r="TBT81" s="10"/>
      <c r="TBU81" s="10"/>
      <c r="TBV81" s="10"/>
      <c r="TBW81" s="10"/>
      <c r="TBX81" s="10"/>
      <c r="TBY81" s="10"/>
      <c r="TBZ81" s="10"/>
      <c r="TCA81" s="10"/>
      <c r="TCB81" s="10"/>
      <c r="TCC81" s="10"/>
      <c r="TCD81" s="10"/>
      <c r="TCE81" s="10"/>
      <c r="TCF81" s="10"/>
      <c r="TCG81" s="10"/>
      <c r="TCH81" s="10"/>
      <c r="TCI81" s="10"/>
      <c r="TCJ81" s="10"/>
      <c r="TCK81" s="10"/>
      <c r="TCL81" s="10"/>
      <c r="TCM81" s="10"/>
      <c r="TCN81" s="10"/>
      <c r="TCO81" s="10"/>
      <c r="TCP81" s="10"/>
      <c r="TCQ81" s="10"/>
      <c r="TCR81" s="10"/>
      <c r="TCS81" s="10"/>
      <c r="TCT81" s="10"/>
      <c r="TCU81" s="10"/>
      <c r="TCV81" s="10"/>
      <c r="TCW81" s="10"/>
      <c r="TCX81" s="10"/>
      <c r="TCY81" s="10"/>
      <c r="TCZ81" s="10"/>
      <c r="TDA81" s="10"/>
      <c r="TDB81" s="10"/>
      <c r="TDC81" s="10"/>
      <c r="TDD81" s="10"/>
      <c r="TDE81" s="10"/>
      <c r="TDF81" s="10"/>
      <c r="TDG81" s="10"/>
      <c r="TDH81" s="10"/>
      <c r="TDI81" s="10"/>
      <c r="TDJ81" s="10"/>
      <c r="TDK81" s="10"/>
      <c r="TDL81" s="10"/>
      <c r="TDM81" s="10"/>
      <c r="TDN81" s="10"/>
      <c r="TDO81" s="10"/>
      <c r="TDP81" s="10"/>
      <c r="TDQ81" s="10"/>
      <c r="TDR81" s="10"/>
      <c r="TDS81" s="10"/>
      <c r="TDT81" s="10"/>
      <c r="TDU81" s="10"/>
      <c r="TDV81" s="10"/>
      <c r="TDW81" s="10"/>
      <c r="TDX81" s="10"/>
      <c r="TDY81" s="10"/>
      <c r="TDZ81" s="10"/>
      <c r="TEA81" s="10"/>
      <c r="TEB81" s="10"/>
      <c r="TEC81" s="10"/>
      <c r="TED81" s="10"/>
      <c r="TEE81" s="10"/>
      <c r="TEF81" s="10"/>
      <c r="TEG81" s="10"/>
      <c r="TEH81" s="10"/>
      <c r="TEI81" s="10"/>
      <c r="TEJ81" s="10"/>
      <c r="TEK81" s="10"/>
      <c r="TEL81" s="10"/>
      <c r="TEM81" s="10"/>
      <c r="TEN81" s="10"/>
      <c r="TEO81" s="10"/>
      <c r="TEP81" s="10"/>
      <c r="TEQ81" s="10"/>
      <c r="TER81" s="10"/>
      <c r="TES81" s="10"/>
      <c r="TET81" s="10"/>
      <c r="TEU81" s="10"/>
      <c r="TEV81" s="10"/>
      <c r="TEW81" s="10"/>
      <c r="TEX81" s="10"/>
      <c r="TEY81" s="10"/>
      <c r="TEZ81" s="10"/>
      <c r="TFA81" s="10"/>
      <c r="TFB81" s="10"/>
      <c r="TFC81" s="10"/>
      <c r="TFD81" s="10"/>
      <c r="TFE81" s="10"/>
      <c r="TFF81" s="10"/>
      <c r="TFG81" s="10"/>
      <c r="TFH81" s="10"/>
      <c r="TFI81" s="10"/>
      <c r="TFJ81" s="10"/>
      <c r="TFK81" s="10"/>
      <c r="TFL81" s="10"/>
      <c r="TFM81" s="10"/>
      <c r="TFN81" s="10"/>
      <c r="TFO81" s="10"/>
      <c r="TFP81" s="10"/>
      <c r="TFQ81" s="10"/>
      <c r="TFR81" s="10"/>
      <c r="TFS81" s="10"/>
      <c r="TFT81" s="10"/>
      <c r="TFU81" s="10"/>
      <c r="TFV81" s="10"/>
      <c r="TFW81" s="10"/>
      <c r="TFX81" s="10"/>
      <c r="TFY81" s="10"/>
      <c r="TFZ81" s="10"/>
      <c r="TGA81" s="10"/>
      <c r="TGB81" s="10"/>
      <c r="TGC81" s="10"/>
      <c r="TGD81" s="10"/>
      <c r="TGE81" s="10"/>
      <c r="TGF81" s="10"/>
      <c r="TGG81" s="10"/>
      <c r="TGH81" s="10"/>
      <c r="TGI81" s="10"/>
      <c r="TGJ81" s="10"/>
      <c r="TGK81" s="10"/>
      <c r="TGL81" s="10"/>
      <c r="TGM81" s="10"/>
      <c r="TGN81" s="10"/>
      <c r="TGO81" s="10"/>
      <c r="TGP81" s="10"/>
      <c r="TGQ81" s="10"/>
      <c r="TGR81" s="10"/>
      <c r="TGS81" s="10"/>
      <c r="TGT81" s="10"/>
      <c r="TGU81" s="10"/>
      <c r="TGV81" s="10"/>
      <c r="TGW81" s="10"/>
      <c r="TGX81" s="10"/>
      <c r="TGY81" s="10"/>
      <c r="TGZ81" s="10"/>
      <c r="THA81" s="10"/>
      <c r="THB81" s="10"/>
      <c r="THC81" s="10"/>
      <c r="THD81" s="10"/>
      <c r="THE81" s="10"/>
      <c r="THF81" s="10"/>
      <c r="THG81" s="10"/>
      <c r="THH81" s="10"/>
      <c r="THI81" s="10"/>
      <c r="THJ81" s="10"/>
      <c r="THK81" s="10"/>
      <c r="THL81" s="10"/>
      <c r="THM81" s="10"/>
      <c r="THN81" s="10"/>
      <c r="THO81" s="10"/>
      <c r="THP81" s="10"/>
      <c r="THQ81" s="10"/>
      <c r="THR81" s="10"/>
      <c r="THS81" s="10"/>
      <c r="THT81" s="10"/>
      <c r="THU81" s="10"/>
      <c r="THV81" s="10"/>
      <c r="THW81" s="10"/>
      <c r="THX81" s="10"/>
      <c r="THY81" s="10"/>
      <c r="THZ81" s="10"/>
      <c r="TIA81" s="10"/>
      <c r="TIB81" s="10"/>
      <c r="TIC81" s="10"/>
      <c r="TID81" s="10"/>
      <c r="TIE81" s="10"/>
      <c r="TIF81" s="10"/>
      <c r="TIG81" s="10"/>
      <c r="TIH81" s="10"/>
      <c r="TII81" s="10"/>
      <c r="TIJ81" s="10"/>
      <c r="TIK81" s="10"/>
      <c r="TIL81" s="10"/>
      <c r="TIM81" s="10"/>
      <c r="TIN81" s="10"/>
      <c r="TIO81" s="10"/>
      <c r="TIP81" s="10"/>
      <c r="TIQ81" s="10"/>
      <c r="TIR81" s="10"/>
      <c r="TIS81" s="10"/>
      <c r="TIT81" s="10"/>
      <c r="TIU81" s="10"/>
      <c r="TIV81" s="10"/>
      <c r="TIW81" s="10"/>
      <c r="TIX81" s="10"/>
      <c r="TIY81" s="10"/>
      <c r="TIZ81" s="10"/>
      <c r="TJA81" s="10"/>
      <c r="TJB81" s="10"/>
      <c r="TJC81" s="10"/>
      <c r="TJD81" s="10"/>
      <c r="TJE81" s="10"/>
      <c r="TJF81" s="10"/>
      <c r="TJG81" s="10"/>
      <c r="TJH81" s="10"/>
      <c r="TJI81" s="10"/>
      <c r="TJJ81" s="10"/>
      <c r="TJK81" s="10"/>
      <c r="TJL81" s="10"/>
      <c r="TJM81" s="10"/>
      <c r="TJN81" s="10"/>
      <c r="TJO81" s="10"/>
      <c r="TJP81" s="10"/>
      <c r="TJQ81" s="10"/>
      <c r="TJR81" s="10"/>
      <c r="TJS81" s="10"/>
      <c r="TJT81" s="10"/>
      <c r="TJU81" s="10"/>
      <c r="TJV81" s="10"/>
      <c r="TJW81" s="10"/>
      <c r="TJX81" s="10"/>
      <c r="TJY81" s="10"/>
      <c r="TJZ81" s="10"/>
      <c r="TKA81" s="10"/>
      <c r="TKB81" s="10"/>
      <c r="TKC81" s="10"/>
      <c r="TKD81" s="10"/>
      <c r="TKE81" s="10"/>
      <c r="TKF81" s="10"/>
      <c r="TKG81" s="10"/>
      <c r="TKH81" s="10"/>
      <c r="TKI81" s="10"/>
      <c r="TKJ81" s="10"/>
      <c r="TKK81" s="10"/>
      <c r="TKL81" s="10"/>
      <c r="TKM81" s="10"/>
      <c r="TKN81" s="10"/>
      <c r="TKO81" s="10"/>
      <c r="TKP81" s="10"/>
      <c r="TKQ81" s="10"/>
      <c r="TKR81" s="10"/>
      <c r="TKS81" s="10"/>
      <c r="TKT81" s="10"/>
      <c r="TKU81" s="10"/>
      <c r="TKV81" s="10"/>
      <c r="TKW81" s="10"/>
      <c r="TKX81" s="10"/>
      <c r="TKY81" s="10"/>
      <c r="TKZ81" s="10"/>
      <c r="TLA81" s="10"/>
      <c r="TLB81" s="10"/>
      <c r="TLC81" s="10"/>
      <c r="TLD81" s="10"/>
      <c r="TLE81" s="10"/>
      <c r="TLF81" s="10"/>
      <c r="TLG81" s="10"/>
      <c r="TLH81" s="10"/>
      <c r="TLI81" s="10"/>
      <c r="TLJ81" s="10"/>
      <c r="TLK81" s="10"/>
      <c r="TLL81" s="10"/>
      <c r="TLM81" s="10"/>
      <c r="TLN81" s="10"/>
      <c r="TLO81" s="10"/>
      <c r="TLP81" s="10"/>
      <c r="TLQ81" s="10"/>
      <c r="TLR81" s="10"/>
      <c r="TLS81" s="10"/>
      <c r="TLT81" s="10"/>
      <c r="TLU81" s="10"/>
      <c r="TLV81" s="10"/>
      <c r="TLW81" s="10"/>
      <c r="TLX81" s="10"/>
      <c r="TLY81" s="10"/>
      <c r="TLZ81" s="10"/>
      <c r="TMA81" s="10"/>
      <c r="TMB81" s="10"/>
      <c r="TMC81" s="10"/>
      <c r="TMD81" s="10"/>
      <c r="TME81" s="10"/>
      <c r="TMF81" s="10"/>
      <c r="TMG81" s="10"/>
      <c r="TMH81" s="10"/>
      <c r="TMI81" s="10"/>
      <c r="TMJ81" s="10"/>
      <c r="TMK81" s="10"/>
      <c r="TML81" s="10"/>
      <c r="TMM81" s="10"/>
      <c r="TMN81" s="10"/>
      <c r="TMO81" s="10"/>
      <c r="TMP81" s="10"/>
      <c r="TMQ81" s="10"/>
      <c r="TMR81" s="10"/>
      <c r="TMS81" s="10"/>
      <c r="TMT81" s="10"/>
      <c r="TMU81" s="10"/>
      <c r="TMV81" s="10"/>
      <c r="TMW81" s="10"/>
      <c r="TMX81" s="10"/>
      <c r="TMY81" s="10"/>
      <c r="TMZ81" s="10"/>
      <c r="TNA81" s="10"/>
      <c r="TNB81" s="10"/>
      <c r="TNC81" s="10"/>
      <c r="TND81" s="10"/>
      <c r="TNE81" s="10"/>
      <c r="TNF81" s="10"/>
      <c r="TNG81" s="10"/>
      <c r="TNH81" s="10"/>
      <c r="TNI81" s="10"/>
      <c r="TNJ81" s="10"/>
      <c r="TNK81" s="10"/>
      <c r="TNL81" s="10"/>
      <c r="TNM81" s="10"/>
      <c r="TNN81" s="10"/>
      <c r="TNO81" s="10"/>
      <c r="TNP81" s="10"/>
      <c r="TNQ81" s="10"/>
      <c r="TNR81" s="10"/>
      <c r="TNS81" s="10"/>
      <c r="TNT81" s="10"/>
      <c r="TNU81" s="10"/>
      <c r="TNV81" s="10"/>
      <c r="TNW81" s="10"/>
      <c r="TNX81" s="10"/>
      <c r="TNY81" s="10"/>
      <c r="TNZ81" s="10"/>
      <c r="TOA81" s="10"/>
      <c r="TOB81" s="10"/>
      <c r="TOC81" s="10"/>
      <c r="TOD81" s="10"/>
      <c r="TOE81" s="10"/>
      <c r="TOF81" s="10"/>
      <c r="TOG81" s="10"/>
      <c r="TOH81" s="10"/>
      <c r="TOI81" s="10"/>
      <c r="TOJ81" s="10"/>
      <c r="TOK81" s="10"/>
      <c r="TOL81" s="10"/>
      <c r="TOM81" s="10"/>
      <c r="TON81" s="10"/>
      <c r="TOO81" s="10"/>
      <c r="TOP81" s="10"/>
      <c r="TOQ81" s="10"/>
      <c r="TOR81" s="10"/>
      <c r="TOS81" s="10"/>
      <c r="TOT81" s="10"/>
      <c r="TOU81" s="10"/>
      <c r="TOV81" s="10"/>
      <c r="TOW81" s="10"/>
      <c r="TOX81" s="10"/>
      <c r="TOY81" s="10"/>
      <c r="TOZ81" s="10"/>
      <c r="TPA81" s="10"/>
      <c r="TPB81" s="10"/>
      <c r="TPC81" s="10"/>
      <c r="TPD81" s="10"/>
      <c r="TPE81" s="10"/>
      <c r="TPF81" s="10"/>
      <c r="TPG81" s="10"/>
      <c r="TPH81" s="10"/>
      <c r="TPI81" s="10"/>
      <c r="TPJ81" s="10"/>
      <c r="TPK81" s="10"/>
      <c r="TPL81" s="10"/>
      <c r="TPM81" s="10"/>
      <c r="TPN81" s="10"/>
      <c r="TPO81" s="10"/>
      <c r="TPP81" s="10"/>
      <c r="TPQ81" s="10"/>
      <c r="TPR81" s="10"/>
      <c r="TPS81" s="10"/>
      <c r="TPT81" s="10"/>
      <c r="TPU81" s="10"/>
      <c r="TPV81" s="10"/>
      <c r="TPW81" s="10"/>
      <c r="TPX81" s="10"/>
      <c r="TPY81" s="10"/>
      <c r="TPZ81" s="10"/>
      <c r="TQA81" s="10"/>
      <c r="TQB81" s="10"/>
      <c r="TQC81" s="10"/>
      <c r="TQD81" s="10"/>
      <c r="TQE81" s="10"/>
      <c r="TQF81" s="10"/>
      <c r="TQG81" s="10"/>
      <c r="TQH81" s="10"/>
      <c r="TQI81" s="10"/>
      <c r="TQJ81" s="10"/>
      <c r="TQK81" s="10"/>
      <c r="TQL81" s="10"/>
      <c r="TQM81" s="10"/>
      <c r="TQN81" s="10"/>
      <c r="TQO81" s="10"/>
      <c r="TQP81" s="10"/>
      <c r="TQQ81" s="10"/>
      <c r="TQR81" s="10"/>
      <c r="TQS81" s="10"/>
      <c r="TQT81" s="10"/>
      <c r="TQU81" s="10"/>
      <c r="TQV81" s="10"/>
      <c r="TQW81" s="10"/>
      <c r="TQX81" s="10"/>
      <c r="TQY81" s="10"/>
      <c r="TQZ81" s="10"/>
      <c r="TRA81" s="10"/>
      <c r="TRB81" s="10"/>
      <c r="TRC81" s="10"/>
      <c r="TRD81" s="10"/>
      <c r="TRE81" s="10"/>
      <c r="TRF81" s="10"/>
      <c r="TRG81" s="10"/>
      <c r="TRH81" s="10"/>
      <c r="TRI81" s="10"/>
      <c r="TRJ81" s="10"/>
      <c r="TRK81" s="10"/>
      <c r="TRL81" s="10"/>
      <c r="TRM81" s="10"/>
      <c r="TRN81" s="10"/>
      <c r="TRO81" s="10"/>
      <c r="TRP81" s="10"/>
      <c r="TRQ81" s="10"/>
      <c r="TRR81" s="10"/>
      <c r="TRS81" s="10"/>
      <c r="TRT81" s="10"/>
      <c r="TRU81" s="10"/>
      <c r="TRV81" s="10"/>
      <c r="TRW81" s="10"/>
      <c r="TRX81" s="10"/>
      <c r="TRY81" s="10"/>
      <c r="TRZ81" s="10"/>
      <c r="TSA81" s="10"/>
      <c r="TSB81" s="10"/>
      <c r="TSC81" s="10"/>
      <c r="TSD81" s="10"/>
      <c r="TSE81" s="10"/>
      <c r="TSF81" s="10"/>
      <c r="TSG81" s="10"/>
      <c r="TSH81" s="10"/>
      <c r="TSI81" s="10"/>
      <c r="TSJ81" s="10"/>
      <c r="TSK81" s="10"/>
      <c r="TSL81" s="10"/>
      <c r="TSM81" s="10"/>
      <c r="TSN81" s="10"/>
      <c r="TSO81" s="10"/>
      <c r="TSP81" s="10"/>
      <c r="TSQ81" s="10"/>
      <c r="TSR81" s="10"/>
      <c r="TSS81" s="10"/>
      <c r="TST81" s="10"/>
      <c r="TSU81" s="10"/>
      <c r="TSV81" s="10"/>
      <c r="TSW81" s="10"/>
      <c r="TSX81" s="10"/>
      <c r="TSY81" s="10"/>
      <c r="TSZ81" s="10"/>
      <c r="TTA81" s="10"/>
      <c r="TTB81" s="10"/>
      <c r="TTC81" s="10"/>
      <c r="TTD81" s="10"/>
      <c r="TTE81" s="10"/>
      <c r="TTF81" s="10"/>
      <c r="TTG81" s="10"/>
      <c r="TTH81" s="10"/>
      <c r="TTI81" s="10"/>
      <c r="TTJ81" s="10"/>
      <c r="TTK81" s="10"/>
      <c r="TTL81" s="10"/>
      <c r="TTM81" s="10"/>
      <c r="TTN81" s="10"/>
      <c r="TTO81" s="10"/>
      <c r="TTP81" s="10"/>
      <c r="TTQ81" s="10"/>
      <c r="TTR81" s="10"/>
      <c r="TTS81" s="10"/>
      <c r="TTT81" s="10"/>
      <c r="TTU81" s="10"/>
      <c r="TTV81" s="10"/>
      <c r="TTW81" s="10"/>
      <c r="TTX81" s="10"/>
      <c r="TTY81" s="10"/>
      <c r="TTZ81" s="10"/>
      <c r="TUA81" s="10"/>
      <c r="TUB81" s="10"/>
      <c r="TUC81" s="10"/>
      <c r="TUD81" s="10"/>
      <c r="TUE81" s="10"/>
      <c r="TUF81" s="10"/>
      <c r="TUG81" s="10"/>
      <c r="TUH81" s="10"/>
      <c r="TUI81" s="10"/>
      <c r="TUJ81" s="10"/>
      <c r="TUK81" s="10"/>
      <c r="TUL81" s="10"/>
      <c r="TUM81" s="10"/>
      <c r="TUN81" s="10"/>
      <c r="TUO81" s="10"/>
      <c r="TUP81" s="10"/>
      <c r="TUQ81" s="10"/>
      <c r="TUR81" s="10"/>
      <c r="TUS81" s="10"/>
      <c r="TUT81" s="10"/>
      <c r="TUU81" s="10"/>
      <c r="TUV81" s="10"/>
      <c r="TUW81" s="10"/>
      <c r="TUX81" s="10"/>
      <c r="TUY81" s="10"/>
      <c r="TUZ81" s="10"/>
      <c r="TVA81" s="10"/>
      <c r="TVB81" s="10"/>
      <c r="TVC81" s="10"/>
      <c r="TVD81" s="10"/>
      <c r="TVE81" s="10"/>
      <c r="TVF81" s="10"/>
      <c r="TVG81" s="10"/>
      <c r="TVH81" s="10"/>
      <c r="TVI81" s="10"/>
      <c r="TVJ81" s="10"/>
      <c r="TVK81" s="10"/>
      <c r="TVL81" s="10"/>
      <c r="TVM81" s="10"/>
      <c r="TVN81" s="10"/>
      <c r="TVO81" s="10"/>
      <c r="TVP81" s="10"/>
      <c r="TVQ81" s="10"/>
      <c r="TVR81" s="10"/>
      <c r="TVS81" s="10"/>
      <c r="TVT81" s="10"/>
      <c r="TVU81" s="10"/>
      <c r="TVV81" s="10"/>
      <c r="TVW81" s="10"/>
      <c r="TVX81" s="10"/>
      <c r="TVY81" s="10"/>
      <c r="TVZ81" s="10"/>
      <c r="TWA81" s="10"/>
      <c r="TWB81" s="10"/>
      <c r="TWC81" s="10"/>
      <c r="TWD81" s="10"/>
      <c r="TWE81" s="10"/>
      <c r="TWF81" s="10"/>
      <c r="TWG81" s="10"/>
      <c r="TWH81" s="10"/>
      <c r="TWI81" s="10"/>
      <c r="TWJ81" s="10"/>
      <c r="TWK81" s="10"/>
      <c r="TWL81" s="10"/>
      <c r="TWM81" s="10"/>
      <c r="TWN81" s="10"/>
      <c r="TWO81" s="10"/>
      <c r="TWP81" s="10"/>
      <c r="TWQ81" s="10"/>
      <c r="TWR81" s="10"/>
      <c r="TWS81" s="10"/>
      <c r="TWT81" s="10"/>
      <c r="TWU81" s="10"/>
      <c r="TWV81" s="10"/>
      <c r="TWW81" s="10"/>
      <c r="TWX81" s="10"/>
      <c r="TWY81" s="10"/>
      <c r="TWZ81" s="10"/>
      <c r="TXA81" s="10"/>
      <c r="TXB81" s="10"/>
      <c r="TXC81" s="10"/>
      <c r="TXD81" s="10"/>
      <c r="TXE81" s="10"/>
      <c r="TXF81" s="10"/>
      <c r="TXG81" s="10"/>
      <c r="TXH81" s="10"/>
      <c r="TXI81" s="10"/>
      <c r="TXJ81" s="10"/>
      <c r="TXK81" s="10"/>
      <c r="TXL81" s="10"/>
      <c r="TXM81" s="10"/>
      <c r="TXN81" s="10"/>
      <c r="TXO81" s="10"/>
      <c r="TXP81" s="10"/>
      <c r="TXQ81" s="10"/>
      <c r="TXR81" s="10"/>
      <c r="TXS81" s="10"/>
      <c r="TXT81" s="10"/>
      <c r="TXU81" s="10"/>
      <c r="TXV81" s="10"/>
      <c r="TXW81" s="10"/>
      <c r="TXX81" s="10"/>
      <c r="TXY81" s="10"/>
      <c r="TXZ81" s="10"/>
      <c r="TYA81" s="10"/>
      <c r="TYB81" s="10"/>
      <c r="TYC81" s="10"/>
      <c r="TYD81" s="10"/>
      <c r="TYE81" s="10"/>
      <c r="TYF81" s="10"/>
      <c r="TYG81" s="10"/>
      <c r="TYH81" s="10"/>
      <c r="TYI81" s="10"/>
      <c r="TYJ81" s="10"/>
      <c r="TYK81" s="10"/>
      <c r="TYL81" s="10"/>
      <c r="TYM81" s="10"/>
      <c r="TYN81" s="10"/>
      <c r="TYO81" s="10"/>
      <c r="TYP81" s="10"/>
      <c r="TYQ81" s="10"/>
      <c r="TYR81" s="10"/>
      <c r="TYS81" s="10"/>
      <c r="TYT81" s="10"/>
      <c r="TYU81" s="10"/>
      <c r="TYV81" s="10"/>
      <c r="TYW81" s="10"/>
      <c r="TYX81" s="10"/>
      <c r="TYY81" s="10"/>
      <c r="TYZ81" s="10"/>
      <c r="TZA81" s="10"/>
      <c r="TZB81" s="10"/>
      <c r="TZC81" s="10"/>
      <c r="TZD81" s="10"/>
      <c r="TZE81" s="10"/>
      <c r="TZF81" s="10"/>
      <c r="TZG81" s="10"/>
      <c r="TZH81" s="10"/>
      <c r="TZI81" s="10"/>
      <c r="TZJ81" s="10"/>
      <c r="TZK81" s="10"/>
      <c r="TZL81" s="10"/>
      <c r="TZM81" s="10"/>
      <c r="TZN81" s="10"/>
      <c r="TZO81" s="10"/>
      <c r="TZP81" s="10"/>
      <c r="TZQ81" s="10"/>
      <c r="TZR81" s="10"/>
      <c r="TZS81" s="10"/>
      <c r="TZT81" s="10"/>
      <c r="TZU81" s="10"/>
      <c r="TZV81" s="10"/>
      <c r="TZW81" s="10"/>
      <c r="TZX81" s="10"/>
      <c r="TZY81" s="10"/>
      <c r="TZZ81" s="10"/>
      <c r="UAA81" s="10"/>
      <c r="UAB81" s="10"/>
      <c r="UAC81" s="10"/>
      <c r="UAD81" s="10"/>
      <c r="UAE81" s="10"/>
      <c r="UAF81" s="10"/>
      <c r="UAG81" s="10"/>
      <c r="UAH81" s="10"/>
      <c r="UAI81" s="10"/>
      <c r="UAJ81" s="10"/>
      <c r="UAK81" s="10"/>
      <c r="UAL81" s="10"/>
      <c r="UAM81" s="10"/>
      <c r="UAN81" s="10"/>
      <c r="UAO81" s="10"/>
      <c r="UAP81" s="10"/>
      <c r="UAQ81" s="10"/>
      <c r="UAR81" s="10"/>
      <c r="UAS81" s="10"/>
      <c r="UAT81" s="10"/>
      <c r="UAU81" s="10"/>
      <c r="UAV81" s="10"/>
      <c r="UAW81" s="10"/>
      <c r="UAX81" s="10"/>
      <c r="UAY81" s="10"/>
      <c r="UAZ81" s="10"/>
      <c r="UBA81" s="10"/>
      <c r="UBB81" s="10"/>
      <c r="UBC81" s="10"/>
      <c r="UBD81" s="10"/>
      <c r="UBE81" s="10"/>
      <c r="UBF81" s="10"/>
      <c r="UBG81" s="10"/>
      <c r="UBH81" s="10"/>
      <c r="UBI81" s="10"/>
      <c r="UBJ81" s="10"/>
      <c r="UBK81" s="10"/>
      <c r="UBL81" s="10"/>
      <c r="UBM81" s="10"/>
      <c r="UBN81" s="10"/>
      <c r="UBO81" s="10"/>
      <c r="UBP81" s="10"/>
      <c r="UBQ81" s="10"/>
      <c r="UBR81" s="10"/>
      <c r="UBS81" s="10"/>
      <c r="UBT81" s="10"/>
      <c r="UBU81" s="10"/>
      <c r="UBV81" s="10"/>
      <c r="UBW81" s="10"/>
      <c r="UBX81" s="10"/>
      <c r="UBY81" s="10"/>
      <c r="UBZ81" s="10"/>
      <c r="UCA81" s="10"/>
      <c r="UCB81" s="10"/>
      <c r="UCC81" s="10"/>
      <c r="UCD81" s="10"/>
      <c r="UCE81" s="10"/>
      <c r="UCF81" s="10"/>
      <c r="UCG81" s="10"/>
      <c r="UCH81" s="10"/>
      <c r="UCI81" s="10"/>
      <c r="UCJ81" s="10"/>
      <c r="UCK81" s="10"/>
      <c r="UCL81" s="10"/>
      <c r="UCM81" s="10"/>
      <c r="UCN81" s="10"/>
      <c r="UCO81" s="10"/>
      <c r="UCP81" s="10"/>
      <c r="UCQ81" s="10"/>
      <c r="UCR81" s="10"/>
      <c r="UCS81" s="10"/>
      <c r="UCT81" s="10"/>
      <c r="UCU81" s="10"/>
      <c r="UCV81" s="10"/>
      <c r="UCW81" s="10"/>
      <c r="UCX81" s="10"/>
      <c r="UCY81" s="10"/>
      <c r="UCZ81" s="10"/>
      <c r="UDA81" s="10"/>
      <c r="UDB81" s="10"/>
      <c r="UDC81" s="10"/>
      <c r="UDD81" s="10"/>
      <c r="UDE81" s="10"/>
      <c r="UDF81" s="10"/>
      <c r="UDG81" s="10"/>
      <c r="UDH81" s="10"/>
      <c r="UDI81" s="10"/>
      <c r="UDJ81" s="10"/>
      <c r="UDK81" s="10"/>
      <c r="UDL81" s="10"/>
      <c r="UDM81" s="10"/>
      <c r="UDN81" s="10"/>
      <c r="UDO81" s="10"/>
      <c r="UDP81" s="10"/>
      <c r="UDQ81" s="10"/>
      <c r="UDR81" s="10"/>
      <c r="UDS81" s="10"/>
      <c r="UDT81" s="10"/>
      <c r="UDU81" s="10"/>
      <c r="UDV81" s="10"/>
      <c r="UDW81" s="10"/>
      <c r="UDX81" s="10"/>
      <c r="UDY81" s="10"/>
      <c r="UDZ81" s="10"/>
      <c r="UEA81" s="10"/>
      <c r="UEB81" s="10"/>
      <c r="UEC81" s="10"/>
      <c r="UED81" s="10"/>
      <c r="UEE81" s="10"/>
      <c r="UEF81" s="10"/>
      <c r="UEG81" s="10"/>
      <c r="UEH81" s="10"/>
      <c r="UEI81" s="10"/>
      <c r="UEJ81" s="10"/>
      <c r="UEK81" s="10"/>
      <c r="UEL81" s="10"/>
      <c r="UEM81" s="10"/>
      <c r="UEN81" s="10"/>
      <c r="UEO81" s="10"/>
      <c r="UEP81" s="10"/>
      <c r="UEQ81" s="10"/>
      <c r="UER81" s="10"/>
      <c r="UES81" s="10"/>
      <c r="UET81" s="10"/>
      <c r="UEU81" s="10"/>
      <c r="UEV81" s="10"/>
      <c r="UEW81" s="10"/>
      <c r="UEX81" s="10"/>
      <c r="UEY81" s="10"/>
      <c r="UEZ81" s="10"/>
      <c r="UFA81" s="10"/>
      <c r="UFB81" s="10"/>
      <c r="UFC81" s="10"/>
      <c r="UFD81" s="10"/>
      <c r="UFE81" s="10"/>
      <c r="UFF81" s="10"/>
      <c r="UFG81" s="10"/>
      <c r="UFH81" s="10"/>
      <c r="UFI81" s="10"/>
      <c r="UFJ81" s="10"/>
      <c r="UFK81" s="10"/>
      <c r="UFL81" s="10"/>
      <c r="UFM81" s="10"/>
      <c r="UFN81" s="10"/>
      <c r="UFO81" s="10"/>
      <c r="UFP81" s="10"/>
      <c r="UFQ81" s="10"/>
      <c r="UFR81" s="10"/>
      <c r="UFS81" s="10"/>
      <c r="UFT81" s="10"/>
      <c r="UFU81" s="10"/>
      <c r="UFV81" s="10"/>
      <c r="UFW81" s="10"/>
      <c r="UFX81" s="10"/>
      <c r="UFY81" s="10"/>
      <c r="UFZ81" s="10"/>
      <c r="UGA81" s="10"/>
      <c r="UGB81" s="10"/>
      <c r="UGC81" s="10"/>
      <c r="UGD81" s="10"/>
      <c r="UGE81" s="10"/>
      <c r="UGF81" s="10"/>
      <c r="UGG81" s="10"/>
      <c r="UGH81" s="10"/>
      <c r="UGI81" s="10"/>
      <c r="UGJ81" s="10"/>
      <c r="UGK81" s="10"/>
      <c r="UGL81" s="10"/>
      <c r="UGM81" s="10"/>
      <c r="UGN81" s="10"/>
      <c r="UGO81" s="10"/>
      <c r="UGP81" s="10"/>
      <c r="UGQ81" s="10"/>
      <c r="UGR81" s="10"/>
      <c r="UGS81" s="10"/>
      <c r="UGT81" s="10"/>
      <c r="UGU81" s="10"/>
      <c r="UGV81" s="10"/>
      <c r="UGW81" s="10"/>
      <c r="UGX81" s="10"/>
      <c r="UGY81" s="10"/>
      <c r="UGZ81" s="10"/>
      <c r="UHA81" s="10"/>
      <c r="UHB81" s="10"/>
      <c r="UHC81" s="10"/>
      <c r="UHD81" s="10"/>
      <c r="UHE81" s="10"/>
      <c r="UHF81" s="10"/>
      <c r="UHG81" s="10"/>
      <c r="UHH81" s="10"/>
      <c r="UHI81" s="10"/>
      <c r="UHJ81" s="10"/>
      <c r="UHK81" s="10"/>
      <c r="UHL81" s="10"/>
      <c r="UHM81" s="10"/>
      <c r="UHN81" s="10"/>
      <c r="UHO81" s="10"/>
      <c r="UHP81" s="10"/>
      <c r="UHQ81" s="10"/>
      <c r="UHR81" s="10"/>
      <c r="UHS81" s="10"/>
      <c r="UHT81" s="10"/>
      <c r="UHU81" s="10"/>
      <c r="UHV81" s="10"/>
      <c r="UHW81" s="10"/>
      <c r="UHX81" s="10"/>
      <c r="UHY81" s="10"/>
      <c r="UHZ81" s="10"/>
      <c r="UIA81" s="10"/>
      <c r="UIB81" s="10"/>
      <c r="UIC81" s="10"/>
      <c r="UID81" s="10"/>
      <c r="UIE81" s="10"/>
      <c r="UIF81" s="10"/>
      <c r="UIG81" s="10"/>
      <c r="UIH81" s="10"/>
      <c r="UII81" s="10"/>
      <c r="UIJ81" s="10"/>
      <c r="UIK81" s="10"/>
      <c r="UIL81" s="10"/>
      <c r="UIM81" s="10"/>
      <c r="UIN81" s="10"/>
      <c r="UIO81" s="10"/>
      <c r="UIP81" s="10"/>
      <c r="UIQ81" s="10"/>
      <c r="UIR81" s="10"/>
      <c r="UIS81" s="10"/>
      <c r="UIT81" s="10"/>
      <c r="UIU81" s="10"/>
      <c r="UIV81" s="10"/>
      <c r="UIW81" s="10"/>
      <c r="UIX81" s="10"/>
      <c r="UIY81" s="10"/>
      <c r="UIZ81" s="10"/>
      <c r="UJA81" s="10"/>
      <c r="UJB81" s="10"/>
      <c r="UJC81" s="10"/>
      <c r="UJD81" s="10"/>
      <c r="UJE81" s="10"/>
      <c r="UJF81" s="10"/>
      <c r="UJG81" s="10"/>
      <c r="UJH81" s="10"/>
      <c r="UJI81" s="10"/>
      <c r="UJJ81" s="10"/>
      <c r="UJK81" s="10"/>
      <c r="UJL81" s="10"/>
      <c r="UJM81" s="10"/>
      <c r="UJN81" s="10"/>
      <c r="UJO81" s="10"/>
      <c r="UJP81" s="10"/>
      <c r="UJQ81" s="10"/>
      <c r="UJR81" s="10"/>
      <c r="UJS81" s="10"/>
      <c r="UJT81" s="10"/>
      <c r="UJU81" s="10"/>
      <c r="UJV81" s="10"/>
      <c r="UJW81" s="10"/>
      <c r="UJX81" s="10"/>
      <c r="UJY81" s="10"/>
      <c r="UJZ81" s="10"/>
      <c r="UKA81" s="10"/>
      <c r="UKB81" s="10"/>
      <c r="UKC81" s="10"/>
      <c r="UKD81" s="10"/>
      <c r="UKE81" s="10"/>
      <c r="UKF81" s="10"/>
      <c r="UKG81" s="10"/>
      <c r="UKH81" s="10"/>
      <c r="UKI81" s="10"/>
      <c r="UKJ81" s="10"/>
      <c r="UKK81" s="10"/>
      <c r="UKL81" s="10"/>
      <c r="UKM81" s="10"/>
      <c r="UKN81" s="10"/>
      <c r="UKO81" s="10"/>
      <c r="UKP81" s="10"/>
      <c r="UKQ81" s="10"/>
      <c r="UKR81" s="10"/>
      <c r="UKS81" s="10"/>
      <c r="UKT81" s="10"/>
      <c r="UKU81" s="10"/>
      <c r="UKV81" s="10"/>
      <c r="UKW81" s="10"/>
      <c r="UKX81" s="10"/>
      <c r="UKY81" s="10"/>
      <c r="UKZ81" s="10"/>
      <c r="ULA81" s="10"/>
      <c r="ULB81" s="10"/>
      <c r="ULC81" s="10"/>
      <c r="ULD81" s="10"/>
      <c r="ULE81" s="10"/>
      <c r="ULF81" s="10"/>
      <c r="ULG81" s="10"/>
      <c r="ULH81" s="10"/>
      <c r="ULI81" s="10"/>
      <c r="ULJ81" s="10"/>
      <c r="ULK81" s="10"/>
      <c r="ULL81" s="10"/>
      <c r="ULM81" s="10"/>
      <c r="ULN81" s="10"/>
      <c r="ULO81" s="10"/>
      <c r="ULP81" s="10"/>
      <c r="ULQ81" s="10"/>
      <c r="ULR81" s="10"/>
      <c r="ULS81" s="10"/>
      <c r="ULT81" s="10"/>
      <c r="ULU81" s="10"/>
      <c r="ULV81" s="10"/>
      <c r="ULW81" s="10"/>
      <c r="ULX81" s="10"/>
      <c r="ULY81" s="10"/>
      <c r="ULZ81" s="10"/>
      <c r="UMA81" s="10"/>
      <c r="UMB81" s="10"/>
      <c r="UMC81" s="10"/>
      <c r="UMD81" s="10"/>
      <c r="UME81" s="10"/>
      <c r="UMF81" s="10"/>
      <c r="UMG81" s="10"/>
      <c r="UMH81" s="10"/>
      <c r="UMI81" s="10"/>
      <c r="UMJ81" s="10"/>
      <c r="UMK81" s="10"/>
      <c r="UML81" s="10"/>
      <c r="UMM81" s="10"/>
      <c r="UMN81" s="10"/>
      <c r="UMO81" s="10"/>
      <c r="UMP81" s="10"/>
      <c r="UMQ81" s="10"/>
      <c r="UMR81" s="10"/>
      <c r="UMS81" s="10"/>
      <c r="UMT81" s="10"/>
      <c r="UMU81" s="10"/>
      <c r="UMV81" s="10"/>
      <c r="UMW81" s="10"/>
      <c r="UMX81" s="10"/>
      <c r="UMY81" s="10"/>
      <c r="UMZ81" s="10"/>
      <c r="UNA81" s="10"/>
      <c r="UNB81" s="10"/>
      <c r="UNC81" s="10"/>
      <c r="UND81" s="10"/>
      <c r="UNE81" s="10"/>
      <c r="UNF81" s="10"/>
      <c r="UNG81" s="10"/>
      <c r="UNH81" s="10"/>
      <c r="UNI81" s="10"/>
      <c r="UNJ81" s="10"/>
      <c r="UNK81" s="10"/>
      <c r="UNL81" s="10"/>
      <c r="UNM81" s="10"/>
      <c r="UNN81" s="10"/>
      <c r="UNO81" s="10"/>
      <c r="UNP81" s="10"/>
      <c r="UNQ81" s="10"/>
      <c r="UNR81" s="10"/>
      <c r="UNS81" s="10"/>
      <c r="UNT81" s="10"/>
      <c r="UNU81" s="10"/>
      <c r="UNV81" s="10"/>
      <c r="UNW81" s="10"/>
      <c r="UNX81" s="10"/>
      <c r="UNY81" s="10"/>
      <c r="UNZ81" s="10"/>
      <c r="UOA81" s="10"/>
      <c r="UOB81" s="10"/>
      <c r="UOC81" s="10"/>
      <c r="UOD81" s="10"/>
      <c r="UOE81" s="10"/>
      <c r="UOF81" s="10"/>
      <c r="UOG81" s="10"/>
      <c r="UOH81" s="10"/>
      <c r="UOI81" s="10"/>
      <c r="UOJ81" s="10"/>
      <c r="UOK81" s="10"/>
      <c r="UOL81" s="10"/>
      <c r="UOM81" s="10"/>
      <c r="UON81" s="10"/>
      <c r="UOO81" s="10"/>
      <c r="UOP81" s="10"/>
      <c r="UOQ81" s="10"/>
      <c r="UOR81" s="10"/>
      <c r="UOS81" s="10"/>
      <c r="UOT81" s="10"/>
      <c r="UOU81" s="10"/>
      <c r="UOV81" s="10"/>
      <c r="UOW81" s="10"/>
      <c r="UOX81" s="10"/>
      <c r="UOY81" s="10"/>
      <c r="UOZ81" s="10"/>
      <c r="UPA81" s="10"/>
      <c r="UPB81" s="10"/>
      <c r="UPC81" s="10"/>
      <c r="UPD81" s="10"/>
      <c r="UPE81" s="10"/>
      <c r="UPF81" s="10"/>
      <c r="UPG81" s="10"/>
      <c r="UPH81" s="10"/>
      <c r="UPI81" s="10"/>
      <c r="UPJ81" s="10"/>
      <c r="UPK81" s="10"/>
      <c r="UPL81" s="10"/>
      <c r="UPM81" s="10"/>
      <c r="UPN81" s="10"/>
      <c r="UPO81" s="10"/>
      <c r="UPP81" s="10"/>
      <c r="UPQ81" s="10"/>
      <c r="UPR81" s="10"/>
      <c r="UPS81" s="10"/>
      <c r="UPT81" s="10"/>
      <c r="UPU81" s="10"/>
      <c r="UPV81" s="10"/>
      <c r="UPW81" s="10"/>
      <c r="UPX81" s="10"/>
      <c r="UPY81" s="10"/>
      <c r="UPZ81" s="10"/>
      <c r="UQA81" s="10"/>
      <c r="UQB81" s="10"/>
      <c r="UQC81" s="10"/>
      <c r="UQD81" s="10"/>
      <c r="UQE81" s="10"/>
      <c r="UQF81" s="10"/>
      <c r="UQG81" s="10"/>
      <c r="UQH81" s="10"/>
      <c r="UQI81" s="10"/>
      <c r="UQJ81" s="10"/>
      <c r="UQK81" s="10"/>
      <c r="UQL81" s="10"/>
      <c r="UQM81" s="10"/>
      <c r="UQN81" s="10"/>
      <c r="UQO81" s="10"/>
      <c r="UQP81" s="10"/>
      <c r="UQQ81" s="10"/>
      <c r="UQR81" s="10"/>
      <c r="UQS81" s="10"/>
      <c r="UQT81" s="10"/>
      <c r="UQU81" s="10"/>
      <c r="UQV81" s="10"/>
      <c r="UQW81" s="10"/>
      <c r="UQX81" s="10"/>
      <c r="UQY81" s="10"/>
      <c r="UQZ81" s="10"/>
      <c r="URA81" s="10"/>
      <c r="URB81" s="10"/>
      <c r="URC81" s="10"/>
      <c r="URD81" s="10"/>
      <c r="URE81" s="10"/>
      <c r="URF81" s="10"/>
      <c r="URG81" s="10"/>
      <c r="URH81" s="10"/>
      <c r="URI81" s="10"/>
      <c r="URJ81" s="10"/>
      <c r="URK81" s="10"/>
      <c r="URL81" s="10"/>
      <c r="URM81" s="10"/>
      <c r="URN81" s="10"/>
      <c r="URO81" s="10"/>
      <c r="URP81" s="10"/>
      <c r="URQ81" s="10"/>
      <c r="URR81" s="10"/>
      <c r="URS81" s="10"/>
      <c r="URT81" s="10"/>
      <c r="URU81" s="10"/>
      <c r="URV81" s="10"/>
      <c r="URW81" s="10"/>
      <c r="URX81" s="10"/>
      <c r="URY81" s="10"/>
      <c r="URZ81" s="10"/>
      <c r="USA81" s="10"/>
      <c r="USB81" s="10"/>
      <c r="USC81" s="10"/>
      <c r="USD81" s="10"/>
      <c r="USE81" s="10"/>
      <c r="USF81" s="10"/>
      <c r="USG81" s="10"/>
      <c r="USH81" s="10"/>
      <c r="USI81" s="10"/>
      <c r="USJ81" s="10"/>
      <c r="USK81" s="10"/>
      <c r="USL81" s="10"/>
      <c r="USM81" s="10"/>
      <c r="USN81" s="10"/>
      <c r="USO81" s="10"/>
      <c r="USP81" s="10"/>
      <c r="USQ81" s="10"/>
      <c r="USR81" s="10"/>
      <c r="USS81" s="10"/>
      <c r="UST81" s="10"/>
      <c r="USU81" s="10"/>
      <c r="USV81" s="10"/>
      <c r="USW81" s="10"/>
      <c r="USX81" s="10"/>
      <c r="USY81" s="10"/>
      <c r="USZ81" s="10"/>
      <c r="UTA81" s="10"/>
      <c r="UTB81" s="10"/>
      <c r="UTC81" s="10"/>
      <c r="UTD81" s="10"/>
      <c r="UTE81" s="10"/>
      <c r="UTF81" s="10"/>
      <c r="UTG81" s="10"/>
      <c r="UTH81" s="10"/>
      <c r="UTI81" s="10"/>
      <c r="UTJ81" s="10"/>
      <c r="UTK81" s="10"/>
      <c r="UTL81" s="10"/>
      <c r="UTM81" s="10"/>
      <c r="UTN81" s="10"/>
      <c r="UTO81" s="10"/>
      <c r="UTP81" s="10"/>
      <c r="UTQ81" s="10"/>
      <c r="UTR81" s="10"/>
      <c r="UTS81" s="10"/>
      <c r="UTT81" s="10"/>
      <c r="UTU81" s="10"/>
      <c r="UTV81" s="10"/>
      <c r="UTW81" s="10"/>
      <c r="UTX81" s="10"/>
      <c r="UTY81" s="10"/>
      <c r="UTZ81" s="10"/>
      <c r="UUA81" s="10"/>
      <c r="UUB81" s="10"/>
      <c r="UUC81" s="10"/>
      <c r="UUD81" s="10"/>
      <c r="UUE81" s="10"/>
      <c r="UUF81" s="10"/>
      <c r="UUG81" s="10"/>
      <c r="UUH81" s="10"/>
      <c r="UUI81" s="10"/>
      <c r="UUJ81" s="10"/>
      <c r="UUK81" s="10"/>
      <c r="UUL81" s="10"/>
      <c r="UUM81" s="10"/>
      <c r="UUN81" s="10"/>
      <c r="UUO81" s="10"/>
      <c r="UUP81" s="10"/>
      <c r="UUQ81" s="10"/>
      <c r="UUR81" s="10"/>
      <c r="UUS81" s="10"/>
      <c r="UUT81" s="10"/>
      <c r="UUU81" s="10"/>
      <c r="UUV81" s="10"/>
      <c r="UUW81" s="10"/>
      <c r="UUX81" s="10"/>
      <c r="UUY81" s="10"/>
      <c r="UUZ81" s="10"/>
      <c r="UVA81" s="10"/>
      <c r="UVB81" s="10"/>
      <c r="UVC81" s="10"/>
      <c r="UVD81" s="10"/>
      <c r="UVE81" s="10"/>
      <c r="UVF81" s="10"/>
      <c r="UVG81" s="10"/>
      <c r="UVH81" s="10"/>
      <c r="UVI81" s="10"/>
      <c r="UVJ81" s="10"/>
      <c r="UVK81" s="10"/>
      <c r="UVL81" s="10"/>
      <c r="UVM81" s="10"/>
      <c r="UVN81" s="10"/>
      <c r="UVO81" s="10"/>
      <c r="UVP81" s="10"/>
      <c r="UVQ81" s="10"/>
      <c r="UVR81" s="10"/>
      <c r="UVS81" s="10"/>
      <c r="UVT81" s="10"/>
      <c r="UVU81" s="10"/>
      <c r="UVV81" s="10"/>
      <c r="UVW81" s="10"/>
      <c r="UVX81" s="10"/>
      <c r="UVY81" s="10"/>
      <c r="UVZ81" s="10"/>
      <c r="UWA81" s="10"/>
      <c r="UWB81" s="10"/>
      <c r="UWC81" s="10"/>
      <c r="UWD81" s="10"/>
      <c r="UWE81" s="10"/>
      <c r="UWF81" s="10"/>
      <c r="UWG81" s="10"/>
      <c r="UWH81" s="10"/>
      <c r="UWI81" s="10"/>
      <c r="UWJ81" s="10"/>
      <c r="UWK81" s="10"/>
      <c r="UWL81" s="10"/>
      <c r="UWM81" s="10"/>
      <c r="UWN81" s="10"/>
      <c r="UWO81" s="10"/>
      <c r="UWP81" s="10"/>
      <c r="UWQ81" s="10"/>
      <c r="UWR81" s="10"/>
      <c r="UWS81" s="10"/>
      <c r="UWT81" s="10"/>
      <c r="UWU81" s="10"/>
      <c r="UWV81" s="10"/>
      <c r="UWW81" s="10"/>
      <c r="UWX81" s="10"/>
      <c r="UWY81" s="10"/>
      <c r="UWZ81" s="10"/>
      <c r="UXA81" s="10"/>
      <c r="UXB81" s="10"/>
      <c r="UXC81" s="10"/>
      <c r="UXD81" s="10"/>
      <c r="UXE81" s="10"/>
      <c r="UXF81" s="10"/>
      <c r="UXG81" s="10"/>
      <c r="UXH81" s="10"/>
      <c r="UXI81" s="10"/>
      <c r="UXJ81" s="10"/>
      <c r="UXK81" s="10"/>
      <c r="UXL81" s="10"/>
      <c r="UXM81" s="10"/>
      <c r="UXN81" s="10"/>
      <c r="UXO81" s="10"/>
      <c r="UXP81" s="10"/>
      <c r="UXQ81" s="10"/>
      <c r="UXR81" s="10"/>
      <c r="UXS81" s="10"/>
      <c r="UXT81" s="10"/>
      <c r="UXU81" s="10"/>
      <c r="UXV81" s="10"/>
      <c r="UXW81" s="10"/>
      <c r="UXX81" s="10"/>
      <c r="UXY81" s="10"/>
      <c r="UXZ81" s="10"/>
      <c r="UYA81" s="10"/>
      <c r="UYB81" s="10"/>
      <c r="UYC81" s="10"/>
      <c r="UYD81" s="10"/>
      <c r="UYE81" s="10"/>
      <c r="UYF81" s="10"/>
      <c r="UYG81" s="10"/>
      <c r="UYH81" s="10"/>
      <c r="UYI81" s="10"/>
      <c r="UYJ81" s="10"/>
      <c r="UYK81" s="10"/>
      <c r="UYL81" s="10"/>
      <c r="UYM81" s="10"/>
      <c r="UYN81" s="10"/>
      <c r="UYO81" s="10"/>
      <c r="UYP81" s="10"/>
      <c r="UYQ81" s="10"/>
      <c r="UYR81" s="10"/>
      <c r="UYS81" s="10"/>
      <c r="UYT81" s="10"/>
      <c r="UYU81" s="10"/>
      <c r="UYV81" s="10"/>
      <c r="UYW81" s="10"/>
      <c r="UYX81" s="10"/>
      <c r="UYY81" s="10"/>
      <c r="UYZ81" s="10"/>
      <c r="UZA81" s="10"/>
      <c r="UZB81" s="10"/>
      <c r="UZC81" s="10"/>
      <c r="UZD81" s="10"/>
      <c r="UZE81" s="10"/>
      <c r="UZF81" s="10"/>
      <c r="UZG81" s="10"/>
      <c r="UZH81" s="10"/>
      <c r="UZI81" s="10"/>
      <c r="UZJ81" s="10"/>
      <c r="UZK81" s="10"/>
      <c r="UZL81" s="10"/>
      <c r="UZM81" s="10"/>
      <c r="UZN81" s="10"/>
      <c r="UZO81" s="10"/>
      <c r="UZP81" s="10"/>
      <c r="UZQ81" s="10"/>
      <c r="UZR81" s="10"/>
      <c r="UZS81" s="10"/>
      <c r="UZT81" s="10"/>
      <c r="UZU81" s="10"/>
      <c r="UZV81" s="10"/>
      <c r="UZW81" s="10"/>
      <c r="UZX81" s="10"/>
      <c r="UZY81" s="10"/>
      <c r="UZZ81" s="10"/>
      <c r="VAA81" s="10"/>
      <c r="VAB81" s="10"/>
      <c r="VAC81" s="10"/>
      <c r="VAD81" s="10"/>
      <c r="VAE81" s="10"/>
      <c r="VAF81" s="10"/>
      <c r="VAG81" s="10"/>
      <c r="VAH81" s="10"/>
      <c r="VAI81" s="10"/>
      <c r="VAJ81" s="10"/>
      <c r="VAK81" s="10"/>
      <c r="VAL81" s="10"/>
      <c r="VAM81" s="10"/>
      <c r="VAN81" s="10"/>
      <c r="VAO81" s="10"/>
      <c r="VAP81" s="10"/>
      <c r="VAQ81" s="10"/>
      <c r="VAR81" s="10"/>
      <c r="VAS81" s="10"/>
      <c r="VAT81" s="10"/>
      <c r="VAU81" s="10"/>
      <c r="VAV81" s="10"/>
      <c r="VAW81" s="10"/>
      <c r="VAX81" s="10"/>
      <c r="VAY81" s="10"/>
      <c r="VAZ81" s="10"/>
      <c r="VBA81" s="10"/>
      <c r="VBB81" s="10"/>
      <c r="VBC81" s="10"/>
      <c r="VBD81" s="10"/>
      <c r="VBE81" s="10"/>
      <c r="VBF81" s="10"/>
      <c r="VBG81" s="10"/>
      <c r="VBH81" s="10"/>
      <c r="VBI81" s="10"/>
      <c r="VBJ81" s="10"/>
      <c r="VBK81" s="10"/>
      <c r="VBL81" s="10"/>
      <c r="VBM81" s="10"/>
      <c r="VBN81" s="10"/>
      <c r="VBO81" s="10"/>
      <c r="VBP81" s="10"/>
      <c r="VBQ81" s="10"/>
      <c r="VBR81" s="10"/>
      <c r="VBS81" s="10"/>
      <c r="VBT81" s="10"/>
      <c r="VBU81" s="10"/>
      <c r="VBV81" s="10"/>
      <c r="VBW81" s="10"/>
      <c r="VBX81" s="10"/>
      <c r="VBY81" s="10"/>
      <c r="VBZ81" s="10"/>
      <c r="VCA81" s="10"/>
      <c r="VCB81" s="10"/>
      <c r="VCC81" s="10"/>
      <c r="VCD81" s="10"/>
      <c r="VCE81" s="10"/>
      <c r="VCF81" s="10"/>
      <c r="VCG81" s="10"/>
      <c r="VCH81" s="10"/>
      <c r="VCI81" s="10"/>
      <c r="VCJ81" s="10"/>
      <c r="VCK81" s="10"/>
      <c r="VCL81" s="10"/>
      <c r="VCM81" s="10"/>
      <c r="VCN81" s="10"/>
      <c r="VCO81" s="10"/>
      <c r="VCP81" s="10"/>
      <c r="VCQ81" s="10"/>
      <c r="VCR81" s="10"/>
      <c r="VCS81" s="10"/>
      <c r="VCT81" s="10"/>
      <c r="VCU81" s="10"/>
      <c r="VCV81" s="10"/>
      <c r="VCW81" s="10"/>
      <c r="VCX81" s="10"/>
      <c r="VCY81" s="10"/>
      <c r="VCZ81" s="10"/>
      <c r="VDA81" s="10"/>
      <c r="VDB81" s="10"/>
      <c r="VDC81" s="10"/>
      <c r="VDD81" s="10"/>
      <c r="VDE81" s="10"/>
      <c r="VDF81" s="10"/>
      <c r="VDG81" s="10"/>
      <c r="VDH81" s="10"/>
      <c r="VDI81" s="10"/>
      <c r="VDJ81" s="10"/>
      <c r="VDK81" s="10"/>
      <c r="VDL81" s="10"/>
      <c r="VDM81" s="10"/>
      <c r="VDN81" s="10"/>
      <c r="VDO81" s="10"/>
      <c r="VDP81" s="10"/>
      <c r="VDQ81" s="10"/>
      <c r="VDR81" s="10"/>
      <c r="VDS81" s="10"/>
      <c r="VDT81" s="10"/>
      <c r="VDU81" s="10"/>
      <c r="VDV81" s="10"/>
      <c r="VDW81" s="10"/>
      <c r="VDX81" s="10"/>
      <c r="VDY81" s="10"/>
      <c r="VDZ81" s="10"/>
      <c r="VEA81" s="10"/>
      <c r="VEB81" s="10"/>
      <c r="VEC81" s="10"/>
      <c r="VED81" s="10"/>
      <c r="VEE81" s="10"/>
      <c r="VEF81" s="10"/>
      <c r="VEG81" s="10"/>
      <c r="VEH81" s="10"/>
      <c r="VEI81" s="10"/>
      <c r="VEJ81" s="10"/>
      <c r="VEK81" s="10"/>
      <c r="VEL81" s="10"/>
      <c r="VEM81" s="10"/>
      <c r="VEN81" s="10"/>
      <c r="VEO81" s="10"/>
      <c r="VEP81" s="10"/>
      <c r="VEQ81" s="10"/>
      <c r="VER81" s="10"/>
      <c r="VES81" s="10"/>
      <c r="VET81" s="10"/>
      <c r="VEU81" s="10"/>
      <c r="VEV81" s="10"/>
      <c r="VEW81" s="10"/>
      <c r="VEX81" s="10"/>
      <c r="VEY81" s="10"/>
      <c r="VEZ81" s="10"/>
      <c r="VFA81" s="10"/>
      <c r="VFB81" s="10"/>
      <c r="VFC81" s="10"/>
      <c r="VFD81" s="10"/>
      <c r="VFE81" s="10"/>
      <c r="VFF81" s="10"/>
      <c r="VFG81" s="10"/>
      <c r="VFH81" s="10"/>
      <c r="VFI81" s="10"/>
      <c r="VFJ81" s="10"/>
      <c r="VFK81" s="10"/>
      <c r="VFL81" s="10"/>
      <c r="VFM81" s="10"/>
      <c r="VFN81" s="10"/>
      <c r="VFO81" s="10"/>
      <c r="VFP81" s="10"/>
      <c r="VFQ81" s="10"/>
      <c r="VFR81" s="10"/>
      <c r="VFS81" s="10"/>
      <c r="VFT81" s="10"/>
      <c r="VFU81" s="10"/>
      <c r="VFV81" s="10"/>
      <c r="VFW81" s="10"/>
      <c r="VFX81" s="10"/>
      <c r="VFY81" s="10"/>
      <c r="VFZ81" s="10"/>
      <c r="VGA81" s="10"/>
      <c r="VGB81" s="10"/>
      <c r="VGC81" s="10"/>
      <c r="VGD81" s="10"/>
      <c r="VGE81" s="10"/>
      <c r="VGF81" s="10"/>
      <c r="VGG81" s="10"/>
      <c r="VGH81" s="10"/>
      <c r="VGI81" s="10"/>
      <c r="VGJ81" s="10"/>
      <c r="VGK81" s="10"/>
      <c r="VGL81" s="10"/>
      <c r="VGM81" s="10"/>
      <c r="VGN81" s="10"/>
      <c r="VGO81" s="10"/>
      <c r="VGP81" s="10"/>
      <c r="VGQ81" s="10"/>
      <c r="VGR81" s="10"/>
      <c r="VGS81" s="10"/>
      <c r="VGT81" s="10"/>
      <c r="VGU81" s="10"/>
      <c r="VGV81" s="10"/>
      <c r="VGW81" s="10"/>
      <c r="VGX81" s="10"/>
      <c r="VGY81" s="10"/>
      <c r="VGZ81" s="10"/>
      <c r="VHA81" s="10"/>
      <c r="VHB81" s="10"/>
      <c r="VHC81" s="10"/>
      <c r="VHD81" s="10"/>
      <c r="VHE81" s="10"/>
      <c r="VHF81" s="10"/>
      <c r="VHG81" s="10"/>
      <c r="VHH81" s="10"/>
      <c r="VHI81" s="10"/>
      <c r="VHJ81" s="10"/>
      <c r="VHK81" s="10"/>
      <c r="VHL81" s="10"/>
      <c r="VHM81" s="10"/>
      <c r="VHN81" s="10"/>
      <c r="VHO81" s="10"/>
      <c r="VHP81" s="10"/>
      <c r="VHQ81" s="10"/>
      <c r="VHR81" s="10"/>
      <c r="VHS81" s="10"/>
      <c r="VHT81" s="10"/>
      <c r="VHU81" s="10"/>
      <c r="VHV81" s="10"/>
      <c r="VHW81" s="10"/>
      <c r="VHX81" s="10"/>
      <c r="VHY81" s="10"/>
      <c r="VHZ81" s="10"/>
      <c r="VIA81" s="10"/>
      <c r="VIB81" s="10"/>
      <c r="VIC81" s="10"/>
      <c r="VID81" s="10"/>
      <c r="VIE81" s="10"/>
      <c r="VIF81" s="10"/>
      <c r="VIG81" s="10"/>
      <c r="VIH81" s="10"/>
      <c r="VII81" s="10"/>
      <c r="VIJ81" s="10"/>
      <c r="VIK81" s="10"/>
      <c r="VIL81" s="10"/>
      <c r="VIM81" s="10"/>
      <c r="VIN81" s="10"/>
      <c r="VIO81" s="10"/>
      <c r="VIP81" s="10"/>
      <c r="VIQ81" s="10"/>
      <c r="VIR81" s="10"/>
      <c r="VIS81" s="10"/>
      <c r="VIT81" s="10"/>
      <c r="VIU81" s="10"/>
      <c r="VIV81" s="10"/>
      <c r="VIW81" s="10"/>
      <c r="VIX81" s="10"/>
      <c r="VIY81" s="10"/>
      <c r="VIZ81" s="10"/>
      <c r="VJA81" s="10"/>
      <c r="VJB81" s="10"/>
      <c r="VJC81" s="10"/>
      <c r="VJD81" s="10"/>
      <c r="VJE81" s="10"/>
      <c r="VJF81" s="10"/>
      <c r="VJG81" s="10"/>
      <c r="VJH81" s="10"/>
      <c r="VJI81" s="10"/>
      <c r="VJJ81" s="10"/>
      <c r="VJK81" s="10"/>
      <c r="VJL81" s="10"/>
      <c r="VJM81" s="10"/>
      <c r="VJN81" s="10"/>
      <c r="VJO81" s="10"/>
      <c r="VJP81" s="10"/>
      <c r="VJQ81" s="10"/>
      <c r="VJR81" s="10"/>
      <c r="VJS81" s="10"/>
      <c r="VJT81" s="10"/>
      <c r="VJU81" s="10"/>
      <c r="VJV81" s="10"/>
      <c r="VJW81" s="10"/>
      <c r="VJX81" s="10"/>
      <c r="VJY81" s="10"/>
      <c r="VJZ81" s="10"/>
      <c r="VKA81" s="10"/>
      <c r="VKB81" s="10"/>
      <c r="VKC81" s="10"/>
      <c r="VKD81" s="10"/>
      <c r="VKE81" s="10"/>
      <c r="VKF81" s="10"/>
      <c r="VKG81" s="10"/>
      <c r="VKH81" s="10"/>
      <c r="VKI81" s="10"/>
      <c r="VKJ81" s="10"/>
      <c r="VKK81" s="10"/>
      <c r="VKL81" s="10"/>
      <c r="VKM81" s="10"/>
      <c r="VKN81" s="10"/>
      <c r="VKO81" s="10"/>
      <c r="VKP81" s="10"/>
      <c r="VKQ81" s="10"/>
      <c r="VKR81" s="10"/>
      <c r="VKS81" s="10"/>
      <c r="VKT81" s="10"/>
      <c r="VKU81" s="10"/>
      <c r="VKV81" s="10"/>
      <c r="VKW81" s="10"/>
      <c r="VKX81" s="10"/>
      <c r="VKY81" s="10"/>
      <c r="VKZ81" s="10"/>
      <c r="VLA81" s="10"/>
      <c r="VLB81" s="10"/>
      <c r="VLC81" s="10"/>
      <c r="VLD81" s="10"/>
      <c r="VLE81" s="10"/>
      <c r="VLF81" s="10"/>
      <c r="VLG81" s="10"/>
      <c r="VLH81" s="10"/>
      <c r="VLI81" s="10"/>
      <c r="VLJ81" s="10"/>
      <c r="VLK81" s="10"/>
      <c r="VLL81" s="10"/>
      <c r="VLM81" s="10"/>
      <c r="VLN81" s="10"/>
      <c r="VLO81" s="10"/>
      <c r="VLP81" s="10"/>
      <c r="VLQ81" s="10"/>
      <c r="VLR81" s="10"/>
      <c r="VLS81" s="10"/>
      <c r="VLT81" s="10"/>
      <c r="VLU81" s="10"/>
      <c r="VLV81" s="10"/>
      <c r="VLW81" s="10"/>
      <c r="VLX81" s="10"/>
      <c r="VLY81" s="10"/>
      <c r="VLZ81" s="10"/>
      <c r="VMA81" s="10"/>
      <c r="VMB81" s="10"/>
      <c r="VMC81" s="10"/>
      <c r="VMD81" s="10"/>
      <c r="VME81" s="10"/>
      <c r="VMF81" s="10"/>
      <c r="VMG81" s="10"/>
      <c r="VMH81" s="10"/>
      <c r="VMI81" s="10"/>
      <c r="VMJ81" s="10"/>
      <c r="VMK81" s="10"/>
      <c r="VML81" s="10"/>
      <c r="VMM81" s="10"/>
      <c r="VMN81" s="10"/>
      <c r="VMO81" s="10"/>
      <c r="VMP81" s="10"/>
      <c r="VMQ81" s="10"/>
      <c r="VMR81" s="10"/>
      <c r="VMS81" s="10"/>
      <c r="VMT81" s="10"/>
      <c r="VMU81" s="10"/>
      <c r="VMV81" s="10"/>
      <c r="VMW81" s="10"/>
      <c r="VMX81" s="10"/>
      <c r="VMY81" s="10"/>
      <c r="VMZ81" s="10"/>
      <c r="VNA81" s="10"/>
      <c r="VNB81" s="10"/>
      <c r="VNC81" s="10"/>
      <c r="VND81" s="10"/>
      <c r="VNE81" s="10"/>
      <c r="VNF81" s="10"/>
      <c r="VNG81" s="10"/>
      <c r="VNH81" s="10"/>
      <c r="VNI81" s="10"/>
      <c r="VNJ81" s="10"/>
      <c r="VNK81" s="10"/>
      <c r="VNL81" s="10"/>
      <c r="VNM81" s="10"/>
      <c r="VNN81" s="10"/>
      <c r="VNO81" s="10"/>
      <c r="VNP81" s="10"/>
      <c r="VNQ81" s="10"/>
      <c r="VNR81" s="10"/>
      <c r="VNS81" s="10"/>
      <c r="VNT81" s="10"/>
      <c r="VNU81" s="10"/>
      <c r="VNV81" s="10"/>
      <c r="VNW81" s="10"/>
      <c r="VNX81" s="10"/>
      <c r="VNY81" s="10"/>
      <c r="VNZ81" s="10"/>
      <c r="VOA81" s="10"/>
      <c r="VOB81" s="10"/>
      <c r="VOC81" s="10"/>
      <c r="VOD81" s="10"/>
      <c r="VOE81" s="10"/>
      <c r="VOF81" s="10"/>
      <c r="VOG81" s="10"/>
      <c r="VOH81" s="10"/>
      <c r="VOI81" s="10"/>
      <c r="VOJ81" s="10"/>
      <c r="VOK81" s="10"/>
      <c r="VOL81" s="10"/>
      <c r="VOM81" s="10"/>
      <c r="VON81" s="10"/>
      <c r="VOO81" s="10"/>
      <c r="VOP81" s="10"/>
      <c r="VOQ81" s="10"/>
      <c r="VOR81" s="10"/>
      <c r="VOS81" s="10"/>
      <c r="VOT81" s="10"/>
      <c r="VOU81" s="10"/>
      <c r="VOV81" s="10"/>
      <c r="VOW81" s="10"/>
      <c r="VOX81" s="10"/>
      <c r="VOY81" s="10"/>
      <c r="VOZ81" s="10"/>
      <c r="VPA81" s="10"/>
      <c r="VPB81" s="10"/>
      <c r="VPC81" s="10"/>
      <c r="VPD81" s="10"/>
      <c r="VPE81" s="10"/>
      <c r="VPF81" s="10"/>
      <c r="VPG81" s="10"/>
      <c r="VPH81" s="10"/>
      <c r="VPI81" s="10"/>
      <c r="VPJ81" s="10"/>
      <c r="VPK81" s="10"/>
      <c r="VPL81" s="10"/>
      <c r="VPM81" s="10"/>
      <c r="VPN81" s="10"/>
      <c r="VPO81" s="10"/>
      <c r="VPP81" s="10"/>
      <c r="VPQ81" s="10"/>
      <c r="VPR81" s="10"/>
      <c r="VPS81" s="10"/>
      <c r="VPT81" s="10"/>
      <c r="VPU81" s="10"/>
      <c r="VPV81" s="10"/>
      <c r="VPW81" s="10"/>
      <c r="VPX81" s="10"/>
      <c r="VPY81" s="10"/>
      <c r="VPZ81" s="10"/>
      <c r="VQA81" s="10"/>
      <c r="VQB81" s="10"/>
      <c r="VQC81" s="10"/>
      <c r="VQD81" s="10"/>
      <c r="VQE81" s="10"/>
      <c r="VQF81" s="10"/>
      <c r="VQG81" s="10"/>
      <c r="VQH81" s="10"/>
      <c r="VQI81" s="10"/>
      <c r="VQJ81" s="10"/>
      <c r="VQK81" s="10"/>
      <c r="VQL81" s="10"/>
      <c r="VQM81" s="10"/>
      <c r="VQN81" s="10"/>
      <c r="VQO81" s="10"/>
      <c r="VQP81" s="10"/>
      <c r="VQQ81" s="10"/>
      <c r="VQR81" s="10"/>
      <c r="VQS81" s="10"/>
      <c r="VQT81" s="10"/>
      <c r="VQU81" s="10"/>
      <c r="VQV81" s="10"/>
      <c r="VQW81" s="10"/>
      <c r="VQX81" s="10"/>
      <c r="VQY81" s="10"/>
      <c r="VQZ81" s="10"/>
      <c r="VRA81" s="10"/>
      <c r="VRB81" s="10"/>
      <c r="VRC81" s="10"/>
      <c r="VRD81" s="10"/>
      <c r="VRE81" s="10"/>
      <c r="VRF81" s="10"/>
      <c r="VRG81" s="10"/>
      <c r="VRH81" s="10"/>
      <c r="VRI81" s="10"/>
      <c r="VRJ81" s="10"/>
      <c r="VRK81" s="10"/>
      <c r="VRL81" s="10"/>
      <c r="VRM81" s="10"/>
      <c r="VRN81" s="10"/>
      <c r="VRO81" s="10"/>
      <c r="VRP81" s="10"/>
      <c r="VRQ81" s="10"/>
      <c r="VRR81" s="10"/>
      <c r="VRS81" s="10"/>
      <c r="VRT81" s="10"/>
      <c r="VRU81" s="10"/>
      <c r="VRV81" s="10"/>
      <c r="VRW81" s="10"/>
      <c r="VRX81" s="10"/>
      <c r="VRY81" s="10"/>
      <c r="VRZ81" s="10"/>
      <c r="VSA81" s="10"/>
      <c r="VSB81" s="10"/>
      <c r="VSC81" s="10"/>
      <c r="VSD81" s="10"/>
      <c r="VSE81" s="10"/>
      <c r="VSF81" s="10"/>
      <c r="VSG81" s="10"/>
      <c r="VSH81" s="10"/>
      <c r="VSI81" s="10"/>
      <c r="VSJ81" s="10"/>
      <c r="VSK81" s="10"/>
      <c r="VSL81" s="10"/>
      <c r="VSM81" s="10"/>
      <c r="VSN81" s="10"/>
      <c r="VSO81" s="10"/>
      <c r="VSP81" s="10"/>
      <c r="VSQ81" s="10"/>
      <c r="VSR81" s="10"/>
      <c r="VSS81" s="10"/>
      <c r="VST81" s="10"/>
      <c r="VSU81" s="10"/>
      <c r="VSV81" s="10"/>
      <c r="VSW81" s="10"/>
      <c r="VSX81" s="10"/>
      <c r="VSY81" s="10"/>
      <c r="VSZ81" s="10"/>
      <c r="VTA81" s="10"/>
      <c r="VTB81" s="10"/>
      <c r="VTC81" s="10"/>
      <c r="VTD81" s="10"/>
      <c r="VTE81" s="10"/>
      <c r="VTF81" s="10"/>
      <c r="VTG81" s="10"/>
      <c r="VTH81" s="10"/>
      <c r="VTI81" s="10"/>
      <c r="VTJ81" s="10"/>
      <c r="VTK81" s="10"/>
      <c r="VTL81" s="10"/>
      <c r="VTM81" s="10"/>
      <c r="VTN81" s="10"/>
      <c r="VTO81" s="10"/>
      <c r="VTP81" s="10"/>
      <c r="VTQ81" s="10"/>
      <c r="VTR81" s="10"/>
      <c r="VTS81" s="10"/>
      <c r="VTT81" s="10"/>
      <c r="VTU81" s="10"/>
      <c r="VTV81" s="10"/>
      <c r="VTW81" s="10"/>
      <c r="VTX81" s="10"/>
      <c r="VTY81" s="10"/>
      <c r="VTZ81" s="10"/>
      <c r="VUA81" s="10"/>
      <c r="VUB81" s="10"/>
      <c r="VUC81" s="10"/>
      <c r="VUD81" s="10"/>
      <c r="VUE81" s="10"/>
      <c r="VUF81" s="10"/>
      <c r="VUG81" s="10"/>
      <c r="VUH81" s="10"/>
      <c r="VUI81" s="10"/>
      <c r="VUJ81" s="10"/>
      <c r="VUK81" s="10"/>
      <c r="VUL81" s="10"/>
      <c r="VUM81" s="10"/>
      <c r="VUN81" s="10"/>
      <c r="VUO81" s="10"/>
      <c r="VUP81" s="10"/>
      <c r="VUQ81" s="10"/>
      <c r="VUR81" s="10"/>
      <c r="VUS81" s="10"/>
      <c r="VUT81" s="10"/>
      <c r="VUU81" s="10"/>
      <c r="VUV81" s="10"/>
      <c r="VUW81" s="10"/>
      <c r="VUX81" s="10"/>
      <c r="VUY81" s="10"/>
      <c r="VUZ81" s="10"/>
      <c r="VVA81" s="10"/>
      <c r="VVB81" s="10"/>
      <c r="VVC81" s="10"/>
      <c r="VVD81" s="10"/>
      <c r="VVE81" s="10"/>
      <c r="VVF81" s="10"/>
      <c r="VVG81" s="10"/>
      <c r="VVH81" s="10"/>
      <c r="VVI81" s="10"/>
      <c r="VVJ81" s="10"/>
      <c r="VVK81" s="10"/>
      <c r="VVL81" s="10"/>
      <c r="VVM81" s="10"/>
      <c r="VVN81" s="10"/>
      <c r="VVO81" s="10"/>
      <c r="VVP81" s="10"/>
      <c r="VVQ81" s="10"/>
      <c r="VVR81" s="10"/>
      <c r="VVS81" s="10"/>
      <c r="VVT81" s="10"/>
      <c r="VVU81" s="10"/>
      <c r="VVV81" s="10"/>
      <c r="VVW81" s="10"/>
      <c r="VVX81" s="10"/>
      <c r="VVY81" s="10"/>
      <c r="VVZ81" s="10"/>
      <c r="VWA81" s="10"/>
      <c r="VWB81" s="10"/>
      <c r="VWC81" s="10"/>
      <c r="VWD81" s="10"/>
      <c r="VWE81" s="10"/>
      <c r="VWF81" s="10"/>
      <c r="VWG81" s="10"/>
      <c r="VWH81" s="10"/>
      <c r="VWI81" s="10"/>
      <c r="VWJ81" s="10"/>
      <c r="VWK81" s="10"/>
      <c r="VWL81" s="10"/>
      <c r="VWM81" s="10"/>
      <c r="VWN81" s="10"/>
      <c r="VWO81" s="10"/>
      <c r="VWP81" s="10"/>
      <c r="VWQ81" s="10"/>
      <c r="VWR81" s="10"/>
      <c r="VWS81" s="10"/>
      <c r="VWT81" s="10"/>
      <c r="VWU81" s="10"/>
      <c r="VWV81" s="10"/>
      <c r="VWW81" s="10"/>
      <c r="VWX81" s="10"/>
      <c r="VWY81" s="10"/>
      <c r="VWZ81" s="10"/>
      <c r="VXA81" s="10"/>
      <c r="VXB81" s="10"/>
      <c r="VXC81" s="10"/>
      <c r="VXD81" s="10"/>
      <c r="VXE81" s="10"/>
      <c r="VXF81" s="10"/>
      <c r="VXG81" s="10"/>
      <c r="VXH81" s="10"/>
      <c r="VXI81" s="10"/>
      <c r="VXJ81" s="10"/>
      <c r="VXK81" s="10"/>
      <c r="VXL81" s="10"/>
      <c r="VXM81" s="10"/>
      <c r="VXN81" s="10"/>
      <c r="VXO81" s="10"/>
      <c r="VXP81" s="10"/>
      <c r="VXQ81" s="10"/>
      <c r="VXR81" s="10"/>
      <c r="VXS81" s="10"/>
      <c r="VXT81" s="10"/>
      <c r="VXU81" s="10"/>
      <c r="VXV81" s="10"/>
      <c r="VXW81" s="10"/>
      <c r="VXX81" s="10"/>
      <c r="VXY81" s="10"/>
      <c r="VXZ81" s="10"/>
      <c r="VYA81" s="10"/>
      <c r="VYB81" s="10"/>
      <c r="VYC81" s="10"/>
      <c r="VYD81" s="10"/>
      <c r="VYE81" s="10"/>
      <c r="VYF81" s="10"/>
      <c r="VYG81" s="10"/>
      <c r="VYH81" s="10"/>
      <c r="VYI81" s="10"/>
      <c r="VYJ81" s="10"/>
      <c r="VYK81" s="10"/>
      <c r="VYL81" s="10"/>
      <c r="VYM81" s="10"/>
      <c r="VYN81" s="10"/>
      <c r="VYO81" s="10"/>
      <c r="VYP81" s="10"/>
      <c r="VYQ81" s="10"/>
      <c r="VYR81" s="10"/>
      <c r="VYS81" s="10"/>
      <c r="VYT81" s="10"/>
      <c r="VYU81" s="10"/>
      <c r="VYV81" s="10"/>
      <c r="VYW81" s="10"/>
      <c r="VYX81" s="10"/>
      <c r="VYY81" s="10"/>
      <c r="VYZ81" s="10"/>
      <c r="VZA81" s="10"/>
      <c r="VZB81" s="10"/>
      <c r="VZC81" s="10"/>
      <c r="VZD81" s="10"/>
      <c r="VZE81" s="10"/>
      <c r="VZF81" s="10"/>
      <c r="VZG81" s="10"/>
      <c r="VZH81" s="10"/>
      <c r="VZI81" s="10"/>
      <c r="VZJ81" s="10"/>
      <c r="VZK81" s="10"/>
      <c r="VZL81" s="10"/>
      <c r="VZM81" s="10"/>
      <c r="VZN81" s="10"/>
      <c r="VZO81" s="10"/>
      <c r="VZP81" s="10"/>
      <c r="VZQ81" s="10"/>
      <c r="VZR81" s="10"/>
      <c r="VZS81" s="10"/>
      <c r="VZT81" s="10"/>
      <c r="VZU81" s="10"/>
      <c r="VZV81" s="10"/>
      <c r="VZW81" s="10"/>
      <c r="VZX81" s="10"/>
      <c r="VZY81" s="10"/>
      <c r="VZZ81" s="10"/>
      <c r="WAA81" s="10"/>
      <c r="WAB81" s="10"/>
      <c r="WAC81" s="10"/>
      <c r="WAD81" s="10"/>
      <c r="WAE81" s="10"/>
      <c r="WAF81" s="10"/>
      <c r="WAG81" s="10"/>
      <c r="WAH81" s="10"/>
      <c r="WAI81" s="10"/>
      <c r="WAJ81" s="10"/>
      <c r="WAK81" s="10"/>
      <c r="WAL81" s="10"/>
      <c r="WAM81" s="10"/>
      <c r="WAN81" s="10"/>
      <c r="WAO81" s="10"/>
      <c r="WAP81" s="10"/>
      <c r="WAQ81" s="10"/>
      <c r="WAR81" s="10"/>
      <c r="WAS81" s="10"/>
      <c r="WAT81" s="10"/>
      <c r="WAU81" s="10"/>
      <c r="WAV81" s="10"/>
      <c r="WAW81" s="10"/>
      <c r="WAX81" s="10"/>
      <c r="WAY81" s="10"/>
      <c r="WAZ81" s="10"/>
      <c r="WBA81" s="10"/>
      <c r="WBB81" s="10"/>
      <c r="WBC81" s="10"/>
      <c r="WBD81" s="10"/>
      <c r="WBE81" s="10"/>
      <c r="WBF81" s="10"/>
      <c r="WBG81" s="10"/>
      <c r="WBH81" s="10"/>
      <c r="WBI81" s="10"/>
      <c r="WBJ81" s="10"/>
      <c r="WBK81" s="10"/>
      <c r="WBL81" s="10"/>
      <c r="WBM81" s="10"/>
      <c r="WBN81" s="10"/>
      <c r="WBO81" s="10"/>
      <c r="WBP81" s="10"/>
      <c r="WBQ81" s="10"/>
      <c r="WBR81" s="10"/>
      <c r="WBS81" s="10"/>
      <c r="WBT81" s="10"/>
      <c r="WBU81" s="10"/>
      <c r="WBV81" s="10"/>
      <c r="WBW81" s="10"/>
      <c r="WBX81" s="10"/>
      <c r="WBY81" s="10"/>
      <c r="WBZ81" s="10"/>
      <c r="WCA81" s="10"/>
      <c r="WCB81" s="10"/>
      <c r="WCC81" s="10"/>
      <c r="WCD81" s="10"/>
      <c r="WCE81" s="10"/>
      <c r="WCF81" s="10"/>
      <c r="WCG81" s="10"/>
      <c r="WCH81" s="10"/>
      <c r="WCI81" s="10"/>
      <c r="WCJ81" s="10"/>
      <c r="WCK81" s="10"/>
      <c r="WCL81" s="10"/>
      <c r="WCM81" s="10"/>
      <c r="WCN81" s="10"/>
      <c r="WCO81" s="10"/>
      <c r="WCP81" s="10"/>
      <c r="WCQ81" s="10"/>
      <c r="WCR81" s="10"/>
      <c r="WCS81" s="10"/>
      <c r="WCT81" s="10"/>
      <c r="WCU81" s="10"/>
      <c r="WCV81" s="10"/>
      <c r="WCW81" s="10"/>
      <c r="WCX81" s="10"/>
      <c r="WCY81" s="10"/>
      <c r="WCZ81" s="10"/>
      <c r="WDA81" s="10"/>
      <c r="WDB81" s="10"/>
      <c r="WDC81" s="10"/>
      <c r="WDD81" s="10"/>
      <c r="WDE81" s="10"/>
      <c r="WDF81" s="10"/>
      <c r="WDG81" s="10"/>
      <c r="WDH81" s="10"/>
      <c r="WDI81" s="10"/>
      <c r="WDJ81" s="10"/>
      <c r="WDK81" s="10"/>
      <c r="WDL81" s="10"/>
      <c r="WDM81" s="10"/>
      <c r="WDN81" s="10"/>
      <c r="WDO81" s="10"/>
      <c r="WDP81" s="10"/>
      <c r="WDQ81" s="10"/>
      <c r="WDR81" s="10"/>
      <c r="WDS81" s="10"/>
      <c r="WDT81" s="10"/>
      <c r="WDU81" s="10"/>
      <c r="WDV81" s="10"/>
      <c r="WDW81" s="10"/>
      <c r="WDX81" s="10"/>
      <c r="WDY81" s="10"/>
      <c r="WDZ81" s="10"/>
      <c r="WEA81" s="10"/>
      <c r="WEB81" s="10"/>
      <c r="WEC81" s="10"/>
      <c r="WED81" s="10"/>
      <c r="WEE81" s="10"/>
      <c r="WEF81" s="10"/>
      <c r="WEG81" s="10"/>
      <c r="WEH81" s="10"/>
      <c r="WEI81" s="10"/>
      <c r="WEJ81" s="10"/>
      <c r="WEK81" s="10"/>
      <c r="WEL81" s="10"/>
      <c r="WEM81" s="10"/>
      <c r="WEN81" s="10"/>
      <c r="WEO81" s="10"/>
      <c r="WEP81" s="10"/>
      <c r="WEQ81" s="10"/>
      <c r="WER81" s="10"/>
      <c r="WES81" s="10"/>
      <c r="WET81" s="10"/>
      <c r="WEU81" s="10"/>
      <c r="WEV81" s="10"/>
      <c r="WEW81" s="10"/>
      <c r="WEX81" s="10"/>
      <c r="WEY81" s="10"/>
      <c r="WEZ81" s="10"/>
      <c r="WFA81" s="10"/>
      <c r="WFB81" s="10"/>
      <c r="WFC81" s="10"/>
      <c r="WFD81" s="10"/>
      <c r="WFE81" s="10"/>
      <c r="WFF81" s="10"/>
      <c r="WFG81" s="10"/>
      <c r="WFH81" s="10"/>
      <c r="WFI81" s="10"/>
      <c r="WFJ81" s="10"/>
      <c r="WFK81" s="10"/>
      <c r="WFL81" s="10"/>
      <c r="WFM81" s="10"/>
      <c r="WFN81" s="10"/>
      <c r="WFO81" s="10"/>
      <c r="WFP81" s="10"/>
      <c r="WFQ81" s="10"/>
      <c r="WFR81" s="10"/>
      <c r="WFS81" s="10"/>
      <c r="WFT81" s="10"/>
      <c r="WFU81" s="10"/>
      <c r="WFV81" s="10"/>
      <c r="WFW81" s="10"/>
      <c r="WFX81" s="10"/>
      <c r="WFY81" s="10"/>
      <c r="WFZ81" s="10"/>
      <c r="WGA81" s="10"/>
      <c r="WGB81" s="10"/>
      <c r="WGC81" s="10"/>
      <c r="WGD81" s="10"/>
      <c r="WGE81" s="10"/>
      <c r="WGF81" s="10"/>
      <c r="WGG81" s="10"/>
      <c r="WGH81" s="10"/>
      <c r="WGI81" s="10"/>
      <c r="WGJ81" s="10"/>
      <c r="WGK81" s="10"/>
      <c r="WGL81" s="10"/>
      <c r="WGM81" s="10"/>
      <c r="WGN81" s="10"/>
      <c r="WGO81" s="10"/>
      <c r="WGP81" s="10"/>
      <c r="WGQ81" s="10"/>
      <c r="WGR81" s="10"/>
      <c r="WGS81" s="10"/>
      <c r="WGT81" s="10"/>
      <c r="WGU81" s="10"/>
      <c r="WGV81" s="10"/>
      <c r="WGW81" s="10"/>
      <c r="WGX81" s="10"/>
      <c r="WGY81" s="10"/>
      <c r="WGZ81" s="10"/>
      <c r="WHA81" s="10"/>
      <c r="WHB81" s="10"/>
      <c r="WHC81" s="10"/>
      <c r="WHD81" s="10"/>
      <c r="WHE81" s="10"/>
      <c r="WHF81" s="10"/>
      <c r="WHG81" s="10"/>
      <c r="WHH81" s="10"/>
      <c r="WHI81" s="10"/>
      <c r="WHJ81" s="10"/>
      <c r="WHK81" s="10"/>
      <c r="WHL81" s="10"/>
      <c r="WHM81" s="10"/>
      <c r="WHN81" s="10"/>
      <c r="WHO81" s="10"/>
      <c r="WHP81" s="10"/>
      <c r="WHQ81" s="10"/>
      <c r="WHR81" s="10"/>
      <c r="WHS81" s="10"/>
      <c r="WHT81" s="10"/>
      <c r="WHU81" s="10"/>
      <c r="WHV81" s="10"/>
      <c r="WHW81" s="10"/>
      <c r="WHX81" s="10"/>
      <c r="WHY81" s="10"/>
      <c r="WHZ81" s="10"/>
      <c r="WIA81" s="10"/>
      <c r="WIB81" s="10"/>
      <c r="WIC81" s="10"/>
      <c r="WID81" s="10"/>
      <c r="WIE81" s="10"/>
      <c r="WIF81" s="10"/>
      <c r="WIG81" s="10"/>
      <c r="WIH81" s="10"/>
      <c r="WII81" s="10"/>
      <c r="WIJ81" s="10"/>
      <c r="WIK81" s="10"/>
      <c r="WIL81" s="10"/>
      <c r="WIM81" s="10"/>
      <c r="WIN81" s="10"/>
      <c r="WIO81" s="10"/>
      <c r="WIP81" s="10"/>
      <c r="WIQ81" s="10"/>
      <c r="WIR81" s="10"/>
      <c r="WIS81" s="10"/>
      <c r="WIT81" s="10"/>
      <c r="WIU81" s="10"/>
      <c r="WIV81" s="10"/>
      <c r="WIW81" s="10"/>
      <c r="WIX81" s="10"/>
      <c r="WIY81" s="10"/>
      <c r="WIZ81" s="10"/>
      <c r="WJA81" s="10"/>
      <c r="WJB81" s="10"/>
      <c r="WJC81" s="10"/>
      <c r="WJD81" s="10"/>
      <c r="WJE81" s="10"/>
      <c r="WJF81" s="10"/>
      <c r="WJG81" s="10"/>
      <c r="WJH81" s="10"/>
      <c r="WJI81" s="10"/>
      <c r="WJJ81" s="10"/>
      <c r="WJK81" s="10"/>
      <c r="WJL81" s="10"/>
      <c r="WJM81" s="10"/>
      <c r="WJN81" s="10"/>
      <c r="WJO81" s="10"/>
      <c r="WJP81" s="10"/>
      <c r="WJQ81" s="10"/>
      <c r="WJR81" s="10"/>
      <c r="WJS81" s="10"/>
      <c r="WJT81" s="10"/>
      <c r="WJU81" s="10"/>
      <c r="WJV81" s="10"/>
      <c r="WJW81" s="10"/>
      <c r="WJX81" s="10"/>
      <c r="WJY81" s="10"/>
      <c r="WJZ81" s="10"/>
      <c r="WKA81" s="10"/>
      <c r="WKB81" s="10"/>
      <c r="WKC81" s="10"/>
      <c r="WKD81" s="10"/>
      <c r="WKE81" s="10"/>
      <c r="WKF81" s="10"/>
      <c r="WKG81" s="10"/>
      <c r="WKH81" s="10"/>
      <c r="WKI81" s="10"/>
      <c r="WKJ81" s="10"/>
      <c r="WKK81" s="10"/>
      <c r="WKL81" s="10"/>
      <c r="WKM81" s="10"/>
      <c r="WKN81" s="10"/>
      <c r="WKO81" s="10"/>
      <c r="WKP81" s="10"/>
      <c r="WKQ81" s="10"/>
      <c r="WKR81" s="10"/>
      <c r="WKS81" s="10"/>
      <c r="WKT81" s="10"/>
      <c r="WKU81" s="10"/>
      <c r="WKV81" s="10"/>
      <c r="WKW81" s="10"/>
      <c r="WKX81" s="10"/>
      <c r="WKY81" s="10"/>
      <c r="WKZ81" s="10"/>
      <c r="WLA81" s="10"/>
      <c r="WLB81" s="10"/>
      <c r="WLC81" s="10"/>
      <c r="WLD81" s="10"/>
      <c r="WLE81" s="10"/>
      <c r="WLF81" s="10"/>
      <c r="WLG81" s="10"/>
      <c r="WLH81" s="10"/>
      <c r="WLI81" s="10"/>
      <c r="WLJ81" s="10"/>
      <c r="WLK81" s="10"/>
      <c r="WLL81" s="10"/>
      <c r="WLM81" s="10"/>
      <c r="WLN81" s="10"/>
      <c r="WLO81" s="10"/>
      <c r="WLP81" s="10"/>
      <c r="WLQ81" s="10"/>
      <c r="WLR81" s="10"/>
      <c r="WLS81" s="10"/>
      <c r="WLT81" s="10"/>
      <c r="WLU81" s="10"/>
      <c r="WLV81" s="10"/>
      <c r="WLW81" s="10"/>
      <c r="WLX81" s="10"/>
      <c r="WLY81" s="10"/>
      <c r="WLZ81" s="10"/>
      <c r="WMA81" s="10"/>
      <c r="WMB81" s="10"/>
      <c r="WMC81" s="10"/>
      <c r="WMD81" s="10"/>
      <c r="WME81" s="10"/>
      <c r="WMF81" s="10"/>
      <c r="WMG81" s="10"/>
      <c r="WMH81" s="10"/>
      <c r="WMI81" s="10"/>
      <c r="WMJ81" s="10"/>
      <c r="WMK81" s="10"/>
      <c r="WML81" s="10"/>
      <c r="WMM81" s="10"/>
      <c r="WMN81" s="10"/>
      <c r="WMO81" s="10"/>
      <c r="WMP81" s="10"/>
      <c r="WMQ81" s="10"/>
      <c r="WMR81" s="10"/>
      <c r="WMS81" s="10"/>
      <c r="WMT81" s="10"/>
      <c r="WMU81" s="10"/>
      <c r="WMV81" s="10"/>
      <c r="WMW81" s="10"/>
      <c r="WMX81" s="10"/>
      <c r="WMY81" s="10"/>
      <c r="WMZ81" s="10"/>
      <c r="WNA81" s="10"/>
      <c r="WNB81" s="10"/>
      <c r="WNC81" s="10"/>
      <c r="WND81" s="10"/>
      <c r="WNE81" s="10"/>
      <c r="WNF81" s="10"/>
      <c r="WNG81" s="10"/>
      <c r="WNH81" s="10"/>
      <c r="WNI81" s="10"/>
      <c r="WNJ81" s="10"/>
      <c r="WNK81" s="10"/>
      <c r="WNL81" s="10"/>
      <c r="WNM81" s="10"/>
      <c r="WNN81" s="10"/>
      <c r="WNO81" s="10"/>
      <c r="WNP81" s="10"/>
      <c r="WNQ81" s="10"/>
      <c r="WNR81" s="10"/>
      <c r="WNS81" s="10"/>
      <c r="WNT81" s="10"/>
      <c r="WNU81" s="10"/>
      <c r="WNV81" s="10"/>
      <c r="WNW81" s="10"/>
      <c r="WNX81" s="10"/>
      <c r="WNY81" s="10"/>
      <c r="WNZ81" s="10"/>
      <c r="WOA81" s="10"/>
      <c r="WOB81" s="10"/>
      <c r="WOC81" s="10"/>
      <c r="WOD81" s="10"/>
      <c r="WOE81" s="10"/>
      <c r="WOF81" s="10"/>
      <c r="WOG81" s="10"/>
      <c r="WOH81" s="10"/>
      <c r="WOI81" s="10"/>
      <c r="WOJ81" s="10"/>
      <c r="WOK81" s="10"/>
      <c r="WOL81" s="10"/>
      <c r="WOM81" s="10"/>
      <c r="WON81" s="10"/>
      <c r="WOO81" s="10"/>
      <c r="WOP81" s="10"/>
      <c r="WOQ81" s="10"/>
      <c r="WOR81" s="10"/>
      <c r="WOS81" s="10"/>
      <c r="WOT81" s="10"/>
      <c r="WOU81" s="10"/>
      <c r="WOV81" s="10"/>
      <c r="WOW81" s="10"/>
      <c r="WOX81" s="10"/>
      <c r="WOY81" s="10"/>
      <c r="WOZ81" s="10"/>
      <c r="WPA81" s="10"/>
      <c r="WPB81" s="10"/>
      <c r="WPC81" s="10"/>
      <c r="WPD81" s="10"/>
      <c r="WPE81" s="10"/>
      <c r="WPF81" s="10"/>
      <c r="WPG81" s="10"/>
      <c r="WPH81" s="10"/>
      <c r="WPI81" s="10"/>
      <c r="WPJ81" s="10"/>
      <c r="WPK81" s="10"/>
      <c r="WPL81" s="10"/>
      <c r="WPM81" s="10"/>
      <c r="WPN81" s="10"/>
      <c r="WPO81" s="10"/>
      <c r="WPP81" s="10"/>
      <c r="WPQ81" s="10"/>
      <c r="WPR81" s="10"/>
      <c r="WPS81" s="10"/>
      <c r="WPT81" s="10"/>
      <c r="WPU81" s="10"/>
      <c r="WPV81" s="10"/>
      <c r="WPW81" s="10"/>
      <c r="WPX81" s="10"/>
      <c r="WPY81" s="10"/>
      <c r="WPZ81" s="10"/>
      <c r="WQA81" s="10"/>
      <c r="WQB81" s="10"/>
      <c r="WQC81" s="10"/>
      <c r="WQD81" s="10"/>
      <c r="WQE81" s="10"/>
      <c r="WQF81" s="10"/>
      <c r="WQG81" s="10"/>
      <c r="WQH81" s="10"/>
      <c r="WQI81" s="10"/>
      <c r="WQJ81" s="10"/>
      <c r="WQK81" s="10"/>
      <c r="WQL81" s="10"/>
      <c r="WQM81" s="10"/>
      <c r="WQN81" s="10"/>
      <c r="WQO81" s="10"/>
      <c r="WQP81" s="10"/>
      <c r="WQQ81" s="10"/>
      <c r="WQR81" s="10"/>
      <c r="WQS81" s="10"/>
      <c r="WQT81" s="10"/>
      <c r="WQU81" s="10"/>
      <c r="WQV81" s="10"/>
      <c r="WQW81" s="10"/>
      <c r="WQX81" s="10"/>
      <c r="WQY81" s="10"/>
      <c r="WQZ81" s="10"/>
      <c r="WRA81" s="10"/>
      <c r="WRB81" s="10"/>
      <c r="WRC81" s="10"/>
      <c r="WRD81" s="10"/>
      <c r="WRE81" s="10"/>
      <c r="WRF81" s="10"/>
      <c r="WRG81" s="10"/>
      <c r="WRH81" s="10"/>
      <c r="WRI81" s="10"/>
      <c r="WRJ81" s="10"/>
      <c r="WRK81" s="10"/>
      <c r="WRL81" s="10"/>
      <c r="WRM81" s="10"/>
      <c r="WRN81" s="10"/>
      <c r="WRO81" s="10"/>
      <c r="WRP81" s="10"/>
      <c r="WRQ81" s="10"/>
      <c r="WRR81" s="10"/>
      <c r="WRS81" s="10"/>
      <c r="WRT81" s="10"/>
      <c r="WRU81" s="10"/>
      <c r="WRV81" s="10"/>
      <c r="WRW81" s="10"/>
      <c r="WRX81" s="10"/>
      <c r="WRY81" s="10"/>
      <c r="WRZ81" s="10"/>
      <c r="WSA81" s="10"/>
      <c r="WSB81" s="10"/>
      <c r="WSC81" s="10"/>
      <c r="WSD81" s="10"/>
      <c r="WSE81" s="10"/>
      <c r="WSF81" s="10"/>
      <c r="WSG81" s="10"/>
      <c r="WSH81" s="10"/>
      <c r="WSI81" s="10"/>
      <c r="WSJ81" s="10"/>
      <c r="WSK81" s="10"/>
      <c r="WSL81" s="10"/>
      <c r="WSM81" s="10"/>
      <c r="WSN81" s="10"/>
      <c r="WSO81" s="10"/>
      <c r="WSP81" s="10"/>
      <c r="WSQ81" s="10"/>
      <c r="WSR81" s="10"/>
      <c r="WSS81" s="10"/>
      <c r="WST81" s="10"/>
      <c r="WSU81" s="10"/>
      <c r="WSV81" s="10"/>
      <c r="WSW81" s="10"/>
      <c r="WSX81" s="10"/>
      <c r="WSY81" s="10"/>
      <c r="WSZ81" s="10"/>
      <c r="WTA81" s="10"/>
      <c r="WTB81" s="10"/>
      <c r="WTC81" s="10"/>
      <c r="WTD81" s="10"/>
      <c r="WTE81" s="10"/>
      <c r="WTF81" s="10"/>
      <c r="WTG81" s="10"/>
      <c r="WTH81" s="10"/>
      <c r="WTI81" s="10"/>
      <c r="WTJ81" s="10"/>
      <c r="WTK81" s="10"/>
      <c r="WTL81" s="10"/>
      <c r="WTM81" s="10"/>
      <c r="WTN81" s="10"/>
      <c r="WTO81" s="10"/>
      <c r="WTP81" s="10"/>
      <c r="WTQ81" s="10"/>
      <c r="WTR81" s="10"/>
      <c r="WTS81" s="10"/>
      <c r="WTT81" s="10"/>
      <c r="WTU81" s="10"/>
      <c r="WTV81" s="10"/>
      <c r="WTW81" s="10"/>
      <c r="WTX81" s="10"/>
      <c r="WTY81" s="10"/>
      <c r="WTZ81" s="10"/>
      <c r="WUA81" s="10"/>
      <c r="WUB81" s="10"/>
      <c r="WUC81" s="10"/>
      <c r="WUD81" s="10"/>
      <c r="WUE81" s="10"/>
      <c r="WUF81" s="10"/>
      <c r="WUG81" s="10"/>
      <c r="WUH81" s="10"/>
      <c r="WUI81" s="10"/>
      <c r="WUJ81" s="10"/>
      <c r="WUK81" s="10"/>
      <c r="WUL81" s="10"/>
      <c r="WUM81" s="10"/>
      <c r="WUN81" s="10"/>
      <c r="WUO81" s="10"/>
      <c r="WUP81" s="10"/>
      <c r="WUQ81" s="10"/>
      <c r="WUR81" s="10"/>
      <c r="WUS81" s="10"/>
      <c r="WUT81" s="10"/>
      <c r="WUU81" s="10"/>
      <c r="WUV81" s="10"/>
      <c r="WUW81" s="10"/>
      <c r="WUX81" s="10"/>
      <c r="WUY81" s="10"/>
      <c r="WUZ81" s="10"/>
      <c r="WVA81" s="10"/>
      <c r="WVB81" s="10"/>
      <c r="WVC81" s="10"/>
      <c r="WVD81" s="10"/>
      <c r="WVE81" s="10"/>
      <c r="WVF81" s="10"/>
      <c r="WVG81" s="10"/>
      <c r="WVH81" s="10"/>
      <c r="WVI81" s="10"/>
      <c r="WVJ81" s="10"/>
      <c r="WVK81" s="10"/>
      <c r="WVL81" s="10"/>
      <c r="WVM81" s="10"/>
      <c r="WVN81" s="10"/>
      <c r="WVO81" s="10"/>
      <c r="WVP81" s="10"/>
      <c r="WVQ81" s="10"/>
      <c r="WVR81" s="10"/>
      <c r="WVS81" s="10"/>
      <c r="WVT81" s="10"/>
      <c r="WVU81" s="10"/>
      <c r="WVV81" s="10"/>
      <c r="WVW81" s="10"/>
      <c r="WVX81" s="10"/>
      <c r="WVY81" s="10"/>
      <c r="WVZ81" s="10"/>
      <c r="WWA81" s="10"/>
      <c r="WWB81" s="10"/>
      <c r="WWC81" s="10"/>
      <c r="WWD81" s="10"/>
      <c r="WWE81" s="10"/>
      <c r="WWF81" s="10"/>
      <c r="WWG81" s="10"/>
      <c r="WWH81" s="10"/>
      <c r="WWI81" s="10"/>
      <c r="WWJ81" s="10"/>
      <c r="WWK81" s="10"/>
      <c r="WWL81" s="10"/>
      <c r="WWM81" s="10"/>
      <c r="WWN81" s="10"/>
      <c r="WWO81" s="10"/>
      <c r="WWP81" s="10"/>
      <c r="WWQ81" s="10"/>
      <c r="WWR81" s="10"/>
      <c r="WWS81" s="10"/>
      <c r="WWT81" s="10"/>
      <c r="WWU81" s="10"/>
      <c r="WWV81" s="10"/>
      <c r="WWW81" s="10"/>
      <c r="WWX81" s="10"/>
      <c r="WWY81" s="10"/>
      <c r="WWZ81" s="10"/>
      <c r="WXA81" s="10"/>
      <c r="WXB81" s="10"/>
      <c r="WXC81" s="10"/>
      <c r="WXD81" s="10"/>
      <c r="WXE81" s="10"/>
      <c r="WXF81" s="10"/>
      <c r="WXG81" s="10"/>
      <c r="WXH81" s="10"/>
      <c r="WXI81" s="10"/>
      <c r="WXJ81" s="10"/>
      <c r="WXK81" s="10"/>
      <c r="WXL81" s="10"/>
      <c r="WXM81" s="10"/>
      <c r="WXN81" s="10"/>
      <c r="WXO81" s="10"/>
      <c r="WXP81" s="10"/>
      <c r="WXQ81" s="10"/>
      <c r="WXR81" s="10"/>
      <c r="WXS81" s="10"/>
      <c r="WXT81" s="10"/>
      <c r="WXU81" s="10"/>
      <c r="WXV81" s="10"/>
      <c r="WXW81" s="10"/>
      <c r="WXX81" s="10"/>
      <c r="WXY81" s="10"/>
      <c r="WXZ81" s="10"/>
      <c r="WYA81" s="10"/>
      <c r="WYB81" s="10"/>
      <c r="WYC81" s="10"/>
      <c r="WYD81" s="10"/>
      <c r="WYE81" s="10"/>
      <c r="WYF81" s="10"/>
      <c r="WYG81" s="10"/>
      <c r="WYH81" s="10"/>
      <c r="WYI81" s="10"/>
      <c r="WYJ81" s="10"/>
      <c r="WYK81" s="10"/>
      <c r="WYL81" s="10"/>
      <c r="WYM81" s="10"/>
      <c r="WYN81" s="10"/>
      <c r="WYO81" s="10"/>
      <c r="WYP81" s="10"/>
      <c r="WYQ81" s="10"/>
      <c r="WYR81" s="10"/>
      <c r="WYS81" s="10"/>
      <c r="WYT81" s="10"/>
      <c r="WYU81" s="10"/>
      <c r="WYV81" s="10"/>
      <c r="WYW81" s="10"/>
      <c r="WYX81" s="10"/>
      <c r="WYY81" s="10"/>
      <c r="WYZ81" s="10"/>
      <c r="WZA81" s="10"/>
      <c r="WZB81" s="10"/>
      <c r="WZC81" s="10"/>
      <c r="WZD81" s="10"/>
      <c r="WZE81" s="10"/>
      <c r="WZF81" s="10"/>
      <c r="WZG81" s="10"/>
      <c r="WZH81" s="10"/>
      <c r="WZI81" s="10"/>
      <c r="WZJ81" s="10"/>
      <c r="WZK81" s="10"/>
      <c r="WZL81" s="10"/>
      <c r="WZM81" s="10"/>
      <c r="WZN81" s="10"/>
      <c r="WZO81" s="10"/>
      <c r="WZP81" s="10"/>
      <c r="WZQ81" s="10"/>
      <c r="WZR81" s="10"/>
      <c r="WZS81" s="10"/>
      <c r="WZT81" s="10"/>
      <c r="WZU81" s="10"/>
      <c r="WZV81" s="10"/>
      <c r="WZW81" s="10"/>
      <c r="WZX81" s="10"/>
      <c r="WZY81" s="10"/>
      <c r="WZZ81" s="10"/>
      <c r="XAA81" s="10"/>
      <c r="XAB81" s="10"/>
      <c r="XAC81" s="10"/>
      <c r="XAD81" s="10"/>
      <c r="XAE81" s="10"/>
      <c r="XAF81" s="10"/>
      <c r="XAG81" s="10"/>
      <c r="XAH81" s="10"/>
      <c r="XAI81" s="10"/>
      <c r="XAJ81" s="10"/>
      <c r="XAK81" s="10"/>
      <c r="XAL81" s="10"/>
      <c r="XAM81" s="10"/>
      <c r="XAN81" s="10"/>
      <c r="XAO81" s="10"/>
      <c r="XAP81" s="10"/>
      <c r="XAQ81" s="10"/>
      <c r="XAR81" s="10"/>
      <c r="XAS81" s="10"/>
      <c r="XAT81" s="10"/>
      <c r="XAU81" s="10"/>
      <c r="XAV81" s="10"/>
      <c r="XAW81" s="10"/>
      <c r="XAX81" s="10"/>
      <c r="XAY81" s="10"/>
      <c r="XAZ81" s="10"/>
      <c r="XBA81" s="10"/>
      <c r="XBB81" s="10"/>
      <c r="XBC81" s="10"/>
      <c r="XBD81" s="10"/>
      <c r="XBE81" s="10"/>
      <c r="XBF81" s="10"/>
      <c r="XBG81" s="10"/>
      <c r="XBH81" s="10"/>
      <c r="XBI81" s="10"/>
      <c r="XBJ81" s="10"/>
      <c r="XBK81" s="10"/>
      <c r="XBL81" s="10"/>
      <c r="XBM81" s="10"/>
      <c r="XBN81" s="10"/>
      <c r="XBO81" s="10"/>
      <c r="XBP81" s="10"/>
      <c r="XBQ81" s="10"/>
      <c r="XBR81" s="10"/>
      <c r="XBS81" s="10"/>
      <c r="XBT81" s="10"/>
      <c r="XBU81" s="10"/>
      <c r="XBV81" s="10"/>
      <c r="XBW81" s="10"/>
      <c r="XBX81" s="10"/>
      <c r="XBY81" s="10"/>
      <c r="XBZ81" s="10"/>
      <c r="XCA81" s="10"/>
      <c r="XCB81" s="10"/>
      <c r="XCC81" s="10"/>
      <c r="XCD81" s="10"/>
      <c r="XCE81" s="10"/>
      <c r="XCF81" s="10"/>
      <c r="XCG81" s="10"/>
      <c r="XCH81" s="10"/>
      <c r="XCI81" s="10"/>
      <c r="XCJ81" s="10"/>
      <c r="XCK81" s="10"/>
      <c r="XCL81" s="10"/>
      <c r="XCM81" s="10"/>
      <c r="XCN81" s="10"/>
      <c r="XCO81" s="10"/>
      <c r="XCP81" s="10"/>
      <c r="XCQ81" s="10"/>
      <c r="XCR81" s="10"/>
      <c r="XCS81" s="10"/>
      <c r="XCT81" s="10"/>
      <c r="XCU81" s="10"/>
      <c r="XCV81" s="10"/>
      <c r="XCW81" s="10"/>
      <c r="XCX81" s="10"/>
      <c r="XCY81" s="10"/>
      <c r="XCZ81" s="10"/>
      <c r="XDA81" s="10"/>
      <c r="XDB81" s="10"/>
      <c r="XDC81" s="10"/>
      <c r="XDD81" s="10"/>
      <c r="XDE81" s="10"/>
      <c r="XDF81" s="10"/>
      <c r="XDG81" s="10"/>
      <c r="XDH81" s="10"/>
      <c r="XDI81" s="10"/>
      <c r="XDJ81" s="10"/>
      <c r="XDK81" s="10"/>
      <c r="XDL81" s="10"/>
      <c r="XDM81" s="10"/>
      <c r="XDN81" s="10"/>
      <c r="XDO81" s="10"/>
      <c r="XDP81" s="10"/>
      <c r="XDQ81" s="10"/>
      <c r="XDR81" s="10"/>
      <c r="XDS81" s="10"/>
      <c r="XDT81" s="10"/>
      <c r="XDU81" s="10"/>
      <c r="XDV81" s="10"/>
      <c r="XDW81" s="10"/>
      <c r="XDX81" s="10"/>
      <c r="XDY81" s="10"/>
      <c r="XDZ81" s="10"/>
      <c r="XEA81" s="10"/>
      <c r="XEB81" s="10"/>
      <c r="XEC81" s="10"/>
      <c r="XED81" s="10"/>
      <c r="XEE81" s="10"/>
      <c r="XEF81" s="10"/>
      <c r="XEG81" s="10"/>
      <c r="XEH81" s="10"/>
      <c r="XEI81" s="10"/>
      <c r="XEJ81" s="10"/>
      <c r="XEK81" s="10"/>
      <c r="XEL81" s="10"/>
      <c r="XEM81" s="10"/>
      <c r="XEN81" s="10"/>
      <c r="XEO81" s="10"/>
      <c r="XEP81" s="10"/>
      <c r="XEQ81" s="10"/>
      <c r="XER81" s="10"/>
      <c r="XES81" s="10"/>
      <c r="XET81" s="10"/>
      <c r="XEU81" s="10"/>
      <c r="XEV81" s="10"/>
      <c r="XEW81" s="10"/>
    </row>
    <row r="82" spans="2:16377">
      <c r="B82" s="53">
        <v>45325.708333333336</v>
      </c>
      <c r="C82" s="54" t="s">
        <v>37</v>
      </c>
      <c r="D82" s="54" t="s">
        <v>38</v>
      </c>
      <c r="E82" s="55" t="s">
        <v>39</v>
      </c>
      <c r="F82" s="56">
        <v>45325.708333333336</v>
      </c>
      <c r="G82" s="56">
        <v>45326.291666666664</v>
      </c>
      <c r="H82" s="56">
        <v>45326.5</v>
      </c>
      <c r="I82" s="61" t="s">
        <v>40</v>
      </c>
      <c r="J82" s="57" t="s">
        <v>41</v>
      </c>
      <c r="K82" s="57" t="s">
        <v>42</v>
      </c>
      <c r="L82" s="57" t="s">
        <v>43</v>
      </c>
      <c r="M82" s="69">
        <v>149.36335500000001</v>
      </c>
      <c r="N82" s="70">
        <v>26721.104209500001</v>
      </c>
      <c r="O82" s="70">
        <v>-4268.3024116300003</v>
      </c>
      <c r="P82" s="70">
        <v>72727.742296573706</v>
      </c>
      <c r="Q82" s="70">
        <v>346.15384615384613</v>
      </c>
      <c r="R82" s="70">
        <v>104063.30276385756</v>
      </c>
    </row>
    <row r="83" spans="2:16377">
      <c r="B83" s="53">
        <v>45326.6875</v>
      </c>
      <c r="C83" s="54" t="s">
        <v>44</v>
      </c>
      <c r="D83" s="54" t="s">
        <v>45</v>
      </c>
      <c r="E83" s="55" t="s">
        <v>39</v>
      </c>
      <c r="F83" s="56">
        <v>45326.6875</v>
      </c>
      <c r="G83" s="56">
        <v>45327</v>
      </c>
      <c r="H83" s="56">
        <v>45333.604166666664</v>
      </c>
      <c r="I83" s="61" t="s">
        <v>40</v>
      </c>
      <c r="J83" s="57" t="s">
        <v>41</v>
      </c>
      <c r="K83" s="57" t="s">
        <v>46</v>
      </c>
      <c r="L83" s="57" t="s">
        <v>47</v>
      </c>
      <c r="M83" s="69">
        <v>5820.950425</v>
      </c>
      <c r="N83" s="70">
        <v>1043230.735168501</v>
      </c>
      <c r="O83" s="70">
        <v>91185.844533330106</v>
      </c>
      <c r="P83" s="70">
        <v>357793.24915181531</v>
      </c>
      <c r="Q83" s="70">
        <v>346.15384615384613</v>
      </c>
      <c r="R83" s="70">
        <v>1310184.2936331399</v>
      </c>
    </row>
    <row r="84" spans="2:16377">
      <c r="B84" s="53">
        <v>45326.6875</v>
      </c>
      <c r="C84" s="54" t="s">
        <v>48</v>
      </c>
      <c r="D84" s="54" t="s">
        <v>45</v>
      </c>
      <c r="E84" s="55" t="s">
        <v>39</v>
      </c>
      <c r="F84" s="56">
        <v>45326.6875</v>
      </c>
      <c r="G84" s="56">
        <v>45327.0625</v>
      </c>
      <c r="H84" s="56">
        <v>45333.604166666664</v>
      </c>
      <c r="I84" s="61" t="s">
        <v>40</v>
      </c>
      <c r="J84" s="57" t="s">
        <v>41</v>
      </c>
      <c r="K84" s="57" t="s">
        <v>46</v>
      </c>
      <c r="L84" s="57" t="s">
        <v>47</v>
      </c>
      <c r="M84" s="69">
        <v>5945.4005215000097</v>
      </c>
      <c r="N84" s="70">
        <v>1065534.6814632299</v>
      </c>
      <c r="O84" s="70">
        <v>88561.269712749898</v>
      </c>
      <c r="P84" s="70">
        <v>370455.30045278836</v>
      </c>
      <c r="Q84" s="70">
        <v>346.15384615384613</v>
      </c>
      <c r="R84" s="70">
        <v>1347774.8660494224</v>
      </c>
    </row>
    <row r="85" spans="2:16377">
      <c r="B85" s="53">
        <v>45326.6875</v>
      </c>
      <c r="C85" s="54" t="s">
        <v>37</v>
      </c>
      <c r="D85" s="54" t="s">
        <v>38</v>
      </c>
      <c r="E85" s="55" t="s">
        <v>39</v>
      </c>
      <c r="F85" s="56">
        <v>45334.708333333336</v>
      </c>
      <c r="G85" s="56">
        <v>45335.291666666664</v>
      </c>
      <c r="H85" s="56">
        <v>45335.729166666664</v>
      </c>
      <c r="I85" s="61" t="s">
        <v>40</v>
      </c>
      <c r="J85" s="57" t="s">
        <v>41</v>
      </c>
      <c r="K85" s="57" t="s">
        <v>42</v>
      </c>
      <c r="L85" s="57" t="s">
        <v>49</v>
      </c>
      <c r="M85" s="69">
        <v>292.46129509999997</v>
      </c>
      <c r="N85" s="70">
        <v>52309.627241586</v>
      </c>
      <c r="O85" s="70">
        <v>-28467.940412749998</v>
      </c>
      <c r="P85" s="70">
        <v>92494.041026246094</v>
      </c>
      <c r="Q85" s="70">
        <v>346.15384615384613</v>
      </c>
      <c r="R85" s="70">
        <v>173617.76252673595</v>
      </c>
    </row>
    <row r="86" spans="2:16377">
      <c r="B86" s="53">
        <v>45326.6875</v>
      </c>
      <c r="C86" s="54" t="s">
        <v>50</v>
      </c>
      <c r="D86" s="54" t="s">
        <v>45</v>
      </c>
      <c r="E86" s="55" t="s">
        <v>39</v>
      </c>
      <c r="F86" s="56">
        <v>45334.708333333336</v>
      </c>
      <c r="G86" s="56">
        <v>45335.3125</v>
      </c>
      <c r="H86" s="56">
        <v>45336.666666666664</v>
      </c>
      <c r="I86" s="61" t="s">
        <v>40</v>
      </c>
      <c r="J86" s="57" t="s">
        <v>41</v>
      </c>
      <c r="K86" s="57" t="s">
        <v>42</v>
      </c>
      <c r="L86" s="57" t="s">
        <v>49</v>
      </c>
      <c r="M86" s="69">
        <v>1209.1525303999999</v>
      </c>
      <c r="N86" s="70">
        <v>216269.021587344</v>
      </c>
      <c r="O86" s="70">
        <v>-31531.497825390001</v>
      </c>
      <c r="P86" s="70">
        <v>118598.95561499923</v>
      </c>
      <c r="Q86" s="70">
        <v>346.15384615384613</v>
      </c>
      <c r="R86" s="70">
        <v>366745.62887388706</v>
      </c>
    </row>
    <row r="87" spans="2:16377">
      <c r="B87" s="53">
        <v>45326.6875</v>
      </c>
      <c r="C87" s="54" t="s">
        <v>48</v>
      </c>
      <c r="D87" s="54" t="s">
        <v>45</v>
      </c>
      <c r="E87" s="55" t="s">
        <v>39</v>
      </c>
      <c r="F87" s="56">
        <v>45335.614583333336</v>
      </c>
      <c r="G87" s="56">
        <v>45335.708333333336</v>
      </c>
      <c r="H87" s="56">
        <v>45336.75</v>
      </c>
      <c r="I87" s="61" t="s">
        <v>40</v>
      </c>
      <c r="J87" s="57" t="s">
        <v>41</v>
      </c>
      <c r="K87" s="57" t="s">
        <v>42</v>
      </c>
      <c r="L87" s="57" t="s">
        <v>49</v>
      </c>
      <c r="M87" s="69">
        <v>931.39227149999999</v>
      </c>
      <c r="N87" s="70">
        <v>167091.77350710001</v>
      </c>
      <c r="O87" s="70">
        <v>-1739.72329889</v>
      </c>
      <c r="P87" s="70">
        <v>73326.163813729945</v>
      </c>
      <c r="Q87" s="70">
        <v>346.15384615384613</v>
      </c>
      <c r="R87" s="70">
        <v>242503.81446587379</v>
      </c>
    </row>
    <row r="88" spans="2:16377">
      <c r="B88" s="53">
        <v>45326.6875</v>
      </c>
      <c r="C88" s="54" t="s">
        <v>51</v>
      </c>
      <c r="D88" s="54" t="s">
        <v>52</v>
      </c>
      <c r="E88" s="55" t="s">
        <v>53</v>
      </c>
      <c r="F88" s="56">
        <v>45335.729166666664</v>
      </c>
      <c r="G88" s="56">
        <v>45335.770833333336</v>
      </c>
      <c r="H88" s="56">
        <v>45336.256944444445</v>
      </c>
      <c r="I88" s="61" t="s">
        <v>40</v>
      </c>
      <c r="J88" s="57" t="s">
        <v>41</v>
      </c>
      <c r="K88" s="57" t="s">
        <v>46</v>
      </c>
      <c r="L88" s="57" t="s">
        <v>54</v>
      </c>
      <c r="M88" s="69">
        <v>2707.775623</v>
      </c>
      <c r="N88" s="70">
        <v>381796.36284299998</v>
      </c>
      <c r="O88" s="70">
        <v>242140.98731142</v>
      </c>
      <c r="P88" s="70">
        <v>0</v>
      </c>
      <c r="Q88" s="70">
        <v>0</v>
      </c>
      <c r="R88" s="70">
        <v>139655.37553157998</v>
      </c>
    </row>
    <row r="89" spans="2:16377">
      <c r="B89" s="53">
        <v>45326.6875</v>
      </c>
      <c r="C89" s="54" t="s">
        <v>55</v>
      </c>
      <c r="D89" s="54" t="s">
        <v>52</v>
      </c>
      <c r="E89" s="55" t="s">
        <v>53</v>
      </c>
      <c r="F89" s="56">
        <v>45335.75</v>
      </c>
      <c r="G89" s="56">
        <v>45335.833333333336</v>
      </c>
      <c r="H89" s="56">
        <v>45336.256944444445</v>
      </c>
      <c r="I89" s="61" t="s">
        <v>40</v>
      </c>
      <c r="J89" s="57" t="s">
        <v>41</v>
      </c>
      <c r="K89" s="57" t="s">
        <v>46</v>
      </c>
      <c r="L89" s="57" t="s">
        <v>54</v>
      </c>
      <c r="M89" s="69">
        <v>2428.7494722000001</v>
      </c>
      <c r="N89" s="70">
        <v>342453.67558019998</v>
      </c>
      <c r="O89" s="70">
        <v>179412.16648444001</v>
      </c>
      <c r="P89" s="70">
        <v>0</v>
      </c>
      <c r="Q89" s="70">
        <v>0</v>
      </c>
      <c r="R89" s="70">
        <v>163041.50909575998</v>
      </c>
    </row>
    <row r="90" spans="2:16377">
      <c r="B90" s="53">
        <v>45326.6875</v>
      </c>
      <c r="C90" s="54" t="s">
        <v>55</v>
      </c>
      <c r="D90" s="54" t="s">
        <v>52</v>
      </c>
      <c r="E90" s="55" t="s">
        <v>53</v>
      </c>
      <c r="F90" s="56">
        <v>45336.302083333336</v>
      </c>
      <c r="G90" s="56">
        <v>45336.319444444445</v>
      </c>
      <c r="H90" s="56">
        <v>45337.795138888891</v>
      </c>
      <c r="I90" s="61" t="s">
        <v>40</v>
      </c>
      <c r="J90" s="57" t="s">
        <v>41</v>
      </c>
      <c r="K90" s="57" t="s">
        <v>46</v>
      </c>
      <c r="L90" s="57" t="s">
        <v>56</v>
      </c>
      <c r="M90" s="69">
        <v>8114.1686110999999</v>
      </c>
      <c r="N90" s="70">
        <v>1144828.0493401</v>
      </c>
      <c r="O90" s="70">
        <v>-1514.82206345994</v>
      </c>
      <c r="P90" s="70">
        <v>0</v>
      </c>
      <c r="Q90" s="70">
        <v>0</v>
      </c>
      <c r="R90" s="70">
        <v>1146342.87140356</v>
      </c>
    </row>
    <row r="91" spans="2:16377">
      <c r="B91" s="53">
        <v>45326.6875</v>
      </c>
      <c r="C91" s="54" t="s">
        <v>51</v>
      </c>
      <c r="D91" s="54" t="s">
        <v>52</v>
      </c>
      <c r="E91" s="55" t="s">
        <v>53</v>
      </c>
      <c r="F91" s="56">
        <v>45336.302083333336</v>
      </c>
      <c r="G91" s="56">
        <v>45336.319444444445</v>
      </c>
      <c r="H91" s="56">
        <v>45337.795138888891</v>
      </c>
      <c r="I91" s="61" t="s">
        <v>40</v>
      </c>
      <c r="J91" s="57" t="s">
        <v>41</v>
      </c>
      <c r="K91" s="57" t="s">
        <v>46</v>
      </c>
      <c r="L91" s="57" t="s">
        <v>56</v>
      </c>
      <c r="M91" s="69">
        <v>8702.7340990000102</v>
      </c>
      <c r="N91" s="70">
        <v>1227868.7540279101</v>
      </c>
      <c r="O91" s="70">
        <v>9131.5517424099799</v>
      </c>
      <c r="P91" s="70">
        <v>0</v>
      </c>
      <c r="Q91" s="70">
        <v>0</v>
      </c>
      <c r="R91" s="70">
        <v>1218737.2022855</v>
      </c>
    </row>
    <row r="92" spans="2:16377">
      <c r="B92" s="53">
        <v>45326.6875</v>
      </c>
      <c r="C92" s="54" t="s">
        <v>48</v>
      </c>
      <c r="D92" s="54" t="s">
        <v>45</v>
      </c>
      <c r="E92" s="55" t="s">
        <v>39</v>
      </c>
      <c r="F92" s="56">
        <v>45336.5</v>
      </c>
      <c r="G92" s="56">
        <v>45337.333333333336</v>
      </c>
      <c r="H92" s="56">
        <v>45336.614583333336</v>
      </c>
      <c r="I92" s="61" t="s">
        <v>40</v>
      </c>
      <c r="J92" s="57" t="s">
        <v>41</v>
      </c>
      <c r="K92" s="57" t="s">
        <v>42</v>
      </c>
      <c r="L92" s="57" t="s">
        <v>49</v>
      </c>
      <c r="M92" s="69">
        <v>0</v>
      </c>
      <c r="N92" s="70">
        <v>0</v>
      </c>
      <c r="O92" s="70">
        <v>0</v>
      </c>
      <c r="P92" s="70">
        <v>0</v>
      </c>
      <c r="Q92" s="70">
        <v>0</v>
      </c>
      <c r="R92" s="70">
        <v>0</v>
      </c>
    </row>
    <row r="93" spans="2:16377">
      <c r="B93" s="53">
        <v>45326.6875</v>
      </c>
      <c r="C93" s="54" t="s">
        <v>37</v>
      </c>
      <c r="D93" s="54" t="s">
        <v>38</v>
      </c>
      <c r="E93" s="55" t="s">
        <v>39</v>
      </c>
      <c r="F93" s="56">
        <v>45336.645833333336</v>
      </c>
      <c r="G93" s="56">
        <v>45337.34375</v>
      </c>
      <c r="H93" s="56">
        <v>45337.875</v>
      </c>
      <c r="I93" s="61" t="s">
        <v>40</v>
      </c>
      <c r="J93" s="57" t="s">
        <v>41</v>
      </c>
      <c r="K93" s="57" t="s">
        <v>42</v>
      </c>
      <c r="L93" s="57" t="s">
        <v>57</v>
      </c>
      <c r="M93" s="69">
        <v>389.46554900000001</v>
      </c>
      <c r="N93" s="70">
        <v>69940.223289419999</v>
      </c>
      <c r="O93" s="70">
        <v>-4704.2601552699998</v>
      </c>
      <c r="P93" s="70">
        <v>121150.611688698</v>
      </c>
      <c r="Q93" s="70">
        <v>346.15384615384613</v>
      </c>
      <c r="R93" s="70">
        <v>196141.24897954185</v>
      </c>
    </row>
    <row r="94" spans="2:16377">
      <c r="B94" s="53">
        <v>45326.6875</v>
      </c>
      <c r="C94" s="54" t="s">
        <v>48</v>
      </c>
      <c r="D94" s="54" t="s">
        <v>45</v>
      </c>
      <c r="E94" s="55" t="s">
        <v>39</v>
      </c>
      <c r="F94" s="56">
        <v>45336.645833333336</v>
      </c>
      <c r="G94" s="56">
        <v>45337.375</v>
      </c>
      <c r="H94" s="56">
        <v>45336.666666666664</v>
      </c>
      <c r="I94" s="61" t="s">
        <v>40</v>
      </c>
      <c r="J94" s="57" t="s">
        <v>41</v>
      </c>
      <c r="K94" s="57" t="s">
        <v>42</v>
      </c>
      <c r="L94" s="57" t="s">
        <v>57</v>
      </c>
      <c r="M94" s="69">
        <v>0</v>
      </c>
      <c r="N94" s="70">
        <v>0</v>
      </c>
      <c r="O94" s="70">
        <v>0</v>
      </c>
      <c r="P94" s="70">
        <v>0</v>
      </c>
      <c r="Q94" s="70">
        <v>0</v>
      </c>
      <c r="R94" s="70">
        <v>0</v>
      </c>
    </row>
    <row r="95" spans="2:16377">
      <c r="B95" s="53">
        <v>45326.6875</v>
      </c>
      <c r="C95" s="54" t="s">
        <v>50</v>
      </c>
      <c r="D95" s="54" t="s">
        <v>45</v>
      </c>
      <c r="E95" s="55" t="s">
        <v>39</v>
      </c>
      <c r="F95" s="56">
        <v>45336.666666666664</v>
      </c>
      <c r="G95" s="56">
        <v>45337.333333333336</v>
      </c>
      <c r="H95" s="56">
        <v>45337.958333333336</v>
      </c>
      <c r="I95" s="61" t="s">
        <v>40</v>
      </c>
      <c r="J95" s="57" t="s">
        <v>41</v>
      </c>
      <c r="K95" s="57" t="s">
        <v>42</v>
      </c>
      <c r="L95" s="57" t="s">
        <v>57</v>
      </c>
      <c r="M95" s="69">
        <v>579.78007070000001</v>
      </c>
      <c r="N95" s="70">
        <v>104116.905096306</v>
      </c>
      <c r="O95" s="70">
        <v>-2262.8620300299999</v>
      </c>
      <c r="P95" s="70">
        <v>54632.978538390322</v>
      </c>
      <c r="Q95" s="70">
        <v>346.15384615384613</v>
      </c>
      <c r="R95" s="70">
        <v>161358.89951088018</v>
      </c>
    </row>
    <row r="96" spans="2:16377">
      <c r="B96" s="53">
        <v>45326.6875</v>
      </c>
      <c r="C96" s="54" t="s">
        <v>50</v>
      </c>
      <c r="D96" s="54" t="s">
        <v>45</v>
      </c>
      <c r="E96" s="55" t="s">
        <v>39</v>
      </c>
      <c r="F96" s="56">
        <v>45337.916666666664</v>
      </c>
      <c r="G96" s="56">
        <v>45338.375</v>
      </c>
      <c r="H96" s="56">
        <v>45338.979166666664</v>
      </c>
      <c r="I96" s="61" t="s">
        <v>40</v>
      </c>
      <c r="J96" s="57" t="s">
        <v>41</v>
      </c>
      <c r="K96" s="57" t="s">
        <v>46</v>
      </c>
      <c r="L96" s="57" t="s">
        <v>58</v>
      </c>
      <c r="M96" s="69">
        <v>541.01238799999999</v>
      </c>
      <c r="N96" s="70">
        <v>97198.285628080004</v>
      </c>
      <c r="O96" s="70">
        <v>18750.99677917</v>
      </c>
      <c r="P96" s="70">
        <v>35396.072875937622</v>
      </c>
      <c r="Q96" s="70">
        <v>346.15384615384613</v>
      </c>
      <c r="R96" s="70">
        <v>114189.51557100147</v>
      </c>
    </row>
    <row r="97" spans="2:18">
      <c r="B97" s="53">
        <v>45326.6875</v>
      </c>
      <c r="C97" s="54" t="s">
        <v>37</v>
      </c>
      <c r="D97" s="54" t="s">
        <v>38</v>
      </c>
      <c r="E97" s="55" t="s">
        <v>39</v>
      </c>
      <c r="F97" s="56">
        <v>45337.958333333336</v>
      </c>
      <c r="G97" s="56">
        <v>45338.354166666664</v>
      </c>
      <c r="H97" s="56">
        <v>45338.6875</v>
      </c>
      <c r="I97" s="61" t="s">
        <v>40</v>
      </c>
      <c r="J97" s="57" t="s">
        <v>41</v>
      </c>
      <c r="K97" s="57" t="s">
        <v>42</v>
      </c>
      <c r="L97" s="57" t="s">
        <v>58</v>
      </c>
      <c r="M97" s="69">
        <v>238.88188299999999</v>
      </c>
      <c r="N97" s="70">
        <v>42917.519099780002</v>
      </c>
      <c r="O97" s="70">
        <v>-757.93041433999997</v>
      </c>
      <c r="P97" s="70">
        <v>90975.907605515604</v>
      </c>
      <c r="Q97" s="70">
        <v>346.15384615384613</v>
      </c>
      <c r="R97" s="70">
        <v>134997.51096578944</v>
      </c>
    </row>
    <row r="98" spans="2:18">
      <c r="B98" s="53">
        <v>45326.6875</v>
      </c>
      <c r="C98" s="54" t="s">
        <v>50</v>
      </c>
      <c r="D98" s="54" t="s">
        <v>45</v>
      </c>
      <c r="E98" s="55" t="s">
        <v>39</v>
      </c>
      <c r="F98" s="56">
        <v>45338.6875</v>
      </c>
      <c r="G98" s="56">
        <v>45339.354166666664</v>
      </c>
      <c r="H98" s="56">
        <v>45339.666666666664</v>
      </c>
      <c r="I98" s="61" t="s">
        <v>40</v>
      </c>
      <c r="J98" s="57" t="s">
        <v>41</v>
      </c>
      <c r="K98" s="57" t="s">
        <v>46</v>
      </c>
      <c r="L98" s="57" t="s">
        <v>59</v>
      </c>
      <c r="M98" s="69">
        <v>279.92847849999998</v>
      </c>
      <c r="N98" s="70">
        <v>50126.792644995003</v>
      </c>
      <c r="O98" s="70">
        <v>-3832.9203134300001</v>
      </c>
      <c r="P98" s="70">
        <v>18386.430241257949</v>
      </c>
      <c r="Q98" s="70">
        <v>0</v>
      </c>
      <c r="R98" s="70">
        <v>72346.143199682949</v>
      </c>
    </row>
    <row r="99" spans="2:18">
      <c r="B99" s="53">
        <v>45326.6875</v>
      </c>
      <c r="C99" s="54" t="s">
        <v>48</v>
      </c>
      <c r="D99" s="54" t="s">
        <v>45</v>
      </c>
      <c r="E99" s="55" t="s">
        <v>39</v>
      </c>
      <c r="F99" s="56">
        <v>45338.6875</v>
      </c>
      <c r="G99" s="56">
        <v>45339.375</v>
      </c>
      <c r="H99" s="56">
        <v>45339.604166666664</v>
      </c>
      <c r="I99" s="61" t="s">
        <v>40</v>
      </c>
      <c r="J99" s="57" t="s">
        <v>41</v>
      </c>
      <c r="K99" s="57" t="s">
        <v>42</v>
      </c>
      <c r="L99" s="57" t="s">
        <v>59</v>
      </c>
      <c r="M99" s="69">
        <v>193.8128122</v>
      </c>
      <c r="N99" s="70">
        <v>34706.060280653997</v>
      </c>
      <c r="O99" s="70">
        <v>-3104.2288442200002</v>
      </c>
      <c r="P99" s="70">
        <v>38845.006124418491</v>
      </c>
      <c r="Q99" s="70">
        <v>346.15384615384613</v>
      </c>
      <c r="R99" s="70">
        <v>77001.449095446325</v>
      </c>
    </row>
    <row r="100" spans="2:18">
      <c r="B100" s="53">
        <v>45339.625</v>
      </c>
      <c r="C100" s="54" t="s">
        <v>50</v>
      </c>
      <c r="D100" s="54" t="s">
        <v>45</v>
      </c>
      <c r="E100" s="55" t="s">
        <v>39</v>
      </c>
      <c r="F100" s="56">
        <v>45339.625</v>
      </c>
      <c r="G100" s="56">
        <v>45340.375</v>
      </c>
      <c r="H100" s="56">
        <v>45340.645833333336</v>
      </c>
      <c r="I100" s="61" t="s">
        <v>40</v>
      </c>
      <c r="J100" s="57" t="s">
        <v>41</v>
      </c>
      <c r="K100" s="57" t="s">
        <v>46</v>
      </c>
      <c r="L100" s="57" t="s">
        <v>60</v>
      </c>
      <c r="M100" s="69">
        <v>243.45782399999999</v>
      </c>
      <c r="N100" s="70">
        <v>43437.744958080002</v>
      </c>
      <c r="O100" s="70">
        <v>-7007.7501318200002</v>
      </c>
      <c r="P100" s="70">
        <v>15988.66433580609</v>
      </c>
      <c r="Q100" s="70">
        <v>0</v>
      </c>
      <c r="R100" s="70">
        <v>66434.159425706093</v>
      </c>
    </row>
    <row r="101" spans="2:18">
      <c r="B101" s="53">
        <v>45339.625</v>
      </c>
      <c r="C101" s="54" t="s">
        <v>37</v>
      </c>
      <c r="D101" s="54" t="s">
        <v>38</v>
      </c>
      <c r="E101" s="55" t="s">
        <v>39</v>
      </c>
      <c r="F101" s="56">
        <v>45343.6875</v>
      </c>
      <c r="G101" s="56">
        <v>45344.3125</v>
      </c>
      <c r="H101" s="56">
        <v>45344.666666666664</v>
      </c>
      <c r="I101" s="61" t="s">
        <v>40</v>
      </c>
      <c r="J101" s="57" t="s">
        <v>41</v>
      </c>
      <c r="K101" s="57" t="s">
        <v>42</v>
      </c>
      <c r="L101" s="57" t="s">
        <v>61</v>
      </c>
      <c r="M101" s="69">
        <v>257.083821</v>
      </c>
      <c r="N101" s="70">
        <v>45876.607857449999</v>
      </c>
      <c r="O101" s="70">
        <v>-10232.516241879999</v>
      </c>
      <c r="P101" s="70">
        <v>82969.563123086496</v>
      </c>
      <c r="Q101" s="70">
        <v>346.15384615384613</v>
      </c>
      <c r="R101" s="70">
        <v>139424.84106857033</v>
      </c>
    </row>
    <row r="102" spans="2:18">
      <c r="B102" s="53">
        <v>45339.625</v>
      </c>
      <c r="C102" s="54" t="s">
        <v>50</v>
      </c>
      <c r="D102" s="54" t="s">
        <v>45</v>
      </c>
      <c r="E102" s="55" t="s">
        <v>39</v>
      </c>
      <c r="F102" s="56">
        <v>45344.666666666664</v>
      </c>
      <c r="G102" s="56">
        <v>45345.020833333336</v>
      </c>
      <c r="H102" s="56">
        <v>45345.40625</v>
      </c>
      <c r="I102" s="61" t="s">
        <v>40</v>
      </c>
      <c r="J102" s="57" t="s">
        <v>41</v>
      </c>
      <c r="K102" s="57" t="s">
        <v>46</v>
      </c>
      <c r="L102" s="57" t="s">
        <v>62</v>
      </c>
      <c r="M102" s="69">
        <v>338.76322149999999</v>
      </c>
      <c r="N102" s="70">
        <v>60581.026900844998</v>
      </c>
      <c r="O102" s="70">
        <v>12111.47826319</v>
      </c>
      <c r="P102" s="70">
        <v>23254.7004457109</v>
      </c>
      <c r="Q102" s="70">
        <v>346.15384615384613</v>
      </c>
      <c r="R102" s="70">
        <v>72070.40292951974</v>
      </c>
    </row>
    <row r="103" spans="2:18">
      <c r="B103" s="53">
        <v>45339.625</v>
      </c>
      <c r="C103" s="54" t="s">
        <v>37</v>
      </c>
      <c r="D103" s="54" t="s">
        <v>38</v>
      </c>
      <c r="E103" s="55" t="s">
        <v>39</v>
      </c>
      <c r="F103" s="56">
        <v>45344.673611111109</v>
      </c>
      <c r="G103" s="56">
        <v>45345.333333333336</v>
      </c>
      <c r="H103" s="56">
        <v>45346.666666666664</v>
      </c>
      <c r="I103" s="61" t="s">
        <v>40</v>
      </c>
      <c r="J103" s="57" t="s">
        <v>41</v>
      </c>
      <c r="K103" s="57" t="s">
        <v>42</v>
      </c>
      <c r="L103" s="57" t="s">
        <v>62</v>
      </c>
      <c r="M103" s="69">
        <v>949.28459499999997</v>
      </c>
      <c r="N103" s="70">
        <v>169760.56412385</v>
      </c>
      <c r="O103" s="70">
        <v>-32970.773473399997</v>
      </c>
      <c r="P103" s="70">
        <v>218092.355189945</v>
      </c>
      <c r="Q103" s="70">
        <v>346.15384615384613</v>
      </c>
      <c r="R103" s="70">
        <v>421169.84663334885</v>
      </c>
    </row>
    <row r="104" spans="2:18">
      <c r="B104" s="53">
        <v>45339.625</v>
      </c>
      <c r="C104" s="54" t="s">
        <v>48</v>
      </c>
      <c r="D104" s="54" t="s">
        <v>45</v>
      </c>
      <c r="E104" s="55" t="s">
        <v>39</v>
      </c>
      <c r="F104" s="56">
        <v>45345.40625</v>
      </c>
      <c r="G104" s="56">
        <v>45345.40625</v>
      </c>
      <c r="H104" s="56">
        <v>45346.739583333336</v>
      </c>
      <c r="I104" s="61" t="s">
        <v>40</v>
      </c>
      <c r="J104" s="57" t="s">
        <v>41</v>
      </c>
      <c r="K104" s="57" t="s">
        <v>46</v>
      </c>
      <c r="L104" s="57" t="s">
        <v>62</v>
      </c>
      <c r="M104" s="69">
        <v>1201.7102689999999</v>
      </c>
      <c r="N104" s="70">
        <v>214457.21460574001</v>
      </c>
      <c r="O104" s="70">
        <v>-42568.39274684</v>
      </c>
      <c r="P104" s="70">
        <v>99259.372649145633</v>
      </c>
      <c r="Q104" s="70">
        <v>346.15384615384613</v>
      </c>
      <c r="R104" s="70">
        <v>356631.13384787948</v>
      </c>
    </row>
    <row r="105" spans="2:18">
      <c r="B105" s="53">
        <v>45346.541666666664</v>
      </c>
      <c r="C105" s="54" t="s">
        <v>48</v>
      </c>
      <c r="D105" s="54" t="s">
        <v>45</v>
      </c>
      <c r="E105" s="55" t="s">
        <v>39</v>
      </c>
      <c r="F105" s="56">
        <v>45346.541666666664</v>
      </c>
      <c r="G105" s="56">
        <v>45347.333333333336</v>
      </c>
      <c r="H105" s="56">
        <v>45347.729166666664</v>
      </c>
      <c r="I105" s="61" t="s">
        <v>40</v>
      </c>
      <c r="J105" s="57" t="s">
        <v>41</v>
      </c>
      <c r="K105" s="57" t="s">
        <v>46</v>
      </c>
      <c r="L105" s="57" t="s">
        <v>63</v>
      </c>
      <c r="M105" s="69">
        <v>361.76456899999999</v>
      </c>
      <c r="N105" s="70">
        <v>64310.887431130002</v>
      </c>
      <c r="O105" s="70">
        <v>-3540.3792166200001</v>
      </c>
      <c r="P105" s="70">
        <v>23002.035042488053</v>
      </c>
      <c r="Q105" s="70">
        <v>346.15384615384613</v>
      </c>
      <c r="R105" s="70">
        <v>91199.455536391906</v>
      </c>
    </row>
    <row r="106" spans="2:18">
      <c r="B106" s="53">
        <v>45346.541666666664</v>
      </c>
      <c r="C106" s="54" t="s">
        <v>37</v>
      </c>
      <c r="D106" s="54" t="s">
        <v>38</v>
      </c>
      <c r="E106" s="55" t="s">
        <v>39</v>
      </c>
      <c r="F106" s="56">
        <v>45346.697916666664</v>
      </c>
      <c r="G106" s="56">
        <v>45347.333333333336</v>
      </c>
      <c r="H106" s="56">
        <v>45347.645833333336</v>
      </c>
      <c r="I106" s="61" t="s">
        <v>40</v>
      </c>
      <c r="J106" s="57" t="s">
        <v>41</v>
      </c>
      <c r="K106" s="57" t="s">
        <v>42</v>
      </c>
      <c r="L106" s="57" t="s">
        <v>63</v>
      </c>
      <c r="M106" s="69">
        <v>223.32300499999999</v>
      </c>
      <c r="N106" s="70">
        <v>39700.130598850003</v>
      </c>
      <c r="O106" s="70">
        <v>-5935.9315471399996</v>
      </c>
      <c r="P106" s="70">
        <v>85025.207609512101</v>
      </c>
      <c r="Q106" s="70">
        <v>346.15384615384613</v>
      </c>
      <c r="R106" s="70">
        <v>131007.42360165594</v>
      </c>
    </row>
    <row r="107" spans="2:18">
      <c r="B107" s="53">
        <v>45346.541666666664</v>
      </c>
      <c r="C107" s="54" t="s">
        <v>48</v>
      </c>
      <c r="D107" s="54" t="s">
        <v>45</v>
      </c>
      <c r="E107" s="55" t="s">
        <v>39</v>
      </c>
      <c r="F107" s="56">
        <v>45347.5</v>
      </c>
      <c r="G107" s="56">
        <v>45348</v>
      </c>
      <c r="H107" s="56">
        <v>45348.604166666664</v>
      </c>
      <c r="I107" s="61" t="s">
        <v>40</v>
      </c>
      <c r="J107" s="57" t="s">
        <v>41</v>
      </c>
      <c r="K107" s="57" t="s">
        <v>46</v>
      </c>
      <c r="L107" s="57" t="s">
        <v>64</v>
      </c>
      <c r="M107" s="69">
        <v>545.58064049999996</v>
      </c>
      <c r="N107" s="70">
        <v>96987.870461685001</v>
      </c>
      <c r="O107" s="70">
        <v>16400.621526700001</v>
      </c>
      <c r="P107" s="70">
        <v>35835.87744740276</v>
      </c>
      <c r="Q107" s="70">
        <v>346.15384615384613</v>
      </c>
      <c r="R107" s="70">
        <v>116769.2802285416</v>
      </c>
    </row>
    <row r="108" spans="2:18">
      <c r="B108" s="53">
        <v>45346.541666666664</v>
      </c>
      <c r="C108" s="54" t="s">
        <v>37</v>
      </c>
      <c r="D108" s="54" t="s">
        <v>38</v>
      </c>
      <c r="E108" s="55" t="s">
        <v>39</v>
      </c>
      <c r="F108" s="56">
        <v>45347.666666666664</v>
      </c>
      <c r="G108" s="56">
        <v>45348.3125</v>
      </c>
      <c r="H108" s="56">
        <v>45348.538194444445</v>
      </c>
      <c r="I108" s="61" t="s">
        <v>40</v>
      </c>
      <c r="J108" s="57" t="s">
        <v>41</v>
      </c>
      <c r="K108" s="57" t="s">
        <v>42</v>
      </c>
      <c r="L108" s="57" t="s">
        <v>64</v>
      </c>
      <c r="M108" s="69">
        <v>161.77365900000001</v>
      </c>
      <c r="N108" s="70">
        <v>28758.503360430001</v>
      </c>
      <c r="O108" s="70">
        <v>-1153.5956572299999</v>
      </c>
      <c r="P108" s="70">
        <v>54840.5091542382</v>
      </c>
      <c r="Q108" s="70">
        <v>346.15384615384613</v>
      </c>
      <c r="R108" s="70">
        <v>85098.762018052046</v>
      </c>
    </row>
    <row r="109" spans="2:18">
      <c r="B109" s="53">
        <v>45346.541666666664</v>
      </c>
      <c r="C109" s="54" t="s">
        <v>37</v>
      </c>
      <c r="D109" s="54" t="s">
        <v>38</v>
      </c>
      <c r="E109" s="55" t="s">
        <v>39</v>
      </c>
      <c r="F109" s="56">
        <v>45348.666666666664</v>
      </c>
      <c r="G109" s="56">
        <v>45349.041666666664</v>
      </c>
      <c r="H109" s="56">
        <v>45349.479166666664</v>
      </c>
      <c r="I109" s="61" t="s">
        <v>40</v>
      </c>
      <c r="J109" s="57" t="s">
        <v>41</v>
      </c>
      <c r="K109" s="57" t="s">
        <v>42</v>
      </c>
      <c r="L109" s="57" t="s">
        <v>65</v>
      </c>
      <c r="M109" s="69">
        <v>312.46247199999999</v>
      </c>
      <c r="N109" s="70">
        <v>55546.453647440001</v>
      </c>
      <c r="O109" s="70">
        <v>15165.743583969999</v>
      </c>
      <c r="P109" s="70">
        <v>78613.274068484694</v>
      </c>
      <c r="Q109" s="70">
        <v>346.15384615384613</v>
      </c>
      <c r="R109" s="70">
        <v>119340.13797810854</v>
      </c>
    </row>
    <row r="110" spans="2:18">
      <c r="B110" s="53">
        <v>45346.541666666664</v>
      </c>
      <c r="C110" s="54" t="s">
        <v>48</v>
      </c>
      <c r="D110" s="54" t="s">
        <v>45</v>
      </c>
      <c r="E110" s="55" t="s">
        <v>39</v>
      </c>
      <c r="F110" s="56">
        <v>45349.708333333336</v>
      </c>
      <c r="G110" s="56">
        <v>45350.041666666664</v>
      </c>
      <c r="H110" s="56">
        <v>45350.604166666664</v>
      </c>
      <c r="I110" s="61" t="s">
        <v>40</v>
      </c>
      <c r="J110" s="57" t="s">
        <v>41</v>
      </c>
      <c r="K110" s="57" t="s">
        <v>46</v>
      </c>
      <c r="L110" s="57" t="s">
        <v>66</v>
      </c>
      <c r="M110" s="69">
        <v>504.86973999999998</v>
      </c>
      <c r="N110" s="70">
        <v>89750.693679800097</v>
      </c>
      <c r="O110" s="70">
        <v>15691.935119399999</v>
      </c>
      <c r="P110" s="70">
        <v>34117.061529050596</v>
      </c>
      <c r="Q110" s="70">
        <v>346.15384615384613</v>
      </c>
      <c r="R110" s="70">
        <v>108521.97393560453</v>
      </c>
    </row>
    <row r="111" spans="2:18">
      <c r="B111" s="53">
        <v>45346.541666666664</v>
      </c>
      <c r="C111" s="54" t="s">
        <v>50</v>
      </c>
      <c r="D111" s="54" t="s">
        <v>45</v>
      </c>
      <c r="E111" s="55" t="s">
        <v>39</v>
      </c>
      <c r="F111" s="56">
        <v>45349.708333333336</v>
      </c>
      <c r="G111" s="56">
        <v>45350.0625</v>
      </c>
      <c r="H111" s="56">
        <v>45350.583333333336</v>
      </c>
      <c r="I111" s="61" t="s">
        <v>40</v>
      </c>
      <c r="J111" s="57" t="s">
        <v>41</v>
      </c>
      <c r="K111" s="57" t="s">
        <v>46</v>
      </c>
      <c r="L111" s="57" t="s">
        <v>66</v>
      </c>
      <c r="M111" s="69">
        <v>465.5682195</v>
      </c>
      <c r="N111" s="70">
        <v>82764.062380514995</v>
      </c>
      <c r="O111" s="70">
        <v>15195.19608371</v>
      </c>
      <c r="P111" s="70">
        <v>31988.639738215206</v>
      </c>
      <c r="Q111" s="70">
        <v>346.15384615384613</v>
      </c>
      <c r="R111" s="70">
        <v>99903.65988117404</v>
      </c>
    </row>
    <row r="112" spans="2:18">
      <c r="B112" s="53">
        <v>45346.541666666664</v>
      </c>
      <c r="C112" s="54" t="s">
        <v>48</v>
      </c>
      <c r="D112" s="54" t="s">
        <v>45</v>
      </c>
      <c r="E112" s="55" t="s">
        <v>39</v>
      </c>
      <c r="F112" s="56">
        <v>45350.6875</v>
      </c>
      <c r="G112" s="56">
        <v>45351.395833333336</v>
      </c>
      <c r="H112" s="56">
        <v>45351.34375</v>
      </c>
      <c r="I112" s="61" t="s">
        <v>40</v>
      </c>
      <c r="J112" s="57" t="s">
        <v>41</v>
      </c>
      <c r="K112" s="57" t="s">
        <v>42</v>
      </c>
      <c r="L112" s="57" t="s">
        <v>67</v>
      </c>
      <c r="M112" s="69">
        <v>0</v>
      </c>
      <c r="N112" s="70">
        <v>0</v>
      </c>
      <c r="O112" s="70">
        <v>0</v>
      </c>
      <c r="P112" s="70">
        <v>21323.91552488743</v>
      </c>
      <c r="Q112" s="70">
        <v>346.15384615384613</v>
      </c>
      <c r="R112" s="70">
        <v>21670.069371041278</v>
      </c>
    </row>
    <row r="113" spans="2:18">
      <c r="B113" s="53">
        <v>45346.541666666664</v>
      </c>
      <c r="C113" s="54" t="s">
        <v>37</v>
      </c>
      <c r="D113" s="54" t="s">
        <v>38</v>
      </c>
      <c r="E113" s="55" t="s">
        <v>39</v>
      </c>
      <c r="F113" s="56">
        <v>45351.708333333336</v>
      </c>
      <c r="G113" s="56">
        <v>45352.375</v>
      </c>
      <c r="H113" s="56">
        <v>45352.649305555555</v>
      </c>
      <c r="I113" s="61" t="s">
        <v>40</v>
      </c>
      <c r="J113" s="57" t="s">
        <v>41</v>
      </c>
      <c r="K113" s="57" t="s">
        <v>42</v>
      </c>
      <c r="L113" s="57" t="s">
        <v>68</v>
      </c>
      <c r="M113" s="69">
        <v>196.66136</v>
      </c>
      <c r="N113" s="70">
        <v>34962.456580799997</v>
      </c>
      <c r="O113" s="70">
        <v>614.95995352</v>
      </c>
      <c r="P113" s="70">
        <v>64705.743247013997</v>
      </c>
      <c r="Q113" s="70">
        <v>346.15384615384613</v>
      </c>
      <c r="R113" s="70">
        <v>99399.393720447842</v>
      </c>
    </row>
    <row r="114" spans="2:18">
      <c r="B114" s="53">
        <v>45346.541666666664</v>
      </c>
      <c r="C114" s="54" t="s">
        <v>50</v>
      </c>
      <c r="D114" s="54" t="s">
        <v>45</v>
      </c>
      <c r="E114" s="55" t="s">
        <v>39</v>
      </c>
      <c r="F114" s="56">
        <v>45352.708333333336</v>
      </c>
      <c r="G114" s="56">
        <v>45353.041666666664</v>
      </c>
      <c r="H114" s="56">
        <v>45353.6875</v>
      </c>
      <c r="I114" s="61" t="s">
        <v>40</v>
      </c>
      <c r="J114" s="57" t="s">
        <v>41</v>
      </c>
      <c r="K114" s="57" t="s">
        <v>46</v>
      </c>
      <c r="L114" s="57" t="s">
        <v>69</v>
      </c>
      <c r="M114" s="69">
        <v>576.57039650000002</v>
      </c>
      <c r="N114" s="70">
        <v>102571.87353734999</v>
      </c>
      <c r="O114" s="70">
        <v>6078.4684439100101</v>
      </c>
      <c r="P114" s="70">
        <v>41028.609250708323</v>
      </c>
      <c r="Q114" s="70">
        <v>346.15384615384613</v>
      </c>
      <c r="R114" s="70">
        <v>137868.16819030215</v>
      </c>
    </row>
    <row r="115" spans="2:18">
      <c r="B115" s="53">
        <v>45346.541666666664</v>
      </c>
      <c r="C115" s="54" t="s">
        <v>37</v>
      </c>
      <c r="D115" s="54" t="s">
        <v>38</v>
      </c>
      <c r="E115" s="55" t="s">
        <v>39</v>
      </c>
      <c r="F115" s="56">
        <v>45352.708333333336</v>
      </c>
      <c r="G115" s="56">
        <v>45353.333333333336</v>
      </c>
      <c r="H115" s="56">
        <v>45353.729166666664</v>
      </c>
      <c r="I115" s="61" t="s">
        <v>40</v>
      </c>
      <c r="J115" s="57" t="s">
        <v>41</v>
      </c>
      <c r="K115" s="57" t="s">
        <v>42</v>
      </c>
      <c r="L115" s="57" t="s">
        <v>69</v>
      </c>
      <c r="M115" s="69">
        <v>282.18892799999998</v>
      </c>
      <c r="N115" s="70">
        <v>50201.410291200002</v>
      </c>
      <c r="O115" s="70">
        <v>-8493.5186722199996</v>
      </c>
      <c r="P115" s="70">
        <v>82645.207153173207</v>
      </c>
      <c r="Q115" s="70">
        <v>346.15384615384613</v>
      </c>
      <c r="R115" s="70">
        <v>141686.28996274705</v>
      </c>
    </row>
    <row r="116" spans="2:18">
      <c r="F116" s="60"/>
      <c r="G116" s="1"/>
      <c r="H116" s="1"/>
      <c r="I116" s="17"/>
      <c r="L116" s="50"/>
      <c r="M116" s="58"/>
      <c r="N116" s="59"/>
      <c r="O116" s="59"/>
      <c r="P116" s="59"/>
      <c r="Q116" s="59"/>
      <c r="R116" s="59"/>
    </row>
    <row r="117" spans="2:18">
      <c r="F117" s="60"/>
      <c r="G117" s="1"/>
      <c r="H117" s="1"/>
      <c r="I117" s="17"/>
      <c r="L117" s="50"/>
      <c r="M117" s="58"/>
      <c r="N117" s="59"/>
      <c r="O117" s="59"/>
      <c r="P117" s="59"/>
      <c r="Q117" s="59"/>
      <c r="R117" s="59"/>
    </row>
    <row r="118" spans="2:18">
      <c r="F118" s="60"/>
      <c r="G118" s="1"/>
      <c r="H118" s="1"/>
      <c r="I118" s="17"/>
      <c r="L118" s="50"/>
      <c r="M118" s="58"/>
      <c r="N118" s="59"/>
      <c r="O118" s="59"/>
      <c r="P118" s="59"/>
      <c r="Q118" s="59"/>
      <c r="R118" s="59"/>
    </row>
    <row r="119" spans="2:18">
      <c r="F119" s="60"/>
      <c r="G119" s="1"/>
      <c r="H119" s="1"/>
      <c r="I119" s="17"/>
      <c r="L119" s="50"/>
      <c r="M119" s="58"/>
      <c r="N119" s="59"/>
      <c r="O119" s="59"/>
      <c r="P119" s="59"/>
      <c r="Q119" s="59"/>
      <c r="R119" s="59"/>
    </row>
    <row r="120" spans="2:18">
      <c r="F120" s="60"/>
      <c r="G120" s="1"/>
      <c r="H120" s="1"/>
      <c r="I120" s="17"/>
      <c r="L120" s="50"/>
      <c r="M120" s="58"/>
      <c r="N120" s="59"/>
      <c r="O120" s="59"/>
      <c r="P120" s="59"/>
      <c r="Q120" s="59"/>
      <c r="R120" s="59"/>
    </row>
    <row r="121" spans="2:18">
      <c r="F121" s="60"/>
      <c r="G121" s="1"/>
      <c r="H121" s="1"/>
      <c r="I121" s="17"/>
      <c r="L121" s="50"/>
      <c r="M121" s="58"/>
      <c r="N121" s="59"/>
      <c r="O121" s="59"/>
      <c r="P121" s="59"/>
      <c r="Q121" s="59"/>
      <c r="R121" s="59"/>
    </row>
    <row r="122" spans="2:18">
      <c r="F122" s="60"/>
      <c r="G122" s="1"/>
      <c r="H122" s="1"/>
      <c r="I122" s="17"/>
      <c r="L122" s="50"/>
      <c r="M122" s="58"/>
      <c r="N122" s="59"/>
      <c r="O122" s="59"/>
      <c r="P122" s="59"/>
      <c r="Q122" s="59"/>
      <c r="R122" s="59"/>
    </row>
    <row r="123" spans="2:18">
      <c r="F123" s="60"/>
      <c r="G123" s="1"/>
      <c r="H123" s="1"/>
      <c r="I123" s="17"/>
      <c r="L123" s="50"/>
      <c r="M123" s="58"/>
      <c r="N123" s="59"/>
      <c r="O123" s="59"/>
      <c r="P123" s="59"/>
      <c r="Q123" s="59"/>
      <c r="R123" s="59"/>
    </row>
    <row r="124" spans="2:18">
      <c r="F124" s="60"/>
      <c r="G124" s="1"/>
      <c r="H124" s="1"/>
      <c r="I124" s="17"/>
      <c r="L124" s="50"/>
      <c r="M124" s="58"/>
      <c r="N124" s="59"/>
      <c r="O124" s="59"/>
      <c r="P124" s="59"/>
      <c r="Q124" s="59"/>
      <c r="R124" s="59"/>
    </row>
    <row r="125" spans="2:18">
      <c r="F125" s="60"/>
      <c r="G125" s="1"/>
      <c r="H125" s="1"/>
      <c r="I125" s="17"/>
      <c r="L125" s="50"/>
      <c r="M125" s="58"/>
      <c r="N125" s="59"/>
      <c r="O125" s="59"/>
      <c r="P125" s="59"/>
      <c r="Q125" s="59"/>
      <c r="R125" s="59"/>
    </row>
    <row r="126" spans="2:18">
      <c r="F126" s="60"/>
      <c r="G126" s="1"/>
      <c r="H126" s="1"/>
      <c r="I126" s="17"/>
      <c r="L126" s="50"/>
      <c r="M126" s="58"/>
      <c r="N126" s="59"/>
      <c r="O126" s="59"/>
      <c r="P126" s="59"/>
      <c r="Q126" s="59"/>
      <c r="R126" s="59"/>
    </row>
    <row r="127" spans="2:18">
      <c r="F127" s="60"/>
      <c r="G127" s="1"/>
      <c r="H127" s="1"/>
      <c r="I127" s="17"/>
      <c r="L127" s="50"/>
      <c r="M127" s="58"/>
      <c r="N127" s="59"/>
      <c r="O127" s="59"/>
      <c r="P127" s="59"/>
      <c r="Q127" s="59"/>
      <c r="R127" s="59"/>
    </row>
    <row r="128" spans="2:18">
      <c r="F128" s="60"/>
      <c r="G128" s="1"/>
      <c r="H128" s="1"/>
      <c r="I128" s="17"/>
      <c r="L128" s="50"/>
      <c r="M128" s="58"/>
      <c r="N128" s="59"/>
      <c r="O128" s="59"/>
      <c r="P128" s="59"/>
      <c r="Q128" s="59"/>
      <c r="R128" s="59"/>
    </row>
    <row r="129" spans="6:18">
      <c r="F129" s="60"/>
      <c r="G129" s="1"/>
      <c r="H129" s="1"/>
      <c r="I129" s="17"/>
      <c r="L129" s="50"/>
      <c r="M129" s="58"/>
      <c r="N129" s="59"/>
      <c r="O129" s="59"/>
      <c r="P129" s="59"/>
      <c r="Q129" s="59"/>
      <c r="R129" s="59"/>
    </row>
    <row r="130" spans="6:18">
      <c r="F130" s="60"/>
      <c r="G130" s="1"/>
      <c r="H130" s="1"/>
      <c r="I130" s="17"/>
      <c r="L130" s="50"/>
      <c r="M130" s="58"/>
      <c r="N130" s="59"/>
      <c r="O130" s="59"/>
      <c r="P130" s="59"/>
      <c r="Q130" s="59"/>
      <c r="R130" s="59"/>
    </row>
    <row r="131" spans="6:18">
      <c r="F131" s="60"/>
      <c r="G131" s="1"/>
      <c r="H131" s="1"/>
      <c r="I131" s="17"/>
      <c r="L131" s="50"/>
      <c r="M131" s="58"/>
      <c r="N131" s="59"/>
      <c r="O131" s="59"/>
      <c r="P131" s="59"/>
      <c r="Q131" s="59"/>
      <c r="R131" s="59"/>
    </row>
    <row r="132" spans="6:18">
      <c r="F132" s="60"/>
      <c r="G132" s="1"/>
      <c r="H132" s="1"/>
      <c r="I132" s="17"/>
      <c r="L132" s="50"/>
      <c r="M132" s="58"/>
      <c r="N132" s="59"/>
      <c r="O132" s="59"/>
      <c r="P132" s="59"/>
      <c r="Q132" s="59"/>
      <c r="R132" s="59"/>
    </row>
    <row r="133" spans="6:18">
      <c r="F133" s="60"/>
      <c r="G133" s="1"/>
      <c r="H133" s="1"/>
      <c r="I133" s="17"/>
      <c r="L133" s="50"/>
      <c r="M133" s="58"/>
      <c r="N133" s="59"/>
      <c r="O133" s="59"/>
      <c r="P133" s="59"/>
      <c r="Q133" s="59"/>
      <c r="R133" s="59"/>
    </row>
    <row r="134" spans="6:18">
      <c r="F134" s="60"/>
      <c r="G134" s="1"/>
      <c r="H134" s="1"/>
      <c r="I134" s="17"/>
      <c r="L134" s="50"/>
      <c r="M134" s="58"/>
      <c r="N134" s="59"/>
      <c r="O134" s="59"/>
      <c r="P134" s="59"/>
      <c r="Q134" s="59"/>
      <c r="R134" s="59"/>
    </row>
    <row r="135" spans="6:18">
      <c r="F135" s="60"/>
      <c r="G135" s="1"/>
      <c r="H135" s="1"/>
      <c r="I135" s="17"/>
      <c r="L135" s="50"/>
      <c r="M135" s="58"/>
      <c r="N135" s="59"/>
      <c r="O135" s="59"/>
      <c r="P135" s="59"/>
      <c r="Q135" s="59"/>
      <c r="R135" s="59"/>
    </row>
    <row r="136" spans="6:18">
      <c r="F136" s="60"/>
      <c r="G136" s="1"/>
      <c r="H136" s="1"/>
      <c r="I136" s="17"/>
      <c r="L136" s="50"/>
      <c r="M136" s="58"/>
      <c r="N136" s="59"/>
      <c r="O136" s="59"/>
      <c r="P136" s="59"/>
      <c r="Q136" s="59"/>
      <c r="R136" s="59"/>
    </row>
    <row r="137" spans="6:18">
      <c r="F137" s="60"/>
      <c r="G137" s="1"/>
      <c r="H137" s="1"/>
      <c r="I137" s="17"/>
      <c r="L137" s="50"/>
      <c r="M137" s="58"/>
      <c r="N137" s="59"/>
      <c r="O137" s="59"/>
      <c r="P137" s="59"/>
      <c r="Q137" s="59"/>
      <c r="R137" s="59"/>
    </row>
    <row r="138" spans="6:18">
      <c r="F138" s="60"/>
      <c r="G138" s="1"/>
      <c r="H138" s="1"/>
      <c r="I138" s="17"/>
      <c r="L138" s="50"/>
      <c r="M138" s="58"/>
      <c r="N138" s="59"/>
      <c r="O138" s="59"/>
      <c r="P138" s="59"/>
      <c r="Q138" s="59"/>
      <c r="R138" s="59"/>
    </row>
    <row r="139" spans="6:18">
      <c r="F139" s="60"/>
      <c r="G139" s="1"/>
      <c r="H139" s="1"/>
      <c r="I139" s="17"/>
      <c r="L139" s="50"/>
      <c r="M139" s="58"/>
      <c r="N139" s="59"/>
      <c r="O139" s="59"/>
      <c r="P139" s="59"/>
      <c r="Q139" s="59"/>
      <c r="R139" s="59"/>
    </row>
    <row r="140" spans="6:18">
      <c r="F140" s="60"/>
      <c r="G140" s="1"/>
      <c r="H140" s="1"/>
      <c r="I140" s="17"/>
      <c r="L140" s="50"/>
      <c r="M140" s="58"/>
      <c r="N140" s="59"/>
      <c r="O140" s="59"/>
      <c r="P140" s="59"/>
      <c r="Q140" s="59"/>
      <c r="R140" s="59"/>
    </row>
    <row r="141" spans="6:18">
      <c r="F141" s="60"/>
      <c r="G141" s="1"/>
      <c r="H141" s="1"/>
      <c r="I141" s="17"/>
      <c r="L141" s="50"/>
      <c r="M141" s="58"/>
      <c r="N141" s="59"/>
      <c r="O141" s="59"/>
      <c r="P141" s="59"/>
      <c r="Q141" s="59"/>
      <c r="R141" s="59"/>
    </row>
    <row r="142" spans="6:18">
      <c r="F142" s="60"/>
      <c r="G142" s="1"/>
      <c r="H142" s="1"/>
      <c r="I142" s="17"/>
      <c r="L142" s="50"/>
      <c r="M142" s="58"/>
      <c r="N142" s="59"/>
      <c r="O142" s="59"/>
      <c r="P142" s="59"/>
      <c r="Q142" s="59"/>
      <c r="R142" s="59"/>
    </row>
    <row r="143" spans="6:18">
      <c r="F143" s="60"/>
      <c r="G143" s="1"/>
      <c r="H143" s="1"/>
      <c r="I143" s="17"/>
      <c r="L143" s="50"/>
      <c r="M143" s="58"/>
      <c r="N143" s="59"/>
      <c r="O143" s="59"/>
      <c r="P143" s="59"/>
      <c r="Q143" s="59"/>
      <c r="R143" s="59"/>
    </row>
    <row r="144" spans="6:18">
      <c r="F144" s="60"/>
      <c r="G144" s="1"/>
      <c r="H144" s="1"/>
      <c r="I144" s="17"/>
      <c r="L144" s="50"/>
      <c r="M144" s="58"/>
      <c r="N144" s="59"/>
      <c r="O144" s="59"/>
      <c r="P144" s="59"/>
      <c r="Q144" s="59"/>
      <c r="R144" s="59"/>
    </row>
    <row r="145" spans="6:18">
      <c r="F145" s="60"/>
      <c r="G145" s="1"/>
      <c r="H145" s="1"/>
      <c r="I145" s="17"/>
      <c r="L145" s="50"/>
      <c r="M145" s="58"/>
      <c r="N145" s="59"/>
      <c r="O145" s="59"/>
      <c r="P145" s="59"/>
      <c r="Q145" s="59"/>
      <c r="R145" s="59"/>
    </row>
    <row r="146" spans="6:18">
      <c r="F146" s="60"/>
      <c r="G146" s="1"/>
      <c r="H146" s="1"/>
      <c r="I146" s="17"/>
      <c r="L146" s="50"/>
      <c r="M146" s="58"/>
      <c r="N146" s="59"/>
      <c r="O146" s="59"/>
      <c r="P146" s="59"/>
      <c r="Q146" s="59"/>
      <c r="R146" s="59"/>
    </row>
    <row r="147" spans="6:18">
      <c r="F147" s="60"/>
      <c r="G147" s="1"/>
      <c r="H147" s="1"/>
      <c r="I147" s="17"/>
      <c r="L147" s="50"/>
      <c r="M147" s="58"/>
      <c r="N147" s="59"/>
      <c r="O147" s="59"/>
      <c r="P147" s="59"/>
      <c r="Q147" s="59"/>
      <c r="R147" s="59"/>
    </row>
    <row r="148" spans="6:18">
      <c r="F148" s="60"/>
      <c r="G148" s="1"/>
      <c r="H148" s="1"/>
      <c r="I148" s="17"/>
      <c r="L148" s="50"/>
      <c r="M148" s="58"/>
      <c r="N148" s="59"/>
      <c r="O148" s="59"/>
      <c r="P148" s="59"/>
      <c r="Q148" s="59"/>
      <c r="R148" s="59"/>
    </row>
    <row r="149" spans="6:18">
      <c r="F149" s="60"/>
      <c r="G149" s="1"/>
      <c r="H149" s="1"/>
      <c r="I149" s="17"/>
      <c r="L149" s="50"/>
      <c r="M149" s="58"/>
      <c r="N149" s="59"/>
      <c r="O149" s="59"/>
      <c r="P149" s="59"/>
      <c r="Q149" s="59"/>
      <c r="R149" s="59"/>
    </row>
    <row r="150" spans="6:18">
      <c r="F150" s="60"/>
      <c r="G150" s="1"/>
      <c r="H150" s="1"/>
      <c r="I150" s="17"/>
      <c r="L150" s="50"/>
      <c r="M150" s="58"/>
      <c r="N150" s="59"/>
      <c r="O150" s="59"/>
      <c r="P150" s="59"/>
      <c r="Q150" s="59"/>
      <c r="R150" s="59"/>
    </row>
    <row r="151" spans="6:18">
      <c r="F151" s="60"/>
      <c r="G151" s="1"/>
      <c r="H151" s="1"/>
      <c r="I151" s="17"/>
      <c r="L151" s="50"/>
      <c r="M151" s="58"/>
      <c r="N151" s="59"/>
      <c r="O151" s="59"/>
      <c r="P151" s="59"/>
      <c r="Q151" s="59"/>
      <c r="R151" s="59"/>
    </row>
    <row r="152" spans="6:18">
      <c r="F152" s="60"/>
      <c r="G152" s="1"/>
      <c r="H152" s="1"/>
      <c r="I152" s="17"/>
      <c r="L152" s="50"/>
      <c r="M152" s="58"/>
      <c r="N152" s="59"/>
      <c r="O152" s="59"/>
      <c r="P152" s="59"/>
      <c r="Q152" s="59"/>
      <c r="R152" s="59"/>
    </row>
    <row r="153" spans="6:18">
      <c r="F153" s="60"/>
      <c r="G153" s="1"/>
      <c r="H153" s="1"/>
      <c r="I153" s="17"/>
      <c r="L153" s="50"/>
      <c r="M153" s="58"/>
      <c r="N153" s="59"/>
      <c r="O153" s="59"/>
      <c r="P153" s="59"/>
      <c r="Q153" s="59"/>
      <c r="R153" s="59"/>
    </row>
    <row r="154" spans="6:18">
      <c r="F154" s="60"/>
      <c r="G154" s="1"/>
      <c r="H154" s="1"/>
      <c r="I154" s="17"/>
      <c r="L154" s="50"/>
      <c r="M154" s="58"/>
      <c r="N154" s="59"/>
      <c r="O154" s="59"/>
      <c r="P154" s="59"/>
      <c r="Q154" s="59"/>
      <c r="R154" s="59"/>
    </row>
    <row r="155" spans="6:18">
      <c r="F155" s="60"/>
      <c r="G155" s="1"/>
      <c r="H155" s="1"/>
      <c r="I155" s="17"/>
      <c r="L155" s="50"/>
      <c r="M155" s="58"/>
      <c r="N155" s="59"/>
      <c r="O155" s="59"/>
      <c r="P155" s="59"/>
      <c r="Q155" s="59"/>
      <c r="R155" s="59"/>
    </row>
    <row r="156" spans="6:18">
      <c r="F156" s="60"/>
      <c r="G156" s="1"/>
      <c r="H156" s="1"/>
      <c r="I156" s="17"/>
      <c r="L156" s="50"/>
      <c r="M156" s="58"/>
      <c r="N156" s="59"/>
      <c r="O156" s="59"/>
      <c r="P156" s="59"/>
      <c r="Q156" s="59"/>
      <c r="R156" s="59"/>
    </row>
    <row r="157" spans="6:18">
      <c r="F157" s="60"/>
      <c r="G157" s="1"/>
      <c r="H157" s="1"/>
      <c r="I157" s="17"/>
      <c r="L157" s="50"/>
      <c r="M157" s="58"/>
      <c r="N157" s="59"/>
      <c r="O157" s="59"/>
      <c r="P157" s="59"/>
      <c r="Q157" s="59"/>
      <c r="R157" s="59"/>
    </row>
    <row r="158" spans="6:18">
      <c r="F158" s="60"/>
      <c r="G158" s="1"/>
      <c r="H158" s="1"/>
      <c r="I158" s="17"/>
      <c r="L158" s="50"/>
      <c r="M158" s="58"/>
      <c r="N158" s="59"/>
      <c r="O158" s="59"/>
      <c r="P158" s="59"/>
      <c r="Q158" s="59"/>
      <c r="R158" s="59"/>
    </row>
    <row r="159" spans="6:18">
      <c r="F159" s="60"/>
      <c r="G159" s="1"/>
      <c r="H159" s="1"/>
      <c r="I159" s="17"/>
      <c r="L159" s="50"/>
      <c r="M159" s="58"/>
      <c r="N159" s="59"/>
      <c r="O159" s="59"/>
      <c r="P159" s="59"/>
      <c r="Q159" s="59"/>
      <c r="R159" s="59"/>
    </row>
    <row r="160" spans="6:18">
      <c r="F160" s="60"/>
      <c r="G160" s="1"/>
      <c r="H160" s="1"/>
      <c r="I160" s="17"/>
      <c r="L160" s="50"/>
      <c r="M160" s="58"/>
      <c r="N160" s="59"/>
      <c r="O160" s="59"/>
      <c r="P160" s="59"/>
      <c r="Q160" s="59"/>
      <c r="R160" s="59"/>
    </row>
    <row r="161" spans="6:18">
      <c r="F161" s="60"/>
      <c r="G161" s="1"/>
      <c r="H161" s="1"/>
      <c r="I161" s="17"/>
      <c r="L161" s="50"/>
      <c r="M161" s="58"/>
      <c r="N161" s="59"/>
      <c r="O161" s="59"/>
      <c r="P161" s="59"/>
      <c r="Q161" s="59"/>
      <c r="R161" s="59"/>
    </row>
    <row r="162" spans="6:18">
      <c r="F162" s="60"/>
      <c r="G162" s="1"/>
      <c r="H162" s="1"/>
      <c r="I162" s="17"/>
      <c r="L162" s="50"/>
      <c r="M162" s="58"/>
      <c r="N162" s="59"/>
      <c r="O162" s="59"/>
      <c r="P162" s="59"/>
      <c r="Q162" s="59"/>
      <c r="R162" s="59"/>
    </row>
    <row r="163" spans="6:18">
      <c r="F163" s="60"/>
      <c r="G163" s="1"/>
      <c r="H163" s="1"/>
      <c r="I163" s="17"/>
      <c r="L163" s="50"/>
      <c r="M163" s="58"/>
      <c r="N163" s="59"/>
      <c r="O163" s="59"/>
      <c r="P163" s="59"/>
      <c r="Q163" s="59"/>
      <c r="R163" s="59"/>
    </row>
    <row r="164" spans="6:18">
      <c r="F164" s="60"/>
      <c r="G164" s="1"/>
      <c r="H164" s="1"/>
      <c r="I164" s="17"/>
      <c r="L164" s="50"/>
      <c r="M164" s="58"/>
      <c r="N164" s="59"/>
      <c r="O164" s="59"/>
      <c r="P164" s="59"/>
      <c r="Q164" s="59"/>
      <c r="R164" s="59"/>
    </row>
    <row r="165" spans="6:18">
      <c r="F165" s="60"/>
      <c r="G165" s="1"/>
      <c r="H165" s="1"/>
      <c r="I165" s="17"/>
      <c r="L165" s="50"/>
      <c r="M165" s="58"/>
      <c r="N165" s="59"/>
      <c r="O165" s="59"/>
      <c r="P165" s="59"/>
      <c r="Q165" s="59"/>
      <c r="R165" s="59"/>
    </row>
    <row r="166" spans="6:18">
      <c r="F166" s="60"/>
      <c r="G166" s="1"/>
      <c r="H166" s="1"/>
      <c r="I166" s="17"/>
      <c r="L166" s="50"/>
      <c r="M166" s="58"/>
      <c r="N166" s="59"/>
      <c r="O166" s="59"/>
      <c r="P166" s="59"/>
      <c r="Q166" s="59"/>
      <c r="R166" s="59"/>
    </row>
    <row r="167" spans="6:18">
      <c r="F167" s="60"/>
      <c r="G167" s="1"/>
      <c r="H167" s="1"/>
      <c r="I167" s="17"/>
      <c r="L167" s="50"/>
      <c r="M167" s="58"/>
      <c r="N167" s="59"/>
      <c r="O167" s="59"/>
      <c r="P167" s="59"/>
      <c r="Q167" s="59"/>
      <c r="R167" s="59"/>
    </row>
    <row r="168" spans="6:18">
      <c r="F168" s="60"/>
      <c r="G168" s="1"/>
      <c r="H168" s="1"/>
      <c r="I168" s="17"/>
      <c r="L168" s="50"/>
      <c r="M168" s="58"/>
      <c r="N168" s="59"/>
      <c r="O168" s="59"/>
      <c r="P168" s="59"/>
      <c r="Q168" s="59"/>
      <c r="R168" s="59"/>
    </row>
    <row r="169" spans="6:18">
      <c r="F169" s="60"/>
      <c r="G169" s="1"/>
      <c r="H169" s="1"/>
      <c r="I169" s="17"/>
      <c r="L169" s="50"/>
      <c r="M169" s="58"/>
      <c r="N169" s="59"/>
      <c r="O169" s="59"/>
      <c r="P169" s="59"/>
      <c r="Q169" s="59"/>
      <c r="R169" s="59"/>
    </row>
    <row r="170" spans="6:18">
      <c r="F170" s="60"/>
      <c r="G170" s="1"/>
      <c r="H170" s="1"/>
      <c r="I170" s="17"/>
      <c r="L170" s="50"/>
      <c r="M170" s="58"/>
      <c r="N170" s="59"/>
      <c r="O170" s="59"/>
      <c r="P170" s="59"/>
      <c r="Q170" s="59"/>
      <c r="R170" s="59"/>
    </row>
    <row r="171" spans="6:18">
      <c r="F171" s="60"/>
      <c r="G171" s="1"/>
      <c r="H171" s="1"/>
      <c r="I171" s="17"/>
      <c r="L171" s="50"/>
      <c r="M171" s="58"/>
      <c r="N171" s="59"/>
      <c r="O171" s="59"/>
      <c r="P171" s="59"/>
      <c r="Q171" s="59"/>
      <c r="R171" s="59"/>
    </row>
    <row r="172" spans="6:18">
      <c r="F172" s="60"/>
      <c r="G172" s="1"/>
      <c r="H172" s="1"/>
      <c r="I172" s="17"/>
      <c r="L172" s="50"/>
      <c r="M172" s="58"/>
      <c r="N172" s="59"/>
      <c r="O172" s="59"/>
      <c r="P172" s="59"/>
      <c r="Q172" s="59"/>
      <c r="R172" s="59"/>
    </row>
    <row r="173" spans="6:18">
      <c r="F173" s="60"/>
      <c r="G173" s="1"/>
      <c r="H173" s="1"/>
      <c r="I173" s="17"/>
      <c r="L173" s="50"/>
      <c r="M173" s="58"/>
      <c r="N173" s="59"/>
      <c r="O173" s="59"/>
      <c r="P173" s="59"/>
      <c r="Q173" s="59"/>
      <c r="R173" s="59"/>
    </row>
    <row r="174" spans="6:18">
      <c r="F174" s="60"/>
      <c r="G174" s="1"/>
      <c r="H174" s="1"/>
      <c r="I174" s="17"/>
      <c r="L174" s="50"/>
      <c r="M174" s="58"/>
      <c r="N174" s="59"/>
      <c r="O174" s="59"/>
      <c r="P174" s="59"/>
      <c r="Q174" s="59"/>
      <c r="R174" s="59"/>
    </row>
    <row r="175" spans="6:18">
      <c r="F175" s="60"/>
      <c r="G175" s="1"/>
      <c r="H175" s="1"/>
      <c r="I175" s="17"/>
      <c r="L175" s="50"/>
      <c r="M175" s="58"/>
      <c r="N175" s="59"/>
      <c r="O175" s="59"/>
      <c r="P175" s="59"/>
      <c r="Q175" s="59"/>
      <c r="R175" s="59"/>
    </row>
    <row r="176" spans="6:18">
      <c r="F176" s="60"/>
      <c r="G176" s="1"/>
      <c r="H176" s="1"/>
      <c r="I176" s="17"/>
      <c r="L176" s="50"/>
      <c r="M176" s="58"/>
      <c r="N176" s="59"/>
      <c r="O176" s="59"/>
      <c r="P176" s="59"/>
      <c r="Q176" s="59"/>
      <c r="R176" s="59"/>
    </row>
    <row r="177" spans="6:18">
      <c r="F177" s="60"/>
      <c r="G177" s="1"/>
      <c r="H177" s="1"/>
      <c r="I177" s="17"/>
      <c r="L177" s="50"/>
      <c r="M177" s="58"/>
      <c r="N177" s="59"/>
      <c r="O177" s="59"/>
      <c r="P177" s="59"/>
      <c r="Q177" s="59"/>
      <c r="R177" s="59"/>
    </row>
    <row r="178" spans="6:18">
      <c r="F178" s="60"/>
      <c r="G178" s="1"/>
      <c r="H178" s="1"/>
      <c r="I178" s="17"/>
      <c r="L178" s="50"/>
      <c r="M178" s="58"/>
      <c r="N178" s="59"/>
      <c r="O178" s="59"/>
      <c r="P178" s="59"/>
      <c r="Q178" s="59"/>
      <c r="R178" s="59"/>
    </row>
    <row r="179" spans="6:18">
      <c r="F179" s="60"/>
      <c r="G179" s="1"/>
      <c r="H179" s="1"/>
      <c r="I179" s="17"/>
      <c r="L179" s="50"/>
      <c r="M179" s="58"/>
      <c r="N179" s="59"/>
      <c r="O179" s="59"/>
      <c r="P179" s="59"/>
      <c r="Q179" s="59"/>
      <c r="R179" s="59"/>
    </row>
    <row r="180" spans="6:18">
      <c r="F180" s="60"/>
      <c r="G180" s="1"/>
      <c r="H180" s="1"/>
      <c r="I180" s="17"/>
      <c r="L180" s="50"/>
      <c r="M180" s="58"/>
      <c r="N180" s="59"/>
      <c r="O180" s="59"/>
      <c r="P180" s="59"/>
      <c r="Q180" s="59"/>
      <c r="R180" s="59"/>
    </row>
    <row r="181" spans="6:18">
      <c r="F181" s="60"/>
      <c r="G181" s="1"/>
      <c r="H181" s="1"/>
      <c r="I181" s="17"/>
      <c r="L181" s="50"/>
      <c r="M181" s="58"/>
      <c r="N181" s="59"/>
      <c r="O181" s="59"/>
      <c r="P181" s="59"/>
      <c r="Q181" s="59"/>
      <c r="R181" s="59"/>
    </row>
    <row r="182" spans="6:18">
      <c r="F182" s="60"/>
      <c r="G182" s="1"/>
      <c r="H182" s="1"/>
      <c r="I182" s="17"/>
      <c r="L182" s="50"/>
      <c r="M182" s="58"/>
      <c r="N182" s="59"/>
      <c r="O182" s="59"/>
      <c r="P182" s="59"/>
      <c r="Q182" s="59"/>
      <c r="R182" s="59"/>
    </row>
    <row r="183" spans="6:18">
      <c r="F183" s="60"/>
      <c r="G183" s="1"/>
      <c r="H183" s="1"/>
      <c r="I183" s="17"/>
      <c r="L183" s="50"/>
      <c r="M183" s="58"/>
      <c r="N183" s="59"/>
      <c r="O183" s="59"/>
      <c r="P183" s="59"/>
      <c r="Q183" s="59"/>
      <c r="R183" s="59"/>
    </row>
    <row r="184" spans="6:18">
      <c r="F184" s="60"/>
      <c r="G184" s="1"/>
      <c r="H184" s="1"/>
      <c r="I184" s="17"/>
      <c r="L184" s="50"/>
      <c r="M184" s="58"/>
      <c r="N184" s="59"/>
      <c r="O184" s="59"/>
      <c r="P184" s="59"/>
      <c r="Q184" s="59"/>
      <c r="R184" s="59"/>
    </row>
    <row r="185" spans="6:18">
      <c r="F185" s="60"/>
      <c r="G185" s="1"/>
      <c r="H185" s="1"/>
      <c r="I185" s="17"/>
      <c r="L185" s="50"/>
      <c r="M185" s="58"/>
      <c r="N185" s="59"/>
      <c r="O185" s="59"/>
      <c r="P185" s="59"/>
      <c r="Q185" s="59"/>
      <c r="R185" s="59"/>
    </row>
    <row r="186" spans="6:18">
      <c r="F186" s="60"/>
      <c r="G186" s="1"/>
      <c r="H186" s="1"/>
      <c r="I186" s="17"/>
      <c r="L186" s="50"/>
      <c r="M186" s="58"/>
      <c r="N186" s="59"/>
      <c r="O186" s="59"/>
      <c r="P186" s="59"/>
      <c r="Q186" s="59"/>
      <c r="R186" s="59"/>
    </row>
    <row r="187" spans="6:18">
      <c r="F187" s="60"/>
      <c r="G187" s="1"/>
      <c r="H187" s="1"/>
      <c r="I187" s="17"/>
      <c r="L187" s="50"/>
      <c r="M187" s="58"/>
      <c r="N187" s="59"/>
      <c r="O187" s="59"/>
      <c r="P187" s="59"/>
      <c r="Q187" s="59"/>
      <c r="R187" s="59"/>
    </row>
    <row r="188" spans="6:18">
      <c r="F188" s="60"/>
      <c r="G188" s="1"/>
      <c r="H188" s="1"/>
      <c r="I188" s="17"/>
      <c r="L188" s="50"/>
      <c r="M188" s="58"/>
      <c r="N188" s="59"/>
      <c r="O188" s="59"/>
      <c r="P188" s="59"/>
      <c r="Q188" s="59"/>
      <c r="R188" s="59"/>
    </row>
    <row r="189" spans="6:18">
      <c r="F189" s="60"/>
      <c r="G189" s="1"/>
      <c r="H189" s="1"/>
      <c r="I189" s="17"/>
      <c r="L189" s="50"/>
      <c r="M189" s="58"/>
      <c r="N189" s="59"/>
      <c r="O189" s="59"/>
      <c r="P189" s="59"/>
      <c r="Q189" s="59"/>
      <c r="R189" s="59"/>
    </row>
    <row r="190" spans="6:18">
      <c r="F190" s="60"/>
      <c r="G190" s="1"/>
      <c r="H190" s="1"/>
      <c r="I190" s="17"/>
      <c r="L190" s="50"/>
      <c r="M190" s="58"/>
      <c r="N190" s="59"/>
      <c r="O190" s="59"/>
      <c r="P190" s="59"/>
      <c r="Q190" s="59"/>
      <c r="R190" s="59"/>
    </row>
    <row r="191" spans="6:18">
      <c r="F191" s="60"/>
      <c r="G191" s="1"/>
      <c r="H191" s="1"/>
      <c r="I191" s="17"/>
      <c r="L191" s="50"/>
      <c r="M191" s="58"/>
      <c r="N191" s="59"/>
      <c r="O191" s="59"/>
      <c r="P191" s="59"/>
      <c r="Q191" s="59"/>
      <c r="R191" s="59"/>
    </row>
    <row r="192" spans="6:18">
      <c r="F192" s="60"/>
      <c r="G192" s="1"/>
      <c r="H192" s="1"/>
      <c r="I192" s="17"/>
      <c r="L192" s="50"/>
      <c r="M192" s="58"/>
      <c r="N192" s="59"/>
      <c r="O192" s="59"/>
      <c r="P192" s="59"/>
      <c r="Q192" s="59"/>
      <c r="R192" s="59"/>
    </row>
    <row r="193" spans="6:18">
      <c r="F193" s="60"/>
      <c r="G193" s="1"/>
      <c r="H193" s="1"/>
      <c r="I193" s="17"/>
      <c r="L193" s="50"/>
      <c r="M193" s="58"/>
      <c r="N193" s="59"/>
      <c r="O193" s="59"/>
      <c r="P193" s="59"/>
      <c r="Q193" s="59"/>
      <c r="R193" s="59"/>
    </row>
    <row r="194" spans="6:18">
      <c r="F194" s="60"/>
      <c r="G194" s="1"/>
      <c r="H194" s="1"/>
      <c r="I194" s="17"/>
      <c r="L194" s="50"/>
      <c r="M194" s="58"/>
      <c r="N194" s="59"/>
      <c r="O194" s="59"/>
      <c r="P194" s="59"/>
      <c r="Q194" s="59"/>
      <c r="R194" s="59"/>
    </row>
    <row r="195" spans="6:18">
      <c r="F195" s="60"/>
      <c r="G195" s="1"/>
      <c r="H195" s="1"/>
      <c r="I195" s="17"/>
      <c r="L195" s="50"/>
      <c r="M195" s="58"/>
      <c r="N195" s="59"/>
      <c r="O195" s="59"/>
      <c r="P195" s="59"/>
      <c r="Q195" s="59"/>
      <c r="R195" s="59"/>
    </row>
    <row r="196" spans="6:18">
      <c r="F196" s="60"/>
      <c r="G196" s="1"/>
      <c r="H196" s="1"/>
      <c r="I196" s="17"/>
      <c r="L196" s="50"/>
      <c r="M196" s="58"/>
      <c r="N196" s="59"/>
      <c r="O196" s="59"/>
      <c r="P196" s="59"/>
      <c r="Q196" s="59"/>
      <c r="R196" s="59"/>
    </row>
    <row r="197" spans="6:18">
      <c r="F197" s="60"/>
      <c r="G197" s="1"/>
      <c r="H197" s="1"/>
      <c r="I197" s="17"/>
      <c r="L197" s="50"/>
      <c r="M197" s="58"/>
      <c r="N197" s="59"/>
      <c r="O197" s="59"/>
      <c r="P197" s="59"/>
      <c r="Q197" s="59"/>
      <c r="R197" s="59"/>
    </row>
    <row r="198" spans="6:18">
      <c r="F198" s="60"/>
      <c r="G198" s="1"/>
      <c r="H198" s="1"/>
      <c r="I198" s="17"/>
      <c r="L198" s="50"/>
      <c r="M198" s="58"/>
      <c r="N198" s="59"/>
      <c r="O198" s="59"/>
      <c r="P198" s="59"/>
      <c r="Q198" s="59"/>
      <c r="R198" s="59"/>
    </row>
    <row r="199" spans="6:18">
      <c r="F199" s="60"/>
      <c r="G199" s="1"/>
      <c r="H199" s="1"/>
      <c r="I199" s="17"/>
      <c r="L199" s="50"/>
      <c r="M199" s="58"/>
      <c r="N199" s="59"/>
      <c r="O199" s="59"/>
      <c r="P199" s="59"/>
      <c r="Q199" s="59"/>
      <c r="R199" s="59"/>
    </row>
    <row r="200" spans="6:18">
      <c r="F200" s="60"/>
      <c r="G200" s="1"/>
      <c r="H200" s="1"/>
      <c r="I200" s="17"/>
      <c r="L200" s="50"/>
      <c r="M200" s="58"/>
      <c r="N200" s="59"/>
      <c r="O200" s="59"/>
      <c r="P200" s="59"/>
      <c r="Q200" s="59"/>
      <c r="R200" s="59"/>
    </row>
    <row r="201" spans="6:18">
      <c r="F201" s="60"/>
      <c r="G201" s="1"/>
      <c r="H201" s="1"/>
      <c r="I201" s="17"/>
      <c r="L201" s="50"/>
      <c r="M201" s="58"/>
      <c r="N201" s="59"/>
      <c r="O201" s="59"/>
      <c r="P201" s="59"/>
      <c r="Q201" s="59"/>
      <c r="R201" s="59"/>
    </row>
    <row r="202" spans="6:18">
      <c r="F202" s="60"/>
      <c r="G202" s="1"/>
      <c r="H202" s="1"/>
      <c r="I202" s="17"/>
      <c r="L202" s="50"/>
      <c r="M202" s="58"/>
      <c r="N202" s="59"/>
      <c r="O202" s="59"/>
      <c r="P202" s="59"/>
      <c r="Q202" s="59"/>
      <c r="R202" s="59"/>
    </row>
    <row r="203" spans="6:18">
      <c r="F203" s="60"/>
      <c r="G203" s="1"/>
      <c r="H203" s="1"/>
      <c r="I203" s="17"/>
      <c r="L203" s="50"/>
      <c r="M203" s="58"/>
      <c r="N203" s="59"/>
      <c r="O203" s="59"/>
      <c r="P203" s="59"/>
      <c r="Q203" s="59"/>
      <c r="R203" s="59"/>
    </row>
    <row r="204" spans="6:18">
      <c r="F204" s="60"/>
      <c r="G204" s="1"/>
      <c r="H204" s="1"/>
      <c r="I204" s="17"/>
      <c r="L204" s="50"/>
      <c r="M204" s="58"/>
      <c r="N204" s="59"/>
      <c r="O204" s="59"/>
      <c r="P204" s="59"/>
      <c r="Q204" s="59"/>
      <c r="R204" s="59"/>
    </row>
    <row r="205" spans="6:18">
      <c r="F205" s="60"/>
      <c r="G205" s="1"/>
      <c r="H205" s="1"/>
      <c r="I205" s="17"/>
      <c r="L205" s="50"/>
      <c r="M205" s="58"/>
      <c r="N205" s="59"/>
      <c r="O205" s="59"/>
      <c r="P205" s="59"/>
      <c r="Q205" s="59"/>
      <c r="R205" s="59"/>
    </row>
    <row r="206" spans="6:18">
      <c r="F206" s="60"/>
      <c r="G206" s="1"/>
      <c r="H206" s="1"/>
      <c r="I206" s="17"/>
      <c r="L206" s="50"/>
      <c r="M206" s="58"/>
      <c r="N206" s="59"/>
      <c r="O206" s="59"/>
      <c r="P206" s="59"/>
      <c r="Q206" s="59"/>
      <c r="R206" s="59"/>
    </row>
    <row r="207" spans="6:18">
      <c r="F207" s="60"/>
      <c r="G207" s="1"/>
      <c r="H207" s="1"/>
      <c r="I207" s="17"/>
      <c r="L207" s="50"/>
      <c r="M207" s="58"/>
      <c r="N207" s="59"/>
      <c r="O207" s="59"/>
      <c r="P207" s="59"/>
      <c r="Q207" s="59"/>
      <c r="R207" s="59"/>
    </row>
    <row r="208" spans="6:18">
      <c r="F208" s="60"/>
      <c r="G208" s="1"/>
      <c r="H208" s="1"/>
      <c r="I208" s="17"/>
      <c r="L208" s="50"/>
      <c r="M208" s="58"/>
      <c r="N208" s="59"/>
      <c r="O208" s="59"/>
      <c r="P208" s="59"/>
      <c r="Q208" s="59"/>
      <c r="R208" s="59"/>
    </row>
    <row r="209" spans="6:18">
      <c r="F209" s="60"/>
      <c r="G209" s="1"/>
      <c r="H209" s="1"/>
      <c r="I209" s="17"/>
      <c r="L209" s="50"/>
      <c r="M209" s="58"/>
      <c r="N209" s="59"/>
      <c r="O209" s="59"/>
      <c r="P209" s="59"/>
      <c r="Q209" s="59"/>
      <c r="R209" s="59"/>
    </row>
    <row r="210" spans="6:18">
      <c r="F210" s="60"/>
      <c r="G210" s="1"/>
      <c r="H210" s="1"/>
      <c r="I210" s="17"/>
      <c r="L210" s="50"/>
      <c r="M210" s="58"/>
      <c r="N210" s="59"/>
      <c r="O210" s="59"/>
      <c r="P210" s="59"/>
      <c r="Q210" s="59"/>
      <c r="R210" s="59"/>
    </row>
    <row r="211" spans="6:18">
      <c r="F211" s="60"/>
      <c r="G211" s="1"/>
      <c r="H211" s="1"/>
      <c r="I211" s="17"/>
      <c r="L211" s="50"/>
      <c r="M211" s="58"/>
      <c r="N211" s="59"/>
      <c r="O211" s="59"/>
      <c r="P211" s="59"/>
      <c r="Q211" s="59"/>
      <c r="R211" s="59"/>
    </row>
    <row r="212" spans="6:18">
      <c r="F212" s="60"/>
      <c r="G212" s="1"/>
      <c r="H212" s="1"/>
      <c r="I212" s="17"/>
      <c r="L212" s="50"/>
      <c r="M212" s="58"/>
      <c r="N212" s="59"/>
      <c r="O212" s="59"/>
      <c r="P212" s="59"/>
      <c r="Q212" s="59"/>
      <c r="R212" s="59"/>
    </row>
    <row r="213" spans="6:18">
      <c r="F213" s="60"/>
      <c r="G213" s="1"/>
      <c r="H213" s="1"/>
      <c r="I213" s="17"/>
      <c r="L213" s="50"/>
      <c r="M213" s="58"/>
      <c r="N213" s="59"/>
      <c r="O213" s="59"/>
      <c r="P213" s="59"/>
      <c r="Q213" s="59"/>
      <c r="R213" s="59"/>
    </row>
    <row r="214" spans="6:18">
      <c r="F214" s="60"/>
      <c r="G214" s="1"/>
      <c r="H214" s="1"/>
      <c r="I214" s="17"/>
      <c r="L214" s="50"/>
      <c r="M214" s="58"/>
      <c r="N214" s="59"/>
      <c r="O214" s="59"/>
      <c r="P214" s="59"/>
      <c r="Q214" s="59"/>
      <c r="R214" s="59"/>
    </row>
    <row r="215" spans="6:18">
      <c r="F215" s="60"/>
      <c r="G215" s="1"/>
      <c r="H215" s="1"/>
      <c r="I215" s="17"/>
      <c r="L215" s="50"/>
      <c r="M215" s="58"/>
      <c r="N215" s="59"/>
      <c r="O215" s="59"/>
      <c r="P215" s="59"/>
      <c r="Q215" s="59"/>
      <c r="R215" s="59"/>
    </row>
    <row r="216" spans="6:18">
      <c r="F216" s="60"/>
      <c r="G216" s="1"/>
      <c r="H216" s="1"/>
      <c r="I216" s="17"/>
      <c r="L216" s="50"/>
      <c r="M216" s="58"/>
      <c r="N216" s="59"/>
      <c r="O216" s="59"/>
      <c r="P216" s="59"/>
      <c r="Q216" s="59"/>
      <c r="R216" s="59"/>
    </row>
    <row r="217" spans="6:18">
      <c r="F217" s="60"/>
      <c r="G217" s="1"/>
      <c r="H217" s="1"/>
      <c r="I217" s="17"/>
      <c r="L217" s="50"/>
      <c r="M217" s="58"/>
      <c r="N217" s="59"/>
      <c r="O217" s="59"/>
      <c r="P217" s="59"/>
      <c r="Q217" s="59"/>
      <c r="R217" s="59"/>
    </row>
    <row r="218" spans="6:18">
      <c r="F218" s="60"/>
      <c r="G218" s="1"/>
      <c r="H218" s="1"/>
      <c r="I218" s="17"/>
      <c r="L218" s="50"/>
      <c r="M218" s="58"/>
      <c r="N218" s="59"/>
      <c r="O218" s="59"/>
      <c r="P218" s="59"/>
      <c r="Q218" s="59"/>
      <c r="R218" s="59"/>
    </row>
    <row r="219" spans="6:18">
      <c r="F219" s="60"/>
      <c r="G219" s="1"/>
      <c r="H219" s="1"/>
      <c r="I219" s="17"/>
      <c r="L219" s="50"/>
      <c r="M219" s="58"/>
      <c r="N219" s="59"/>
      <c r="O219" s="59"/>
      <c r="P219" s="59"/>
      <c r="Q219" s="59"/>
      <c r="R219" s="59"/>
    </row>
    <row r="220" spans="6:18">
      <c r="F220" s="60"/>
      <c r="G220" s="1"/>
      <c r="H220" s="1"/>
      <c r="I220" s="17"/>
      <c r="L220" s="50"/>
      <c r="M220" s="58"/>
      <c r="N220" s="59"/>
      <c r="O220" s="59"/>
      <c r="P220" s="59"/>
      <c r="Q220" s="59"/>
      <c r="R220" s="59"/>
    </row>
    <row r="221" spans="6:18">
      <c r="F221" s="60"/>
      <c r="G221" s="1"/>
      <c r="H221" s="1"/>
      <c r="I221" s="17"/>
      <c r="L221" s="50"/>
      <c r="M221" s="58"/>
      <c r="N221" s="59"/>
      <c r="O221" s="59"/>
      <c r="P221" s="59"/>
      <c r="Q221" s="59"/>
      <c r="R221" s="59"/>
    </row>
    <row r="222" spans="6:18">
      <c r="F222" s="60"/>
      <c r="G222" s="1"/>
      <c r="H222" s="1"/>
      <c r="I222" s="17"/>
      <c r="L222" s="50"/>
      <c r="M222" s="58"/>
      <c r="N222" s="59"/>
      <c r="O222" s="59"/>
      <c r="P222" s="59"/>
      <c r="Q222" s="59"/>
      <c r="R222" s="59"/>
    </row>
    <row r="223" spans="6:18">
      <c r="F223" s="60"/>
      <c r="G223" s="1"/>
      <c r="H223" s="1"/>
      <c r="I223" s="17"/>
      <c r="L223" s="50"/>
      <c r="M223" s="58"/>
      <c r="N223" s="59"/>
      <c r="O223" s="59"/>
      <c r="P223" s="59"/>
      <c r="Q223" s="59"/>
      <c r="R223" s="59"/>
    </row>
    <row r="224" spans="6:18">
      <c r="F224" s="60"/>
      <c r="G224" s="1"/>
      <c r="H224" s="1"/>
      <c r="I224" s="17"/>
      <c r="L224" s="50"/>
      <c r="M224" s="58"/>
      <c r="N224" s="59"/>
      <c r="O224" s="59"/>
      <c r="P224" s="59"/>
      <c r="Q224" s="59"/>
      <c r="R224" s="59"/>
    </row>
    <row r="225" spans="6:18">
      <c r="F225" s="60"/>
      <c r="G225" s="1"/>
      <c r="H225" s="1"/>
      <c r="I225" s="17"/>
      <c r="L225" s="50"/>
      <c r="M225" s="58"/>
      <c r="N225" s="59"/>
      <c r="O225" s="59"/>
      <c r="P225" s="59"/>
      <c r="Q225" s="59"/>
      <c r="R225" s="59"/>
    </row>
    <row r="226" spans="6:18">
      <c r="F226" s="60"/>
      <c r="G226" s="1"/>
      <c r="H226" s="1"/>
      <c r="I226" s="17"/>
      <c r="L226" s="50"/>
      <c r="M226" s="58"/>
      <c r="N226" s="59"/>
      <c r="O226" s="59"/>
      <c r="P226" s="59"/>
      <c r="Q226" s="59"/>
      <c r="R226" s="59"/>
    </row>
    <row r="227" spans="6:18">
      <c r="F227" s="60"/>
      <c r="G227" s="1"/>
      <c r="H227" s="1"/>
      <c r="I227" s="17"/>
      <c r="L227" s="50"/>
      <c r="M227" s="58"/>
      <c r="N227" s="59"/>
      <c r="O227" s="59"/>
      <c r="P227" s="59"/>
      <c r="Q227" s="59"/>
      <c r="R227" s="59"/>
    </row>
    <row r="228" spans="6:18">
      <c r="F228" s="60"/>
      <c r="G228" s="1"/>
      <c r="H228" s="1"/>
      <c r="I228" s="17"/>
      <c r="L228" s="50"/>
      <c r="M228" s="58"/>
      <c r="N228" s="59"/>
      <c r="O228" s="59"/>
      <c r="P228" s="59"/>
      <c r="Q228" s="59"/>
      <c r="R228" s="59"/>
    </row>
    <row r="229" spans="6:18">
      <c r="F229" s="60"/>
      <c r="G229" s="1"/>
      <c r="H229" s="1"/>
      <c r="I229" s="17"/>
      <c r="L229" s="50"/>
      <c r="M229" s="58"/>
      <c r="N229" s="59"/>
      <c r="O229" s="59"/>
      <c r="P229" s="59"/>
      <c r="Q229" s="59"/>
      <c r="R229" s="59"/>
    </row>
    <row r="230" spans="6:18">
      <c r="F230" s="60"/>
      <c r="G230" s="1"/>
      <c r="H230" s="1"/>
      <c r="I230" s="17"/>
      <c r="L230" s="50"/>
      <c r="M230" s="58"/>
      <c r="N230" s="59"/>
      <c r="O230" s="59"/>
      <c r="P230" s="59"/>
      <c r="Q230" s="59"/>
      <c r="R230" s="59"/>
    </row>
    <row r="231" spans="6:18">
      <c r="F231" s="60"/>
      <c r="G231" s="1"/>
      <c r="H231" s="1"/>
      <c r="I231" s="17"/>
      <c r="L231" s="50"/>
      <c r="M231" s="58"/>
      <c r="N231" s="59"/>
      <c r="O231" s="59"/>
      <c r="P231" s="59"/>
      <c r="Q231" s="59"/>
      <c r="R231" s="59"/>
    </row>
    <row r="232" spans="6:18">
      <c r="F232" s="60"/>
      <c r="G232" s="1"/>
      <c r="H232" s="1"/>
      <c r="I232" s="17"/>
      <c r="L232" s="50"/>
      <c r="M232" s="58"/>
      <c r="N232" s="59"/>
      <c r="O232" s="59"/>
      <c r="P232" s="59"/>
      <c r="Q232" s="59"/>
      <c r="R232" s="59"/>
    </row>
    <row r="233" spans="6:18">
      <c r="F233" s="60"/>
      <c r="G233" s="1"/>
      <c r="H233" s="1"/>
      <c r="I233" s="17"/>
      <c r="L233" s="50"/>
      <c r="M233" s="58"/>
      <c r="N233" s="59"/>
      <c r="O233" s="59"/>
      <c r="P233" s="59"/>
      <c r="Q233" s="59"/>
      <c r="R233" s="59"/>
    </row>
    <row r="234" spans="6:18">
      <c r="F234" s="60"/>
      <c r="G234" s="1"/>
      <c r="H234" s="1"/>
      <c r="I234" s="17"/>
      <c r="L234" s="50"/>
      <c r="M234" s="58"/>
      <c r="N234" s="59"/>
      <c r="O234" s="59"/>
      <c r="P234" s="59"/>
      <c r="Q234" s="59"/>
      <c r="R234" s="59"/>
    </row>
    <row r="235" spans="6:18">
      <c r="F235" s="60"/>
      <c r="G235" s="1"/>
      <c r="H235" s="1"/>
      <c r="I235" s="17"/>
      <c r="L235" s="50"/>
      <c r="M235" s="58"/>
      <c r="N235" s="59"/>
      <c r="O235" s="59"/>
      <c r="P235" s="59"/>
      <c r="Q235" s="59"/>
      <c r="R235" s="59"/>
    </row>
    <row r="236" spans="6:18">
      <c r="F236" s="60"/>
      <c r="G236" s="1"/>
      <c r="H236" s="1"/>
      <c r="I236" s="17"/>
      <c r="L236" s="50"/>
      <c r="M236" s="58"/>
      <c r="N236" s="59"/>
      <c r="O236" s="59"/>
      <c r="P236" s="59"/>
      <c r="Q236" s="59"/>
      <c r="R236" s="59"/>
    </row>
    <row r="237" spans="6:18">
      <c r="F237" s="60"/>
      <c r="G237" s="1"/>
      <c r="H237" s="1"/>
      <c r="I237" s="17"/>
      <c r="L237" s="50"/>
      <c r="M237" s="58"/>
      <c r="N237" s="59"/>
      <c r="O237" s="59"/>
      <c r="P237" s="59"/>
      <c r="Q237" s="59"/>
      <c r="R237" s="59"/>
    </row>
    <row r="238" spans="6:18">
      <c r="F238" s="60"/>
      <c r="G238" s="1"/>
      <c r="H238" s="1"/>
      <c r="I238" s="17"/>
      <c r="L238" s="50"/>
      <c r="M238" s="58"/>
      <c r="N238" s="59"/>
      <c r="O238" s="59"/>
      <c r="P238" s="59"/>
      <c r="Q238" s="59"/>
      <c r="R238" s="59"/>
    </row>
    <row r="239" spans="6:18">
      <c r="F239" s="60"/>
      <c r="G239" s="1"/>
      <c r="H239" s="1"/>
      <c r="I239" s="17"/>
      <c r="L239" s="50"/>
      <c r="M239" s="58"/>
      <c r="N239" s="59"/>
      <c r="O239" s="59"/>
      <c r="P239" s="59"/>
      <c r="Q239" s="59"/>
      <c r="R239" s="59"/>
    </row>
    <row r="240" spans="6:18">
      <c r="F240" s="60"/>
      <c r="G240" s="1"/>
      <c r="H240" s="1"/>
      <c r="I240" s="17"/>
      <c r="L240" s="50"/>
      <c r="M240" s="58"/>
      <c r="N240" s="59"/>
      <c r="O240" s="59"/>
      <c r="P240" s="59"/>
      <c r="Q240" s="59"/>
      <c r="R240" s="59"/>
    </row>
    <row r="241" spans="6:18">
      <c r="F241" s="60"/>
      <c r="G241" s="1"/>
      <c r="H241" s="1"/>
      <c r="I241" s="17"/>
      <c r="L241" s="50"/>
      <c r="M241" s="58"/>
      <c r="N241" s="59"/>
      <c r="O241" s="59"/>
      <c r="P241" s="59"/>
      <c r="Q241" s="59"/>
      <c r="R241" s="59"/>
    </row>
    <row r="242" spans="6:18">
      <c r="F242" s="60"/>
      <c r="G242" s="1"/>
      <c r="H242" s="1"/>
      <c r="I242" s="17"/>
      <c r="L242" s="50"/>
      <c r="M242" s="58"/>
      <c r="N242" s="59"/>
      <c r="O242" s="59"/>
      <c r="P242" s="59"/>
      <c r="Q242" s="59"/>
      <c r="R242" s="59"/>
    </row>
    <row r="243" spans="6:18">
      <c r="F243" s="60"/>
      <c r="G243" s="1"/>
      <c r="H243" s="1"/>
      <c r="I243" s="17"/>
      <c r="L243" s="50"/>
      <c r="M243" s="58"/>
      <c r="N243" s="59"/>
      <c r="O243" s="59"/>
      <c r="P243" s="59"/>
      <c r="Q243" s="59"/>
      <c r="R243" s="59"/>
    </row>
    <row r="244" spans="6:18">
      <c r="F244" s="60"/>
      <c r="G244" s="1"/>
      <c r="H244" s="1"/>
      <c r="I244" s="17"/>
      <c r="L244" s="50"/>
      <c r="M244" s="58"/>
      <c r="N244" s="59"/>
      <c r="O244" s="59"/>
      <c r="P244" s="59"/>
      <c r="Q244" s="59"/>
      <c r="R244" s="59"/>
    </row>
    <row r="245" spans="6:18">
      <c r="F245" s="60"/>
      <c r="G245" s="1"/>
      <c r="H245" s="1"/>
      <c r="I245" s="17"/>
      <c r="L245" s="50"/>
      <c r="M245" s="58"/>
      <c r="N245" s="59"/>
      <c r="O245" s="59"/>
      <c r="P245" s="59"/>
      <c r="Q245" s="59"/>
      <c r="R245" s="59"/>
    </row>
    <row r="246" spans="6:18">
      <c r="F246" s="60"/>
      <c r="G246" s="1"/>
      <c r="H246" s="1"/>
      <c r="I246" s="17"/>
      <c r="L246" s="50"/>
      <c r="M246" s="58"/>
      <c r="N246" s="59"/>
      <c r="O246" s="59"/>
      <c r="P246" s="59"/>
      <c r="Q246" s="59"/>
      <c r="R246" s="59"/>
    </row>
    <row r="247" spans="6:18">
      <c r="F247" s="60"/>
      <c r="G247" s="1"/>
      <c r="H247" s="1"/>
      <c r="I247" s="17"/>
      <c r="L247" s="50"/>
      <c r="M247" s="58"/>
      <c r="N247" s="59"/>
      <c r="O247" s="59"/>
      <c r="P247" s="59"/>
      <c r="Q247" s="59"/>
      <c r="R247" s="59"/>
    </row>
    <row r="248" spans="6:18">
      <c r="F248" s="60"/>
      <c r="G248" s="1"/>
      <c r="H248" s="1"/>
      <c r="I248" s="17"/>
      <c r="L248" s="50"/>
      <c r="M248" s="58"/>
      <c r="N248" s="59"/>
      <c r="O248" s="59"/>
      <c r="P248" s="59"/>
      <c r="Q248" s="59"/>
      <c r="R248" s="59"/>
    </row>
    <row r="249" spans="6:18">
      <c r="F249" s="60"/>
      <c r="G249" s="1"/>
      <c r="H249" s="1"/>
      <c r="I249" s="17"/>
      <c r="L249" s="50"/>
      <c r="M249" s="58"/>
      <c r="N249" s="59"/>
      <c r="O249" s="59"/>
      <c r="P249" s="59"/>
      <c r="Q249" s="59"/>
      <c r="R249" s="59"/>
    </row>
    <row r="250" spans="6:18">
      <c r="F250" s="60"/>
      <c r="G250" s="1"/>
      <c r="H250" s="1"/>
      <c r="I250" s="17"/>
      <c r="L250" s="50"/>
      <c r="M250" s="58"/>
      <c r="N250" s="59"/>
      <c r="O250" s="59"/>
      <c r="P250" s="59"/>
      <c r="Q250" s="59"/>
      <c r="R250" s="59"/>
    </row>
    <row r="251" spans="6:18">
      <c r="F251" s="60"/>
      <c r="G251" s="1"/>
      <c r="H251" s="1"/>
      <c r="I251" s="17"/>
      <c r="L251" s="50"/>
      <c r="M251" s="58"/>
      <c r="N251" s="59"/>
      <c r="O251" s="59"/>
      <c r="P251" s="59"/>
      <c r="Q251" s="59"/>
      <c r="R251" s="59"/>
    </row>
    <row r="252" spans="6:18">
      <c r="F252" s="60"/>
      <c r="G252" s="1"/>
      <c r="H252" s="1"/>
      <c r="I252" s="17"/>
      <c r="L252" s="50"/>
      <c r="M252" s="58"/>
      <c r="N252" s="59"/>
      <c r="O252" s="59"/>
      <c r="P252" s="59"/>
      <c r="Q252" s="59"/>
      <c r="R252" s="59"/>
    </row>
    <row r="253" spans="6:18">
      <c r="F253" s="60"/>
      <c r="G253" s="1"/>
      <c r="H253" s="1"/>
      <c r="I253" s="17"/>
      <c r="L253" s="50"/>
      <c r="M253" s="58"/>
      <c r="N253" s="59"/>
      <c r="O253" s="59"/>
      <c r="P253" s="59"/>
      <c r="Q253" s="59"/>
      <c r="R253" s="59"/>
    </row>
    <row r="254" spans="6:18">
      <c r="F254" s="60"/>
      <c r="G254" s="1"/>
      <c r="H254" s="1"/>
      <c r="I254" s="17"/>
      <c r="L254" s="50"/>
      <c r="M254" s="58"/>
      <c r="N254" s="59"/>
      <c r="O254" s="59"/>
      <c r="P254" s="59"/>
      <c r="Q254" s="59"/>
      <c r="R254" s="59"/>
    </row>
    <row r="255" spans="6:18">
      <c r="F255" s="60"/>
      <c r="G255" s="1"/>
      <c r="H255" s="1"/>
      <c r="I255" s="17"/>
      <c r="L255" s="50"/>
      <c r="M255" s="58"/>
      <c r="N255" s="59"/>
      <c r="O255" s="59"/>
      <c r="P255" s="59"/>
      <c r="Q255" s="59"/>
      <c r="R255" s="59"/>
    </row>
    <row r="256" spans="6:18">
      <c r="F256" s="60"/>
      <c r="G256" s="1"/>
      <c r="H256" s="1"/>
      <c r="I256" s="17"/>
      <c r="L256" s="50"/>
      <c r="M256" s="58"/>
      <c r="N256" s="59"/>
      <c r="O256" s="59"/>
      <c r="P256" s="59"/>
      <c r="Q256" s="59"/>
      <c r="R256" s="59"/>
    </row>
    <row r="257" spans="6:18">
      <c r="F257" s="60"/>
      <c r="G257" s="1"/>
      <c r="H257" s="1"/>
      <c r="I257" s="17"/>
      <c r="L257" s="50"/>
      <c r="M257" s="58"/>
      <c r="N257" s="59"/>
      <c r="O257" s="59"/>
      <c r="P257" s="59"/>
      <c r="Q257" s="59"/>
      <c r="R257" s="59"/>
    </row>
    <row r="258" spans="6:18">
      <c r="F258" s="60"/>
      <c r="G258" s="1"/>
      <c r="H258" s="1"/>
      <c r="I258" s="17"/>
      <c r="L258" s="50"/>
      <c r="M258" s="58"/>
      <c r="N258" s="59"/>
      <c r="O258" s="59"/>
      <c r="P258" s="59"/>
      <c r="Q258" s="59"/>
      <c r="R258" s="59"/>
    </row>
    <row r="259" spans="6:18">
      <c r="F259" s="60"/>
      <c r="G259" s="1"/>
      <c r="H259" s="1"/>
      <c r="I259" s="17"/>
      <c r="L259" s="50"/>
      <c r="M259" s="58"/>
      <c r="N259" s="59"/>
      <c r="O259" s="59"/>
      <c r="P259" s="59"/>
      <c r="Q259" s="59"/>
      <c r="R259" s="59"/>
    </row>
    <row r="260" spans="6:18">
      <c r="F260" s="60"/>
      <c r="G260" s="1"/>
      <c r="H260" s="1"/>
      <c r="I260" s="17"/>
      <c r="L260" s="50"/>
      <c r="M260" s="58"/>
      <c r="N260" s="59"/>
      <c r="O260" s="59"/>
      <c r="P260" s="59"/>
      <c r="Q260" s="59"/>
      <c r="R260" s="59"/>
    </row>
    <row r="261" spans="6:18">
      <c r="F261" s="60"/>
      <c r="G261" s="1"/>
      <c r="H261" s="1"/>
      <c r="I261" s="17"/>
      <c r="L261" s="50"/>
      <c r="M261" s="58"/>
      <c r="N261" s="59"/>
      <c r="O261" s="59"/>
      <c r="P261" s="59"/>
      <c r="Q261" s="59"/>
      <c r="R261" s="59"/>
    </row>
    <row r="262" spans="6:18">
      <c r="F262" s="60"/>
      <c r="G262" s="1"/>
      <c r="H262" s="1"/>
      <c r="I262" s="17"/>
      <c r="L262" s="50"/>
      <c r="M262" s="58"/>
      <c r="N262" s="59"/>
      <c r="O262" s="59"/>
      <c r="P262" s="59"/>
      <c r="Q262" s="59"/>
      <c r="R262" s="59"/>
    </row>
    <row r="263" spans="6:18">
      <c r="F263" s="60"/>
      <c r="G263" s="1"/>
      <c r="H263" s="1"/>
      <c r="I263" s="17"/>
      <c r="L263" s="50"/>
      <c r="M263" s="58"/>
      <c r="N263" s="59"/>
      <c r="O263" s="59"/>
      <c r="P263" s="59"/>
      <c r="Q263" s="59"/>
      <c r="R263" s="59"/>
    </row>
    <row r="264" spans="6:18">
      <c r="F264" s="60"/>
      <c r="G264" s="1"/>
      <c r="H264" s="1"/>
      <c r="I264" s="17"/>
      <c r="L264" s="50"/>
      <c r="M264" s="58"/>
      <c r="N264" s="59"/>
      <c r="O264" s="59"/>
      <c r="P264" s="59"/>
      <c r="Q264" s="59"/>
      <c r="R264" s="59"/>
    </row>
    <row r="265" spans="6:18">
      <c r="F265" s="60"/>
      <c r="G265" s="1"/>
      <c r="H265" s="1"/>
      <c r="I265" s="17"/>
      <c r="L265" s="50"/>
      <c r="M265" s="58"/>
      <c r="N265" s="59"/>
      <c r="O265" s="59"/>
      <c r="P265" s="59"/>
      <c r="Q265" s="59"/>
      <c r="R265" s="59"/>
    </row>
    <row r="266" spans="6:18">
      <c r="F266" s="60"/>
      <c r="G266" s="1"/>
      <c r="H266" s="1"/>
      <c r="I266" s="17"/>
      <c r="L266" s="50"/>
      <c r="M266" s="58"/>
      <c r="N266" s="59"/>
      <c r="O266" s="59"/>
      <c r="P266" s="59"/>
      <c r="Q266" s="59"/>
      <c r="R266" s="59"/>
    </row>
    <row r="267" spans="6:18">
      <c r="F267" s="60"/>
      <c r="G267" s="1"/>
      <c r="H267" s="1"/>
      <c r="I267" s="17"/>
      <c r="L267" s="50"/>
      <c r="M267" s="58"/>
      <c r="N267" s="59"/>
      <c r="O267" s="59"/>
      <c r="P267" s="59"/>
      <c r="Q267" s="59"/>
      <c r="R267" s="59"/>
    </row>
    <row r="268" spans="6:18">
      <c r="F268" s="60"/>
      <c r="G268" s="1"/>
      <c r="H268" s="1"/>
      <c r="I268" s="17"/>
      <c r="L268" s="50"/>
      <c r="M268" s="58"/>
      <c r="N268" s="59"/>
      <c r="O268" s="59"/>
      <c r="P268" s="59"/>
      <c r="Q268" s="59"/>
      <c r="R268" s="59"/>
    </row>
    <row r="269" spans="6:18">
      <c r="F269" s="60"/>
      <c r="G269" s="1"/>
      <c r="H269" s="1"/>
      <c r="I269" s="17"/>
      <c r="L269" s="50"/>
      <c r="M269" s="58"/>
      <c r="N269" s="59"/>
      <c r="O269" s="59"/>
      <c r="P269" s="59"/>
      <c r="Q269" s="59"/>
      <c r="R269" s="59"/>
    </row>
    <row r="270" spans="6:18">
      <c r="F270" s="60"/>
      <c r="G270" s="1"/>
      <c r="H270" s="1"/>
      <c r="I270" s="17"/>
      <c r="L270" s="50"/>
      <c r="M270" s="58"/>
      <c r="N270" s="59"/>
      <c r="O270" s="59"/>
      <c r="P270" s="59"/>
      <c r="Q270" s="59"/>
      <c r="R270" s="59"/>
    </row>
  </sheetData>
  <sheetProtection algorithmName="SHA-512" hashValue="pYSXDZhZwmJIVnv9x1qHdRE45uRKYx5qcvQOeBIMogVV005BeV3Qp1K+6PINyJdQbzZXA+6bEXVmwWJOz7UhFg==" saltValue="aYcwQZp2/rv6/pDCCzN8+g==" spinCount="100000" sheet="1" objects="1" scenarios="1"/>
  <mergeCells count="5">
    <mergeCell ref="K67:M67"/>
    <mergeCell ref="I65:J65"/>
    <mergeCell ref="B64:M64"/>
    <mergeCell ref="K65:L65"/>
    <mergeCell ref="K66:M66"/>
  </mergeCells>
  <phoneticPr fontId="1" type="noConversion"/>
  <conditionalFormatting sqref="J82:L115">
    <cfRule type="containsText" dxfId="19" priority="3" operator="containsText" text="Reliability">
      <formula>NOT(ISERROR(SEARCH("Reliability",J82)))</formula>
    </cfRule>
  </conditionalFormatting>
  <hyperlinks>
    <hyperlink ref="B58" r:id="rId1" display="https://aemo.com.au/en/energy-systems/electricity/national-electricity-market-nem/data-nem/settlements-data/direction-compensation-recovery" xr:uid="{F4C0F51E-7987-4867-9AA1-9CBAA2B10606}"/>
    <hyperlink ref="B56" r:id="rId2" display=" 1 Power system operating incident reports " xr:uid="{8B5E3AB0-E1FE-4026-9E85-9B1832C07FFF}"/>
  </hyperlinks>
  <pageMargins left="0.7" right="0.7" top="0.75" bottom="0.75" header="0.3" footer="0.3"/>
  <pageSetup paperSize="9" orientation="landscape" r:id="rId3"/>
  <ignoredErrors>
    <ignoredError sqref="B82:R115" calculatedColumn="1"/>
  </ignoredErrors>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M13" sqref="M13"/>
    </sheetView>
  </sheetViews>
  <sheetFormatPr defaultRowHeight="15"/>
  <cols>
    <col min="1" max="1" width="4.25" customWidth="1"/>
  </cols>
  <sheetData>
    <row r="2" spans="2:10" ht="23.25" thickBot="1">
      <c r="B2" s="73" t="s">
        <v>70</v>
      </c>
      <c r="C2" s="73"/>
      <c r="D2" s="73"/>
      <c r="E2" s="73"/>
      <c r="F2" s="73"/>
      <c r="G2" s="73"/>
      <c r="H2" s="73"/>
      <c r="I2" s="73"/>
      <c r="J2" s="73"/>
    </row>
    <row r="48" spans="2:5">
      <c r="B48" s="21"/>
      <c r="C48" s="21"/>
      <c r="D48" s="21"/>
      <c r="E48" s="21"/>
    </row>
    <row r="49" spans="2:10" ht="33.6" customHeight="1">
      <c r="B49" s="78" t="s">
        <v>71</v>
      </c>
      <c r="C49" s="78"/>
      <c r="D49" s="78"/>
      <c r="E49" s="78"/>
      <c r="F49" s="78"/>
      <c r="G49" s="78"/>
      <c r="H49" s="78"/>
      <c r="I49" s="78"/>
      <c r="J49" s="78"/>
    </row>
  </sheetData>
  <sheetProtection algorithmName="SHA-512" hashValue="o5NWCjSlVlLCzJkJg3IJRJaQWaS1G7NUXfPdj5RFUuCsJh/TJX7eb4G8VZ9BF0ei0pHLUT+wSzecpTkDxxqtuQ==" saltValue="eUB1rKXp5mydTPMevv58sQ=="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8076"/>
  <sheetViews>
    <sheetView showGridLines="0" topLeftCell="B1" zoomScale="90" zoomScaleNormal="90" workbookViewId="0">
      <pane ySplit="5" topLeftCell="A6" activePane="bottomLeft" state="frozen"/>
      <selection pane="bottomLeft" activeCell="E28" sqref="E28"/>
      <selection activeCell="B3" sqref="B3"/>
    </sheetView>
  </sheetViews>
  <sheetFormatPr defaultRowHeight="15"/>
  <cols>
    <col min="1" max="1" width="4.25" customWidth="1"/>
    <col min="2" max="3" width="20.25" customWidth="1"/>
    <col min="4" max="4" width="17.75" customWidth="1"/>
    <col min="5" max="5" width="16.25" bestFit="1" customWidth="1"/>
    <col min="6" max="6" width="13.75" bestFit="1" customWidth="1"/>
    <col min="7" max="10" width="9.625" customWidth="1"/>
    <col min="12" max="12" width="14.375" bestFit="1" customWidth="1"/>
    <col min="13" max="13" width="32" bestFit="1" customWidth="1"/>
  </cols>
  <sheetData>
    <row r="2" spans="2:13" ht="23.25" thickBot="1">
      <c r="B2" s="73" t="s">
        <v>72</v>
      </c>
      <c r="C2" s="73"/>
      <c r="D2" s="73"/>
      <c r="E2" s="73"/>
      <c r="F2" s="73"/>
      <c r="G2" s="73"/>
      <c r="H2" s="73"/>
      <c r="I2" s="73"/>
      <c r="J2" s="73"/>
    </row>
    <row r="3" spans="2:13">
      <c r="F3" s="19"/>
    </row>
    <row r="4" spans="2:13" ht="15.75" thickBot="1">
      <c r="B4" s="37" t="s">
        <v>73</v>
      </c>
      <c r="C4" s="37" t="s">
        <v>74</v>
      </c>
      <c r="E4" s="36"/>
      <c r="F4" s="79" t="s">
        <v>75</v>
      </c>
      <c r="G4" s="79"/>
      <c r="H4" s="79"/>
      <c r="I4" s="79"/>
      <c r="J4" s="79"/>
    </row>
    <row r="5" spans="2:13" ht="15.75" thickBot="1">
      <c r="B5" s="38">
        <v>45325</v>
      </c>
      <c r="C5" s="38">
        <v>45353</v>
      </c>
      <c r="E5" s="39" t="s">
        <v>76</v>
      </c>
      <c r="F5" s="40" t="s">
        <v>39</v>
      </c>
      <c r="G5" s="40" t="s">
        <v>53</v>
      </c>
      <c r="H5" s="40" t="s">
        <v>77</v>
      </c>
      <c r="I5" s="40" t="s">
        <v>78</v>
      </c>
      <c r="J5" s="40" t="s">
        <v>79</v>
      </c>
    </row>
    <row r="6" spans="2:13">
      <c r="E6" s="43">
        <v>45325.708333332674</v>
      </c>
      <c r="F6" s="41">
        <v>7.4772309795406793</v>
      </c>
      <c r="G6" s="41">
        <v>0</v>
      </c>
      <c r="H6" s="42"/>
      <c r="I6" s="42"/>
      <c r="J6" s="42"/>
    </row>
    <row r="7" spans="2:13">
      <c r="E7" s="43">
        <v>45325.711805554893</v>
      </c>
      <c r="F7" s="41">
        <v>7.4772309795406793</v>
      </c>
      <c r="G7" s="41">
        <v>0</v>
      </c>
      <c r="H7" s="42"/>
      <c r="I7" s="42"/>
      <c r="J7" s="42"/>
      <c r="M7" s="26"/>
    </row>
    <row r="8" spans="2:13">
      <c r="E8" s="43">
        <v>45325.715277777112</v>
      </c>
      <c r="F8" s="41">
        <v>7.4772309795406793</v>
      </c>
      <c r="G8" s="41">
        <v>0</v>
      </c>
      <c r="H8" s="42"/>
      <c r="I8" s="42"/>
      <c r="J8" s="42"/>
      <c r="M8" s="26"/>
    </row>
    <row r="9" spans="2:13">
      <c r="E9" s="43">
        <v>45325.718749999331</v>
      </c>
      <c r="F9" s="41">
        <v>7.4772309795406793</v>
      </c>
      <c r="G9" s="41">
        <v>0</v>
      </c>
      <c r="H9" s="42"/>
      <c r="I9" s="42"/>
      <c r="J9" s="42"/>
      <c r="M9" s="26"/>
    </row>
    <row r="10" spans="2:13">
      <c r="E10" s="43">
        <v>45325.72222222155</v>
      </c>
      <c r="F10" s="41">
        <v>7.4772309795406793</v>
      </c>
      <c r="G10" s="41">
        <v>0</v>
      </c>
      <c r="H10" s="42"/>
      <c r="I10" s="42"/>
      <c r="J10" s="42"/>
      <c r="M10" s="26"/>
    </row>
    <row r="11" spans="2:13">
      <c r="E11" s="43">
        <v>45325.725694443769</v>
      </c>
      <c r="F11" s="41">
        <v>7.4772309795406793</v>
      </c>
      <c r="G11" s="41">
        <v>0</v>
      </c>
      <c r="H11" s="42"/>
      <c r="I11" s="42"/>
      <c r="J11" s="42"/>
      <c r="M11" s="26"/>
    </row>
    <row r="12" spans="2:13">
      <c r="E12" s="43">
        <v>45325.729166665988</v>
      </c>
      <c r="F12" s="41">
        <v>7.4772309795406793</v>
      </c>
      <c r="G12" s="41">
        <v>0</v>
      </c>
      <c r="H12" s="42"/>
      <c r="I12" s="42"/>
      <c r="J12" s="42"/>
      <c r="M12" s="26"/>
    </row>
    <row r="13" spans="2:13">
      <c r="E13" s="43">
        <v>45325.732638888207</v>
      </c>
      <c r="F13" s="41">
        <v>7.4772309795406793</v>
      </c>
      <c r="G13" s="41">
        <v>0</v>
      </c>
      <c r="H13" s="42"/>
      <c r="I13" s="42"/>
      <c r="J13" s="42"/>
      <c r="M13" s="26"/>
    </row>
    <row r="14" spans="2:13">
      <c r="E14" s="43">
        <v>45325.736111110426</v>
      </c>
      <c r="F14" s="41">
        <v>7.4772309795406793</v>
      </c>
      <c r="G14" s="41">
        <v>0</v>
      </c>
      <c r="H14" s="42"/>
      <c r="I14" s="42"/>
      <c r="J14" s="42"/>
      <c r="M14" s="26"/>
    </row>
    <row r="15" spans="2:13">
      <c r="E15" s="43">
        <v>45325.739583332645</v>
      </c>
      <c r="F15" s="41">
        <v>7.4772309795406793</v>
      </c>
      <c r="G15" s="41">
        <v>0</v>
      </c>
      <c r="H15" s="42"/>
      <c r="I15" s="42"/>
      <c r="J15" s="42"/>
      <c r="M15" s="26"/>
    </row>
    <row r="16" spans="2:13">
      <c r="E16" s="43">
        <v>45325.743055554864</v>
      </c>
      <c r="F16" s="41">
        <v>7.4772309795406793</v>
      </c>
      <c r="G16" s="41">
        <v>0</v>
      </c>
      <c r="H16" s="42"/>
      <c r="I16" s="42"/>
      <c r="J16" s="42"/>
      <c r="M16" s="26"/>
    </row>
    <row r="17" spans="5:13">
      <c r="E17" s="43">
        <v>45325.746527777083</v>
      </c>
      <c r="F17" s="41">
        <v>7.4772309795406793</v>
      </c>
      <c r="G17" s="41">
        <v>0</v>
      </c>
      <c r="H17" s="42"/>
      <c r="I17" s="42"/>
      <c r="J17" s="42"/>
      <c r="M17" s="26"/>
    </row>
    <row r="18" spans="5:13">
      <c r="E18" s="43">
        <v>45325.749999999302</v>
      </c>
      <c r="F18" s="41">
        <v>7.4772309795406793</v>
      </c>
      <c r="G18" s="41">
        <v>0</v>
      </c>
      <c r="H18" s="42"/>
      <c r="I18" s="42"/>
      <c r="J18" s="42"/>
      <c r="M18" s="26"/>
    </row>
    <row r="19" spans="5:13">
      <c r="E19" s="43">
        <v>45325.75347222152</v>
      </c>
      <c r="F19" s="41">
        <v>7.4772309795406793</v>
      </c>
      <c r="G19" s="41">
        <v>0</v>
      </c>
      <c r="H19" s="42"/>
      <c r="I19" s="42"/>
      <c r="J19" s="42"/>
      <c r="M19" s="26"/>
    </row>
    <row r="20" spans="5:13">
      <c r="E20" s="43">
        <v>45325.756944443739</v>
      </c>
      <c r="F20" s="41">
        <v>7.4772309795406793</v>
      </c>
      <c r="G20" s="41">
        <v>0</v>
      </c>
      <c r="H20" s="42"/>
      <c r="I20" s="42"/>
      <c r="J20" s="42"/>
      <c r="M20" s="26"/>
    </row>
    <row r="21" spans="5:13">
      <c r="E21" s="43">
        <v>45325.760416665958</v>
      </c>
      <c r="F21" s="41">
        <v>7.4772309795406793</v>
      </c>
      <c r="G21" s="41">
        <v>0</v>
      </c>
      <c r="H21" s="42"/>
      <c r="I21" s="42"/>
      <c r="J21" s="42"/>
      <c r="M21" s="26"/>
    </row>
    <row r="22" spans="5:13">
      <c r="E22" s="43">
        <v>45325.763888888177</v>
      </c>
      <c r="F22" s="41">
        <v>7.4772309795406793</v>
      </c>
      <c r="G22" s="41">
        <v>0</v>
      </c>
      <c r="H22" s="42"/>
      <c r="I22" s="42"/>
      <c r="J22" s="42"/>
      <c r="M22" s="26"/>
    </row>
    <row r="23" spans="5:13">
      <c r="E23" s="43">
        <v>45325.767361110396</v>
      </c>
      <c r="F23" s="41">
        <v>7.4772309795406793</v>
      </c>
      <c r="G23" s="41">
        <v>0</v>
      </c>
      <c r="H23" s="42"/>
      <c r="I23" s="42"/>
      <c r="J23" s="42"/>
      <c r="M23" s="26"/>
    </row>
    <row r="24" spans="5:13">
      <c r="E24" s="43">
        <v>45325.770833332615</v>
      </c>
      <c r="F24" s="41">
        <v>7.4772309795406793</v>
      </c>
      <c r="G24" s="41">
        <v>0</v>
      </c>
      <c r="H24" s="42"/>
      <c r="I24" s="42"/>
      <c r="J24" s="42"/>
      <c r="M24" s="26"/>
    </row>
    <row r="25" spans="5:13">
      <c r="E25" s="43">
        <v>45325.774305554834</v>
      </c>
      <c r="F25" s="41">
        <v>7.4772309795406793</v>
      </c>
      <c r="G25" s="41">
        <v>0</v>
      </c>
      <c r="H25" s="42"/>
      <c r="I25" s="42"/>
      <c r="J25" s="42"/>
      <c r="M25" s="26"/>
    </row>
    <row r="26" spans="5:13">
      <c r="E26" s="43">
        <v>45325.777777777053</v>
      </c>
      <c r="F26" s="41">
        <v>7.4772309795406793</v>
      </c>
      <c r="G26" s="41">
        <v>0</v>
      </c>
      <c r="H26" s="42"/>
      <c r="I26" s="42"/>
      <c r="J26" s="42"/>
      <c r="M26" s="26"/>
    </row>
    <row r="27" spans="5:13">
      <c r="E27" s="43">
        <v>45325.781249999272</v>
      </c>
      <c r="F27" s="41">
        <v>7.4772309795406793</v>
      </c>
      <c r="G27" s="41">
        <v>0</v>
      </c>
      <c r="H27" s="42"/>
      <c r="I27" s="42"/>
      <c r="J27" s="42"/>
      <c r="M27" s="26"/>
    </row>
    <row r="28" spans="5:13">
      <c r="E28" s="43">
        <v>45325.784722221491</v>
      </c>
      <c r="F28" s="41">
        <v>7.4772309795406793</v>
      </c>
      <c r="G28" s="41">
        <v>0</v>
      </c>
      <c r="H28" s="42"/>
      <c r="I28" s="42"/>
      <c r="J28" s="42"/>
      <c r="M28" s="26"/>
    </row>
    <row r="29" spans="5:13">
      <c r="E29" s="43">
        <v>45325.78819444371</v>
      </c>
      <c r="F29" s="41">
        <v>7.4772309795406793</v>
      </c>
      <c r="G29" s="41">
        <v>0</v>
      </c>
      <c r="H29" s="42"/>
      <c r="I29" s="42"/>
      <c r="J29" s="42"/>
      <c r="M29" s="26"/>
    </row>
    <row r="30" spans="5:13">
      <c r="E30" s="43">
        <v>45325.791666665929</v>
      </c>
      <c r="F30" s="41">
        <v>7.4772309795406793</v>
      </c>
      <c r="G30" s="41">
        <v>0</v>
      </c>
      <c r="H30" s="42"/>
      <c r="I30" s="42"/>
      <c r="J30" s="42"/>
      <c r="M30" s="26"/>
    </row>
    <row r="31" spans="5:13">
      <c r="E31" s="43">
        <v>45325.795138888148</v>
      </c>
      <c r="F31" s="41">
        <v>7.4772309795406793</v>
      </c>
      <c r="G31" s="41">
        <v>0</v>
      </c>
      <c r="H31" s="42"/>
      <c r="I31" s="42"/>
      <c r="J31" s="42"/>
      <c r="M31" s="26"/>
    </row>
    <row r="32" spans="5:13">
      <c r="E32" s="43">
        <v>45325.798611110367</v>
      </c>
      <c r="F32" s="41">
        <v>7.4772309795406793</v>
      </c>
      <c r="G32" s="41">
        <v>0</v>
      </c>
      <c r="H32" s="42"/>
      <c r="I32" s="42"/>
      <c r="J32" s="42"/>
      <c r="M32" s="26"/>
    </row>
    <row r="33" spans="5:13">
      <c r="E33" s="43">
        <v>45325.802083332586</v>
      </c>
      <c r="F33" s="41">
        <v>7.4772309795406793</v>
      </c>
      <c r="G33" s="41">
        <v>0</v>
      </c>
      <c r="H33" s="42"/>
      <c r="I33" s="42"/>
      <c r="J33" s="42"/>
      <c r="M33" s="26"/>
    </row>
    <row r="34" spans="5:13">
      <c r="E34" s="43">
        <v>45325.805555554805</v>
      </c>
      <c r="F34" s="41">
        <v>7.4772309795406793</v>
      </c>
      <c r="G34" s="41">
        <v>0</v>
      </c>
      <c r="H34" s="42"/>
      <c r="I34" s="42"/>
      <c r="J34" s="42"/>
      <c r="M34" s="26"/>
    </row>
    <row r="35" spans="5:13">
      <c r="E35" s="43">
        <v>45325.809027777024</v>
      </c>
      <c r="F35" s="41">
        <v>7.4772309795406793</v>
      </c>
      <c r="G35" s="41">
        <v>0</v>
      </c>
      <c r="H35" s="42"/>
      <c r="I35" s="42"/>
      <c r="J35" s="42"/>
      <c r="M35" s="26"/>
    </row>
    <row r="36" spans="5:13">
      <c r="E36" s="43">
        <v>45325.812499999243</v>
      </c>
      <c r="F36" s="41">
        <v>7.4772309795406793</v>
      </c>
      <c r="G36" s="41">
        <v>0</v>
      </c>
      <c r="H36" s="42"/>
      <c r="I36" s="42"/>
      <c r="J36" s="42"/>
      <c r="M36" s="26"/>
    </row>
    <row r="37" spans="5:13">
      <c r="E37" s="43">
        <v>45325.815972221462</v>
      </c>
      <c r="F37" s="41">
        <v>7.4772309795406793</v>
      </c>
      <c r="G37" s="41">
        <v>0</v>
      </c>
      <c r="H37" s="42"/>
      <c r="I37" s="42"/>
      <c r="J37" s="42"/>
      <c r="M37" s="26"/>
    </row>
    <row r="38" spans="5:13">
      <c r="E38" s="43">
        <v>45325.819444443681</v>
      </c>
      <c r="F38" s="41">
        <v>7.4772309795406793</v>
      </c>
      <c r="G38" s="41">
        <v>0</v>
      </c>
      <c r="H38" s="42"/>
      <c r="I38" s="42"/>
      <c r="J38" s="42"/>
      <c r="M38" s="26"/>
    </row>
    <row r="39" spans="5:13">
      <c r="E39" s="43">
        <v>45325.8229166659</v>
      </c>
      <c r="F39" s="41">
        <v>7.4772309795406793</v>
      </c>
      <c r="G39" s="41">
        <v>0</v>
      </c>
      <c r="H39" s="42"/>
      <c r="I39" s="42"/>
      <c r="J39" s="42"/>
      <c r="M39" s="26"/>
    </row>
    <row r="40" spans="5:13">
      <c r="E40" s="43">
        <v>45325.826388888119</v>
      </c>
      <c r="F40" s="41">
        <v>7.4772309795406793</v>
      </c>
      <c r="G40" s="41">
        <v>0</v>
      </c>
      <c r="H40" s="42"/>
      <c r="I40" s="42"/>
      <c r="J40" s="42"/>
      <c r="M40" s="26"/>
    </row>
    <row r="41" spans="5:13">
      <c r="E41" s="43">
        <v>45325.829861110338</v>
      </c>
      <c r="F41" s="41">
        <v>7.4772309795406793</v>
      </c>
      <c r="G41" s="41">
        <v>0</v>
      </c>
      <c r="H41" s="42"/>
      <c r="I41" s="42"/>
      <c r="J41" s="42"/>
      <c r="M41" s="26"/>
    </row>
    <row r="42" spans="5:13">
      <c r="E42" s="43">
        <v>45325.833333332557</v>
      </c>
      <c r="F42" s="41">
        <v>7.4772309795406793</v>
      </c>
      <c r="G42" s="41">
        <v>0</v>
      </c>
      <c r="H42" s="42"/>
      <c r="I42" s="42"/>
      <c r="J42" s="42"/>
      <c r="M42" s="26"/>
    </row>
    <row r="43" spans="5:13">
      <c r="E43" s="43">
        <v>45325.836805554776</v>
      </c>
      <c r="F43" s="41">
        <v>7.4772309795406793</v>
      </c>
      <c r="G43" s="41">
        <v>0</v>
      </c>
      <c r="H43" s="42"/>
      <c r="I43" s="42"/>
      <c r="J43" s="42"/>
      <c r="M43" s="26"/>
    </row>
    <row r="44" spans="5:13">
      <c r="E44" s="43">
        <v>45325.840277776995</v>
      </c>
      <c r="F44" s="41">
        <v>7.4772309795406793</v>
      </c>
      <c r="G44" s="41">
        <v>0</v>
      </c>
      <c r="H44" s="42"/>
      <c r="I44" s="42"/>
      <c r="J44" s="42"/>
      <c r="M44" s="26"/>
    </row>
    <row r="45" spans="5:13">
      <c r="E45" s="43">
        <v>45325.843749999214</v>
      </c>
      <c r="F45" s="41">
        <v>7.4772309795406793</v>
      </c>
      <c r="G45" s="41">
        <v>0</v>
      </c>
      <c r="H45" s="42"/>
      <c r="I45" s="42"/>
      <c r="J45" s="42"/>
      <c r="M45" s="26"/>
    </row>
    <row r="46" spans="5:13">
      <c r="E46" s="43">
        <v>45325.847222221433</v>
      </c>
      <c r="F46" s="41">
        <v>7.4772309795406793</v>
      </c>
      <c r="G46" s="41">
        <v>0</v>
      </c>
      <c r="H46" s="42"/>
      <c r="I46" s="42"/>
      <c r="J46" s="42"/>
      <c r="M46" s="26"/>
    </row>
    <row r="47" spans="5:13">
      <c r="E47" s="43">
        <v>45325.850694443652</v>
      </c>
      <c r="F47" s="41">
        <v>7.4772309795406793</v>
      </c>
      <c r="G47" s="41">
        <v>0</v>
      </c>
      <c r="H47" s="42"/>
      <c r="I47" s="42"/>
      <c r="J47" s="42"/>
      <c r="M47" s="26"/>
    </row>
    <row r="48" spans="5:13">
      <c r="E48" s="43">
        <v>45325.854166665871</v>
      </c>
      <c r="F48" s="41">
        <v>7.4772309795406793</v>
      </c>
      <c r="G48" s="41">
        <v>0</v>
      </c>
      <c r="H48" s="42"/>
      <c r="I48" s="42"/>
      <c r="J48" s="42"/>
      <c r="M48" s="26"/>
    </row>
    <row r="49" spans="5:13">
      <c r="E49" s="43">
        <v>45325.85763888809</v>
      </c>
      <c r="F49" s="41">
        <v>7.4772309795406793</v>
      </c>
      <c r="G49" s="41">
        <v>0</v>
      </c>
      <c r="H49" s="42"/>
      <c r="I49" s="42"/>
      <c r="J49" s="42"/>
      <c r="M49" s="26"/>
    </row>
    <row r="50" spans="5:13">
      <c r="E50" s="43">
        <v>45325.861111110309</v>
      </c>
      <c r="F50" s="41">
        <v>7.4772309795406793</v>
      </c>
      <c r="G50" s="41">
        <v>0</v>
      </c>
      <c r="H50" s="42"/>
      <c r="I50" s="42"/>
      <c r="J50" s="42"/>
      <c r="M50" s="26"/>
    </row>
    <row r="51" spans="5:13">
      <c r="E51" s="43">
        <v>45325.864583332528</v>
      </c>
      <c r="F51" s="41">
        <v>7.4772309795406793</v>
      </c>
      <c r="G51" s="41">
        <v>0</v>
      </c>
      <c r="H51" s="42"/>
      <c r="I51" s="42"/>
      <c r="J51" s="42"/>
      <c r="M51" s="26"/>
    </row>
    <row r="52" spans="5:13">
      <c r="E52" s="43">
        <v>45325.868055554747</v>
      </c>
      <c r="F52" s="41">
        <v>7.4772309795406793</v>
      </c>
      <c r="G52" s="41">
        <v>0</v>
      </c>
      <c r="H52" s="42"/>
      <c r="I52" s="42"/>
      <c r="J52" s="42"/>
      <c r="M52" s="26"/>
    </row>
    <row r="53" spans="5:13">
      <c r="E53" s="43">
        <v>45325.871527776966</v>
      </c>
      <c r="F53" s="41">
        <v>7.4772309795406793</v>
      </c>
      <c r="G53" s="41">
        <v>0</v>
      </c>
      <c r="H53" s="42"/>
      <c r="I53" s="42"/>
      <c r="J53" s="42"/>
      <c r="M53" s="26"/>
    </row>
    <row r="54" spans="5:13">
      <c r="E54" s="43">
        <v>45325.874999999185</v>
      </c>
      <c r="F54" s="41">
        <v>7.4772309795406793</v>
      </c>
      <c r="G54" s="41">
        <v>0</v>
      </c>
      <c r="H54" s="42"/>
      <c r="I54" s="42"/>
      <c r="J54" s="42"/>
      <c r="M54" s="26"/>
    </row>
    <row r="55" spans="5:13">
      <c r="E55" s="43">
        <v>45325.878472221404</v>
      </c>
      <c r="F55" s="41">
        <v>7.4772309795406793</v>
      </c>
      <c r="G55" s="41">
        <v>0</v>
      </c>
      <c r="H55" s="42"/>
      <c r="I55" s="42"/>
      <c r="J55" s="42"/>
      <c r="M55" s="26"/>
    </row>
    <row r="56" spans="5:13">
      <c r="E56" s="43">
        <v>45325.881944443623</v>
      </c>
      <c r="F56" s="41">
        <v>7.4772309795406793</v>
      </c>
      <c r="G56" s="41">
        <v>0</v>
      </c>
      <c r="H56" s="42"/>
      <c r="I56" s="42"/>
      <c r="J56" s="42"/>
      <c r="M56" s="26"/>
    </row>
    <row r="57" spans="5:13">
      <c r="E57" s="43">
        <v>45325.885416665842</v>
      </c>
      <c r="F57" s="41">
        <v>7.4772309795406793</v>
      </c>
      <c r="G57" s="41">
        <v>0</v>
      </c>
      <c r="H57" s="42"/>
      <c r="I57" s="42"/>
      <c r="J57" s="42"/>
      <c r="M57" s="26"/>
    </row>
    <row r="58" spans="5:13">
      <c r="E58" s="43">
        <v>45325.888888888061</v>
      </c>
      <c r="F58" s="41">
        <v>7.4772309795406793</v>
      </c>
      <c r="G58" s="41">
        <v>0</v>
      </c>
      <c r="H58" s="42"/>
      <c r="I58" s="42"/>
      <c r="J58" s="42"/>
      <c r="M58" s="26"/>
    </row>
    <row r="59" spans="5:13">
      <c r="E59" s="43">
        <v>45325.89236111028</v>
      </c>
      <c r="F59" s="41">
        <v>7.4772309795406793</v>
      </c>
      <c r="G59" s="41">
        <v>0</v>
      </c>
      <c r="H59" s="42"/>
      <c r="I59" s="42"/>
      <c r="J59" s="42"/>
      <c r="M59" s="26"/>
    </row>
    <row r="60" spans="5:13">
      <c r="E60" s="43">
        <v>45325.895833332499</v>
      </c>
      <c r="F60" s="41">
        <v>7.4772309795406793</v>
      </c>
      <c r="G60" s="41">
        <v>0</v>
      </c>
      <c r="H60" s="42"/>
      <c r="I60" s="42"/>
      <c r="J60" s="42"/>
      <c r="M60" s="26"/>
    </row>
    <row r="61" spans="5:13">
      <c r="E61" s="43">
        <v>45325.899305554718</v>
      </c>
      <c r="F61" s="41">
        <v>7.4772309795406793</v>
      </c>
      <c r="G61" s="41">
        <v>0</v>
      </c>
      <c r="H61" s="42"/>
      <c r="I61" s="42"/>
      <c r="J61" s="42"/>
      <c r="M61" s="26"/>
    </row>
    <row r="62" spans="5:13">
      <c r="E62" s="43">
        <v>45325.902777776937</v>
      </c>
      <c r="F62" s="41">
        <v>7.4772309795406793</v>
      </c>
      <c r="G62" s="41">
        <v>0</v>
      </c>
      <c r="H62" s="42"/>
      <c r="I62" s="42"/>
      <c r="J62" s="42"/>
      <c r="M62" s="26"/>
    </row>
    <row r="63" spans="5:13">
      <c r="E63" s="43">
        <v>45325.906249999156</v>
      </c>
      <c r="F63" s="41">
        <v>7.4772309795406793</v>
      </c>
      <c r="G63" s="41">
        <v>0</v>
      </c>
      <c r="H63" s="42"/>
      <c r="I63" s="42"/>
      <c r="J63" s="42"/>
      <c r="M63" s="26"/>
    </row>
    <row r="64" spans="5:13">
      <c r="E64" s="43">
        <v>45325.909722221375</v>
      </c>
      <c r="F64" s="41">
        <v>7.4772309795406793</v>
      </c>
      <c r="G64" s="41">
        <v>0</v>
      </c>
      <c r="H64" s="42"/>
      <c r="I64" s="42"/>
      <c r="J64" s="42"/>
      <c r="M64" s="26"/>
    </row>
    <row r="65" spans="5:13">
      <c r="E65" s="43">
        <v>45325.913194443594</v>
      </c>
      <c r="F65" s="41">
        <v>7.4772309795406793</v>
      </c>
      <c r="G65" s="41">
        <v>0</v>
      </c>
      <c r="H65" s="42"/>
      <c r="I65" s="42"/>
      <c r="J65" s="42"/>
      <c r="M65" s="26"/>
    </row>
    <row r="66" spans="5:13">
      <c r="E66" s="43">
        <v>45325.916666665813</v>
      </c>
      <c r="F66" s="41">
        <v>7.4772309795406793</v>
      </c>
      <c r="G66" s="41">
        <v>0</v>
      </c>
      <c r="H66" s="42"/>
      <c r="I66" s="42"/>
      <c r="J66" s="42"/>
      <c r="M66" s="26"/>
    </row>
    <row r="67" spans="5:13">
      <c r="E67" s="43">
        <v>45325.920138888032</v>
      </c>
      <c r="F67" s="41">
        <v>7.4772309795406793</v>
      </c>
      <c r="G67" s="41">
        <v>0</v>
      </c>
      <c r="H67" s="42"/>
      <c r="I67" s="42"/>
      <c r="J67" s="42"/>
      <c r="M67" s="26"/>
    </row>
    <row r="68" spans="5:13">
      <c r="E68" s="43">
        <v>45325.923611110251</v>
      </c>
      <c r="F68" s="41">
        <v>7.4772309795406793</v>
      </c>
      <c r="G68" s="41">
        <v>0</v>
      </c>
      <c r="H68" s="42"/>
      <c r="I68" s="42"/>
      <c r="J68" s="42"/>
      <c r="M68" s="26"/>
    </row>
    <row r="69" spans="5:13">
      <c r="E69" s="43">
        <v>45325.92708333247</v>
      </c>
      <c r="F69" s="41">
        <v>7.4772309795406793</v>
      </c>
      <c r="G69" s="41">
        <v>0</v>
      </c>
      <c r="H69" s="42"/>
      <c r="I69" s="42"/>
      <c r="J69" s="42"/>
      <c r="M69" s="26"/>
    </row>
    <row r="70" spans="5:13">
      <c r="E70" s="43">
        <v>45325.930555554689</v>
      </c>
      <c r="F70" s="41">
        <v>7.4772309795406793</v>
      </c>
      <c r="G70" s="41">
        <v>0</v>
      </c>
      <c r="H70" s="42"/>
      <c r="I70" s="42"/>
      <c r="J70" s="42"/>
      <c r="M70" s="26"/>
    </row>
    <row r="71" spans="5:13">
      <c r="E71" s="43">
        <v>45325.934027776908</v>
      </c>
      <c r="F71" s="41">
        <v>7.4772309795406793</v>
      </c>
      <c r="G71" s="41">
        <v>0</v>
      </c>
      <c r="H71" s="42"/>
      <c r="I71" s="42"/>
      <c r="J71" s="42"/>
      <c r="M71" s="26"/>
    </row>
    <row r="72" spans="5:13">
      <c r="E72" s="43">
        <v>45325.937499999127</v>
      </c>
      <c r="F72" s="41">
        <v>7.4772309795406793</v>
      </c>
      <c r="G72" s="41">
        <v>0</v>
      </c>
      <c r="H72" s="42"/>
      <c r="I72" s="42"/>
      <c r="J72" s="42"/>
      <c r="M72" s="26"/>
    </row>
    <row r="73" spans="5:13">
      <c r="E73" s="43">
        <v>45325.940972221346</v>
      </c>
      <c r="F73" s="41">
        <v>7.4772309795406793</v>
      </c>
      <c r="G73" s="41">
        <v>0</v>
      </c>
      <c r="H73" s="42"/>
      <c r="I73" s="42"/>
      <c r="J73" s="42"/>
      <c r="M73" s="26"/>
    </row>
    <row r="74" spans="5:13">
      <c r="E74" s="43">
        <v>45325.944444443565</v>
      </c>
      <c r="F74" s="41">
        <v>7.4772309795406793</v>
      </c>
      <c r="G74" s="41">
        <v>0</v>
      </c>
      <c r="H74" s="42"/>
      <c r="I74" s="42"/>
      <c r="J74" s="42"/>
      <c r="M74" s="26"/>
    </row>
    <row r="75" spans="5:13">
      <c r="E75" s="43">
        <v>45325.947916665784</v>
      </c>
      <c r="F75" s="41">
        <v>7.4772309795406793</v>
      </c>
      <c r="G75" s="41">
        <v>0</v>
      </c>
      <c r="H75" s="42"/>
      <c r="I75" s="42"/>
      <c r="J75" s="42"/>
      <c r="M75" s="26"/>
    </row>
    <row r="76" spans="5:13">
      <c r="E76" s="43">
        <v>45325.951388888003</v>
      </c>
      <c r="F76" s="41">
        <v>7.4772309795406793</v>
      </c>
      <c r="G76" s="41">
        <v>0</v>
      </c>
      <c r="H76" s="42"/>
      <c r="I76" s="42"/>
      <c r="J76" s="42"/>
      <c r="M76" s="26"/>
    </row>
    <row r="77" spans="5:13">
      <c r="E77" s="43">
        <v>45325.954861110222</v>
      </c>
      <c r="F77" s="41">
        <v>7.4772309795406793</v>
      </c>
      <c r="G77" s="41">
        <v>0</v>
      </c>
      <c r="H77" s="42"/>
      <c r="I77" s="42"/>
      <c r="J77" s="42"/>
      <c r="M77" s="26"/>
    </row>
    <row r="78" spans="5:13">
      <c r="E78" s="43">
        <v>45325.958333332441</v>
      </c>
      <c r="F78" s="41">
        <v>7.4772309795406793</v>
      </c>
      <c r="G78" s="41">
        <v>0</v>
      </c>
      <c r="H78" s="42"/>
      <c r="I78" s="42"/>
      <c r="J78" s="42"/>
      <c r="M78" s="26"/>
    </row>
    <row r="79" spans="5:13">
      <c r="E79" s="43">
        <v>45325.96180555466</v>
      </c>
      <c r="F79" s="41">
        <v>7.4772309795406793</v>
      </c>
      <c r="G79" s="41">
        <v>0</v>
      </c>
      <c r="H79" s="42"/>
      <c r="I79" s="42"/>
      <c r="J79" s="42"/>
      <c r="M79" s="26"/>
    </row>
    <row r="80" spans="5:13">
      <c r="E80" s="43">
        <v>45325.965277776879</v>
      </c>
      <c r="F80" s="41">
        <v>7.4772309795406793</v>
      </c>
      <c r="G80" s="41">
        <v>0</v>
      </c>
      <c r="H80" s="42"/>
      <c r="I80" s="42"/>
      <c r="J80" s="42"/>
      <c r="M80" s="26"/>
    </row>
    <row r="81" spans="5:13">
      <c r="E81" s="43">
        <v>45325.968749999098</v>
      </c>
      <c r="F81" s="41">
        <v>7.4772309795406793</v>
      </c>
      <c r="G81" s="41">
        <v>0</v>
      </c>
      <c r="H81" s="42"/>
      <c r="I81" s="42"/>
      <c r="J81" s="42"/>
      <c r="M81" s="26"/>
    </row>
    <row r="82" spans="5:13">
      <c r="E82" s="43">
        <v>45325.972222221317</v>
      </c>
      <c r="F82" s="41">
        <v>7.4772309795406793</v>
      </c>
      <c r="G82" s="41">
        <v>0</v>
      </c>
      <c r="H82" s="42"/>
      <c r="I82" s="42"/>
      <c r="J82" s="42"/>
      <c r="M82" s="26"/>
    </row>
    <row r="83" spans="5:13">
      <c r="E83" s="43">
        <v>45325.975694443536</v>
      </c>
      <c r="F83" s="41">
        <v>7.4772309795406793</v>
      </c>
      <c r="G83" s="41">
        <v>0</v>
      </c>
      <c r="H83" s="42"/>
      <c r="I83" s="42"/>
      <c r="J83" s="42"/>
      <c r="M83" s="26"/>
    </row>
    <row r="84" spans="5:13">
      <c r="E84" s="43">
        <v>45325.979166665755</v>
      </c>
      <c r="F84" s="41">
        <v>7.4772309795406793</v>
      </c>
      <c r="G84" s="41">
        <v>0</v>
      </c>
      <c r="H84" s="42"/>
      <c r="I84" s="42"/>
      <c r="J84" s="42"/>
      <c r="M84" s="26"/>
    </row>
    <row r="85" spans="5:13">
      <c r="E85" s="43">
        <v>45325.982638887974</v>
      </c>
      <c r="F85" s="41">
        <v>7.4772309795406793</v>
      </c>
      <c r="G85" s="41">
        <v>0</v>
      </c>
      <c r="H85" s="42"/>
      <c r="I85" s="42"/>
      <c r="J85" s="42"/>
      <c r="M85" s="26"/>
    </row>
    <row r="86" spans="5:13">
      <c r="E86" s="43">
        <v>45325.986111110193</v>
      </c>
      <c r="F86" s="41">
        <v>7.4772309795406793</v>
      </c>
      <c r="G86" s="41">
        <v>0</v>
      </c>
      <c r="H86" s="42"/>
      <c r="I86" s="42"/>
      <c r="J86" s="42"/>
      <c r="M86" s="26"/>
    </row>
    <row r="87" spans="5:13">
      <c r="E87" s="43">
        <v>45325.989583332412</v>
      </c>
      <c r="F87" s="41">
        <v>7.4772309795406793</v>
      </c>
      <c r="G87" s="41">
        <v>0</v>
      </c>
      <c r="H87" s="42"/>
      <c r="I87" s="42"/>
      <c r="J87" s="42"/>
      <c r="M87" s="26"/>
    </row>
    <row r="88" spans="5:13">
      <c r="E88" s="43">
        <v>45325.993055554631</v>
      </c>
      <c r="F88" s="41">
        <v>7.4772309795406793</v>
      </c>
      <c r="G88" s="41">
        <v>0</v>
      </c>
      <c r="H88" s="42"/>
      <c r="I88" s="42"/>
      <c r="J88" s="42"/>
      <c r="M88" s="26"/>
    </row>
    <row r="89" spans="5:13">
      <c r="E89" s="43">
        <v>45325.99652777685</v>
      </c>
      <c r="F89" s="41">
        <v>7.4772309795406793</v>
      </c>
      <c r="G89" s="41">
        <v>0</v>
      </c>
      <c r="H89" s="42"/>
      <c r="I89" s="42"/>
      <c r="J89" s="42"/>
      <c r="M89" s="26"/>
    </row>
    <row r="90" spans="5:13">
      <c r="E90" s="43">
        <v>45325.999999999069</v>
      </c>
      <c r="F90" s="41">
        <v>7.4772309795406793</v>
      </c>
      <c r="G90" s="41">
        <v>0</v>
      </c>
      <c r="H90" s="42"/>
      <c r="I90" s="42"/>
      <c r="J90" s="42"/>
      <c r="M90" s="26"/>
    </row>
    <row r="91" spans="5:13">
      <c r="E91" s="43">
        <v>45326.003472221288</v>
      </c>
      <c r="F91" s="41">
        <v>7.4772309795406793</v>
      </c>
      <c r="G91" s="41">
        <v>0</v>
      </c>
      <c r="H91" s="42"/>
      <c r="I91" s="42"/>
      <c r="J91" s="42"/>
      <c r="M91" s="26"/>
    </row>
    <row r="92" spans="5:13">
      <c r="E92" s="43">
        <v>45326.006944443507</v>
      </c>
      <c r="F92" s="41">
        <v>7.4772309795406793</v>
      </c>
      <c r="G92" s="41">
        <v>0</v>
      </c>
      <c r="H92" s="42"/>
      <c r="I92" s="42"/>
      <c r="J92" s="42"/>
      <c r="M92" s="26"/>
    </row>
    <row r="93" spans="5:13">
      <c r="E93" s="43">
        <v>45326.010416665726</v>
      </c>
      <c r="F93" s="41">
        <v>7.4772309795406793</v>
      </c>
      <c r="G93" s="41">
        <v>0</v>
      </c>
      <c r="H93" s="42"/>
      <c r="I93" s="42"/>
      <c r="J93" s="42"/>
      <c r="M93" s="26"/>
    </row>
    <row r="94" spans="5:13">
      <c r="E94" s="43">
        <v>45326.013888887945</v>
      </c>
      <c r="F94" s="41">
        <v>7.4772309795406793</v>
      </c>
      <c r="G94" s="41">
        <v>0</v>
      </c>
      <c r="H94" s="42"/>
      <c r="I94" s="42"/>
      <c r="J94" s="42"/>
      <c r="M94" s="26"/>
    </row>
    <row r="95" spans="5:13">
      <c r="E95" s="43">
        <v>45326.017361110164</v>
      </c>
      <c r="F95" s="41">
        <v>7.4772309795406793</v>
      </c>
      <c r="G95" s="41">
        <v>0</v>
      </c>
      <c r="H95" s="42"/>
      <c r="I95" s="42"/>
      <c r="J95" s="42"/>
      <c r="M95" s="26"/>
    </row>
    <row r="96" spans="5:13">
      <c r="E96" s="43">
        <v>45326.020833332383</v>
      </c>
      <c r="F96" s="41">
        <v>7.4772309795406793</v>
      </c>
      <c r="G96" s="41">
        <v>0</v>
      </c>
      <c r="H96" s="42"/>
      <c r="I96" s="42"/>
      <c r="J96" s="42"/>
      <c r="M96" s="26"/>
    </row>
    <row r="97" spans="5:13">
      <c r="E97" s="43">
        <v>45326.024305554602</v>
      </c>
      <c r="F97" s="41">
        <v>7.4772309795406793</v>
      </c>
      <c r="G97" s="41">
        <v>0</v>
      </c>
      <c r="H97" s="42"/>
      <c r="I97" s="42"/>
      <c r="J97" s="42"/>
      <c r="M97" s="26"/>
    </row>
    <row r="98" spans="5:13">
      <c r="E98" s="43">
        <v>45326.027777776821</v>
      </c>
      <c r="F98" s="41">
        <v>7.4772309795406793</v>
      </c>
      <c r="G98" s="41">
        <v>0</v>
      </c>
      <c r="H98" s="42"/>
      <c r="I98" s="42"/>
      <c r="J98" s="42"/>
      <c r="M98" s="26"/>
    </row>
    <row r="99" spans="5:13">
      <c r="E99" s="43">
        <v>45326.03124999904</v>
      </c>
      <c r="F99" s="41">
        <v>7.4772309795406793</v>
      </c>
      <c r="G99" s="41">
        <v>0</v>
      </c>
      <c r="H99" s="42"/>
      <c r="I99" s="42"/>
      <c r="J99" s="42"/>
      <c r="M99" s="26"/>
    </row>
    <row r="100" spans="5:13">
      <c r="E100" s="43">
        <v>45326.034722221259</v>
      </c>
      <c r="F100" s="41">
        <v>7.4772309795406793</v>
      </c>
      <c r="G100" s="41">
        <v>0</v>
      </c>
      <c r="H100" s="42"/>
      <c r="I100" s="42"/>
      <c r="J100" s="42"/>
      <c r="M100" s="26"/>
    </row>
    <row r="101" spans="5:13">
      <c r="E101" s="43">
        <v>45326.038194443478</v>
      </c>
      <c r="F101" s="41">
        <v>7.4772309795406793</v>
      </c>
      <c r="G101" s="41">
        <v>0</v>
      </c>
      <c r="H101" s="42"/>
      <c r="I101" s="42"/>
      <c r="J101" s="42"/>
      <c r="M101" s="26"/>
    </row>
    <row r="102" spans="5:13">
      <c r="E102" s="43">
        <v>45326.041666665697</v>
      </c>
      <c r="F102" s="41">
        <v>7.4772309795406793</v>
      </c>
      <c r="G102" s="41">
        <v>0</v>
      </c>
      <c r="H102" s="42"/>
      <c r="I102" s="42"/>
      <c r="J102" s="42"/>
      <c r="M102" s="26"/>
    </row>
    <row r="103" spans="5:13">
      <c r="E103" s="43">
        <v>45326.045138887916</v>
      </c>
      <c r="F103" s="41">
        <v>7.4772309795406793</v>
      </c>
      <c r="G103" s="41">
        <v>0</v>
      </c>
      <c r="H103" s="42"/>
      <c r="I103" s="42"/>
      <c r="J103" s="42"/>
      <c r="M103" s="26"/>
    </row>
    <row r="104" spans="5:13">
      <c r="E104" s="43">
        <v>45326.048611110135</v>
      </c>
      <c r="F104" s="41">
        <v>7.4772309795406793</v>
      </c>
      <c r="G104" s="41">
        <v>0</v>
      </c>
      <c r="H104" s="42"/>
      <c r="I104" s="42"/>
      <c r="J104" s="42"/>
      <c r="M104" s="26"/>
    </row>
    <row r="105" spans="5:13">
      <c r="E105" s="43">
        <v>45326.052083332354</v>
      </c>
      <c r="F105" s="41">
        <v>7.4772309795406793</v>
      </c>
      <c r="G105" s="41">
        <v>0</v>
      </c>
      <c r="H105" s="42"/>
      <c r="I105" s="42"/>
      <c r="J105" s="42"/>
      <c r="M105" s="26"/>
    </row>
    <row r="106" spans="5:13">
      <c r="E106" s="43">
        <v>45326.055555554572</v>
      </c>
      <c r="F106" s="41">
        <v>7.4772309795406793</v>
      </c>
      <c r="G106" s="41">
        <v>0</v>
      </c>
      <c r="H106" s="42"/>
      <c r="I106" s="42"/>
      <c r="J106" s="42"/>
      <c r="M106" s="26"/>
    </row>
    <row r="107" spans="5:13">
      <c r="E107" s="43">
        <v>45326.059027776791</v>
      </c>
      <c r="F107" s="41">
        <v>7.4772309795406793</v>
      </c>
      <c r="G107" s="41">
        <v>0</v>
      </c>
      <c r="H107" s="42"/>
      <c r="I107" s="42"/>
      <c r="J107" s="42"/>
      <c r="M107" s="26"/>
    </row>
    <row r="108" spans="5:13">
      <c r="E108" s="43">
        <v>45326.06249999901</v>
      </c>
      <c r="F108" s="41">
        <v>7.4772309795406793</v>
      </c>
      <c r="G108" s="41">
        <v>0</v>
      </c>
      <c r="H108" s="42"/>
      <c r="I108" s="42"/>
      <c r="J108" s="42"/>
      <c r="M108" s="26"/>
    </row>
    <row r="109" spans="5:13">
      <c r="E109" s="43">
        <v>45326.065972221229</v>
      </c>
      <c r="F109" s="41">
        <v>7.4772309795406793</v>
      </c>
      <c r="G109" s="41">
        <v>0</v>
      </c>
      <c r="H109" s="42"/>
      <c r="I109" s="42"/>
      <c r="J109" s="42"/>
      <c r="M109" s="26"/>
    </row>
    <row r="110" spans="5:13">
      <c r="E110" s="43">
        <v>45326.069444443448</v>
      </c>
      <c r="F110" s="41">
        <v>7.4772309795406793</v>
      </c>
      <c r="G110" s="41">
        <v>0</v>
      </c>
      <c r="H110" s="42"/>
      <c r="I110" s="42"/>
      <c r="J110" s="42"/>
      <c r="M110" s="26"/>
    </row>
    <row r="111" spans="5:13">
      <c r="E111" s="43">
        <v>45326.072916665667</v>
      </c>
      <c r="F111" s="41">
        <v>7.4772309795406793</v>
      </c>
      <c r="G111" s="41">
        <v>0</v>
      </c>
      <c r="H111" s="42"/>
      <c r="I111" s="42"/>
      <c r="J111" s="42"/>
      <c r="M111" s="26"/>
    </row>
    <row r="112" spans="5:13">
      <c r="E112" s="43">
        <v>45326.076388887886</v>
      </c>
      <c r="F112" s="41">
        <v>7.4772309795406793</v>
      </c>
      <c r="G112" s="41">
        <v>0</v>
      </c>
      <c r="H112" s="42"/>
      <c r="I112" s="42"/>
      <c r="J112" s="42"/>
      <c r="M112" s="26"/>
    </row>
    <row r="113" spans="5:13">
      <c r="E113" s="43">
        <v>45326.079861110105</v>
      </c>
      <c r="F113" s="41">
        <v>7.4772309795406793</v>
      </c>
      <c r="G113" s="41">
        <v>0</v>
      </c>
      <c r="H113" s="42"/>
      <c r="I113" s="42"/>
      <c r="J113" s="42"/>
      <c r="M113" s="26"/>
    </row>
    <row r="114" spans="5:13">
      <c r="E114" s="43">
        <v>45326.083333332324</v>
      </c>
      <c r="F114" s="41">
        <v>7.4772309795406793</v>
      </c>
      <c r="G114" s="41">
        <v>0</v>
      </c>
      <c r="H114" s="42"/>
      <c r="I114" s="42"/>
      <c r="J114" s="42"/>
      <c r="M114" s="26"/>
    </row>
    <row r="115" spans="5:13">
      <c r="E115" s="43">
        <v>45326.086805554543</v>
      </c>
      <c r="F115" s="41">
        <v>7.4772309795406793</v>
      </c>
      <c r="G115" s="41">
        <v>0</v>
      </c>
      <c r="H115" s="42"/>
      <c r="I115" s="42"/>
      <c r="J115" s="42"/>
      <c r="M115" s="26"/>
    </row>
    <row r="116" spans="5:13">
      <c r="E116" s="43">
        <v>45326.090277776762</v>
      </c>
      <c r="F116" s="41">
        <v>7.4772309795406793</v>
      </c>
      <c r="G116" s="41">
        <v>0</v>
      </c>
      <c r="H116" s="42"/>
      <c r="I116" s="42"/>
      <c r="J116" s="42"/>
      <c r="M116" s="26"/>
    </row>
    <row r="117" spans="5:13">
      <c r="E117" s="43">
        <v>45326.093749998981</v>
      </c>
      <c r="F117" s="41">
        <v>7.4772309795406793</v>
      </c>
      <c r="G117" s="41">
        <v>0</v>
      </c>
      <c r="H117" s="42"/>
      <c r="I117" s="42"/>
      <c r="J117" s="42"/>
      <c r="M117" s="26"/>
    </row>
    <row r="118" spans="5:13">
      <c r="E118" s="43">
        <v>45326.0972222212</v>
      </c>
      <c r="F118" s="41">
        <v>7.4772309795406793</v>
      </c>
      <c r="G118" s="41">
        <v>0</v>
      </c>
      <c r="H118" s="42"/>
      <c r="I118" s="42"/>
      <c r="J118" s="42"/>
      <c r="M118" s="26"/>
    </row>
    <row r="119" spans="5:13">
      <c r="E119" s="43">
        <v>45326.100694443419</v>
      </c>
      <c r="F119" s="41">
        <v>7.4772309795406793</v>
      </c>
      <c r="G119" s="41">
        <v>0</v>
      </c>
      <c r="H119" s="42"/>
      <c r="I119" s="42"/>
      <c r="J119" s="42"/>
      <c r="M119" s="26"/>
    </row>
    <row r="120" spans="5:13">
      <c r="E120" s="43">
        <v>45326.104166665638</v>
      </c>
      <c r="F120" s="41">
        <v>7.4772309795406793</v>
      </c>
      <c r="G120" s="41">
        <v>0</v>
      </c>
      <c r="H120" s="42"/>
      <c r="I120" s="42"/>
      <c r="J120" s="42"/>
      <c r="M120" s="26"/>
    </row>
    <row r="121" spans="5:13">
      <c r="E121" s="43">
        <v>45326.107638887857</v>
      </c>
      <c r="F121" s="41">
        <v>7.4772309795406793</v>
      </c>
      <c r="G121" s="41">
        <v>0</v>
      </c>
      <c r="H121" s="42"/>
      <c r="I121" s="42"/>
      <c r="J121" s="42"/>
      <c r="M121" s="26"/>
    </row>
    <row r="122" spans="5:13">
      <c r="E122" s="43">
        <v>45326.111111110076</v>
      </c>
      <c r="F122" s="41">
        <v>7.4772309795406793</v>
      </c>
      <c r="G122" s="41">
        <v>0</v>
      </c>
      <c r="H122" s="42"/>
      <c r="I122" s="42"/>
      <c r="J122" s="42"/>
      <c r="M122" s="26"/>
    </row>
    <row r="123" spans="5:13">
      <c r="E123" s="43">
        <v>45326.114583332295</v>
      </c>
      <c r="F123" s="41">
        <v>7.4772309795406793</v>
      </c>
      <c r="G123" s="41">
        <v>0</v>
      </c>
      <c r="H123" s="42"/>
      <c r="I123" s="42"/>
      <c r="J123" s="42"/>
      <c r="M123" s="26"/>
    </row>
    <row r="124" spans="5:13">
      <c r="E124" s="43">
        <v>45326.118055554514</v>
      </c>
      <c r="F124" s="41">
        <v>7.4772309795406793</v>
      </c>
      <c r="G124" s="41">
        <v>0</v>
      </c>
      <c r="H124" s="42"/>
      <c r="I124" s="42"/>
      <c r="J124" s="42"/>
      <c r="M124" s="26"/>
    </row>
    <row r="125" spans="5:13">
      <c r="E125" s="43">
        <v>45326.121527776733</v>
      </c>
      <c r="F125" s="41">
        <v>7.4772309795406793</v>
      </c>
      <c r="G125" s="41">
        <v>0</v>
      </c>
      <c r="H125" s="42"/>
      <c r="I125" s="42"/>
      <c r="J125" s="42"/>
      <c r="M125" s="26"/>
    </row>
    <row r="126" spans="5:13">
      <c r="E126" s="43">
        <v>45326.124999998952</v>
      </c>
      <c r="F126" s="41">
        <v>7.4772309795406793</v>
      </c>
      <c r="G126" s="41">
        <v>0</v>
      </c>
      <c r="H126" s="42"/>
      <c r="I126" s="42"/>
      <c r="J126" s="42"/>
      <c r="M126" s="26"/>
    </row>
    <row r="127" spans="5:13">
      <c r="E127" s="43">
        <v>45326.128472221171</v>
      </c>
      <c r="F127" s="41">
        <v>7.4772309795406793</v>
      </c>
      <c r="G127" s="41">
        <v>0</v>
      </c>
      <c r="H127" s="42"/>
      <c r="I127" s="42"/>
      <c r="J127" s="42"/>
      <c r="M127" s="26"/>
    </row>
    <row r="128" spans="5:13">
      <c r="E128" s="43">
        <v>45326.13194444339</v>
      </c>
      <c r="F128" s="41">
        <v>7.4772309795406793</v>
      </c>
      <c r="G128" s="41">
        <v>0</v>
      </c>
      <c r="H128" s="42"/>
      <c r="I128" s="42"/>
      <c r="J128" s="42"/>
      <c r="M128" s="26"/>
    </row>
    <row r="129" spans="5:13">
      <c r="E129" s="43">
        <v>45326.135416665609</v>
      </c>
      <c r="F129" s="41">
        <v>7.4772309795406793</v>
      </c>
      <c r="G129" s="41">
        <v>0</v>
      </c>
      <c r="H129" s="42"/>
      <c r="I129" s="42"/>
      <c r="J129" s="42"/>
      <c r="M129" s="26"/>
    </row>
    <row r="130" spans="5:13">
      <c r="E130" s="43">
        <v>45326.138888887828</v>
      </c>
      <c r="F130" s="41">
        <v>7.4772309795406793</v>
      </c>
      <c r="G130" s="41">
        <v>0</v>
      </c>
      <c r="H130" s="42"/>
      <c r="I130" s="42"/>
      <c r="J130" s="42"/>
      <c r="M130" s="26"/>
    </row>
    <row r="131" spans="5:13">
      <c r="E131" s="43">
        <v>45326.142361110047</v>
      </c>
      <c r="F131" s="41">
        <v>7.4772309795406793</v>
      </c>
      <c r="G131" s="41">
        <v>0</v>
      </c>
      <c r="H131" s="42"/>
      <c r="I131" s="42"/>
      <c r="J131" s="42"/>
      <c r="M131" s="26"/>
    </row>
    <row r="132" spans="5:13">
      <c r="E132" s="43">
        <v>45326.145833332266</v>
      </c>
      <c r="F132" s="41">
        <v>7.4772309795406793</v>
      </c>
      <c r="G132" s="41">
        <v>0</v>
      </c>
      <c r="H132" s="42"/>
      <c r="I132" s="42"/>
      <c r="J132" s="42"/>
      <c r="M132" s="26"/>
    </row>
    <row r="133" spans="5:13">
      <c r="E133" s="43">
        <v>45326.149305554485</v>
      </c>
      <c r="F133" s="41">
        <v>7.4772309795406793</v>
      </c>
      <c r="G133" s="41">
        <v>0</v>
      </c>
      <c r="H133" s="42"/>
      <c r="I133" s="42"/>
      <c r="J133" s="42"/>
      <c r="M133" s="26"/>
    </row>
    <row r="134" spans="5:13">
      <c r="E134" s="43">
        <v>45326.152777776704</v>
      </c>
      <c r="F134" s="41">
        <v>7.4772309795406793</v>
      </c>
      <c r="G134" s="41">
        <v>0</v>
      </c>
      <c r="H134" s="42"/>
      <c r="I134" s="42"/>
      <c r="J134" s="42"/>
      <c r="M134" s="26"/>
    </row>
    <row r="135" spans="5:13">
      <c r="E135" s="43">
        <v>45326.156249998923</v>
      </c>
      <c r="F135" s="41">
        <v>7.4772309795406793</v>
      </c>
      <c r="G135" s="41">
        <v>0</v>
      </c>
      <c r="H135" s="42"/>
      <c r="I135" s="42"/>
      <c r="J135" s="42"/>
      <c r="M135" s="26"/>
    </row>
    <row r="136" spans="5:13">
      <c r="E136" s="43">
        <v>45326.159722221142</v>
      </c>
      <c r="F136" s="41">
        <v>7.4772309795406793</v>
      </c>
      <c r="G136" s="41">
        <v>0</v>
      </c>
      <c r="H136" s="42"/>
      <c r="I136" s="42"/>
      <c r="J136" s="42"/>
      <c r="M136" s="26"/>
    </row>
    <row r="137" spans="5:13">
      <c r="E137" s="43">
        <v>45326.163194443361</v>
      </c>
      <c r="F137" s="41">
        <v>7.4772309795406793</v>
      </c>
      <c r="G137" s="41">
        <v>0</v>
      </c>
      <c r="H137" s="42"/>
      <c r="I137" s="42"/>
      <c r="J137" s="42"/>
      <c r="M137" s="26"/>
    </row>
    <row r="138" spans="5:13">
      <c r="E138" s="43">
        <v>45326.16666666558</v>
      </c>
      <c r="F138" s="41">
        <v>7.4772309795406793</v>
      </c>
      <c r="G138" s="41">
        <v>0</v>
      </c>
      <c r="H138" s="42"/>
      <c r="I138" s="42"/>
      <c r="J138" s="42"/>
      <c r="M138" s="26"/>
    </row>
    <row r="139" spans="5:13">
      <c r="E139" s="43">
        <v>45326.170138887799</v>
      </c>
      <c r="F139" s="41">
        <v>7.4772309795406793</v>
      </c>
      <c r="G139" s="41">
        <v>0</v>
      </c>
      <c r="H139" s="42"/>
      <c r="I139" s="42"/>
      <c r="J139" s="42"/>
      <c r="M139" s="26"/>
    </row>
    <row r="140" spans="5:13">
      <c r="E140" s="43">
        <v>45326.173611110018</v>
      </c>
      <c r="F140" s="41">
        <v>7.4772309795406793</v>
      </c>
      <c r="G140" s="41">
        <v>0</v>
      </c>
      <c r="H140" s="42"/>
      <c r="I140" s="42"/>
      <c r="J140" s="42"/>
      <c r="M140" s="26"/>
    </row>
    <row r="141" spans="5:13">
      <c r="E141" s="43">
        <v>45326.177083332237</v>
      </c>
      <c r="F141" s="41">
        <v>7.4772309795406793</v>
      </c>
      <c r="G141" s="41">
        <v>0</v>
      </c>
      <c r="H141" s="42"/>
      <c r="I141" s="42"/>
      <c r="J141" s="42"/>
      <c r="M141" s="26"/>
    </row>
    <row r="142" spans="5:13">
      <c r="E142" s="43">
        <v>45326.180555554456</v>
      </c>
      <c r="F142" s="41">
        <v>7.4772309795406793</v>
      </c>
      <c r="G142" s="41">
        <v>0</v>
      </c>
      <c r="H142" s="42"/>
      <c r="I142" s="42"/>
      <c r="J142" s="42"/>
      <c r="M142" s="26"/>
    </row>
    <row r="143" spans="5:13">
      <c r="E143" s="43">
        <v>45326.184027776675</v>
      </c>
      <c r="F143" s="41">
        <v>7.4772309795406793</v>
      </c>
      <c r="G143" s="41">
        <v>0</v>
      </c>
      <c r="H143" s="42"/>
      <c r="I143" s="42"/>
      <c r="J143" s="42"/>
      <c r="M143" s="26"/>
    </row>
    <row r="144" spans="5:13">
      <c r="E144" s="43">
        <v>45326.187499998894</v>
      </c>
      <c r="F144" s="41">
        <v>7.4772309795406793</v>
      </c>
      <c r="G144" s="41">
        <v>0</v>
      </c>
      <c r="H144" s="42"/>
      <c r="I144" s="42"/>
      <c r="J144" s="42"/>
      <c r="M144" s="26"/>
    </row>
    <row r="145" spans="5:13">
      <c r="E145" s="43">
        <v>45326.190972221113</v>
      </c>
      <c r="F145" s="41">
        <v>7.4772309795406793</v>
      </c>
      <c r="G145" s="41">
        <v>0</v>
      </c>
      <c r="H145" s="42"/>
      <c r="I145" s="42"/>
      <c r="J145" s="42"/>
      <c r="M145" s="26"/>
    </row>
    <row r="146" spans="5:13">
      <c r="E146" s="43">
        <v>45326.194444443332</v>
      </c>
      <c r="F146" s="41">
        <v>7.4772309795406793</v>
      </c>
      <c r="G146" s="41">
        <v>0</v>
      </c>
      <c r="H146" s="42"/>
      <c r="I146" s="42"/>
      <c r="J146" s="42"/>
      <c r="M146" s="26"/>
    </row>
    <row r="147" spans="5:13">
      <c r="E147" s="43">
        <v>45326.197916665551</v>
      </c>
      <c r="F147" s="41">
        <v>7.4772309795406793</v>
      </c>
      <c r="G147" s="41">
        <v>0</v>
      </c>
      <c r="H147" s="42"/>
      <c r="I147" s="42"/>
      <c r="J147" s="42"/>
      <c r="M147" s="26"/>
    </row>
    <row r="148" spans="5:13">
      <c r="E148" s="43">
        <v>45326.20138888777</v>
      </c>
      <c r="F148" s="41">
        <v>7.4772309795406793</v>
      </c>
      <c r="G148" s="41">
        <v>0</v>
      </c>
      <c r="H148" s="42"/>
      <c r="I148" s="42"/>
      <c r="J148" s="42"/>
      <c r="M148" s="26"/>
    </row>
    <row r="149" spans="5:13">
      <c r="E149" s="43">
        <v>45326.204861109989</v>
      </c>
      <c r="F149" s="41">
        <v>7.4772309795406793</v>
      </c>
      <c r="G149" s="41">
        <v>0</v>
      </c>
      <c r="H149" s="42"/>
      <c r="I149" s="42"/>
      <c r="J149" s="42"/>
      <c r="M149" s="26"/>
    </row>
    <row r="150" spans="5:13">
      <c r="E150" s="43">
        <v>45326.208333332208</v>
      </c>
      <c r="F150" s="41">
        <v>7.4772309795406793</v>
      </c>
      <c r="G150" s="41">
        <v>0</v>
      </c>
      <c r="H150" s="42"/>
      <c r="I150" s="42"/>
      <c r="J150" s="42"/>
      <c r="M150" s="26"/>
    </row>
    <row r="151" spans="5:13">
      <c r="E151" s="43">
        <v>45326.211805554427</v>
      </c>
      <c r="F151" s="41">
        <v>7.4772309795406793</v>
      </c>
      <c r="G151" s="41">
        <v>0</v>
      </c>
      <c r="H151" s="42"/>
      <c r="I151" s="42"/>
      <c r="J151" s="42"/>
      <c r="M151" s="26"/>
    </row>
    <row r="152" spans="5:13">
      <c r="E152" s="43">
        <v>45326.215277776646</v>
      </c>
      <c r="F152" s="41">
        <v>7.4772309795406793</v>
      </c>
      <c r="G152" s="41">
        <v>0</v>
      </c>
      <c r="H152" s="42"/>
      <c r="I152" s="42"/>
      <c r="J152" s="42"/>
      <c r="M152" s="26"/>
    </row>
    <row r="153" spans="5:13">
      <c r="E153" s="43">
        <v>45326.218749998865</v>
      </c>
      <c r="F153" s="41">
        <v>7.4772309795406793</v>
      </c>
      <c r="G153" s="41">
        <v>0</v>
      </c>
      <c r="H153" s="42"/>
      <c r="I153" s="42"/>
      <c r="J153" s="42"/>
      <c r="M153" s="26"/>
    </row>
    <row r="154" spans="5:13">
      <c r="E154" s="43">
        <v>45326.222222221084</v>
      </c>
      <c r="F154" s="41">
        <v>7.4772309795406793</v>
      </c>
      <c r="G154" s="41">
        <v>0</v>
      </c>
      <c r="H154" s="42"/>
      <c r="I154" s="42"/>
      <c r="J154" s="42"/>
      <c r="M154" s="26"/>
    </row>
    <row r="155" spans="5:13">
      <c r="E155" s="43">
        <v>45326.225694443303</v>
      </c>
      <c r="F155" s="41">
        <v>7.4772309795406793</v>
      </c>
      <c r="G155" s="41">
        <v>0</v>
      </c>
      <c r="H155" s="42"/>
      <c r="I155" s="42"/>
      <c r="J155" s="42"/>
      <c r="M155" s="26"/>
    </row>
    <row r="156" spans="5:13">
      <c r="E156" s="43">
        <v>45326.229166665522</v>
      </c>
      <c r="F156" s="41">
        <v>7.4772309795406793</v>
      </c>
      <c r="G156" s="41">
        <v>0</v>
      </c>
      <c r="H156" s="42"/>
      <c r="I156" s="42"/>
      <c r="J156" s="42"/>
      <c r="M156" s="26"/>
    </row>
    <row r="157" spans="5:13">
      <c r="E157" s="43">
        <v>45326.232638887741</v>
      </c>
      <c r="F157" s="41">
        <v>7.4772309795406793</v>
      </c>
      <c r="G157" s="41">
        <v>0</v>
      </c>
      <c r="H157" s="42"/>
      <c r="I157" s="42"/>
      <c r="J157" s="42"/>
      <c r="M157" s="26"/>
    </row>
    <row r="158" spans="5:13">
      <c r="E158" s="43">
        <v>45326.23611110996</v>
      </c>
      <c r="F158" s="41">
        <v>7.4772309795406793</v>
      </c>
      <c r="G158" s="41">
        <v>0</v>
      </c>
      <c r="H158" s="42"/>
      <c r="I158" s="42"/>
      <c r="J158" s="42"/>
      <c r="M158" s="26"/>
    </row>
    <row r="159" spans="5:13">
      <c r="E159" s="43">
        <v>45326.239583332179</v>
      </c>
      <c r="F159" s="41">
        <v>7.4772309795406793</v>
      </c>
      <c r="G159" s="41">
        <v>0</v>
      </c>
      <c r="H159" s="42"/>
      <c r="I159" s="42"/>
      <c r="J159" s="42"/>
      <c r="M159" s="26"/>
    </row>
    <row r="160" spans="5:13">
      <c r="E160" s="43">
        <v>45326.243055554398</v>
      </c>
      <c r="F160" s="41">
        <v>7.4772309795406793</v>
      </c>
      <c r="G160" s="41">
        <v>0</v>
      </c>
      <c r="H160" s="42"/>
      <c r="I160" s="42"/>
      <c r="J160" s="42"/>
      <c r="M160" s="26"/>
    </row>
    <row r="161" spans="5:13">
      <c r="E161" s="43">
        <v>45326.246527776617</v>
      </c>
      <c r="F161" s="41">
        <v>7.4772309795406793</v>
      </c>
      <c r="G161" s="41">
        <v>0</v>
      </c>
      <c r="H161" s="42"/>
      <c r="I161" s="42"/>
      <c r="J161" s="42"/>
      <c r="M161" s="26"/>
    </row>
    <row r="162" spans="5:13">
      <c r="E162" s="43">
        <v>45326.249999998836</v>
      </c>
      <c r="F162" s="41">
        <v>7.4772309795406793</v>
      </c>
      <c r="G162" s="41">
        <v>0</v>
      </c>
      <c r="H162" s="42"/>
      <c r="I162" s="42"/>
      <c r="J162" s="42"/>
      <c r="M162" s="26"/>
    </row>
    <row r="163" spans="5:13">
      <c r="E163" s="43">
        <v>45326.253472221055</v>
      </c>
      <c r="F163" s="41">
        <v>7.4772309795406793</v>
      </c>
      <c r="G163" s="41">
        <v>0</v>
      </c>
      <c r="H163" s="42"/>
      <c r="I163" s="42"/>
      <c r="J163" s="42"/>
      <c r="M163" s="26"/>
    </row>
    <row r="164" spans="5:13">
      <c r="E164" s="43">
        <v>45326.256944443274</v>
      </c>
      <c r="F164" s="41">
        <v>7.4772309795406793</v>
      </c>
      <c r="G164" s="41">
        <v>0</v>
      </c>
      <c r="H164" s="42"/>
      <c r="I164" s="42"/>
      <c r="J164" s="42"/>
      <c r="M164" s="26"/>
    </row>
    <row r="165" spans="5:13">
      <c r="E165" s="43">
        <v>45326.260416665493</v>
      </c>
      <c r="F165" s="41">
        <v>7.4772309795406793</v>
      </c>
      <c r="G165" s="41">
        <v>0</v>
      </c>
      <c r="H165" s="42"/>
      <c r="I165" s="42"/>
      <c r="J165" s="42"/>
      <c r="M165" s="26"/>
    </row>
    <row r="166" spans="5:13">
      <c r="E166" s="43">
        <v>45326.263888887712</v>
      </c>
      <c r="F166" s="41">
        <v>7.4772309795406793</v>
      </c>
      <c r="G166" s="41">
        <v>0</v>
      </c>
      <c r="H166" s="42"/>
      <c r="I166" s="42"/>
      <c r="J166" s="42"/>
      <c r="M166" s="26"/>
    </row>
    <row r="167" spans="5:13">
      <c r="E167" s="43">
        <v>45326.267361109931</v>
      </c>
      <c r="F167" s="41">
        <v>7.4772309795406793</v>
      </c>
      <c r="G167" s="41">
        <v>0</v>
      </c>
      <c r="H167" s="42"/>
      <c r="I167" s="42"/>
      <c r="J167" s="42"/>
      <c r="M167" s="26"/>
    </row>
    <row r="168" spans="5:13">
      <c r="E168" s="43">
        <v>45326.27083333215</v>
      </c>
      <c r="F168" s="41">
        <v>7.4772309795406793</v>
      </c>
      <c r="G168" s="41">
        <v>0</v>
      </c>
      <c r="H168" s="42"/>
      <c r="I168" s="42"/>
      <c r="J168" s="42"/>
      <c r="M168" s="26"/>
    </row>
    <row r="169" spans="5:13">
      <c r="E169" s="43">
        <v>45326.274305554369</v>
      </c>
      <c r="F169" s="41">
        <v>7.4772309795406793</v>
      </c>
      <c r="G169" s="41">
        <v>0</v>
      </c>
      <c r="H169" s="42"/>
      <c r="I169" s="42"/>
      <c r="J169" s="42"/>
      <c r="M169" s="26"/>
    </row>
    <row r="170" spans="5:13">
      <c r="E170" s="43">
        <v>45326.277777776588</v>
      </c>
      <c r="F170" s="41">
        <v>7.4772309795406793</v>
      </c>
      <c r="G170" s="41">
        <v>0</v>
      </c>
      <c r="H170" s="42"/>
      <c r="I170" s="42"/>
      <c r="J170" s="42"/>
      <c r="M170" s="26"/>
    </row>
    <row r="171" spans="5:13">
      <c r="E171" s="43">
        <v>45326.281249998807</v>
      </c>
      <c r="F171" s="41">
        <v>7.4772309795406793</v>
      </c>
      <c r="G171" s="41">
        <v>0</v>
      </c>
      <c r="H171" s="42"/>
      <c r="I171" s="42"/>
      <c r="J171" s="42"/>
      <c r="M171" s="26"/>
    </row>
    <row r="172" spans="5:13">
      <c r="E172" s="43">
        <v>45326.284722221026</v>
      </c>
      <c r="F172" s="41">
        <v>7.4772309795406793</v>
      </c>
      <c r="G172" s="41">
        <v>0</v>
      </c>
      <c r="H172" s="42"/>
      <c r="I172" s="42"/>
      <c r="J172" s="42"/>
      <c r="M172" s="26"/>
    </row>
    <row r="173" spans="5:13">
      <c r="E173" s="43">
        <v>45326.288194443245</v>
      </c>
      <c r="F173" s="41">
        <v>7.4772309795406793</v>
      </c>
      <c r="G173" s="41">
        <v>0</v>
      </c>
      <c r="H173" s="42"/>
      <c r="I173" s="42"/>
      <c r="J173" s="42"/>
      <c r="M173" s="26"/>
    </row>
    <row r="174" spans="5:13">
      <c r="E174" s="43">
        <v>45326.291666665464</v>
      </c>
      <c r="F174" s="41">
        <v>7.4772309795406793</v>
      </c>
      <c r="G174" s="41">
        <v>0</v>
      </c>
      <c r="H174" s="42"/>
      <c r="I174" s="42"/>
      <c r="J174" s="42"/>
      <c r="M174" s="26"/>
    </row>
    <row r="175" spans="5:13">
      <c r="E175" s="43">
        <v>45326.295138887683</v>
      </c>
      <c r="F175" s="41">
        <v>7.4772309795406793</v>
      </c>
      <c r="G175" s="41">
        <v>0</v>
      </c>
      <c r="H175" s="42"/>
      <c r="I175" s="42"/>
      <c r="J175" s="42"/>
      <c r="M175" s="26"/>
    </row>
    <row r="176" spans="5:13">
      <c r="E176" s="43">
        <v>45326.298611109902</v>
      </c>
      <c r="F176" s="41">
        <v>7.4772309795406793</v>
      </c>
      <c r="G176" s="41">
        <v>0</v>
      </c>
      <c r="H176" s="42"/>
      <c r="I176" s="42"/>
      <c r="J176" s="42"/>
      <c r="M176" s="26"/>
    </row>
    <row r="177" spans="5:13">
      <c r="E177" s="43">
        <v>45326.302083332121</v>
      </c>
      <c r="F177" s="41">
        <v>7.4772309795406793</v>
      </c>
      <c r="G177" s="41">
        <v>0</v>
      </c>
      <c r="H177" s="42"/>
      <c r="I177" s="42"/>
      <c r="J177" s="42"/>
      <c r="M177" s="26"/>
    </row>
    <row r="178" spans="5:13">
      <c r="E178" s="43">
        <v>45326.30555555434</v>
      </c>
      <c r="F178" s="41">
        <v>7.4772309795406793</v>
      </c>
      <c r="G178" s="41">
        <v>0</v>
      </c>
      <c r="H178" s="42"/>
      <c r="I178" s="42"/>
      <c r="J178" s="42"/>
      <c r="M178" s="26"/>
    </row>
    <row r="179" spans="5:13">
      <c r="E179" s="43">
        <v>45326.309027776559</v>
      </c>
      <c r="F179" s="41">
        <v>7.4772309795406793</v>
      </c>
      <c r="G179" s="41">
        <v>0</v>
      </c>
      <c r="H179" s="42"/>
      <c r="I179" s="42"/>
      <c r="J179" s="42"/>
      <c r="M179" s="26"/>
    </row>
    <row r="180" spans="5:13">
      <c r="E180" s="43">
        <v>45326.312499998778</v>
      </c>
      <c r="F180" s="41">
        <v>7.4772309795406793</v>
      </c>
      <c r="G180" s="41">
        <v>0</v>
      </c>
      <c r="H180" s="42"/>
      <c r="I180" s="42"/>
      <c r="J180" s="42"/>
      <c r="M180" s="26"/>
    </row>
    <row r="181" spans="5:13">
      <c r="E181" s="43">
        <v>45326.315972220997</v>
      </c>
      <c r="F181" s="41">
        <v>7.4772309795406793</v>
      </c>
      <c r="G181" s="41">
        <v>0</v>
      </c>
      <c r="H181" s="42"/>
      <c r="I181" s="42"/>
      <c r="J181" s="42"/>
      <c r="M181" s="26"/>
    </row>
    <row r="182" spans="5:13">
      <c r="E182" s="43">
        <v>45326.319444443216</v>
      </c>
      <c r="F182" s="41">
        <v>7.4772309795406793</v>
      </c>
      <c r="G182" s="41">
        <v>0</v>
      </c>
      <c r="H182" s="42"/>
      <c r="I182" s="42"/>
      <c r="J182" s="42"/>
      <c r="M182" s="26"/>
    </row>
    <row r="183" spans="5:13">
      <c r="E183" s="43">
        <v>45326.322916665435</v>
      </c>
      <c r="F183" s="41">
        <v>7.4772309795406793</v>
      </c>
      <c r="G183" s="41">
        <v>0</v>
      </c>
      <c r="H183" s="42"/>
      <c r="I183" s="42"/>
      <c r="J183" s="42"/>
      <c r="M183" s="26"/>
    </row>
    <row r="184" spans="5:13">
      <c r="E184" s="43">
        <v>45326.326388887654</v>
      </c>
      <c r="F184" s="41">
        <v>7.4772309795406793</v>
      </c>
      <c r="G184" s="41">
        <v>0</v>
      </c>
      <c r="H184" s="42"/>
      <c r="I184" s="42"/>
      <c r="J184" s="42"/>
      <c r="M184" s="26"/>
    </row>
    <row r="185" spans="5:13">
      <c r="E185" s="43">
        <v>45326.329861109873</v>
      </c>
      <c r="F185" s="41">
        <v>7.4772309795406793</v>
      </c>
      <c r="G185" s="41">
        <v>0</v>
      </c>
      <c r="H185" s="42"/>
      <c r="I185" s="42"/>
      <c r="J185" s="42"/>
      <c r="M185" s="26"/>
    </row>
    <row r="186" spans="5:13">
      <c r="E186" s="43">
        <v>45326.333333332092</v>
      </c>
      <c r="F186" s="41">
        <v>7.4772309795406793</v>
      </c>
      <c r="G186" s="41">
        <v>0</v>
      </c>
      <c r="H186" s="42"/>
      <c r="I186" s="42"/>
      <c r="J186" s="42"/>
      <c r="M186" s="26"/>
    </row>
    <row r="187" spans="5:13">
      <c r="E187" s="43">
        <v>45326.336805554311</v>
      </c>
      <c r="F187" s="41">
        <v>7.4772309795406793</v>
      </c>
      <c r="G187" s="41">
        <v>0</v>
      </c>
      <c r="H187" s="42"/>
      <c r="I187" s="42"/>
      <c r="J187" s="42"/>
      <c r="M187" s="26"/>
    </row>
    <row r="188" spans="5:13">
      <c r="E188" s="43">
        <v>45326.34027777653</v>
      </c>
      <c r="F188" s="41">
        <v>7.4772309795406793</v>
      </c>
      <c r="G188" s="41">
        <v>0</v>
      </c>
      <c r="H188" s="42"/>
      <c r="I188" s="42"/>
      <c r="J188" s="42"/>
      <c r="M188" s="26"/>
    </row>
    <row r="189" spans="5:13">
      <c r="E189" s="43">
        <v>45326.343749998749</v>
      </c>
      <c r="F189" s="41">
        <v>7.4772309795406793</v>
      </c>
      <c r="G189" s="41">
        <v>0</v>
      </c>
      <c r="H189" s="42"/>
      <c r="I189" s="42"/>
      <c r="J189" s="42"/>
      <c r="M189" s="26"/>
    </row>
    <row r="190" spans="5:13">
      <c r="E190" s="43">
        <v>45326.347222220968</v>
      </c>
      <c r="F190" s="41">
        <v>7.4772309795406793</v>
      </c>
      <c r="G190" s="41">
        <v>0</v>
      </c>
      <c r="H190" s="42"/>
      <c r="I190" s="42"/>
      <c r="J190" s="42"/>
      <c r="M190" s="26"/>
    </row>
    <row r="191" spans="5:13">
      <c r="E191" s="43">
        <v>45326.350694443187</v>
      </c>
      <c r="F191" s="41">
        <v>7.4772309795406793</v>
      </c>
      <c r="G191" s="41">
        <v>0</v>
      </c>
      <c r="H191" s="42"/>
      <c r="I191" s="42"/>
      <c r="J191" s="42"/>
      <c r="M191" s="26"/>
    </row>
    <row r="192" spans="5:13">
      <c r="E192" s="43">
        <v>45326.354166665406</v>
      </c>
      <c r="F192" s="41">
        <v>7.4772309795406793</v>
      </c>
      <c r="G192" s="41">
        <v>0</v>
      </c>
      <c r="H192" s="42"/>
      <c r="I192" s="42"/>
      <c r="J192" s="42"/>
      <c r="M192" s="26"/>
    </row>
    <row r="193" spans="3:13">
      <c r="E193" s="43">
        <v>45326.357638887624</v>
      </c>
      <c r="F193" s="41">
        <v>7.4772309795406793</v>
      </c>
      <c r="G193" s="41">
        <v>0</v>
      </c>
      <c r="H193" s="42"/>
      <c r="I193" s="42"/>
      <c r="J193" s="42"/>
      <c r="M193" s="26"/>
    </row>
    <row r="194" spans="3:13">
      <c r="E194" s="43">
        <v>45326.361111109843</v>
      </c>
      <c r="F194" s="41">
        <v>7.4772309795406793</v>
      </c>
      <c r="G194" s="41">
        <v>0</v>
      </c>
      <c r="H194" s="42"/>
      <c r="I194" s="42"/>
      <c r="J194" s="42"/>
      <c r="M194" s="26"/>
    </row>
    <row r="195" spans="3:13">
      <c r="E195" s="43">
        <v>45326.364583332062</v>
      </c>
      <c r="F195" s="41">
        <v>7.4772309795406793</v>
      </c>
      <c r="G195" s="41">
        <v>0</v>
      </c>
      <c r="H195" s="42"/>
      <c r="I195" s="42"/>
      <c r="J195" s="42"/>
      <c r="M195" s="26"/>
    </row>
    <row r="196" spans="3:13">
      <c r="E196" s="43">
        <v>45326.368055554281</v>
      </c>
      <c r="F196" s="41">
        <v>7.4772309795406793</v>
      </c>
      <c r="G196" s="41">
        <v>0</v>
      </c>
      <c r="H196" s="42"/>
      <c r="I196" s="42"/>
      <c r="J196" s="42"/>
      <c r="M196" s="26"/>
    </row>
    <row r="197" spans="3:13">
      <c r="E197" s="43">
        <v>45326.3715277765</v>
      </c>
      <c r="F197" s="41">
        <v>7.4772309795406793</v>
      </c>
      <c r="G197" s="41">
        <v>0</v>
      </c>
      <c r="H197" s="42"/>
      <c r="I197" s="42"/>
      <c r="J197" s="42"/>
      <c r="M197" s="26"/>
    </row>
    <row r="198" spans="3:13">
      <c r="E198" s="43">
        <v>45326.374999998719</v>
      </c>
      <c r="F198" s="41">
        <v>7.4772309795406793</v>
      </c>
      <c r="G198" s="41">
        <v>0</v>
      </c>
      <c r="H198" s="42"/>
      <c r="I198" s="42"/>
      <c r="J198" s="42"/>
      <c r="M198" s="26"/>
    </row>
    <row r="199" spans="3:13">
      <c r="E199" s="43">
        <v>45326.378472220938</v>
      </c>
      <c r="F199" s="41">
        <v>7.4772309795406793</v>
      </c>
      <c r="G199" s="41">
        <v>0</v>
      </c>
      <c r="H199" s="42"/>
      <c r="I199" s="42"/>
      <c r="J199" s="42"/>
      <c r="M199" s="26"/>
    </row>
    <row r="200" spans="3:13">
      <c r="E200" s="43">
        <v>45326.381944443157</v>
      </c>
      <c r="F200" s="41">
        <v>7.4772309795406793</v>
      </c>
      <c r="G200" s="41">
        <v>0</v>
      </c>
      <c r="H200" s="42"/>
      <c r="I200" s="42"/>
      <c r="J200" s="42"/>
      <c r="M200" s="26"/>
    </row>
    <row r="201" spans="3:13">
      <c r="E201" s="43">
        <v>45326.385416665376</v>
      </c>
      <c r="F201" s="41">
        <v>7.4772309795406793</v>
      </c>
      <c r="G201" s="41">
        <v>0</v>
      </c>
      <c r="H201" s="42"/>
      <c r="I201" s="42"/>
      <c r="J201" s="42"/>
      <c r="M201" s="26"/>
    </row>
    <row r="202" spans="3:13">
      <c r="E202" s="43">
        <v>45326.388888887595</v>
      </c>
      <c r="F202" s="41">
        <v>7.4772309795406793</v>
      </c>
      <c r="G202" s="41">
        <v>0</v>
      </c>
      <c r="H202" s="42"/>
      <c r="I202" s="42"/>
      <c r="J202" s="42"/>
      <c r="M202" s="26"/>
    </row>
    <row r="203" spans="3:13">
      <c r="E203" s="43">
        <v>45326.392361109814</v>
      </c>
      <c r="F203" s="41">
        <v>7.4772309795406793</v>
      </c>
      <c r="G203" s="41">
        <v>0</v>
      </c>
      <c r="H203" s="42"/>
      <c r="I203" s="42"/>
      <c r="J203" s="42"/>
      <c r="M203" s="26"/>
    </row>
    <row r="204" spans="3:13">
      <c r="E204" s="43">
        <v>45326.395833332033</v>
      </c>
      <c r="F204" s="41">
        <v>7.4772309795406793</v>
      </c>
      <c r="G204" s="41">
        <v>0</v>
      </c>
      <c r="H204" s="42"/>
      <c r="I204" s="42"/>
      <c r="J204" s="42"/>
      <c r="M204" s="26"/>
    </row>
    <row r="205" spans="3:13">
      <c r="E205" s="43">
        <v>45326.399305554252</v>
      </c>
      <c r="F205" s="41">
        <v>7.4772309795406793</v>
      </c>
      <c r="G205" s="41">
        <v>0</v>
      </c>
      <c r="H205" s="42"/>
      <c r="I205" s="42"/>
      <c r="J205" s="42"/>
      <c r="M205" s="26"/>
    </row>
    <row r="206" spans="3:13">
      <c r="E206" s="43">
        <v>45326.402777776471</v>
      </c>
      <c r="F206" s="41">
        <v>7.4772309795406793</v>
      </c>
      <c r="G206" s="41">
        <v>0</v>
      </c>
      <c r="H206" s="42"/>
      <c r="I206" s="42"/>
      <c r="J206" s="42"/>
      <c r="M206" s="26"/>
    </row>
    <row r="207" spans="3:13">
      <c r="C207" s="25"/>
      <c r="E207" s="43">
        <v>45326.40624999869</v>
      </c>
      <c r="F207" s="41">
        <v>7.4772309795406793</v>
      </c>
      <c r="G207" s="41">
        <v>0</v>
      </c>
      <c r="H207" s="42"/>
      <c r="I207" s="42"/>
      <c r="J207" s="42"/>
      <c r="M207" s="26"/>
    </row>
    <row r="208" spans="3:13">
      <c r="E208" s="43">
        <v>45326.409722220909</v>
      </c>
      <c r="F208" s="41">
        <v>7.4772309795406793</v>
      </c>
      <c r="G208" s="41">
        <v>0</v>
      </c>
      <c r="H208" s="42"/>
      <c r="I208" s="42"/>
      <c r="J208" s="42"/>
      <c r="M208" s="26"/>
    </row>
    <row r="209" spans="2:13">
      <c r="B209" s="27"/>
      <c r="C209" s="27"/>
      <c r="D209" s="27"/>
      <c r="E209" s="43">
        <v>45326.413194443128</v>
      </c>
      <c r="F209" s="41">
        <v>7.4772309795406793</v>
      </c>
      <c r="G209" s="41">
        <v>0</v>
      </c>
      <c r="H209" s="42"/>
      <c r="I209" s="42"/>
      <c r="J209" s="42"/>
      <c r="M209" s="26"/>
    </row>
    <row r="210" spans="2:13">
      <c r="D210" s="24"/>
      <c r="E210" s="43">
        <v>45326.416666665347</v>
      </c>
      <c r="F210" s="41">
        <v>7.4772309795406793</v>
      </c>
      <c r="G210" s="41">
        <v>0</v>
      </c>
      <c r="H210" s="42"/>
      <c r="I210" s="42"/>
      <c r="J210" s="42"/>
    </row>
    <row r="211" spans="2:13">
      <c r="B211" s="28"/>
      <c r="E211" s="43">
        <v>45326.420138887566</v>
      </c>
      <c r="F211" s="41">
        <v>7.4772309795406793</v>
      </c>
      <c r="G211" s="41">
        <v>0</v>
      </c>
      <c r="H211" s="42"/>
      <c r="I211" s="42"/>
      <c r="J211" s="42"/>
    </row>
    <row r="212" spans="2:13">
      <c r="E212" s="43">
        <v>45326.423611109785</v>
      </c>
      <c r="F212" s="41">
        <v>7.4772309795406793</v>
      </c>
      <c r="G212" s="41">
        <v>0</v>
      </c>
      <c r="H212" s="42"/>
      <c r="I212" s="42"/>
      <c r="J212" s="42"/>
    </row>
    <row r="213" spans="2:13">
      <c r="E213" s="43">
        <v>45326.427083332004</v>
      </c>
      <c r="F213" s="41">
        <v>7.4772309795406793</v>
      </c>
      <c r="G213" s="41">
        <v>0</v>
      </c>
      <c r="H213" s="42"/>
      <c r="I213" s="42"/>
      <c r="J213" s="42"/>
    </row>
    <row r="214" spans="2:13">
      <c r="E214" s="43">
        <v>45326.430555554223</v>
      </c>
      <c r="F214" s="41">
        <v>7.4772309795406793</v>
      </c>
      <c r="G214" s="41">
        <v>0</v>
      </c>
      <c r="H214" s="42"/>
      <c r="I214" s="42"/>
      <c r="J214" s="42"/>
    </row>
    <row r="215" spans="2:13">
      <c r="E215" s="43">
        <v>45326.434027776442</v>
      </c>
      <c r="F215" s="41">
        <v>7.4772309795406793</v>
      </c>
      <c r="G215" s="41">
        <v>0</v>
      </c>
      <c r="H215" s="42"/>
      <c r="I215" s="42"/>
      <c r="J215" s="42"/>
    </row>
    <row r="216" spans="2:13">
      <c r="E216" s="43">
        <v>45326.437499998661</v>
      </c>
      <c r="F216" s="41">
        <v>7.4772309795406793</v>
      </c>
      <c r="G216" s="41">
        <v>0</v>
      </c>
      <c r="H216" s="42"/>
      <c r="I216" s="42"/>
      <c r="J216" s="42"/>
    </row>
    <row r="217" spans="2:13">
      <c r="E217" s="43">
        <v>45326.44097222088</v>
      </c>
      <c r="F217" s="41">
        <v>7.4772309795406793</v>
      </c>
      <c r="G217" s="41">
        <v>0</v>
      </c>
      <c r="H217" s="42"/>
      <c r="I217" s="42"/>
      <c r="J217" s="42"/>
    </row>
    <row r="218" spans="2:13">
      <c r="E218" s="43">
        <v>45326.444444443099</v>
      </c>
      <c r="F218" s="41">
        <v>7.4772309795406793</v>
      </c>
      <c r="G218" s="41">
        <v>0</v>
      </c>
      <c r="H218" s="42"/>
      <c r="I218" s="42"/>
      <c r="J218" s="42"/>
    </row>
    <row r="219" spans="2:13">
      <c r="E219" s="43">
        <v>45326.447916665318</v>
      </c>
      <c r="F219" s="41">
        <v>7.4772309795406793</v>
      </c>
      <c r="G219" s="41">
        <v>0</v>
      </c>
      <c r="H219" s="42"/>
      <c r="I219" s="42"/>
      <c r="J219" s="42"/>
    </row>
    <row r="220" spans="2:13">
      <c r="E220" s="43">
        <v>45326.451388887537</v>
      </c>
      <c r="F220" s="41">
        <v>7.4772309795406793</v>
      </c>
      <c r="G220" s="41">
        <v>0</v>
      </c>
      <c r="H220" s="42"/>
      <c r="I220" s="42"/>
      <c r="J220" s="42"/>
    </row>
    <row r="221" spans="2:13">
      <c r="E221" s="43">
        <v>45326.454861109756</v>
      </c>
      <c r="F221" s="41">
        <v>7.4772309795406793</v>
      </c>
      <c r="G221" s="41">
        <v>0</v>
      </c>
      <c r="H221" s="42"/>
      <c r="I221" s="42"/>
      <c r="J221" s="42"/>
    </row>
    <row r="222" spans="2:13">
      <c r="E222" s="43">
        <v>45326.458333331975</v>
      </c>
      <c r="F222" s="41">
        <v>7.4772309795406793</v>
      </c>
      <c r="G222" s="41">
        <v>0</v>
      </c>
      <c r="H222" s="42"/>
      <c r="I222" s="42"/>
      <c r="J222" s="42"/>
    </row>
    <row r="223" spans="2:13">
      <c r="E223" s="43">
        <v>45326.461805554194</v>
      </c>
      <c r="F223" s="41">
        <v>7.4772309795406793</v>
      </c>
      <c r="G223" s="41">
        <v>0</v>
      </c>
      <c r="H223" s="42"/>
      <c r="I223" s="42"/>
      <c r="J223" s="42"/>
    </row>
    <row r="224" spans="2:13">
      <c r="E224" s="43">
        <v>45326.465277776413</v>
      </c>
      <c r="F224" s="41">
        <v>7.4772309795406793</v>
      </c>
      <c r="G224" s="41">
        <v>0</v>
      </c>
      <c r="H224" s="42"/>
      <c r="I224" s="42"/>
      <c r="J224" s="42"/>
    </row>
    <row r="225" spans="5:10">
      <c r="E225" s="43">
        <v>45326.468749998632</v>
      </c>
      <c r="F225" s="41">
        <v>7.4772309795406793</v>
      </c>
      <c r="G225" s="41">
        <v>0</v>
      </c>
      <c r="H225" s="42"/>
      <c r="I225" s="42"/>
      <c r="J225" s="42"/>
    </row>
    <row r="226" spans="5:10">
      <c r="E226" s="43">
        <v>45326.472222220851</v>
      </c>
      <c r="F226" s="41">
        <v>7.4772309795406793</v>
      </c>
      <c r="G226" s="41">
        <v>0</v>
      </c>
      <c r="H226" s="42"/>
      <c r="I226" s="42"/>
      <c r="J226" s="42"/>
    </row>
    <row r="227" spans="5:10">
      <c r="E227" s="43">
        <v>45326.47569444307</v>
      </c>
      <c r="F227" s="41">
        <v>7.4772309795406793</v>
      </c>
      <c r="G227" s="41">
        <v>0</v>
      </c>
      <c r="H227" s="42"/>
      <c r="I227" s="42"/>
      <c r="J227" s="42"/>
    </row>
    <row r="228" spans="5:10">
      <c r="E228" s="43">
        <v>45326.479166665289</v>
      </c>
      <c r="F228" s="41">
        <v>7.4772309795406793</v>
      </c>
      <c r="G228" s="41">
        <v>0</v>
      </c>
      <c r="H228" s="42"/>
      <c r="I228" s="42"/>
      <c r="J228" s="42"/>
    </row>
    <row r="229" spans="5:10">
      <c r="E229" s="43">
        <v>45326.482638887508</v>
      </c>
      <c r="F229" s="41">
        <v>7.4772309795406793</v>
      </c>
      <c r="G229" s="41">
        <v>0</v>
      </c>
      <c r="H229" s="42"/>
      <c r="I229" s="42"/>
      <c r="J229" s="42"/>
    </row>
    <row r="230" spans="5:10">
      <c r="E230" s="43">
        <v>45326.486111109727</v>
      </c>
      <c r="F230" s="41">
        <v>7.4772309795406793</v>
      </c>
      <c r="G230" s="41">
        <v>0</v>
      </c>
      <c r="H230" s="42"/>
      <c r="I230" s="42"/>
      <c r="J230" s="42"/>
    </row>
    <row r="231" spans="5:10">
      <c r="E231" s="43">
        <v>45326.489583331946</v>
      </c>
      <c r="F231" s="41">
        <v>7.4772309795406793</v>
      </c>
      <c r="G231" s="41">
        <v>0</v>
      </c>
      <c r="H231" s="42"/>
      <c r="I231" s="42"/>
      <c r="J231" s="42"/>
    </row>
    <row r="232" spans="5:10">
      <c r="E232" s="43">
        <v>45326.493055554165</v>
      </c>
      <c r="F232" s="41">
        <v>7.4772309795406793</v>
      </c>
      <c r="G232" s="41">
        <v>0</v>
      </c>
      <c r="H232" s="42"/>
      <c r="I232" s="42"/>
      <c r="J232" s="42"/>
    </row>
    <row r="233" spans="5:10">
      <c r="E233" s="43">
        <v>45326.496527776384</v>
      </c>
      <c r="F233" s="41">
        <v>7.4772309795406793</v>
      </c>
      <c r="G233" s="41">
        <v>0</v>
      </c>
      <c r="H233" s="42"/>
      <c r="I233" s="42"/>
      <c r="J233" s="42"/>
    </row>
    <row r="234" spans="5:10">
      <c r="E234" s="43">
        <v>45326.499999998603</v>
      </c>
      <c r="F234" s="41">
        <v>7.4772309795406793</v>
      </c>
      <c r="G234" s="41">
        <v>0</v>
      </c>
      <c r="H234" s="42"/>
      <c r="I234" s="42"/>
      <c r="J234" s="42"/>
    </row>
    <row r="235" spans="5:10">
      <c r="E235" s="43">
        <v>45326.503472220822</v>
      </c>
      <c r="F235" s="41">
        <v>0</v>
      </c>
      <c r="G235" s="41">
        <v>0</v>
      </c>
      <c r="H235" s="42"/>
      <c r="I235" s="42"/>
      <c r="J235" s="42"/>
    </row>
    <row r="236" spans="5:10">
      <c r="E236" s="43">
        <v>45326.506944443041</v>
      </c>
      <c r="F236" s="41">
        <v>0</v>
      </c>
      <c r="G236" s="41">
        <v>0</v>
      </c>
      <c r="H236" s="42"/>
      <c r="I236" s="42"/>
      <c r="J236" s="42"/>
    </row>
    <row r="237" spans="5:10">
      <c r="E237" s="43">
        <v>45326.51041666526</v>
      </c>
      <c r="F237" s="41">
        <v>0</v>
      </c>
      <c r="G237" s="41">
        <v>0</v>
      </c>
      <c r="H237" s="42"/>
      <c r="I237" s="42"/>
      <c r="J237" s="42"/>
    </row>
    <row r="238" spans="5:10">
      <c r="E238" s="43">
        <v>45326.513888887479</v>
      </c>
      <c r="F238" s="41">
        <v>0</v>
      </c>
      <c r="G238" s="41">
        <v>0</v>
      </c>
      <c r="H238" s="42"/>
      <c r="I238" s="42"/>
      <c r="J238" s="42"/>
    </row>
    <row r="239" spans="5:10">
      <c r="E239" s="43">
        <v>45326.517361109698</v>
      </c>
      <c r="F239" s="41">
        <v>0</v>
      </c>
      <c r="G239" s="41">
        <v>0</v>
      </c>
      <c r="H239" s="42"/>
      <c r="I239" s="42"/>
      <c r="J239" s="42"/>
    </row>
    <row r="240" spans="5:10">
      <c r="E240" s="43">
        <v>45326.520833331917</v>
      </c>
      <c r="F240" s="41">
        <v>0</v>
      </c>
      <c r="G240" s="41">
        <v>0</v>
      </c>
      <c r="H240" s="42"/>
      <c r="I240" s="42"/>
      <c r="J240" s="42"/>
    </row>
    <row r="241" spans="5:10">
      <c r="E241" s="43">
        <v>45326.524305554136</v>
      </c>
      <c r="F241" s="41">
        <v>0</v>
      </c>
      <c r="G241" s="41">
        <v>0</v>
      </c>
      <c r="H241" s="42"/>
      <c r="I241" s="42"/>
      <c r="J241" s="42"/>
    </row>
    <row r="242" spans="5:10">
      <c r="E242" s="43">
        <v>45326.527777776355</v>
      </c>
      <c r="F242" s="41">
        <v>0</v>
      </c>
      <c r="G242" s="41">
        <v>0</v>
      </c>
      <c r="H242" s="42"/>
      <c r="I242" s="42"/>
      <c r="J242" s="42"/>
    </row>
    <row r="243" spans="5:10">
      <c r="E243" s="43">
        <v>45326.531249998574</v>
      </c>
      <c r="F243" s="41">
        <v>0</v>
      </c>
      <c r="G243" s="41">
        <v>0</v>
      </c>
      <c r="H243" s="42"/>
      <c r="I243" s="42"/>
      <c r="J243" s="42"/>
    </row>
    <row r="244" spans="5:10">
      <c r="E244" s="43">
        <v>45326.534722220793</v>
      </c>
      <c r="F244" s="41">
        <v>0</v>
      </c>
      <c r="G244" s="41">
        <v>0</v>
      </c>
      <c r="H244" s="42"/>
      <c r="I244" s="42"/>
      <c r="J244" s="42"/>
    </row>
    <row r="245" spans="5:10">
      <c r="E245" s="43">
        <v>45326.538194443012</v>
      </c>
      <c r="F245" s="41">
        <v>0</v>
      </c>
      <c r="G245" s="41">
        <v>0</v>
      </c>
      <c r="H245" s="42"/>
      <c r="I245" s="42"/>
      <c r="J245" s="42"/>
    </row>
    <row r="246" spans="5:10">
      <c r="E246" s="43">
        <v>45326.541666665231</v>
      </c>
      <c r="F246" s="41">
        <v>0</v>
      </c>
      <c r="G246" s="41">
        <v>0</v>
      </c>
      <c r="H246" s="42"/>
      <c r="I246" s="42"/>
      <c r="J246" s="42"/>
    </row>
    <row r="247" spans="5:10">
      <c r="E247" s="43">
        <v>45326.54513888745</v>
      </c>
      <c r="F247" s="41">
        <v>0</v>
      </c>
      <c r="G247" s="41">
        <v>0</v>
      </c>
      <c r="H247" s="42"/>
      <c r="I247" s="42"/>
      <c r="J247" s="42"/>
    </row>
    <row r="248" spans="5:10">
      <c r="E248" s="43">
        <v>45326.548611109669</v>
      </c>
      <c r="F248" s="41">
        <v>0</v>
      </c>
      <c r="G248" s="41">
        <v>0</v>
      </c>
      <c r="H248" s="42"/>
      <c r="I248" s="42"/>
      <c r="J248" s="42"/>
    </row>
    <row r="249" spans="5:10">
      <c r="E249" s="43">
        <v>45326.552083331888</v>
      </c>
      <c r="F249" s="41">
        <v>0</v>
      </c>
      <c r="G249" s="41">
        <v>0</v>
      </c>
      <c r="H249" s="42"/>
      <c r="I249" s="42"/>
      <c r="J249" s="42"/>
    </row>
    <row r="250" spans="5:10">
      <c r="E250" s="43">
        <v>45326.555555554107</v>
      </c>
      <c r="F250" s="41">
        <v>0</v>
      </c>
      <c r="G250" s="41">
        <v>0</v>
      </c>
      <c r="H250" s="42"/>
      <c r="I250" s="42"/>
      <c r="J250" s="42"/>
    </row>
    <row r="251" spans="5:10">
      <c r="E251" s="43">
        <v>45326.559027776326</v>
      </c>
      <c r="F251" s="41">
        <v>0</v>
      </c>
      <c r="G251" s="41">
        <v>0</v>
      </c>
      <c r="H251" s="42"/>
      <c r="I251" s="42"/>
      <c r="J251" s="42"/>
    </row>
    <row r="252" spans="5:10">
      <c r="E252" s="43">
        <v>45326.562499998545</v>
      </c>
      <c r="F252" s="41">
        <v>0</v>
      </c>
      <c r="G252" s="41">
        <v>0</v>
      </c>
      <c r="H252" s="42"/>
      <c r="I252" s="42"/>
      <c r="J252" s="42"/>
    </row>
    <row r="253" spans="5:10">
      <c r="E253" s="43">
        <v>45326.565972220764</v>
      </c>
      <c r="F253" s="41">
        <v>0</v>
      </c>
      <c r="G253" s="41">
        <v>0</v>
      </c>
      <c r="H253" s="42"/>
      <c r="I253" s="42"/>
      <c r="J253" s="42"/>
    </row>
    <row r="254" spans="5:10">
      <c r="E254" s="43">
        <v>45326.569444442983</v>
      </c>
      <c r="F254" s="41">
        <v>0</v>
      </c>
      <c r="G254" s="41">
        <v>0</v>
      </c>
      <c r="H254" s="42"/>
      <c r="I254" s="42"/>
      <c r="J254" s="42"/>
    </row>
    <row r="255" spans="5:10">
      <c r="E255" s="43">
        <v>45326.572916665202</v>
      </c>
      <c r="F255" s="41">
        <v>0</v>
      </c>
      <c r="G255" s="41">
        <v>0</v>
      </c>
      <c r="H255" s="42"/>
      <c r="I255" s="42"/>
      <c r="J255" s="42"/>
    </row>
    <row r="256" spans="5:10">
      <c r="E256" s="43">
        <v>45326.576388887421</v>
      </c>
      <c r="F256" s="41">
        <v>0</v>
      </c>
      <c r="G256" s="41">
        <v>0</v>
      </c>
      <c r="H256" s="42"/>
      <c r="I256" s="42"/>
      <c r="J256" s="42"/>
    </row>
    <row r="257" spans="5:10">
      <c r="E257" s="43">
        <v>45326.57986110964</v>
      </c>
      <c r="F257" s="41">
        <v>0</v>
      </c>
      <c r="G257" s="41">
        <v>0</v>
      </c>
      <c r="H257" s="42"/>
      <c r="I257" s="42"/>
      <c r="J257" s="42"/>
    </row>
    <row r="258" spans="5:10">
      <c r="E258" s="43">
        <v>45326.583333331859</v>
      </c>
      <c r="F258" s="41">
        <v>0</v>
      </c>
      <c r="G258" s="41">
        <v>0</v>
      </c>
      <c r="H258" s="42"/>
      <c r="I258" s="42"/>
      <c r="J258" s="42"/>
    </row>
    <row r="259" spans="5:10">
      <c r="E259" s="43">
        <v>45326.586805554078</v>
      </c>
      <c r="F259" s="41">
        <v>0</v>
      </c>
      <c r="G259" s="41">
        <v>0</v>
      </c>
      <c r="H259" s="42"/>
      <c r="I259" s="42"/>
      <c r="J259" s="42"/>
    </row>
    <row r="260" spans="5:10">
      <c r="E260" s="43">
        <v>45326.590277776297</v>
      </c>
      <c r="F260" s="41">
        <v>0</v>
      </c>
      <c r="G260" s="41">
        <v>0</v>
      </c>
      <c r="H260" s="42"/>
      <c r="I260" s="42"/>
      <c r="J260" s="42"/>
    </row>
    <row r="261" spans="5:10">
      <c r="E261" s="43">
        <v>45326.593749998516</v>
      </c>
      <c r="F261" s="41">
        <v>0</v>
      </c>
      <c r="G261" s="41">
        <v>0</v>
      </c>
      <c r="H261" s="42"/>
      <c r="I261" s="42"/>
      <c r="J261" s="42"/>
    </row>
    <row r="262" spans="5:10">
      <c r="E262" s="43">
        <v>45326.597222220735</v>
      </c>
      <c r="F262" s="41">
        <v>0</v>
      </c>
      <c r="G262" s="41">
        <v>0</v>
      </c>
      <c r="H262" s="42"/>
      <c r="I262" s="42"/>
      <c r="J262" s="42"/>
    </row>
    <row r="263" spans="5:10">
      <c r="E263" s="43">
        <v>45326.600694442954</v>
      </c>
      <c r="F263" s="41">
        <v>0</v>
      </c>
      <c r="G263" s="41">
        <v>0</v>
      </c>
      <c r="H263" s="42"/>
      <c r="I263" s="42"/>
      <c r="J263" s="42"/>
    </row>
    <row r="264" spans="5:10">
      <c r="E264" s="43">
        <v>45326.604166665173</v>
      </c>
      <c r="F264" s="41">
        <v>0</v>
      </c>
      <c r="G264" s="41">
        <v>0</v>
      </c>
      <c r="H264" s="42"/>
      <c r="I264" s="42"/>
      <c r="J264" s="42"/>
    </row>
    <row r="265" spans="5:10">
      <c r="E265" s="43">
        <v>45326.607638887392</v>
      </c>
      <c r="F265" s="41">
        <v>0</v>
      </c>
      <c r="G265" s="41">
        <v>0</v>
      </c>
      <c r="H265" s="42"/>
      <c r="I265" s="42"/>
      <c r="J265" s="42"/>
    </row>
    <row r="266" spans="5:10">
      <c r="E266" s="43">
        <v>45326.611111109611</v>
      </c>
      <c r="F266" s="41">
        <v>0</v>
      </c>
      <c r="G266" s="41">
        <v>0</v>
      </c>
      <c r="H266" s="42"/>
      <c r="I266" s="42"/>
      <c r="J266" s="42"/>
    </row>
    <row r="267" spans="5:10">
      <c r="E267" s="43">
        <v>45326.61458333183</v>
      </c>
      <c r="F267" s="41">
        <v>0</v>
      </c>
      <c r="G267" s="41">
        <v>0</v>
      </c>
      <c r="H267" s="42"/>
      <c r="I267" s="42"/>
      <c r="J267" s="42"/>
    </row>
    <row r="268" spans="5:10">
      <c r="E268" s="43">
        <v>45326.618055554049</v>
      </c>
      <c r="F268" s="41">
        <v>0</v>
      </c>
      <c r="G268" s="41">
        <v>0</v>
      </c>
      <c r="H268" s="42"/>
      <c r="I268" s="42"/>
      <c r="J268" s="42"/>
    </row>
    <row r="269" spans="5:10">
      <c r="E269" s="43">
        <v>45326.621527776268</v>
      </c>
      <c r="F269" s="41">
        <v>0</v>
      </c>
      <c r="G269" s="41">
        <v>0</v>
      </c>
      <c r="H269" s="42"/>
      <c r="I269" s="42"/>
      <c r="J269" s="42"/>
    </row>
    <row r="270" spans="5:10">
      <c r="E270" s="43">
        <v>45326.624999998487</v>
      </c>
      <c r="F270" s="41">
        <v>0</v>
      </c>
      <c r="G270" s="41">
        <v>0</v>
      </c>
      <c r="H270" s="42"/>
      <c r="I270" s="42"/>
      <c r="J270" s="42"/>
    </row>
    <row r="271" spans="5:10">
      <c r="E271" s="43">
        <v>45326.628472220706</v>
      </c>
      <c r="F271" s="41">
        <v>0</v>
      </c>
      <c r="G271" s="41">
        <v>0</v>
      </c>
      <c r="H271" s="42"/>
      <c r="I271" s="42"/>
      <c r="J271" s="42"/>
    </row>
    <row r="272" spans="5:10">
      <c r="E272" s="43">
        <v>45326.631944442925</v>
      </c>
      <c r="F272" s="41">
        <v>0</v>
      </c>
      <c r="G272" s="41">
        <v>0</v>
      </c>
      <c r="H272" s="42"/>
      <c r="I272" s="42"/>
      <c r="J272" s="42"/>
    </row>
    <row r="273" spans="5:10">
      <c r="E273" s="43">
        <v>45326.635416665144</v>
      </c>
      <c r="F273" s="41">
        <v>0</v>
      </c>
      <c r="G273" s="41">
        <v>0</v>
      </c>
      <c r="H273" s="42"/>
      <c r="I273" s="42"/>
      <c r="J273" s="42"/>
    </row>
    <row r="274" spans="5:10">
      <c r="E274" s="43">
        <v>45326.638888887363</v>
      </c>
      <c r="F274" s="41">
        <v>0</v>
      </c>
      <c r="G274" s="41">
        <v>0</v>
      </c>
      <c r="H274" s="42"/>
      <c r="I274" s="42"/>
      <c r="J274" s="42"/>
    </row>
    <row r="275" spans="5:10">
      <c r="E275" s="43">
        <v>45326.642361109582</v>
      </c>
      <c r="F275" s="41">
        <v>0</v>
      </c>
      <c r="G275" s="41">
        <v>0</v>
      </c>
      <c r="H275" s="42"/>
      <c r="I275" s="42"/>
      <c r="J275" s="42"/>
    </row>
    <row r="276" spans="5:10">
      <c r="E276" s="43">
        <v>45326.645833331801</v>
      </c>
      <c r="F276" s="41">
        <v>0</v>
      </c>
      <c r="G276" s="41">
        <v>0</v>
      </c>
      <c r="H276" s="42"/>
      <c r="I276" s="42"/>
      <c r="J276" s="42"/>
    </row>
    <row r="277" spans="5:10">
      <c r="E277" s="43">
        <v>45326.64930555402</v>
      </c>
      <c r="F277" s="41">
        <v>0</v>
      </c>
      <c r="G277" s="41">
        <v>0</v>
      </c>
      <c r="H277" s="42"/>
      <c r="I277" s="42"/>
      <c r="J277" s="42"/>
    </row>
    <row r="278" spans="5:10">
      <c r="E278" s="43">
        <v>45326.652777776239</v>
      </c>
      <c r="F278" s="41">
        <v>0</v>
      </c>
      <c r="G278" s="41">
        <v>0</v>
      </c>
      <c r="H278" s="42"/>
      <c r="I278" s="42"/>
      <c r="J278" s="42"/>
    </row>
    <row r="279" spans="5:10">
      <c r="E279" s="43">
        <v>45326.656249998457</v>
      </c>
      <c r="F279" s="41">
        <v>0</v>
      </c>
      <c r="G279" s="41">
        <v>0</v>
      </c>
      <c r="H279" s="42"/>
      <c r="I279" s="42"/>
      <c r="J279" s="42"/>
    </row>
    <row r="280" spans="5:10">
      <c r="E280" s="43">
        <v>45326.659722220676</v>
      </c>
      <c r="F280" s="41">
        <v>0</v>
      </c>
      <c r="G280" s="41">
        <v>0</v>
      </c>
      <c r="H280" s="42"/>
      <c r="I280" s="42"/>
      <c r="J280" s="42"/>
    </row>
    <row r="281" spans="5:10">
      <c r="E281" s="43">
        <v>45326.663194442895</v>
      </c>
      <c r="F281" s="41">
        <v>0</v>
      </c>
      <c r="G281" s="41">
        <v>0</v>
      </c>
      <c r="H281" s="42"/>
      <c r="I281" s="42"/>
      <c r="J281" s="42"/>
    </row>
    <row r="282" spans="5:10">
      <c r="E282" s="43">
        <v>45326.666666665114</v>
      </c>
      <c r="F282" s="41">
        <v>0</v>
      </c>
      <c r="G282" s="41">
        <v>0</v>
      </c>
      <c r="H282" s="42"/>
      <c r="I282" s="42"/>
      <c r="J282" s="42"/>
    </row>
    <row r="283" spans="5:10">
      <c r="E283" s="43">
        <v>45326.670138887333</v>
      </c>
      <c r="F283" s="41">
        <v>0</v>
      </c>
      <c r="G283" s="41">
        <v>0</v>
      </c>
      <c r="H283" s="42"/>
      <c r="I283" s="42"/>
      <c r="J283" s="42"/>
    </row>
    <row r="284" spans="5:10">
      <c r="E284" s="43">
        <v>45326.673611109552</v>
      </c>
      <c r="F284" s="41">
        <v>0</v>
      </c>
      <c r="G284" s="41">
        <v>0</v>
      </c>
      <c r="H284" s="42"/>
      <c r="I284" s="42"/>
      <c r="J284" s="42"/>
    </row>
    <row r="285" spans="5:10">
      <c r="E285" s="43">
        <v>45326.677083331771</v>
      </c>
      <c r="F285" s="41">
        <v>0</v>
      </c>
      <c r="G285" s="41">
        <v>0</v>
      </c>
      <c r="H285" s="42"/>
      <c r="I285" s="42"/>
      <c r="J285" s="42"/>
    </row>
    <row r="286" spans="5:10">
      <c r="E286" s="43">
        <v>45326.68055555399</v>
      </c>
      <c r="F286" s="41">
        <v>0</v>
      </c>
      <c r="G286" s="41">
        <v>0</v>
      </c>
      <c r="H286" s="42"/>
      <c r="I286" s="42"/>
      <c r="J286" s="42"/>
    </row>
    <row r="287" spans="5:10">
      <c r="E287" s="43">
        <v>45326.684027776209</v>
      </c>
      <c r="F287" s="41">
        <v>0</v>
      </c>
      <c r="G287" s="41">
        <v>0</v>
      </c>
      <c r="H287" s="42"/>
      <c r="I287" s="42"/>
      <c r="J287" s="42"/>
    </row>
    <row r="288" spans="5:10">
      <c r="E288" s="43">
        <v>45326.687499998428</v>
      </c>
      <c r="F288" s="41">
        <v>14.79039751230939</v>
      </c>
      <c r="G288" s="41">
        <v>0</v>
      </c>
      <c r="H288" s="42"/>
      <c r="I288" s="42"/>
      <c r="J288" s="42"/>
    </row>
    <row r="289" spans="5:10">
      <c r="E289" s="43">
        <v>45326.690972220647</v>
      </c>
      <c r="F289" s="41">
        <v>14.79039751230939</v>
      </c>
      <c r="G289" s="41">
        <v>0</v>
      </c>
      <c r="H289" s="42"/>
      <c r="I289" s="42"/>
      <c r="J289" s="42"/>
    </row>
    <row r="290" spans="5:10">
      <c r="E290" s="43">
        <v>45326.694444442866</v>
      </c>
      <c r="F290" s="41">
        <v>14.79039751230939</v>
      </c>
      <c r="G290" s="41">
        <v>0</v>
      </c>
      <c r="H290" s="42"/>
      <c r="I290" s="42"/>
      <c r="J290" s="42"/>
    </row>
    <row r="291" spans="5:10">
      <c r="E291" s="43">
        <v>45326.697916665085</v>
      </c>
      <c r="F291" s="41">
        <v>14.79039751230939</v>
      </c>
      <c r="G291" s="41">
        <v>0</v>
      </c>
      <c r="H291" s="42"/>
      <c r="I291" s="42"/>
      <c r="J291" s="42"/>
    </row>
    <row r="292" spans="5:10">
      <c r="E292" s="43">
        <v>45326.701388887304</v>
      </c>
      <c r="F292" s="41">
        <v>14.79039751230939</v>
      </c>
      <c r="G292" s="41">
        <v>0</v>
      </c>
      <c r="H292" s="42"/>
      <c r="I292" s="42"/>
      <c r="J292" s="42"/>
    </row>
    <row r="293" spans="5:10">
      <c r="E293" s="43">
        <v>45326.704861109523</v>
      </c>
      <c r="F293" s="41">
        <v>14.79039751230939</v>
      </c>
      <c r="G293" s="41">
        <v>0</v>
      </c>
      <c r="H293" s="42"/>
      <c r="I293" s="42"/>
      <c r="J293" s="42"/>
    </row>
    <row r="294" spans="5:10">
      <c r="E294" s="43">
        <v>45326.708333331742</v>
      </c>
      <c r="F294" s="41">
        <v>14.79039751230939</v>
      </c>
      <c r="G294" s="41">
        <v>0</v>
      </c>
      <c r="H294" s="42"/>
      <c r="I294" s="42"/>
      <c r="J294" s="42"/>
    </row>
    <row r="295" spans="5:10">
      <c r="E295" s="43">
        <v>45326.711805553961</v>
      </c>
      <c r="F295" s="41">
        <v>14.79039751230939</v>
      </c>
      <c r="G295" s="41">
        <v>0</v>
      </c>
      <c r="H295" s="42"/>
      <c r="I295" s="42"/>
      <c r="J295" s="42"/>
    </row>
    <row r="296" spans="5:10">
      <c r="E296" s="43">
        <v>45326.71527777618</v>
      </c>
      <c r="F296" s="41">
        <v>14.79039751230939</v>
      </c>
      <c r="G296" s="41">
        <v>0</v>
      </c>
      <c r="H296" s="42"/>
      <c r="I296" s="42"/>
      <c r="J296" s="42"/>
    </row>
    <row r="297" spans="5:10">
      <c r="E297" s="43">
        <v>45326.718749998399</v>
      </c>
      <c r="F297" s="41">
        <v>14.79039751230939</v>
      </c>
      <c r="G297" s="41">
        <v>0</v>
      </c>
      <c r="H297" s="42"/>
      <c r="I297" s="42"/>
      <c r="J297" s="42"/>
    </row>
    <row r="298" spans="5:10">
      <c r="E298" s="43">
        <v>45326.722222220618</v>
      </c>
      <c r="F298" s="41">
        <v>14.79039751230939</v>
      </c>
      <c r="G298" s="41">
        <v>0</v>
      </c>
      <c r="H298" s="42"/>
      <c r="I298" s="42"/>
      <c r="J298" s="42"/>
    </row>
    <row r="299" spans="5:10">
      <c r="E299" s="43">
        <v>45326.725694442837</v>
      </c>
      <c r="F299" s="41">
        <v>14.79039751230939</v>
      </c>
      <c r="G299" s="41">
        <v>0</v>
      </c>
      <c r="H299" s="42"/>
      <c r="I299" s="42"/>
      <c r="J299" s="42"/>
    </row>
    <row r="300" spans="5:10">
      <c r="E300" s="43">
        <v>45326.729166665056</v>
      </c>
      <c r="F300" s="41">
        <v>14.79039751230939</v>
      </c>
      <c r="G300" s="41">
        <v>0</v>
      </c>
      <c r="H300" s="42"/>
      <c r="I300" s="42"/>
      <c r="J300" s="42"/>
    </row>
    <row r="301" spans="5:10">
      <c r="E301" s="43">
        <v>45326.732638887275</v>
      </c>
      <c r="F301" s="41">
        <v>14.79039751230939</v>
      </c>
      <c r="G301" s="41">
        <v>0</v>
      </c>
      <c r="H301" s="42"/>
      <c r="I301" s="42"/>
      <c r="J301" s="42"/>
    </row>
    <row r="302" spans="5:10">
      <c r="E302" s="43">
        <v>45326.736111109494</v>
      </c>
      <c r="F302" s="41">
        <v>14.79039751230939</v>
      </c>
      <c r="G302" s="41">
        <v>0</v>
      </c>
      <c r="H302" s="42"/>
      <c r="I302" s="42"/>
      <c r="J302" s="42"/>
    </row>
    <row r="303" spans="5:10">
      <c r="E303" s="43">
        <v>45326.739583331713</v>
      </c>
      <c r="F303" s="41">
        <v>14.79039751230939</v>
      </c>
      <c r="G303" s="41">
        <v>0</v>
      </c>
      <c r="H303" s="42"/>
      <c r="I303" s="42"/>
      <c r="J303" s="42"/>
    </row>
    <row r="304" spans="5:10">
      <c r="E304" s="43">
        <v>45326.743055553932</v>
      </c>
      <c r="F304" s="41">
        <v>14.79039751230939</v>
      </c>
      <c r="G304" s="41">
        <v>0</v>
      </c>
      <c r="H304" s="42"/>
      <c r="I304" s="42"/>
      <c r="J304" s="42"/>
    </row>
    <row r="305" spans="5:10">
      <c r="E305" s="43">
        <v>45326.746527776151</v>
      </c>
      <c r="F305" s="41">
        <v>14.79039751230939</v>
      </c>
      <c r="G305" s="41">
        <v>0</v>
      </c>
      <c r="H305" s="42"/>
      <c r="I305" s="42"/>
      <c r="J305" s="42"/>
    </row>
    <row r="306" spans="5:10">
      <c r="E306" s="43">
        <v>45326.74999999837</v>
      </c>
      <c r="F306" s="41">
        <v>14.79039751230939</v>
      </c>
      <c r="G306" s="41">
        <v>0</v>
      </c>
      <c r="H306" s="42"/>
      <c r="I306" s="42"/>
      <c r="J306" s="42"/>
    </row>
    <row r="307" spans="5:10">
      <c r="E307" s="43">
        <v>45326.753472220589</v>
      </c>
      <c r="F307" s="41">
        <v>14.79039751230939</v>
      </c>
      <c r="G307" s="41">
        <v>0</v>
      </c>
      <c r="H307" s="42"/>
      <c r="I307" s="42"/>
      <c r="J307" s="42"/>
    </row>
    <row r="308" spans="5:10">
      <c r="E308" s="43">
        <v>45326.756944442808</v>
      </c>
      <c r="F308" s="41">
        <v>14.79039751230939</v>
      </c>
      <c r="G308" s="41">
        <v>0</v>
      </c>
      <c r="H308" s="42"/>
      <c r="I308" s="42"/>
      <c r="J308" s="42"/>
    </row>
    <row r="309" spans="5:10">
      <c r="E309" s="43">
        <v>45326.760416665027</v>
      </c>
      <c r="F309" s="41">
        <v>14.79039751230939</v>
      </c>
      <c r="G309" s="41">
        <v>0</v>
      </c>
      <c r="H309" s="42"/>
      <c r="I309" s="42"/>
      <c r="J309" s="42"/>
    </row>
    <row r="310" spans="5:10">
      <c r="E310" s="43">
        <v>45326.763888887246</v>
      </c>
      <c r="F310" s="41">
        <v>14.79039751230939</v>
      </c>
      <c r="G310" s="41">
        <v>0</v>
      </c>
      <c r="H310" s="42"/>
      <c r="I310" s="42"/>
      <c r="J310" s="42"/>
    </row>
    <row r="311" spans="5:10">
      <c r="E311" s="43">
        <v>45326.767361109465</v>
      </c>
      <c r="F311" s="41">
        <v>14.79039751230939</v>
      </c>
      <c r="G311" s="41">
        <v>0</v>
      </c>
      <c r="H311" s="42"/>
      <c r="I311" s="42"/>
      <c r="J311" s="42"/>
    </row>
    <row r="312" spans="5:10">
      <c r="E312" s="43">
        <v>45326.770833331684</v>
      </c>
      <c r="F312" s="41">
        <v>14.79039751230939</v>
      </c>
      <c r="G312" s="41">
        <v>0</v>
      </c>
      <c r="H312" s="42"/>
      <c r="I312" s="42"/>
      <c r="J312" s="42"/>
    </row>
    <row r="313" spans="5:10">
      <c r="E313" s="43">
        <v>45326.774305553903</v>
      </c>
      <c r="F313" s="41">
        <v>14.79039751230939</v>
      </c>
      <c r="G313" s="41">
        <v>0</v>
      </c>
      <c r="H313" s="42"/>
      <c r="I313" s="42"/>
      <c r="J313" s="42"/>
    </row>
    <row r="314" spans="5:10">
      <c r="E314" s="43">
        <v>45326.777777776122</v>
      </c>
      <c r="F314" s="41">
        <v>14.79039751230939</v>
      </c>
      <c r="G314" s="41">
        <v>0</v>
      </c>
      <c r="H314" s="42"/>
      <c r="I314" s="42"/>
      <c r="J314" s="42"/>
    </row>
    <row r="315" spans="5:10">
      <c r="E315" s="43">
        <v>45326.781249998341</v>
      </c>
      <c r="F315" s="41">
        <v>14.79039751230939</v>
      </c>
      <c r="G315" s="41">
        <v>0</v>
      </c>
      <c r="H315" s="42"/>
      <c r="I315" s="42"/>
      <c r="J315" s="42"/>
    </row>
    <row r="316" spans="5:10">
      <c r="E316" s="43">
        <v>45326.78472222056</v>
      </c>
      <c r="F316" s="41">
        <v>14.79039751230939</v>
      </c>
      <c r="G316" s="41">
        <v>0</v>
      </c>
      <c r="H316" s="42"/>
      <c r="I316" s="42"/>
      <c r="J316" s="42"/>
    </row>
    <row r="317" spans="5:10">
      <c r="E317" s="43">
        <v>45326.788194442779</v>
      </c>
      <c r="F317" s="41">
        <v>14.79039751230939</v>
      </c>
      <c r="G317" s="41">
        <v>0</v>
      </c>
      <c r="H317" s="42"/>
      <c r="I317" s="42"/>
      <c r="J317" s="42"/>
    </row>
    <row r="318" spans="5:10">
      <c r="E318" s="43">
        <v>45326.791666664998</v>
      </c>
      <c r="F318" s="41">
        <v>14.79039751230939</v>
      </c>
      <c r="G318" s="41">
        <v>0</v>
      </c>
      <c r="H318" s="42"/>
      <c r="I318" s="42"/>
      <c r="J318" s="42"/>
    </row>
    <row r="319" spans="5:10">
      <c r="E319" s="43">
        <v>45326.795138887217</v>
      </c>
      <c r="F319" s="41">
        <v>14.79039751230939</v>
      </c>
      <c r="G319" s="41">
        <v>0</v>
      </c>
      <c r="H319" s="42"/>
      <c r="I319" s="42"/>
      <c r="J319" s="42"/>
    </row>
    <row r="320" spans="5:10">
      <c r="E320" s="43">
        <v>45326.798611109436</v>
      </c>
      <c r="F320" s="41">
        <v>14.79039751230939</v>
      </c>
      <c r="G320" s="41">
        <v>0</v>
      </c>
      <c r="H320" s="42"/>
      <c r="I320" s="42"/>
      <c r="J320" s="42"/>
    </row>
    <row r="321" spans="5:10">
      <c r="E321" s="43">
        <v>45326.802083331655</v>
      </c>
      <c r="F321" s="41">
        <v>14.79039751230939</v>
      </c>
      <c r="G321" s="41">
        <v>0</v>
      </c>
      <c r="H321" s="42"/>
      <c r="I321" s="42"/>
      <c r="J321" s="42"/>
    </row>
    <row r="322" spans="5:10">
      <c r="E322" s="43">
        <v>45326.805555553874</v>
      </c>
      <c r="F322" s="41">
        <v>14.79039751230939</v>
      </c>
      <c r="G322" s="41">
        <v>0</v>
      </c>
      <c r="H322" s="42"/>
      <c r="I322" s="42"/>
      <c r="J322" s="42"/>
    </row>
    <row r="323" spans="5:10">
      <c r="E323" s="43">
        <v>45326.809027776093</v>
      </c>
      <c r="F323" s="41">
        <v>14.79039751230939</v>
      </c>
      <c r="G323" s="41">
        <v>0</v>
      </c>
      <c r="H323" s="42"/>
      <c r="I323" s="42"/>
      <c r="J323" s="42"/>
    </row>
    <row r="324" spans="5:10">
      <c r="E324" s="43">
        <v>45326.812499998312</v>
      </c>
      <c r="F324" s="41">
        <v>14.79039751230939</v>
      </c>
      <c r="G324" s="41">
        <v>0</v>
      </c>
      <c r="H324" s="42"/>
      <c r="I324" s="42"/>
      <c r="J324" s="42"/>
    </row>
    <row r="325" spans="5:10">
      <c r="E325" s="43">
        <v>45326.815972220531</v>
      </c>
      <c r="F325" s="41">
        <v>14.79039751230939</v>
      </c>
      <c r="G325" s="41">
        <v>0</v>
      </c>
      <c r="H325" s="42"/>
      <c r="I325" s="42"/>
      <c r="J325" s="42"/>
    </row>
    <row r="326" spans="5:10">
      <c r="E326" s="43">
        <v>45326.81944444275</v>
      </c>
      <c r="F326" s="41">
        <v>14.79039751230939</v>
      </c>
      <c r="G326" s="41">
        <v>0</v>
      </c>
      <c r="H326" s="42"/>
      <c r="I326" s="42"/>
      <c r="J326" s="42"/>
    </row>
    <row r="327" spans="5:10">
      <c r="E327" s="43">
        <v>45326.822916664969</v>
      </c>
      <c r="F327" s="41">
        <v>14.79039751230939</v>
      </c>
      <c r="G327" s="41">
        <v>0</v>
      </c>
      <c r="H327" s="42"/>
      <c r="I327" s="42"/>
      <c r="J327" s="42"/>
    </row>
    <row r="328" spans="5:10">
      <c r="E328" s="43">
        <v>45326.826388887188</v>
      </c>
      <c r="F328" s="41">
        <v>14.79039751230939</v>
      </c>
      <c r="G328" s="41">
        <v>0</v>
      </c>
      <c r="H328" s="42"/>
      <c r="I328" s="42"/>
      <c r="J328" s="42"/>
    </row>
    <row r="329" spans="5:10">
      <c r="E329" s="43">
        <v>45326.829861109407</v>
      </c>
      <c r="F329" s="41">
        <v>14.79039751230939</v>
      </c>
      <c r="G329" s="41">
        <v>0</v>
      </c>
      <c r="H329" s="42"/>
      <c r="I329" s="42"/>
      <c r="J329" s="42"/>
    </row>
    <row r="330" spans="5:10">
      <c r="E330" s="43">
        <v>45326.833333331626</v>
      </c>
      <c r="F330" s="41">
        <v>14.79039751230939</v>
      </c>
      <c r="G330" s="41">
        <v>0</v>
      </c>
      <c r="H330" s="42"/>
      <c r="I330" s="42"/>
      <c r="J330" s="42"/>
    </row>
    <row r="331" spans="5:10">
      <c r="E331" s="43">
        <v>45326.836805553845</v>
      </c>
      <c r="F331" s="41">
        <v>14.79039751230939</v>
      </c>
      <c r="G331" s="41">
        <v>0</v>
      </c>
      <c r="H331" s="42"/>
      <c r="I331" s="42"/>
      <c r="J331" s="42"/>
    </row>
    <row r="332" spans="5:10">
      <c r="E332" s="43">
        <v>45326.840277776064</v>
      </c>
      <c r="F332" s="41">
        <v>14.79039751230939</v>
      </c>
      <c r="G332" s="41">
        <v>0</v>
      </c>
      <c r="H332" s="42"/>
      <c r="I332" s="42"/>
      <c r="J332" s="42"/>
    </row>
    <row r="333" spans="5:10">
      <c r="E333" s="43">
        <v>45326.843749998283</v>
      </c>
      <c r="F333" s="41">
        <v>14.79039751230939</v>
      </c>
      <c r="G333" s="41">
        <v>0</v>
      </c>
      <c r="H333" s="42"/>
      <c r="I333" s="42"/>
      <c r="J333" s="42"/>
    </row>
    <row r="334" spans="5:10">
      <c r="E334" s="43">
        <v>45326.847222220502</v>
      </c>
      <c r="F334" s="41">
        <v>14.79039751230939</v>
      </c>
      <c r="G334" s="41">
        <v>0</v>
      </c>
      <c r="H334" s="42"/>
      <c r="I334" s="42"/>
      <c r="J334" s="42"/>
    </row>
    <row r="335" spans="5:10">
      <c r="E335" s="43">
        <v>45326.850694442721</v>
      </c>
      <c r="F335" s="41">
        <v>14.79039751230939</v>
      </c>
      <c r="G335" s="41">
        <v>0</v>
      </c>
      <c r="H335" s="42"/>
      <c r="I335" s="42"/>
      <c r="J335" s="42"/>
    </row>
    <row r="336" spans="5:10">
      <c r="E336" s="43">
        <v>45326.85416666494</v>
      </c>
      <c r="F336" s="41">
        <v>14.79039751230939</v>
      </c>
      <c r="G336" s="41">
        <v>0</v>
      </c>
      <c r="H336" s="42"/>
      <c r="I336" s="42"/>
      <c r="J336" s="42"/>
    </row>
    <row r="337" spans="5:10">
      <c r="E337" s="43">
        <v>45326.857638887159</v>
      </c>
      <c r="F337" s="41">
        <v>14.79039751230939</v>
      </c>
      <c r="G337" s="41">
        <v>0</v>
      </c>
      <c r="H337" s="42"/>
      <c r="I337" s="42"/>
      <c r="J337" s="42"/>
    </row>
    <row r="338" spans="5:10">
      <c r="E338" s="43">
        <v>45326.861111109378</v>
      </c>
      <c r="F338" s="41">
        <v>14.79039751230939</v>
      </c>
      <c r="G338" s="41">
        <v>0</v>
      </c>
      <c r="H338" s="42"/>
      <c r="I338" s="42"/>
      <c r="J338" s="42"/>
    </row>
    <row r="339" spans="5:10">
      <c r="E339" s="43">
        <v>45326.864583331597</v>
      </c>
      <c r="F339" s="41">
        <v>14.79039751230939</v>
      </c>
      <c r="G339" s="41">
        <v>0</v>
      </c>
      <c r="H339" s="42"/>
      <c r="I339" s="42"/>
      <c r="J339" s="42"/>
    </row>
    <row r="340" spans="5:10">
      <c r="E340" s="43">
        <v>45326.868055553816</v>
      </c>
      <c r="F340" s="41">
        <v>14.79039751230939</v>
      </c>
      <c r="G340" s="41">
        <v>0</v>
      </c>
      <c r="H340" s="42"/>
      <c r="I340" s="42"/>
      <c r="J340" s="42"/>
    </row>
    <row r="341" spans="5:10">
      <c r="E341" s="43">
        <v>45326.871527776035</v>
      </c>
      <c r="F341" s="41">
        <v>14.79039751230939</v>
      </c>
      <c r="G341" s="41">
        <v>0</v>
      </c>
      <c r="H341" s="42"/>
      <c r="I341" s="42"/>
      <c r="J341" s="42"/>
    </row>
    <row r="342" spans="5:10">
      <c r="E342" s="43">
        <v>45326.874999998254</v>
      </c>
      <c r="F342" s="41">
        <v>14.79039751230939</v>
      </c>
      <c r="G342" s="41">
        <v>0</v>
      </c>
      <c r="H342" s="42"/>
      <c r="I342" s="42"/>
      <c r="J342" s="42"/>
    </row>
    <row r="343" spans="5:10">
      <c r="E343" s="43">
        <v>45326.878472220473</v>
      </c>
      <c r="F343" s="41">
        <v>14.79039751230939</v>
      </c>
      <c r="G343" s="41">
        <v>0</v>
      </c>
      <c r="H343" s="42"/>
      <c r="I343" s="42"/>
      <c r="J343" s="42"/>
    </row>
    <row r="344" spans="5:10">
      <c r="E344" s="43">
        <v>45326.881944442692</v>
      </c>
      <c r="F344" s="41">
        <v>14.79039751230939</v>
      </c>
      <c r="G344" s="41">
        <v>0</v>
      </c>
      <c r="H344" s="42"/>
      <c r="I344" s="42"/>
      <c r="J344" s="42"/>
    </row>
    <row r="345" spans="5:10">
      <c r="E345" s="43">
        <v>45326.885416664911</v>
      </c>
      <c r="F345" s="41">
        <v>14.79039751230939</v>
      </c>
      <c r="G345" s="41">
        <v>0</v>
      </c>
      <c r="H345" s="42"/>
      <c r="I345" s="42"/>
      <c r="J345" s="42"/>
    </row>
    <row r="346" spans="5:10">
      <c r="E346" s="43">
        <v>45326.88888888713</v>
      </c>
      <c r="F346" s="41">
        <v>14.79039751230939</v>
      </c>
      <c r="G346" s="41">
        <v>0</v>
      </c>
      <c r="H346" s="42"/>
      <c r="I346" s="42"/>
      <c r="J346" s="42"/>
    </row>
    <row r="347" spans="5:10">
      <c r="E347" s="43">
        <v>45326.892361109349</v>
      </c>
      <c r="F347" s="41">
        <v>14.79039751230939</v>
      </c>
      <c r="G347" s="41">
        <v>0</v>
      </c>
      <c r="H347" s="42"/>
      <c r="I347" s="42"/>
      <c r="J347" s="42"/>
    </row>
    <row r="348" spans="5:10">
      <c r="E348" s="43">
        <v>45326.895833331568</v>
      </c>
      <c r="F348" s="41">
        <v>14.79039751230939</v>
      </c>
      <c r="G348" s="41">
        <v>0</v>
      </c>
      <c r="H348" s="42"/>
      <c r="I348" s="42"/>
      <c r="J348" s="42"/>
    </row>
    <row r="349" spans="5:10">
      <c r="E349" s="43">
        <v>45326.899305553787</v>
      </c>
      <c r="F349" s="41">
        <v>14.79039751230939</v>
      </c>
      <c r="G349" s="41">
        <v>0</v>
      </c>
      <c r="H349" s="42"/>
      <c r="I349" s="42"/>
      <c r="J349" s="42"/>
    </row>
    <row r="350" spans="5:10">
      <c r="E350" s="43">
        <v>45326.902777776006</v>
      </c>
      <c r="F350" s="41">
        <v>14.79039751230939</v>
      </c>
      <c r="G350" s="41">
        <v>0</v>
      </c>
      <c r="H350" s="42"/>
      <c r="I350" s="42"/>
      <c r="J350" s="42"/>
    </row>
    <row r="351" spans="5:10">
      <c r="E351" s="43">
        <v>45326.906249998225</v>
      </c>
      <c r="F351" s="41">
        <v>14.79039751230939</v>
      </c>
      <c r="G351" s="41">
        <v>0</v>
      </c>
      <c r="H351" s="42"/>
      <c r="I351" s="42"/>
      <c r="J351" s="42"/>
    </row>
    <row r="352" spans="5:10">
      <c r="E352" s="43">
        <v>45326.909722220444</v>
      </c>
      <c r="F352" s="41">
        <v>14.79039751230939</v>
      </c>
      <c r="G352" s="41">
        <v>0</v>
      </c>
      <c r="H352" s="42"/>
      <c r="I352" s="42"/>
      <c r="J352" s="42"/>
    </row>
    <row r="353" spans="5:10">
      <c r="E353" s="43">
        <v>45326.913194442663</v>
      </c>
      <c r="F353" s="41">
        <v>14.79039751230939</v>
      </c>
      <c r="G353" s="41">
        <v>0</v>
      </c>
      <c r="H353" s="42"/>
      <c r="I353" s="42"/>
      <c r="J353" s="42"/>
    </row>
    <row r="354" spans="5:10">
      <c r="E354" s="43">
        <v>45326.916666664882</v>
      </c>
      <c r="F354" s="41">
        <v>14.79039751230939</v>
      </c>
      <c r="G354" s="41">
        <v>0</v>
      </c>
      <c r="H354" s="42"/>
      <c r="I354" s="42"/>
      <c r="J354" s="42"/>
    </row>
    <row r="355" spans="5:10">
      <c r="E355" s="43">
        <v>45326.920138887101</v>
      </c>
      <c r="F355" s="41">
        <v>14.79039751230939</v>
      </c>
      <c r="G355" s="41">
        <v>0</v>
      </c>
      <c r="H355" s="42"/>
      <c r="I355" s="42"/>
      <c r="J355" s="42"/>
    </row>
    <row r="356" spans="5:10">
      <c r="E356" s="43">
        <v>45326.92361110932</v>
      </c>
      <c r="F356" s="41">
        <v>14.79039751230939</v>
      </c>
      <c r="G356" s="41">
        <v>0</v>
      </c>
      <c r="H356" s="42"/>
      <c r="I356" s="42"/>
      <c r="J356" s="42"/>
    </row>
    <row r="357" spans="5:10">
      <c r="E357" s="43">
        <v>45326.927083331539</v>
      </c>
      <c r="F357" s="41">
        <v>14.79039751230939</v>
      </c>
      <c r="G357" s="41">
        <v>0</v>
      </c>
      <c r="H357" s="42"/>
      <c r="I357" s="42"/>
      <c r="J357" s="42"/>
    </row>
    <row r="358" spans="5:10">
      <c r="E358" s="43">
        <v>45326.930555553758</v>
      </c>
      <c r="F358" s="41">
        <v>14.79039751230939</v>
      </c>
      <c r="G358" s="41">
        <v>0</v>
      </c>
      <c r="H358" s="42"/>
      <c r="I358" s="42"/>
      <c r="J358" s="42"/>
    </row>
    <row r="359" spans="5:10">
      <c r="E359" s="43">
        <v>45326.934027775977</v>
      </c>
      <c r="F359" s="41">
        <v>14.79039751230939</v>
      </c>
      <c r="G359" s="41">
        <v>0</v>
      </c>
      <c r="H359" s="42"/>
      <c r="I359" s="42"/>
      <c r="J359" s="42"/>
    </row>
    <row r="360" spans="5:10">
      <c r="E360" s="43">
        <v>45326.937499998196</v>
      </c>
      <c r="F360" s="41">
        <v>14.79039751230939</v>
      </c>
      <c r="G360" s="41">
        <v>0</v>
      </c>
      <c r="H360" s="42"/>
      <c r="I360" s="42"/>
      <c r="J360" s="42"/>
    </row>
    <row r="361" spans="5:10">
      <c r="E361" s="43">
        <v>45326.940972220415</v>
      </c>
      <c r="F361" s="41">
        <v>14.79039751230939</v>
      </c>
      <c r="G361" s="41">
        <v>0</v>
      </c>
      <c r="H361" s="42"/>
      <c r="I361" s="42"/>
      <c r="J361" s="42"/>
    </row>
    <row r="362" spans="5:10">
      <c r="E362" s="43">
        <v>45326.944444442634</v>
      </c>
      <c r="F362" s="41">
        <v>14.79039751230939</v>
      </c>
      <c r="G362" s="41">
        <v>0</v>
      </c>
      <c r="H362" s="42"/>
      <c r="I362" s="42"/>
      <c r="J362" s="42"/>
    </row>
    <row r="363" spans="5:10">
      <c r="E363" s="43">
        <v>45326.947916664853</v>
      </c>
      <c r="F363" s="41">
        <v>14.79039751230939</v>
      </c>
      <c r="G363" s="41">
        <v>0</v>
      </c>
      <c r="H363" s="42"/>
      <c r="I363" s="42"/>
      <c r="J363" s="42"/>
    </row>
    <row r="364" spans="5:10">
      <c r="E364" s="43">
        <v>45326.951388887072</v>
      </c>
      <c r="F364" s="41">
        <v>14.79039751230939</v>
      </c>
      <c r="G364" s="41">
        <v>0</v>
      </c>
      <c r="H364" s="42"/>
      <c r="I364" s="42"/>
      <c r="J364" s="42"/>
    </row>
    <row r="365" spans="5:10">
      <c r="E365" s="43">
        <v>45326.954861109291</v>
      </c>
      <c r="F365" s="41">
        <v>14.79039751230939</v>
      </c>
      <c r="G365" s="41">
        <v>0</v>
      </c>
      <c r="H365" s="42"/>
      <c r="I365" s="42"/>
      <c r="J365" s="42"/>
    </row>
    <row r="366" spans="5:10">
      <c r="E366" s="43">
        <v>45326.958333331509</v>
      </c>
      <c r="F366" s="41">
        <v>14.79039751230939</v>
      </c>
      <c r="G366" s="41">
        <v>0</v>
      </c>
      <c r="H366" s="42"/>
      <c r="I366" s="42"/>
      <c r="J366" s="42"/>
    </row>
    <row r="367" spans="5:10">
      <c r="E367" s="43">
        <v>45326.961805553728</v>
      </c>
      <c r="F367" s="41">
        <v>14.79039751230939</v>
      </c>
      <c r="G367" s="41">
        <v>0</v>
      </c>
      <c r="H367" s="42"/>
      <c r="I367" s="42"/>
      <c r="J367" s="42"/>
    </row>
    <row r="368" spans="5:10">
      <c r="E368" s="43">
        <v>45326.965277775947</v>
      </c>
      <c r="F368" s="41">
        <v>14.79039751230939</v>
      </c>
      <c r="G368" s="41">
        <v>0</v>
      </c>
      <c r="H368" s="42"/>
      <c r="I368" s="42"/>
      <c r="J368" s="42"/>
    </row>
    <row r="369" spans="5:10">
      <c r="E369" s="43">
        <v>45326.968749998166</v>
      </c>
      <c r="F369" s="41">
        <v>14.79039751230939</v>
      </c>
      <c r="G369" s="41">
        <v>0</v>
      </c>
      <c r="H369" s="42"/>
      <c r="I369" s="42"/>
      <c r="J369" s="42"/>
    </row>
    <row r="370" spans="5:10">
      <c r="E370" s="43">
        <v>45326.972222220385</v>
      </c>
      <c r="F370" s="41">
        <v>14.79039751230939</v>
      </c>
      <c r="G370" s="41">
        <v>0</v>
      </c>
      <c r="H370" s="42"/>
      <c r="I370" s="42"/>
      <c r="J370" s="42"/>
    </row>
    <row r="371" spans="5:10">
      <c r="E371" s="43">
        <v>45326.975694442604</v>
      </c>
      <c r="F371" s="41">
        <v>14.79039751230939</v>
      </c>
      <c r="G371" s="41">
        <v>0</v>
      </c>
      <c r="H371" s="42"/>
      <c r="I371" s="42"/>
      <c r="J371" s="42"/>
    </row>
    <row r="372" spans="5:10">
      <c r="E372" s="43">
        <v>45326.979166664823</v>
      </c>
      <c r="F372" s="41">
        <v>14.79039751230939</v>
      </c>
      <c r="G372" s="41">
        <v>0</v>
      </c>
      <c r="H372" s="42"/>
      <c r="I372" s="42"/>
      <c r="J372" s="42"/>
    </row>
    <row r="373" spans="5:10">
      <c r="E373" s="43">
        <v>45326.982638887042</v>
      </c>
      <c r="F373" s="41">
        <v>14.79039751230939</v>
      </c>
      <c r="G373" s="41">
        <v>0</v>
      </c>
      <c r="H373" s="42"/>
      <c r="I373" s="42"/>
      <c r="J373" s="42"/>
    </row>
    <row r="374" spans="5:10">
      <c r="E374" s="43">
        <v>45326.986111109261</v>
      </c>
      <c r="F374" s="41">
        <v>14.79039751230939</v>
      </c>
      <c r="G374" s="41">
        <v>0</v>
      </c>
      <c r="H374" s="42"/>
      <c r="I374" s="42"/>
      <c r="J374" s="42"/>
    </row>
    <row r="375" spans="5:10">
      <c r="E375" s="43">
        <v>45326.98958333148</v>
      </c>
      <c r="F375" s="41">
        <v>14.79039751230939</v>
      </c>
      <c r="G375" s="41">
        <v>0</v>
      </c>
      <c r="H375" s="42"/>
      <c r="I375" s="42"/>
      <c r="J375" s="42"/>
    </row>
    <row r="376" spans="5:10">
      <c r="E376" s="43">
        <v>45326.993055553699</v>
      </c>
      <c r="F376" s="41">
        <v>14.79039751230939</v>
      </c>
      <c r="G376" s="41">
        <v>0</v>
      </c>
      <c r="H376" s="42"/>
      <c r="I376" s="42"/>
      <c r="J376" s="42"/>
    </row>
    <row r="377" spans="5:10">
      <c r="E377" s="43">
        <v>45326.996527775918</v>
      </c>
      <c r="F377" s="41">
        <v>14.79039751230939</v>
      </c>
      <c r="G377" s="41">
        <v>0</v>
      </c>
      <c r="H377" s="42"/>
      <c r="I377" s="42"/>
      <c r="J377" s="42"/>
    </row>
    <row r="378" spans="5:10">
      <c r="E378" s="43">
        <v>45326.999999998137</v>
      </c>
      <c r="F378" s="41">
        <v>14.79039751230939</v>
      </c>
      <c r="G378" s="41">
        <v>0</v>
      </c>
      <c r="H378" s="42"/>
      <c r="I378" s="42"/>
      <c r="J378" s="42"/>
    </row>
    <row r="379" spans="5:10">
      <c r="E379" s="43">
        <v>45327.003472220356</v>
      </c>
      <c r="F379" s="41">
        <v>14.79039751230939</v>
      </c>
      <c r="G379" s="41">
        <v>0</v>
      </c>
      <c r="H379" s="42"/>
      <c r="I379" s="42"/>
      <c r="J379" s="42"/>
    </row>
    <row r="380" spans="5:10">
      <c r="E380" s="43">
        <v>45327.006944442575</v>
      </c>
      <c r="F380" s="41">
        <v>14.79039751230939</v>
      </c>
      <c r="G380" s="41">
        <v>0</v>
      </c>
      <c r="H380" s="42"/>
      <c r="I380" s="42"/>
      <c r="J380" s="42"/>
    </row>
    <row r="381" spans="5:10">
      <c r="E381" s="43">
        <v>45327.010416664794</v>
      </c>
      <c r="F381" s="41">
        <v>14.79039751230939</v>
      </c>
      <c r="G381" s="41">
        <v>0</v>
      </c>
      <c r="H381" s="42"/>
      <c r="I381" s="42"/>
      <c r="J381" s="42"/>
    </row>
    <row r="382" spans="5:10">
      <c r="E382" s="43">
        <v>45327.013888887013</v>
      </c>
      <c r="F382" s="41">
        <v>14.79039751230939</v>
      </c>
      <c r="G382" s="41">
        <v>0</v>
      </c>
      <c r="H382" s="42"/>
      <c r="I382" s="42"/>
      <c r="J382" s="42"/>
    </row>
    <row r="383" spans="5:10">
      <c r="E383" s="43">
        <v>45327.017361109232</v>
      </c>
      <c r="F383" s="41">
        <v>14.79039751230939</v>
      </c>
      <c r="G383" s="41">
        <v>0</v>
      </c>
      <c r="H383" s="42"/>
      <c r="I383" s="42"/>
      <c r="J383" s="42"/>
    </row>
    <row r="384" spans="5:10">
      <c r="E384" s="43">
        <v>45327.020833331451</v>
      </c>
      <c r="F384" s="41">
        <v>14.79039751230939</v>
      </c>
      <c r="G384" s="41">
        <v>0</v>
      </c>
      <c r="H384" s="42"/>
      <c r="I384" s="42"/>
      <c r="J384" s="42"/>
    </row>
    <row r="385" spans="5:10">
      <c r="E385" s="43">
        <v>45327.02430555367</v>
      </c>
      <c r="F385" s="41">
        <v>14.79039751230939</v>
      </c>
      <c r="G385" s="41">
        <v>0</v>
      </c>
      <c r="H385" s="42"/>
      <c r="I385" s="42"/>
      <c r="J385" s="42"/>
    </row>
    <row r="386" spans="5:10">
      <c r="E386" s="43">
        <v>45327.027777775889</v>
      </c>
      <c r="F386" s="41">
        <v>14.79039751230939</v>
      </c>
      <c r="G386" s="41">
        <v>0</v>
      </c>
      <c r="H386" s="42"/>
      <c r="I386" s="42"/>
      <c r="J386" s="42"/>
    </row>
    <row r="387" spans="5:10">
      <c r="E387" s="43">
        <v>45327.031249998108</v>
      </c>
      <c r="F387" s="41">
        <v>14.79039751230939</v>
      </c>
      <c r="G387" s="41">
        <v>0</v>
      </c>
      <c r="H387" s="42"/>
      <c r="I387" s="42"/>
      <c r="J387" s="42"/>
    </row>
    <row r="388" spans="5:10">
      <c r="E388" s="43">
        <v>45327.034722220327</v>
      </c>
      <c r="F388" s="41">
        <v>14.79039751230939</v>
      </c>
      <c r="G388" s="41">
        <v>0</v>
      </c>
      <c r="H388" s="42"/>
      <c r="I388" s="42"/>
      <c r="J388" s="42"/>
    </row>
    <row r="389" spans="5:10">
      <c r="E389" s="43">
        <v>45327.038194442546</v>
      </c>
      <c r="F389" s="41">
        <v>14.79039751230939</v>
      </c>
      <c r="G389" s="41">
        <v>0</v>
      </c>
      <c r="H389" s="42"/>
      <c r="I389" s="42"/>
      <c r="J389" s="42"/>
    </row>
    <row r="390" spans="5:10">
      <c r="E390" s="43">
        <v>45327.041666664765</v>
      </c>
      <c r="F390" s="41">
        <v>14.79039751230939</v>
      </c>
      <c r="G390" s="41">
        <v>0</v>
      </c>
      <c r="H390" s="42"/>
      <c r="I390" s="42"/>
      <c r="J390" s="42"/>
    </row>
    <row r="391" spans="5:10">
      <c r="E391" s="43">
        <v>45327.045138886984</v>
      </c>
      <c r="F391" s="41">
        <v>14.79039751230939</v>
      </c>
      <c r="G391" s="41">
        <v>0</v>
      </c>
      <c r="H391" s="42"/>
      <c r="I391" s="42"/>
      <c r="J391" s="42"/>
    </row>
    <row r="392" spans="5:10">
      <c r="E392" s="43">
        <v>45327.048611109203</v>
      </c>
      <c r="F392" s="41">
        <v>14.79039751230939</v>
      </c>
      <c r="G392" s="41">
        <v>0</v>
      </c>
      <c r="H392" s="42"/>
      <c r="I392" s="42"/>
      <c r="J392" s="42"/>
    </row>
    <row r="393" spans="5:10">
      <c r="E393" s="43">
        <v>45327.052083331422</v>
      </c>
      <c r="F393" s="41">
        <v>14.79039751230939</v>
      </c>
      <c r="G393" s="41">
        <v>0</v>
      </c>
      <c r="H393" s="42"/>
      <c r="I393" s="42"/>
      <c r="J393" s="42"/>
    </row>
    <row r="394" spans="5:10">
      <c r="E394" s="43">
        <v>45327.055555553641</v>
      </c>
      <c r="F394" s="41">
        <v>14.79039751230939</v>
      </c>
      <c r="G394" s="41">
        <v>0</v>
      </c>
      <c r="H394" s="42"/>
      <c r="I394" s="42"/>
      <c r="J394" s="42"/>
    </row>
    <row r="395" spans="5:10">
      <c r="E395" s="43">
        <v>45327.05902777586</v>
      </c>
      <c r="F395" s="41">
        <v>14.79039751230939</v>
      </c>
      <c r="G395" s="41">
        <v>0</v>
      </c>
      <c r="H395" s="42"/>
      <c r="I395" s="42"/>
      <c r="J395" s="42"/>
    </row>
    <row r="396" spans="5:10">
      <c r="E396" s="43">
        <v>45327.062499998079</v>
      </c>
      <c r="F396" s="41">
        <v>14.79039751230939</v>
      </c>
      <c r="G396" s="41">
        <v>0</v>
      </c>
      <c r="H396" s="42"/>
      <c r="I396" s="42"/>
      <c r="J396" s="42"/>
    </row>
    <row r="397" spans="5:10">
      <c r="E397" s="43">
        <v>45327.065972220298</v>
      </c>
      <c r="F397" s="41">
        <v>14.79039751230939</v>
      </c>
      <c r="G397" s="41">
        <v>0</v>
      </c>
      <c r="H397" s="42"/>
      <c r="I397" s="42"/>
      <c r="J397" s="42"/>
    </row>
    <row r="398" spans="5:10">
      <c r="E398" s="43">
        <v>45327.069444442517</v>
      </c>
      <c r="F398" s="41">
        <v>14.79039751230939</v>
      </c>
      <c r="G398" s="41">
        <v>0</v>
      </c>
      <c r="H398" s="42"/>
      <c r="I398" s="42"/>
      <c r="J398" s="42"/>
    </row>
    <row r="399" spans="5:10">
      <c r="E399" s="43">
        <v>45327.072916664736</v>
      </c>
      <c r="F399" s="41">
        <v>14.79039751230939</v>
      </c>
      <c r="G399" s="41">
        <v>0</v>
      </c>
      <c r="H399" s="42"/>
      <c r="I399" s="42"/>
      <c r="J399" s="42"/>
    </row>
    <row r="400" spans="5:10">
      <c r="E400" s="43">
        <v>45327.076388886955</v>
      </c>
      <c r="F400" s="41">
        <v>14.79039751230939</v>
      </c>
      <c r="G400" s="41">
        <v>0</v>
      </c>
      <c r="H400" s="42"/>
      <c r="I400" s="42"/>
      <c r="J400" s="42"/>
    </row>
    <row r="401" spans="5:10">
      <c r="E401" s="43">
        <v>45327.079861109174</v>
      </c>
      <c r="F401" s="41">
        <v>14.79039751230939</v>
      </c>
      <c r="G401" s="41">
        <v>0</v>
      </c>
      <c r="H401" s="42"/>
      <c r="I401" s="42"/>
      <c r="J401" s="42"/>
    </row>
    <row r="402" spans="5:10">
      <c r="E402" s="43">
        <v>45327.083333331393</v>
      </c>
      <c r="F402" s="41">
        <v>14.79039751230939</v>
      </c>
      <c r="G402" s="41">
        <v>0</v>
      </c>
      <c r="H402" s="42"/>
      <c r="I402" s="42"/>
      <c r="J402" s="42"/>
    </row>
    <row r="403" spans="5:10">
      <c r="E403" s="43">
        <v>45327.086805553612</v>
      </c>
      <c r="F403" s="41">
        <v>14.79039751230939</v>
      </c>
      <c r="G403" s="41">
        <v>0</v>
      </c>
      <c r="H403" s="42"/>
      <c r="I403" s="42"/>
      <c r="J403" s="42"/>
    </row>
    <row r="404" spans="5:10">
      <c r="E404" s="43">
        <v>45327.090277775831</v>
      </c>
      <c r="F404" s="41">
        <v>14.79039751230939</v>
      </c>
      <c r="G404" s="41">
        <v>0</v>
      </c>
      <c r="H404" s="42"/>
      <c r="I404" s="42"/>
      <c r="J404" s="42"/>
    </row>
    <row r="405" spans="5:10">
      <c r="E405" s="43">
        <v>45327.09374999805</v>
      </c>
      <c r="F405" s="41">
        <v>14.79039751230939</v>
      </c>
      <c r="G405" s="41">
        <v>0</v>
      </c>
      <c r="H405" s="42"/>
      <c r="I405" s="42"/>
      <c r="J405" s="42"/>
    </row>
    <row r="406" spans="5:10">
      <c r="E406" s="43">
        <v>45327.097222220269</v>
      </c>
      <c r="F406" s="41">
        <v>14.79039751230939</v>
      </c>
      <c r="G406" s="41">
        <v>0</v>
      </c>
      <c r="H406" s="42"/>
      <c r="I406" s="42"/>
      <c r="J406" s="42"/>
    </row>
    <row r="407" spans="5:10">
      <c r="E407" s="43">
        <v>45327.100694442488</v>
      </c>
      <c r="F407" s="41">
        <v>14.79039751230939</v>
      </c>
      <c r="G407" s="41">
        <v>0</v>
      </c>
      <c r="H407" s="42"/>
      <c r="I407" s="42"/>
      <c r="J407" s="42"/>
    </row>
    <row r="408" spans="5:10">
      <c r="E408" s="43">
        <v>45327.104166664707</v>
      </c>
      <c r="F408" s="41">
        <v>14.79039751230939</v>
      </c>
      <c r="G408" s="41">
        <v>0</v>
      </c>
      <c r="H408" s="42"/>
      <c r="I408" s="42"/>
      <c r="J408" s="42"/>
    </row>
    <row r="409" spans="5:10">
      <c r="E409" s="43">
        <v>45327.107638886926</v>
      </c>
      <c r="F409" s="41">
        <v>14.79039751230939</v>
      </c>
      <c r="G409" s="41">
        <v>0</v>
      </c>
      <c r="H409" s="42"/>
      <c r="I409" s="42"/>
      <c r="J409" s="42"/>
    </row>
    <row r="410" spans="5:10">
      <c r="E410" s="43">
        <v>45327.111111109145</v>
      </c>
      <c r="F410" s="41">
        <v>14.79039751230939</v>
      </c>
      <c r="G410" s="41">
        <v>0</v>
      </c>
      <c r="H410" s="42"/>
      <c r="I410" s="42"/>
      <c r="J410" s="42"/>
    </row>
    <row r="411" spans="5:10">
      <c r="E411" s="43">
        <v>45327.114583331364</v>
      </c>
      <c r="F411" s="41">
        <v>14.79039751230939</v>
      </c>
      <c r="G411" s="41">
        <v>0</v>
      </c>
      <c r="H411" s="42"/>
      <c r="I411" s="42"/>
      <c r="J411" s="42"/>
    </row>
    <row r="412" spans="5:10">
      <c r="E412" s="43">
        <v>45327.118055553583</v>
      </c>
      <c r="F412" s="41">
        <v>14.79039751230939</v>
      </c>
      <c r="G412" s="41">
        <v>0</v>
      </c>
      <c r="H412" s="42"/>
      <c r="I412" s="42"/>
      <c r="J412" s="42"/>
    </row>
    <row r="413" spans="5:10">
      <c r="E413" s="43">
        <v>45327.121527775802</v>
      </c>
      <c r="F413" s="41">
        <v>14.79039751230939</v>
      </c>
      <c r="G413" s="41">
        <v>0</v>
      </c>
      <c r="H413" s="42"/>
      <c r="I413" s="42"/>
      <c r="J413" s="42"/>
    </row>
    <row r="414" spans="5:10">
      <c r="E414" s="43">
        <v>45327.124999998021</v>
      </c>
      <c r="F414" s="41">
        <v>14.79039751230939</v>
      </c>
      <c r="G414" s="41">
        <v>0</v>
      </c>
      <c r="H414" s="42"/>
      <c r="I414" s="42"/>
      <c r="J414" s="42"/>
    </row>
    <row r="415" spans="5:10">
      <c r="E415" s="43">
        <v>45327.12847222024</v>
      </c>
      <c r="F415" s="41">
        <v>14.79039751230939</v>
      </c>
      <c r="G415" s="41">
        <v>0</v>
      </c>
      <c r="H415" s="42"/>
      <c r="I415" s="42"/>
      <c r="J415" s="42"/>
    </row>
    <row r="416" spans="5:10">
      <c r="E416" s="43">
        <v>45327.131944442459</v>
      </c>
      <c r="F416" s="41">
        <v>14.79039751230939</v>
      </c>
      <c r="G416" s="41">
        <v>0</v>
      </c>
      <c r="H416" s="42"/>
      <c r="I416" s="42"/>
      <c r="J416" s="42"/>
    </row>
    <row r="417" spans="5:10">
      <c r="E417" s="43">
        <v>45327.135416664678</v>
      </c>
      <c r="F417" s="41">
        <v>14.79039751230939</v>
      </c>
      <c r="G417" s="41">
        <v>0</v>
      </c>
      <c r="H417" s="42"/>
      <c r="I417" s="42"/>
      <c r="J417" s="42"/>
    </row>
    <row r="418" spans="5:10">
      <c r="E418" s="43">
        <v>45327.138888886897</v>
      </c>
      <c r="F418" s="41">
        <v>14.79039751230939</v>
      </c>
      <c r="G418" s="41">
        <v>0</v>
      </c>
      <c r="H418" s="42"/>
      <c r="I418" s="42"/>
      <c r="J418" s="42"/>
    </row>
    <row r="419" spans="5:10">
      <c r="E419" s="43">
        <v>45327.142361109116</v>
      </c>
      <c r="F419" s="41">
        <v>14.79039751230939</v>
      </c>
      <c r="G419" s="41">
        <v>0</v>
      </c>
      <c r="H419" s="42"/>
      <c r="I419" s="42"/>
      <c r="J419" s="42"/>
    </row>
    <row r="420" spans="5:10">
      <c r="E420" s="43">
        <v>45327.145833331335</v>
      </c>
      <c r="F420" s="41">
        <v>14.79039751230939</v>
      </c>
      <c r="G420" s="41">
        <v>0</v>
      </c>
      <c r="H420" s="42"/>
      <c r="I420" s="42"/>
      <c r="J420" s="42"/>
    </row>
    <row r="421" spans="5:10">
      <c r="E421" s="43">
        <v>45327.149305553554</v>
      </c>
      <c r="F421" s="41">
        <v>14.79039751230939</v>
      </c>
      <c r="G421" s="41">
        <v>0</v>
      </c>
      <c r="H421" s="42"/>
      <c r="I421" s="42"/>
      <c r="J421" s="42"/>
    </row>
    <row r="422" spans="5:10">
      <c r="E422" s="43">
        <v>45327.152777775773</v>
      </c>
      <c r="F422" s="41">
        <v>14.79039751230939</v>
      </c>
      <c r="G422" s="41">
        <v>0</v>
      </c>
      <c r="H422" s="42"/>
      <c r="I422" s="42"/>
      <c r="J422" s="42"/>
    </row>
    <row r="423" spans="5:10">
      <c r="E423" s="43">
        <v>45327.156249997992</v>
      </c>
      <c r="F423" s="41">
        <v>14.79039751230939</v>
      </c>
      <c r="G423" s="41">
        <v>0</v>
      </c>
      <c r="H423" s="42"/>
      <c r="I423" s="42"/>
      <c r="J423" s="42"/>
    </row>
    <row r="424" spans="5:10">
      <c r="E424" s="43">
        <v>45327.159722220211</v>
      </c>
      <c r="F424" s="41">
        <v>14.79039751230939</v>
      </c>
      <c r="G424" s="41">
        <v>0</v>
      </c>
      <c r="H424" s="42"/>
      <c r="I424" s="42"/>
      <c r="J424" s="42"/>
    </row>
    <row r="425" spans="5:10">
      <c r="E425" s="43">
        <v>45327.16319444243</v>
      </c>
      <c r="F425" s="41">
        <v>14.79039751230939</v>
      </c>
      <c r="G425" s="41">
        <v>0</v>
      </c>
      <c r="H425" s="42"/>
      <c r="I425" s="42"/>
      <c r="J425" s="42"/>
    </row>
    <row r="426" spans="5:10">
      <c r="E426" s="43">
        <v>45327.166666664649</v>
      </c>
      <c r="F426" s="41">
        <v>14.79039751230939</v>
      </c>
      <c r="G426" s="41">
        <v>0</v>
      </c>
      <c r="H426" s="42"/>
      <c r="I426" s="42"/>
      <c r="J426" s="42"/>
    </row>
    <row r="427" spans="5:10">
      <c r="E427" s="43">
        <v>45327.170138886868</v>
      </c>
      <c r="F427" s="41">
        <v>14.79039751230939</v>
      </c>
      <c r="G427" s="41">
        <v>0</v>
      </c>
      <c r="H427" s="42"/>
      <c r="I427" s="42"/>
      <c r="J427" s="42"/>
    </row>
    <row r="428" spans="5:10">
      <c r="E428" s="43">
        <v>45327.173611109087</v>
      </c>
      <c r="F428" s="41">
        <v>14.79039751230939</v>
      </c>
      <c r="G428" s="41">
        <v>0</v>
      </c>
      <c r="H428" s="42"/>
      <c r="I428" s="42"/>
      <c r="J428" s="42"/>
    </row>
    <row r="429" spans="5:10">
      <c r="E429" s="43">
        <v>45327.177083331306</v>
      </c>
      <c r="F429" s="41">
        <v>14.79039751230939</v>
      </c>
      <c r="G429" s="41">
        <v>0</v>
      </c>
      <c r="H429" s="42"/>
      <c r="I429" s="42"/>
      <c r="J429" s="42"/>
    </row>
    <row r="430" spans="5:10">
      <c r="E430" s="43">
        <v>45327.180555553525</v>
      </c>
      <c r="F430" s="41">
        <v>14.79039751230939</v>
      </c>
      <c r="G430" s="41">
        <v>0</v>
      </c>
      <c r="H430" s="42"/>
      <c r="I430" s="42"/>
      <c r="J430" s="42"/>
    </row>
    <row r="431" spans="5:10">
      <c r="E431" s="43">
        <v>45327.184027775744</v>
      </c>
      <c r="F431" s="41">
        <v>14.79039751230939</v>
      </c>
      <c r="G431" s="41">
        <v>0</v>
      </c>
      <c r="H431" s="42"/>
      <c r="I431" s="42"/>
      <c r="J431" s="42"/>
    </row>
    <row r="432" spans="5:10">
      <c r="E432" s="43">
        <v>45327.187499997963</v>
      </c>
      <c r="F432" s="41">
        <v>14.79039751230939</v>
      </c>
      <c r="G432" s="41">
        <v>0</v>
      </c>
      <c r="H432" s="42"/>
      <c r="I432" s="42"/>
      <c r="J432" s="42"/>
    </row>
    <row r="433" spans="5:10">
      <c r="E433" s="43">
        <v>45327.190972220182</v>
      </c>
      <c r="F433" s="41">
        <v>14.79039751230939</v>
      </c>
      <c r="G433" s="41">
        <v>0</v>
      </c>
      <c r="H433" s="42"/>
      <c r="I433" s="42"/>
      <c r="J433" s="42"/>
    </row>
    <row r="434" spans="5:10">
      <c r="E434" s="43">
        <v>45327.194444442401</v>
      </c>
      <c r="F434" s="41">
        <v>14.79039751230939</v>
      </c>
      <c r="G434" s="41">
        <v>0</v>
      </c>
      <c r="H434" s="42"/>
      <c r="I434" s="42"/>
      <c r="J434" s="42"/>
    </row>
    <row r="435" spans="5:10">
      <c r="E435" s="43">
        <v>45327.19791666462</v>
      </c>
      <c r="F435" s="41">
        <v>14.79039751230939</v>
      </c>
      <c r="G435" s="41">
        <v>0</v>
      </c>
      <c r="H435" s="42"/>
      <c r="I435" s="42"/>
      <c r="J435" s="42"/>
    </row>
    <row r="436" spans="5:10">
      <c r="E436" s="43">
        <v>45327.201388886839</v>
      </c>
      <c r="F436" s="41">
        <v>14.79039751230939</v>
      </c>
      <c r="G436" s="41">
        <v>0</v>
      </c>
      <c r="H436" s="42"/>
      <c r="I436" s="42"/>
      <c r="J436" s="42"/>
    </row>
    <row r="437" spans="5:10">
      <c r="E437" s="43">
        <v>45327.204861109058</v>
      </c>
      <c r="F437" s="41">
        <v>14.79039751230939</v>
      </c>
      <c r="G437" s="41">
        <v>0</v>
      </c>
      <c r="H437" s="42"/>
      <c r="I437" s="42"/>
      <c r="J437" s="42"/>
    </row>
    <row r="438" spans="5:10">
      <c r="E438" s="43">
        <v>45327.208333331277</v>
      </c>
      <c r="F438" s="41">
        <v>14.79039751230939</v>
      </c>
      <c r="G438" s="41">
        <v>0</v>
      </c>
      <c r="H438" s="42"/>
      <c r="I438" s="42"/>
      <c r="J438" s="42"/>
    </row>
    <row r="439" spans="5:10">
      <c r="E439" s="43">
        <v>45327.211805553496</v>
      </c>
      <c r="F439" s="41">
        <v>14.79039751230939</v>
      </c>
      <c r="G439" s="41">
        <v>0</v>
      </c>
      <c r="H439" s="42"/>
      <c r="I439" s="42"/>
      <c r="J439" s="42"/>
    </row>
    <row r="440" spans="5:10">
      <c r="E440" s="43">
        <v>45327.215277775715</v>
      </c>
      <c r="F440" s="41">
        <v>14.79039751230939</v>
      </c>
      <c r="G440" s="41">
        <v>0</v>
      </c>
      <c r="H440" s="42"/>
      <c r="I440" s="42"/>
      <c r="J440" s="42"/>
    </row>
    <row r="441" spans="5:10">
      <c r="E441" s="43">
        <v>45327.218749997934</v>
      </c>
      <c r="F441" s="41">
        <v>14.79039751230939</v>
      </c>
      <c r="G441" s="41">
        <v>0</v>
      </c>
      <c r="H441" s="42"/>
      <c r="I441" s="42"/>
      <c r="J441" s="42"/>
    </row>
    <row r="442" spans="5:10">
      <c r="E442" s="43">
        <v>45327.222222220153</v>
      </c>
      <c r="F442" s="41">
        <v>14.79039751230939</v>
      </c>
      <c r="G442" s="41">
        <v>0</v>
      </c>
      <c r="H442" s="42"/>
      <c r="I442" s="42"/>
      <c r="J442" s="42"/>
    </row>
    <row r="443" spans="5:10">
      <c r="E443" s="43">
        <v>45327.225694442372</v>
      </c>
      <c r="F443" s="41">
        <v>14.79039751230939</v>
      </c>
      <c r="G443" s="41">
        <v>0</v>
      </c>
      <c r="H443" s="42"/>
      <c r="I443" s="42"/>
      <c r="J443" s="42"/>
    </row>
    <row r="444" spans="5:10">
      <c r="E444" s="43">
        <v>45327.229166664591</v>
      </c>
      <c r="F444" s="41">
        <v>14.79039751230939</v>
      </c>
      <c r="G444" s="41">
        <v>0</v>
      </c>
      <c r="H444" s="42"/>
      <c r="I444" s="42"/>
      <c r="J444" s="42"/>
    </row>
    <row r="445" spans="5:10">
      <c r="E445" s="43">
        <v>45327.23263888681</v>
      </c>
      <c r="F445" s="41">
        <v>14.79039751230939</v>
      </c>
      <c r="G445" s="41">
        <v>0</v>
      </c>
      <c r="H445" s="42"/>
      <c r="I445" s="42"/>
      <c r="J445" s="42"/>
    </row>
    <row r="446" spans="5:10">
      <c r="E446" s="43">
        <v>45327.236111109029</v>
      </c>
      <c r="F446" s="41">
        <v>14.79039751230939</v>
      </c>
      <c r="G446" s="41">
        <v>0</v>
      </c>
      <c r="H446" s="42"/>
      <c r="I446" s="42"/>
      <c r="J446" s="42"/>
    </row>
    <row r="447" spans="5:10">
      <c r="E447" s="43">
        <v>45327.239583331248</v>
      </c>
      <c r="F447" s="41">
        <v>14.79039751230939</v>
      </c>
      <c r="G447" s="41">
        <v>0</v>
      </c>
      <c r="H447" s="42"/>
      <c r="I447" s="42"/>
      <c r="J447" s="42"/>
    </row>
    <row r="448" spans="5:10">
      <c r="E448" s="43">
        <v>45327.243055553467</v>
      </c>
      <c r="F448" s="41">
        <v>14.79039751230939</v>
      </c>
      <c r="G448" s="41">
        <v>0</v>
      </c>
      <c r="H448" s="42"/>
      <c r="I448" s="42"/>
      <c r="J448" s="42"/>
    </row>
    <row r="449" spans="5:10">
      <c r="E449" s="43">
        <v>45327.246527775686</v>
      </c>
      <c r="F449" s="41">
        <v>14.79039751230939</v>
      </c>
      <c r="G449" s="41">
        <v>0</v>
      </c>
      <c r="H449" s="42"/>
      <c r="I449" s="42"/>
      <c r="J449" s="42"/>
    </row>
    <row r="450" spans="5:10">
      <c r="E450" s="43">
        <v>45327.249999997905</v>
      </c>
      <c r="F450" s="41">
        <v>14.79039751230939</v>
      </c>
      <c r="G450" s="41">
        <v>0</v>
      </c>
      <c r="H450" s="42"/>
      <c r="I450" s="42"/>
      <c r="J450" s="42"/>
    </row>
    <row r="451" spans="5:10">
      <c r="E451" s="43">
        <v>45327.253472220124</v>
      </c>
      <c r="F451" s="41">
        <v>14.79039751230939</v>
      </c>
      <c r="G451" s="41">
        <v>0</v>
      </c>
      <c r="H451" s="42"/>
      <c r="I451" s="42"/>
      <c r="J451" s="42"/>
    </row>
    <row r="452" spans="5:10">
      <c r="E452" s="43">
        <v>45327.256944442343</v>
      </c>
      <c r="F452" s="41">
        <v>14.79039751230939</v>
      </c>
      <c r="G452" s="41">
        <v>0</v>
      </c>
      <c r="H452" s="42"/>
      <c r="I452" s="42"/>
      <c r="J452" s="42"/>
    </row>
    <row r="453" spans="5:10">
      <c r="E453" s="43">
        <v>45327.260416664561</v>
      </c>
      <c r="F453" s="41">
        <v>14.79039751230939</v>
      </c>
      <c r="G453" s="41">
        <v>0</v>
      </c>
      <c r="H453" s="42"/>
      <c r="I453" s="42"/>
      <c r="J453" s="42"/>
    </row>
    <row r="454" spans="5:10">
      <c r="E454" s="43">
        <v>45327.26388888678</v>
      </c>
      <c r="F454" s="41">
        <v>14.79039751230939</v>
      </c>
      <c r="G454" s="41">
        <v>0</v>
      </c>
      <c r="H454" s="42"/>
      <c r="I454" s="42"/>
      <c r="J454" s="42"/>
    </row>
    <row r="455" spans="5:10">
      <c r="E455" s="43">
        <v>45327.267361108999</v>
      </c>
      <c r="F455" s="41">
        <v>14.79039751230939</v>
      </c>
      <c r="G455" s="41">
        <v>0</v>
      </c>
      <c r="H455" s="42"/>
      <c r="I455" s="42"/>
      <c r="J455" s="42"/>
    </row>
    <row r="456" spans="5:10">
      <c r="E456" s="43">
        <v>45327.270833331218</v>
      </c>
      <c r="F456" s="41">
        <v>14.79039751230939</v>
      </c>
      <c r="G456" s="41">
        <v>0</v>
      </c>
      <c r="H456" s="42"/>
      <c r="I456" s="42"/>
      <c r="J456" s="42"/>
    </row>
    <row r="457" spans="5:10">
      <c r="E457" s="43">
        <v>45327.274305553437</v>
      </c>
      <c r="F457" s="41">
        <v>14.79039751230939</v>
      </c>
      <c r="G457" s="41">
        <v>0</v>
      </c>
      <c r="H457" s="42"/>
      <c r="I457" s="42"/>
      <c r="J457" s="42"/>
    </row>
    <row r="458" spans="5:10">
      <c r="E458" s="43">
        <v>45327.277777775656</v>
      </c>
      <c r="F458" s="41">
        <v>14.79039751230939</v>
      </c>
      <c r="G458" s="41">
        <v>0</v>
      </c>
      <c r="H458" s="42"/>
      <c r="I458" s="42"/>
      <c r="J458" s="42"/>
    </row>
    <row r="459" spans="5:10">
      <c r="E459" s="43">
        <v>45327.281249997875</v>
      </c>
      <c r="F459" s="41">
        <v>14.79039751230939</v>
      </c>
      <c r="G459" s="41">
        <v>0</v>
      </c>
      <c r="H459" s="42"/>
      <c r="I459" s="42"/>
      <c r="J459" s="42"/>
    </row>
    <row r="460" spans="5:10">
      <c r="E460" s="43">
        <v>45327.284722220094</v>
      </c>
      <c r="F460" s="41">
        <v>14.79039751230939</v>
      </c>
      <c r="G460" s="41">
        <v>0</v>
      </c>
      <c r="H460" s="42"/>
      <c r="I460" s="42"/>
      <c r="J460" s="42"/>
    </row>
    <row r="461" spans="5:10">
      <c r="E461" s="43">
        <v>45327.288194442313</v>
      </c>
      <c r="F461" s="41">
        <v>14.79039751230939</v>
      </c>
      <c r="G461" s="41">
        <v>0</v>
      </c>
      <c r="H461" s="42"/>
      <c r="I461" s="42"/>
      <c r="J461" s="42"/>
    </row>
    <row r="462" spans="5:10">
      <c r="E462" s="43">
        <v>45327.291666664532</v>
      </c>
      <c r="F462" s="41">
        <v>14.79039751230939</v>
      </c>
      <c r="G462" s="41">
        <v>0</v>
      </c>
      <c r="H462" s="42"/>
      <c r="I462" s="42"/>
      <c r="J462" s="42"/>
    </row>
    <row r="463" spans="5:10">
      <c r="E463" s="43">
        <v>45327.295138886751</v>
      </c>
      <c r="F463" s="41">
        <v>14.79039751230939</v>
      </c>
      <c r="G463" s="41">
        <v>0</v>
      </c>
      <c r="H463" s="42"/>
      <c r="I463" s="42"/>
      <c r="J463" s="42"/>
    </row>
    <row r="464" spans="5:10">
      <c r="E464" s="43">
        <v>45327.29861110897</v>
      </c>
      <c r="F464" s="41">
        <v>14.79039751230939</v>
      </c>
      <c r="G464" s="41">
        <v>0</v>
      </c>
      <c r="H464" s="42"/>
      <c r="I464" s="42"/>
      <c r="J464" s="42"/>
    </row>
    <row r="465" spans="5:10">
      <c r="E465" s="43">
        <v>45327.302083331189</v>
      </c>
      <c r="F465" s="41">
        <v>14.79039751230939</v>
      </c>
      <c r="G465" s="41">
        <v>0</v>
      </c>
      <c r="H465" s="42"/>
      <c r="I465" s="42"/>
      <c r="J465" s="42"/>
    </row>
    <row r="466" spans="5:10">
      <c r="E466" s="43">
        <v>45327.305555553408</v>
      </c>
      <c r="F466" s="41">
        <v>14.79039751230939</v>
      </c>
      <c r="G466" s="41">
        <v>0</v>
      </c>
      <c r="H466" s="42"/>
      <c r="I466" s="42"/>
      <c r="J466" s="42"/>
    </row>
    <row r="467" spans="5:10">
      <c r="E467" s="43">
        <v>45327.309027775627</v>
      </c>
      <c r="F467" s="41">
        <v>14.79039751230939</v>
      </c>
      <c r="G467" s="41">
        <v>0</v>
      </c>
      <c r="H467" s="42"/>
      <c r="I467" s="42"/>
      <c r="J467" s="42"/>
    </row>
    <row r="468" spans="5:10">
      <c r="E468" s="43">
        <v>45327.312499997846</v>
      </c>
      <c r="F468" s="41">
        <v>14.79039751230939</v>
      </c>
      <c r="G468" s="41">
        <v>0</v>
      </c>
      <c r="H468" s="42"/>
      <c r="I468" s="42"/>
      <c r="J468" s="42"/>
    </row>
    <row r="469" spans="5:10">
      <c r="E469" s="43">
        <v>45327.315972220065</v>
      </c>
      <c r="F469" s="41">
        <v>14.79039751230939</v>
      </c>
      <c r="G469" s="41">
        <v>0</v>
      </c>
      <c r="H469" s="42"/>
      <c r="I469" s="42"/>
      <c r="J469" s="42"/>
    </row>
    <row r="470" spans="5:10">
      <c r="E470" s="43">
        <v>45327.319444442284</v>
      </c>
      <c r="F470" s="41">
        <v>14.79039751230939</v>
      </c>
      <c r="G470" s="41">
        <v>0</v>
      </c>
      <c r="H470" s="42"/>
      <c r="I470" s="42"/>
      <c r="J470" s="42"/>
    </row>
    <row r="471" spans="5:10">
      <c r="E471" s="43">
        <v>45327.322916664503</v>
      </c>
      <c r="F471" s="41">
        <v>14.79039751230939</v>
      </c>
      <c r="G471" s="41">
        <v>0</v>
      </c>
      <c r="H471" s="42"/>
      <c r="I471" s="42"/>
      <c r="J471" s="42"/>
    </row>
    <row r="472" spans="5:10">
      <c r="E472" s="43">
        <v>45327.326388886722</v>
      </c>
      <c r="F472" s="41">
        <v>14.79039751230939</v>
      </c>
      <c r="G472" s="41">
        <v>0</v>
      </c>
      <c r="H472" s="42"/>
      <c r="I472" s="42"/>
      <c r="J472" s="42"/>
    </row>
    <row r="473" spans="5:10">
      <c r="E473" s="43">
        <v>45327.329861108941</v>
      </c>
      <c r="F473" s="41">
        <v>14.79039751230939</v>
      </c>
      <c r="G473" s="41">
        <v>0</v>
      </c>
      <c r="H473" s="42"/>
      <c r="I473" s="42"/>
      <c r="J473" s="42"/>
    </row>
    <row r="474" spans="5:10">
      <c r="E474" s="43">
        <v>45327.33333333116</v>
      </c>
      <c r="F474" s="41">
        <v>14.79039751230939</v>
      </c>
      <c r="G474" s="41">
        <v>0</v>
      </c>
      <c r="H474" s="42"/>
      <c r="I474" s="42"/>
      <c r="J474" s="42"/>
    </row>
    <row r="475" spans="5:10">
      <c r="E475" s="43">
        <v>45327.336805553379</v>
      </c>
      <c r="F475" s="41">
        <v>14.79039751230939</v>
      </c>
      <c r="G475" s="41">
        <v>0</v>
      </c>
      <c r="H475" s="42"/>
      <c r="I475" s="42"/>
      <c r="J475" s="42"/>
    </row>
    <row r="476" spans="5:10">
      <c r="E476" s="43">
        <v>45327.340277775598</v>
      </c>
      <c r="F476" s="41">
        <v>14.79039751230939</v>
      </c>
      <c r="G476" s="41">
        <v>0</v>
      </c>
      <c r="H476" s="42"/>
      <c r="I476" s="42"/>
      <c r="J476" s="42"/>
    </row>
    <row r="477" spans="5:10">
      <c r="E477" s="43">
        <v>45327.343749997817</v>
      </c>
      <c r="F477" s="41">
        <v>14.79039751230939</v>
      </c>
      <c r="G477" s="41">
        <v>0</v>
      </c>
      <c r="H477" s="42"/>
      <c r="I477" s="42"/>
      <c r="J477" s="42"/>
    </row>
    <row r="478" spans="5:10">
      <c r="E478" s="43">
        <v>45327.347222220036</v>
      </c>
      <c r="F478" s="41">
        <v>14.79039751230939</v>
      </c>
      <c r="G478" s="41">
        <v>0</v>
      </c>
      <c r="H478" s="42"/>
      <c r="I478" s="42"/>
      <c r="J478" s="42"/>
    </row>
    <row r="479" spans="5:10">
      <c r="E479" s="43">
        <v>45327.350694442255</v>
      </c>
      <c r="F479" s="41">
        <v>14.79039751230939</v>
      </c>
      <c r="G479" s="41">
        <v>0</v>
      </c>
      <c r="H479" s="42"/>
      <c r="I479" s="42"/>
      <c r="J479" s="42"/>
    </row>
    <row r="480" spans="5:10">
      <c r="E480" s="43">
        <v>45327.354166664474</v>
      </c>
      <c r="F480" s="41">
        <v>14.79039751230939</v>
      </c>
      <c r="G480" s="41">
        <v>0</v>
      </c>
      <c r="H480" s="42"/>
      <c r="I480" s="42"/>
      <c r="J480" s="42"/>
    </row>
    <row r="481" spans="5:10">
      <c r="E481" s="43">
        <v>45327.357638886693</v>
      </c>
      <c r="F481" s="41">
        <v>14.79039751230939</v>
      </c>
      <c r="G481" s="41">
        <v>0</v>
      </c>
      <c r="H481" s="42"/>
      <c r="I481" s="42"/>
      <c r="J481" s="42"/>
    </row>
    <row r="482" spans="5:10">
      <c r="E482" s="43">
        <v>45327.361111108912</v>
      </c>
      <c r="F482" s="41">
        <v>14.79039751230939</v>
      </c>
      <c r="G482" s="41">
        <v>0</v>
      </c>
      <c r="H482" s="42"/>
      <c r="I482" s="42"/>
      <c r="J482" s="42"/>
    </row>
    <row r="483" spans="5:10">
      <c r="E483" s="43">
        <v>45327.364583331131</v>
      </c>
      <c r="F483" s="41">
        <v>14.79039751230939</v>
      </c>
      <c r="G483" s="41">
        <v>0</v>
      </c>
      <c r="H483" s="42"/>
      <c r="I483" s="42"/>
      <c r="J483" s="42"/>
    </row>
    <row r="484" spans="5:10">
      <c r="E484" s="43">
        <v>45327.36805555335</v>
      </c>
      <c r="F484" s="41">
        <v>14.79039751230939</v>
      </c>
      <c r="G484" s="41">
        <v>0</v>
      </c>
      <c r="H484" s="42"/>
      <c r="I484" s="42"/>
      <c r="J484" s="42"/>
    </row>
    <row r="485" spans="5:10">
      <c r="E485" s="43">
        <v>45327.371527775569</v>
      </c>
      <c r="F485" s="41">
        <v>14.79039751230939</v>
      </c>
      <c r="G485" s="41">
        <v>0</v>
      </c>
      <c r="H485" s="42"/>
      <c r="I485" s="42"/>
      <c r="J485" s="42"/>
    </row>
    <row r="486" spans="5:10">
      <c r="E486" s="43">
        <v>45327.374999997788</v>
      </c>
      <c r="F486" s="41">
        <v>14.79039751230939</v>
      </c>
      <c r="G486" s="41">
        <v>0</v>
      </c>
      <c r="H486" s="42"/>
      <c r="I486" s="42"/>
      <c r="J486" s="42"/>
    </row>
    <row r="487" spans="5:10">
      <c r="E487" s="43">
        <v>45327.378472220007</v>
      </c>
      <c r="F487" s="41">
        <v>14.79039751230939</v>
      </c>
      <c r="G487" s="41">
        <v>0</v>
      </c>
      <c r="H487" s="42"/>
      <c r="I487" s="42"/>
      <c r="J487" s="42"/>
    </row>
    <row r="488" spans="5:10">
      <c r="E488" s="43">
        <v>45327.381944442226</v>
      </c>
      <c r="F488" s="41">
        <v>14.79039751230939</v>
      </c>
      <c r="G488" s="41">
        <v>0</v>
      </c>
      <c r="H488" s="42"/>
      <c r="I488" s="42"/>
      <c r="J488" s="42"/>
    </row>
    <row r="489" spans="5:10">
      <c r="E489" s="43">
        <v>45327.385416664445</v>
      </c>
      <c r="F489" s="41">
        <v>14.79039751230939</v>
      </c>
      <c r="G489" s="41">
        <v>0</v>
      </c>
      <c r="H489" s="42"/>
      <c r="I489" s="42"/>
      <c r="J489" s="42"/>
    </row>
    <row r="490" spans="5:10">
      <c r="E490" s="43">
        <v>45327.388888886664</v>
      </c>
      <c r="F490" s="41">
        <v>14.79039751230939</v>
      </c>
      <c r="G490" s="41">
        <v>0</v>
      </c>
      <c r="H490" s="42"/>
      <c r="I490" s="42"/>
      <c r="J490" s="42"/>
    </row>
    <row r="491" spans="5:10">
      <c r="E491" s="43">
        <v>45327.392361108883</v>
      </c>
      <c r="F491" s="41">
        <v>14.79039751230939</v>
      </c>
      <c r="G491" s="41">
        <v>0</v>
      </c>
      <c r="H491" s="42"/>
      <c r="I491" s="42"/>
      <c r="J491" s="42"/>
    </row>
    <row r="492" spans="5:10">
      <c r="E492" s="43">
        <v>45327.395833331102</v>
      </c>
      <c r="F492" s="41">
        <v>14.79039751230939</v>
      </c>
      <c r="G492" s="41">
        <v>0</v>
      </c>
      <c r="H492" s="42"/>
      <c r="I492" s="42"/>
      <c r="J492" s="42"/>
    </row>
    <row r="493" spans="5:10">
      <c r="E493" s="43">
        <v>45327.399305553321</v>
      </c>
      <c r="F493" s="41">
        <v>14.79039751230939</v>
      </c>
      <c r="G493" s="41">
        <v>0</v>
      </c>
      <c r="H493" s="42"/>
      <c r="I493" s="42"/>
      <c r="J493" s="42"/>
    </row>
    <row r="494" spans="5:10">
      <c r="E494" s="43">
        <v>45327.40277777554</v>
      </c>
      <c r="F494" s="41">
        <v>14.79039751230939</v>
      </c>
      <c r="G494" s="41">
        <v>0</v>
      </c>
      <c r="H494" s="42"/>
      <c r="I494" s="42"/>
      <c r="J494" s="42"/>
    </row>
    <row r="495" spans="5:10">
      <c r="E495" s="43">
        <v>45327.406249997759</v>
      </c>
      <c r="F495" s="41">
        <v>14.79039751230939</v>
      </c>
      <c r="G495" s="41">
        <v>0</v>
      </c>
      <c r="H495" s="42"/>
      <c r="I495" s="42"/>
      <c r="J495" s="42"/>
    </row>
    <row r="496" spans="5:10">
      <c r="E496" s="43">
        <v>45327.409722219978</v>
      </c>
      <c r="F496" s="41">
        <v>14.79039751230939</v>
      </c>
      <c r="G496" s="41">
        <v>0</v>
      </c>
      <c r="H496" s="42"/>
      <c r="I496" s="42"/>
      <c r="J496" s="42"/>
    </row>
    <row r="497" spans="5:10">
      <c r="E497" s="43">
        <v>45327.413194442197</v>
      </c>
      <c r="F497" s="41">
        <v>14.79039751230939</v>
      </c>
      <c r="G497" s="41">
        <v>0</v>
      </c>
      <c r="H497" s="42"/>
      <c r="I497" s="42"/>
      <c r="J497" s="42"/>
    </row>
    <row r="498" spans="5:10">
      <c r="E498" s="43">
        <v>45327.416666664416</v>
      </c>
      <c r="F498" s="41">
        <v>14.79039751230939</v>
      </c>
      <c r="G498" s="41">
        <v>0</v>
      </c>
      <c r="H498" s="42"/>
      <c r="I498" s="42"/>
      <c r="J498" s="42"/>
    </row>
    <row r="499" spans="5:10">
      <c r="E499" s="43">
        <v>45327.420138886635</v>
      </c>
      <c r="F499" s="41">
        <v>14.79039751230939</v>
      </c>
      <c r="G499" s="41">
        <v>0</v>
      </c>
      <c r="H499" s="42"/>
      <c r="I499" s="42"/>
      <c r="J499" s="42"/>
    </row>
    <row r="500" spans="5:10">
      <c r="E500" s="43">
        <v>45327.423611108854</v>
      </c>
      <c r="F500" s="41">
        <v>14.79039751230939</v>
      </c>
      <c r="G500" s="41">
        <v>0</v>
      </c>
      <c r="H500" s="42"/>
      <c r="I500" s="42"/>
      <c r="J500" s="42"/>
    </row>
    <row r="501" spans="5:10">
      <c r="E501" s="43">
        <v>45327.427083331073</v>
      </c>
      <c r="F501" s="41">
        <v>14.79039751230939</v>
      </c>
      <c r="G501" s="41">
        <v>0</v>
      </c>
      <c r="H501" s="42"/>
      <c r="I501" s="42"/>
      <c r="J501" s="42"/>
    </row>
    <row r="502" spans="5:10">
      <c r="E502" s="43">
        <v>45327.430555553292</v>
      </c>
      <c r="F502" s="41">
        <v>14.79039751230939</v>
      </c>
      <c r="G502" s="41">
        <v>0</v>
      </c>
      <c r="H502" s="42"/>
      <c r="I502" s="42"/>
      <c r="J502" s="42"/>
    </row>
    <row r="503" spans="5:10">
      <c r="E503" s="43">
        <v>45327.434027775511</v>
      </c>
      <c r="F503" s="41">
        <v>14.79039751230939</v>
      </c>
      <c r="G503" s="41">
        <v>0</v>
      </c>
      <c r="H503" s="42"/>
      <c r="I503" s="42"/>
      <c r="J503" s="42"/>
    </row>
    <row r="504" spans="5:10">
      <c r="E504" s="43">
        <v>45327.43749999773</v>
      </c>
      <c r="F504" s="41">
        <v>14.79039751230939</v>
      </c>
      <c r="G504" s="41">
        <v>0</v>
      </c>
      <c r="H504" s="42"/>
      <c r="I504" s="42"/>
      <c r="J504" s="42"/>
    </row>
    <row r="505" spans="5:10">
      <c r="E505" s="43">
        <v>45327.440972219949</v>
      </c>
      <c r="F505" s="41">
        <v>14.79039751230939</v>
      </c>
      <c r="G505" s="41">
        <v>0</v>
      </c>
      <c r="H505" s="42"/>
      <c r="I505" s="42"/>
      <c r="J505" s="42"/>
    </row>
    <row r="506" spans="5:10">
      <c r="E506" s="43">
        <v>45327.444444442168</v>
      </c>
      <c r="F506" s="41">
        <v>14.79039751230939</v>
      </c>
      <c r="G506" s="41">
        <v>0</v>
      </c>
      <c r="H506" s="42"/>
      <c r="I506" s="42"/>
      <c r="J506" s="42"/>
    </row>
    <row r="507" spans="5:10">
      <c r="E507" s="43">
        <v>45327.447916664387</v>
      </c>
      <c r="F507" s="41">
        <v>14.79039751230939</v>
      </c>
      <c r="G507" s="41">
        <v>0</v>
      </c>
      <c r="H507" s="42"/>
      <c r="I507" s="42"/>
      <c r="J507" s="42"/>
    </row>
    <row r="508" spans="5:10">
      <c r="E508" s="43">
        <v>45327.451388886606</v>
      </c>
      <c r="F508" s="41">
        <v>14.79039751230939</v>
      </c>
      <c r="G508" s="41">
        <v>0</v>
      </c>
      <c r="H508" s="42"/>
      <c r="I508" s="42"/>
      <c r="J508" s="42"/>
    </row>
    <row r="509" spans="5:10">
      <c r="E509" s="43">
        <v>45327.454861108825</v>
      </c>
      <c r="F509" s="41">
        <v>14.79039751230939</v>
      </c>
      <c r="G509" s="41">
        <v>0</v>
      </c>
      <c r="H509" s="42"/>
      <c r="I509" s="42"/>
      <c r="J509" s="42"/>
    </row>
    <row r="510" spans="5:10">
      <c r="E510" s="43">
        <v>45327.458333331044</v>
      </c>
      <c r="F510" s="41">
        <v>14.79039751230939</v>
      </c>
      <c r="G510" s="41">
        <v>0</v>
      </c>
      <c r="H510" s="42"/>
      <c r="I510" s="42"/>
      <c r="J510" s="42"/>
    </row>
    <row r="511" spans="5:10">
      <c r="E511" s="43">
        <v>45327.461805553263</v>
      </c>
      <c r="F511" s="41">
        <v>14.79039751230939</v>
      </c>
      <c r="G511" s="41">
        <v>0</v>
      </c>
      <c r="H511" s="42"/>
      <c r="I511" s="42"/>
      <c r="J511" s="42"/>
    </row>
    <row r="512" spans="5:10">
      <c r="E512" s="43">
        <v>45327.465277775482</v>
      </c>
      <c r="F512" s="41">
        <v>14.79039751230939</v>
      </c>
      <c r="G512" s="41">
        <v>0</v>
      </c>
      <c r="H512" s="42"/>
      <c r="I512" s="42"/>
      <c r="J512" s="42"/>
    </row>
    <row r="513" spans="5:10">
      <c r="E513" s="43">
        <v>45327.468749997701</v>
      </c>
      <c r="F513" s="41">
        <v>14.79039751230939</v>
      </c>
      <c r="G513" s="41">
        <v>0</v>
      </c>
      <c r="H513" s="42"/>
      <c r="I513" s="42"/>
      <c r="J513" s="42"/>
    </row>
    <row r="514" spans="5:10">
      <c r="E514" s="43">
        <v>45327.47222221992</v>
      </c>
      <c r="F514" s="41">
        <v>14.79039751230939</v>
      </c>
      <c r="G514" s="41">
        <v>0</v>
      </c>
      <c r="H514" s="42"/>
      <c r="I514" s="42"/>
      <c r="J514" s="42"/>
    </row>
    <row r="515" spans="5:10">
      <c r="E515" s="43">
        <v>45327.475694442139</v>
      </c>
      <c r="F515" s="41">
        <v>14.79039751230939</v>
      </c>
      <c r="G515" s="41">
        <v>0</v>
      </c>
      <c r="H515" s="42"/>
      <c r="I515" s="42"/>
      <c r="J515" s="42"/>
    </row>
    <row r="516" spans="5:10">
      <c r="E516" s="43">
        <v>45327.479166664358</v>
      </c>
      <c r="F516" s="41">
        <v>14.79039751230939</v>
      </c>
      <c r="G516" s="41">
        <v>0</v>
      </c>
      <c r="H516" s="42"/>
      <c r="I516" s="42"/>
      <c r="J516" s="42"/>
    </row>
    <row r="517" spans="5:10">
      <c r="E517" s="43">
        <v>45327.482638886577</v>
      </c>
      <c r="F517" s="41">
        <v>14.79039751230939</v>
      </c>
      <c r="G517" s="41">
        <v>0</v>
      </c>
      <c r="H517" s="42"/>
      <c r="I517" s="42"/>
      <c r="J517" s="42"/>
    </row>
    <row r="518" spans="5:10">
      <c r="E518" s="43">
        <v>45327.486111108796</v>
      </c>
      <c r="F518" s="41">
        <v>14.79039751230939</v>
      </c>
      <c r="G518" s="41">
        <v>0</v>
      </c>
      <c r="H518" s="42"/>
      <c r="I518" s="42"/>
      <c r="J518" s="42"/>
    </row>
    <row r="519" spans="5:10">
      <c r="E519" s="43">
        <v>45327.489583331015</v>
      </c>
      <c r="F519" s="41">
        <v>14.79039751230939</v>
      </c>
      <c r="G519" s="41">
        <v>0</v>
      </c>
      <c r="H519" s="42"/>
      <c r="I519" s="42"/>
      <c r="J519" s="42"/>
    </row>
    <row r="520" spans="5:10">
      <c r="E520" s="43">
        <v>45327.493055553234</v>
      </c>
      <c r="F520" s="41">
        <v>14.79039751230939</v>
      </c>
      <c r="G520" s="41">
        <v>0</v>
      </c>
      <c r="H520" s="42"/>
      <c r="I520" s="42"/>
      <c r="J520" s="42"/>
    </row>
    <row r="521" spans="5:10">
      <c r="E521" s="43">
        <v>45327.496527775453</v>
      </c>
      <c r="F521" s="41">
        <v>14.79039751230939</v>
      </c>
      <c r="G521" s="41">
        <v>0</v>
      </c>
      <c r="H521" s="42"/>
      <c r="I521" s="42"/>
      <c r="J521" s="42"/>
    </row>
    <row r="522" spans="5:10">
      <c r="E522" s="43">
        <v>45327.499999997672</v>
      </c>
      <c r="F522" s="41">
        <v>14.79039751230939</v>
      </c>
      <c r="G522" s="41">
        <v>0</v>
      </c>
      <c r="H522" s="42"/>
      <c r="I522" s="42"/>
      <c r="J522" s="42"/>
    </row>
    <row r="523" spans="5:10">
      <c r="E523" s="43">
        <v>45327.503472219891</v>
      </c>
      <c r="F523" s="41">
        <v>14.79039751230939</v>
      </c>
      <c r="G523" s="41">
        <v>0</v>
      </c>
      <c r="H523" s="42"/>
      <c r="I523" s="42"/>
      <c r="J523" s="42"/>
    </row>
    <row r="524" spans="5:10">
      <c r="E524" s="43">
        <v>45327.50694444211</v>
      </c>
      <c r="F524" s="41">
        <v>14.79039751230939</v>
      </c>
      <c r="G524" s="41">
        <v>0</v>
      </c>
      <c r="H524" s="42"/>
      <c r="I524" s="42"/>
      <c r="J524" s="42"/>
    </row>
    <row r="525" spans="5:10">
      <c r="E525" s="43">
        <v>45327.510416664329</v>
      </c>
      <c r="F525" s="41">
        <v>14.79039751230939</v>
      </c>
      <c r="G525" s="41">
        <v>0</v>
      </c>
      <c r="H525" s="42"/>
      <c r="I525" s="42"/>
      <c r="J525" s="42"/>
    </row>
    <row r="526" spans="5:10">
      <c r="E526" s="43">
        <v>45327.513888886548</v>
      </c>
      <c r="F526" s="41">
        <v>14.79039751230939</v>
      </c>
      <c r="G526" s="41">
        <v>0</v>
      </c>
      <c r="H526" s="42"/>
      <c r="I526" s="42"/>
      <c r="J526" s="42"/>
    </row>
    <row r="527" spans="5:10">
      <c r="E527" s="43">
        <v>45327.517361108767</v>
      </c>
      <c r="F527" s="41">
        <v>14.79039751230939</v>
      </c>
      <c r="G527" s="41">
        <v>0</v>
      </c>
      <c r="H527" s="42"/>
      <c r="I527" s="42"/>
      <c r="J527" s="42"/>
    </row>
    <row r="528" spans="5:10">
      <c r="E528" s="43">
        <v>45327.520833330986</v>
      </c>
      <c r="F528" s="41">
        <v>14.79039751230939</v>
      </c>
      <c r="G528" s="41">
        <v>0</v>
      </c>
      <c r="H528" s="42"/>
      <c r="I528" s="42"/>
      <c r="J528" s="42"/>
    </row>
    <row r="529" spans="5:10">
      <c r="E529" s="43">
        <v>45327.524305553205</v>
      </c>
      <c r="F529" s="41">
        <v>14.79039751230939</v>
      </c>
      <c r="G529" s="41">
        <v>0</v>
      </c>
      <c r="H529" s="42"/>
      <c r="I529" s="42"/>
      <c r="J529" s="42"/>
    </row>
    <row r="530" spans="5:10">
      <c r="E530" s="43">
        <v>45327.527777775424</v>
      </c>
      <c r="F530" s="41">
        <v>14.79039751230939</v>
      </c>
      <c r="G530" s="41">
        <v>0</v>
      </c>
      <c r="H530" s="42"/>
      <c r="I530" s="42"/>
      <c r="J530" s="42"/>
    </row>
    <row r="531" spans="5:10">
      <c r="E531" s="43">
        <v>45327.531249997643</v>
      </c>
      <c r="F531" s="41">
        <v>14.79039751230939</v>
      </c>
      <c r="G531" s="41">
        <v>0</v>
      </c>
      <c r="H531" s="42"/>
      <c r="I531" s="42"/>
      <c r="J531" s="42"/>
    </row>
    <row r="532" spans="5:10">
      <c r="E532" s="43">
        <v>45327.534722219862</v>
      </c>
      <c r="F532" s="41">
        <v>14.79039751230939</v>
      </c>
      <c r="G532" s="41">
        <v>0</v>
      </c>
      <c r="H532" s="42"/>
      <c r="I532" s="42"/>
      <c r="J532" s="42"/>
    </row>
    <row r="533" spans="5:10">
      <c r="E533" s="43">
        <v>45327.538194442081</v>
      </c>
      <c r="F533" s="41">
        <v>14.79039751230939</v>
      </c>
      <c r="G533" s="41">
        <v>0</v>
      </c>
      <c r="H533" s="42"/>
      <c r="I533" s="42"/>
      <c r="J533" s="42"/>
    </row>
    <row r="534" spans="5:10">
      <c r="E534" s="43">
        <v>45327.5416666643</v>
      </c>
      <c r="F534" s="41">
        <v>14.79039751230939</v>
      </c>
      <c r="G534" s="41">
        <v>0</v>
      </c>
      <c r="H534" s="42"/>
      <c r="I534" s="42"/>
      <c r="J534" s="42"/>
    </row>
    <row r="535" spans="5:10">
      <c r="E535" s="43">
        <v>45327.545138886519</v>
      </c>
      <c r="F535" s="41">
        <v>14.79039751230939</v>
      </c>
      <c r="G535" s="41">
        <v>0</v>
      </c>
      <c r="H535" s="42"/>
      <c r="I535" s="42"/>
      <c r="J535" s="42"/>
    </row>
    <row r="536" spans="5:10">
      <c r="E536" s="43">
        <v>45327.548611108738</v>
      </c>
      <c r="F536" s="41">
        <v>14.79039751230939</v>
      </c>
      <c r="G536" s="41">
        <v>0</v>
      </c>
      <c r="H536" s="42"/>
      <c r="I536" s="42"/>
      <c r="J536" s="42"/>
    </row>
    <row r="537" spans="5:10">
      <c r="E537" s="43">
        <v>45327.552083330957</v>
      </c>
      <c r="F537" s="41">
        <v>14.79039751230939</v>
      </c>
      <c r="G537" s="41">
        <v>0</v>
      </c>
      <c r="H537" s="42"/>
      <c r="I537" s="42"/>
      <c r="J537" s="42"/>
    </row>
    <row r="538" spans="5:10">
      <c r="E538" s="43">
        <v>45327.555555553176</v>
      </c>
      <c r="F538" s="41">
        <v>14.79039751230939</v>
      </c>
      <c r="G538" s="41">
        <v>0</v>
      </c>
      <c r="H538" s="42"/>
      <c r="I538" s="42"/>
      <c r="J538" s="42"/>
    </row>
    <row r="539" spans="5:10">
      <c r="E539" s="43">
        <v>45327.559027775394</v>
      </c>
      <c r="F539" s="41">
        <v>14.79039751230939</v>
      </c>
      <c r="G539" s="41">
        <v>0</v>
      </c>
      <c r="H539" s="42"/>
      <c r="I539" s="42"/>
      <c r="J539" s="42"/>
    </row>
    <row r="540" spans="5:10">
      <c r="E540" s="43">
        <v>45327.562499997613</v>
      </c>
      <c r="F540" s="41">
        <v>14.79039751230939</v>
      </c>
      <c r="G540" s="41">
        <v>0</v>
      </c>
      <c r="H540" s="42"/>
      <c r="I540" s="42"/>
      <c r="J540" s="42"/>
    </row>
    <row r="541" spans="5:10">
      <c r="E541" s="43">
        <v>45327.565972219832</v>
      </c>
      <c r="F541" s="41">
        <v>14.79039751230939</v>
      </c>
      <c r="G541" s="41">
        <v>0</v>
      </c>
      <c r="H541" s="42"/>
      <c r="I541" s="42"/>
      <c r="J541" s="42"/>
    </row>
    <row r="542" spans="5:10">
      <c r="E542" s="43">
        <v>45327.569444442051</v>
      </c>
      <c r="F542" s="41">
        <v>14.79039751230939</v>
      </c>
      <c r="G542" s="41">
        <v>0</v>
      </c>
      <c r="H542" s="42"/>
      <c r="I542" s="42"/>
      <c r="J542" s="42"/>
    </row>
    <row r="543" spans="5:10">
      <c r="E543" s="43">
        <v>45327.57291666427</v>
      </c>
      <c r="F543" s="41">
        <v>14.79039751230939</v>
      </c>
      <c r="G543" s="41">
        <v>0</v>
      </c>
      <c r="H543" s="42"/>
      <c r="I543" s="42"/>
      <c r="J543" s="42"/>
    </row>
    <row r="544" spans="5:10">
      <c r="E544" s="43">
        <v>45327.576388886489</v>
      </c>
      <c r="F544" s="41">
        <v>14.79039751230939</v>
      </c>
      <c r="G544" s="41">
        <v>0</v>
      </c>
      <c r="H544" s="42"/>
      <c r="I544" s="42"/>
      <c r="J544" s="42"/>
    </row>
    <row r="545" spans="5:10">
      <c r="E545" s="43">
        <v>45327.579861108708</v>
      </c>
      <c r="F545" s="41">
        <v>14.79039751230939</v>
      </c>
      <c r="G545" s="41">
        <v>0</v>
      </c>
      <c r="H545" s="42"/>
      <c r="I545" s="42"/>
      <c r="J545" s="42"/>
    </row>
    <row r="546" spans="5:10">
      <c r="E546" s="43">
        <v>45327.583333330927</v>
      </c>
      <c r="F546" s="41">
        <v>14.79039751230939</v>
      </c>
      <c r="G546" s="41">
        <v>0</v>
      </c>
      <c r="H546" s="42"/>
      <c r="I546" s="42"/>
      <c r="J546" s="42"/>
    </row>
    <row r="547" spans="5:10">
      <c r="E547" s="43">
        <v>45327.586805553146</v>
      </c>
      <c r="F547" s="41">
        <v>14.79039751230939</v>
      </c>
      <c r="G547" s="41">
        <v>0</v>
      </c>
      <c r="H547" s="42"/>
      <c r="I547" s="42"/>
      <c r="J547" s="42"/>
    </row>
    <row r="548" spans="5:10">
      <c r="E548" s="43">
        <v>45327.590277775365</v>
      </c>
      <c r="F548" s="41">
        <v>14.79039751230939</v>
      </c>
      <c r="G548" s="41">
        <v>0</v>
      </c>
      <c r="H548" s="42"/>
      <c r="I548" s="42"/>
      <c r="J548" s="42"/>
    </row>
    <row r="549" spans="5:10">
      <c r="E549" s="43">
        <v>45327.593749997584</v>
      </c>
      <c r="F549" s="41">
        <v>14.79039751230939</v>
      </c>
      <c r="G549" s="41">
        <v>0</v>
      </c>
      <c r="H549" s="42"/>
      <c r="I549" s="42"/>
      <c r="J549" s="42"/>
    </row>
    <row r="550" spans="5:10">
      <c r="E550" s="43">
        <v>45327.597222219803</v>
      </c>
      <c r="F550" s="41">
        <v>14.79039751230939</v>
      </c>
      <c r="G550" s="41">
        <v>0</v>
      </c>
      <c r="H550" s="42"/>
      <c r="I550" s="42"/>
      <c r="J550" s="42"/>
    </row>
    <row r="551" spans="5:10">
      <c r="E551" s="43">
        <v>45327.600694442022</v>
      </c>
      <c r="F551" s="41">
        <v>14.79039751230939</v>
      </c>
      <c r="G551" s="41">
        <v>0</v>
      </c>
      <c r="H551" s="42"/>
      <c r="I551" s="42"/>
      <c r="J551" s="42"/>
    </row>
    <row r="552" spans="5:10">
      <c r="E552" s="43">
        <v>45327.604166664241</v>
      </c>
      <c r="F552" s="41">
        <v>14.79039751230939</v>
      </c>
      <c r="G552" s="41">
        <v>0</v>
      </c>
      <c r="H552" s="42"/>
      <c r="I552" s="42"/>
      <c r="J552" s="42"/>
    </row>
    <row r="553" spans="5:10">
      <c r="E553" s="43">
        <v>45327.60763888646</v>
      </c>
      <c r="F553" s="41">
        <v>14.79039751230939</v>
      </c>
      <c r="G553" s="41">
        <v>0</v>
      </c>
      <c r="H553" s="42"/>
      <c r="I553" s="42"/>
      <c r="J553" s="42"/>
    </row>
    <row r="554" spans="5:10">
      <c r="E554" s="43">
        <v>45327.611111108679</v>
      </c>
      <c r="F554" s="41">
        <v>14.79039751230939</v>
      </c>
      <c r="G554" s="41">
        <v>0</v>
      </c>
      <c r="H554" s="42"/>
      <c r="I554" s="42"/>
      <c r="J554" s="42"/>
    </row>
    <row r="555" spans="5:10">
      <c r="E555" s="43">
        <v>45327.614583330898</v>
      </c>
      <c r="F555" s="41">
        <v>14.79039751230939</v>
      </c>
      <c r="G555" s="41">
        <v>0</v>
      </c>
      <c r="H555" s="42"/>
      <c r="I555" s="42"/>
      <c r="J555" s="42"/>
    </row>
    <row r="556" spans="5:10">
      <c r="E556" s="43">
        <v>45327.618055553117</v>
      </c>
      <c r="F556" s="41">
        <v>14.79039751230939</v>
      </c>
      <c r="G556" s="41">
        <v>0</v>
      </c>
      <c r="H556" s="42"/>
      <c r="I556" s="42"/>
      <c r="J556" s="42"/>
    </row>
    <row r="557" spans="5:10">
      <c r="E557" s="43">
        <v>45327.621527775336</v>
      </c>
      <c r="F557" s="41">
        <v>14.79039751230939</v>
      </c>
      <c r="G557" s="41">
        <v>0</v>
      </c>
      <c r="H557" s="42"/>
      <c r="I557" s="42"/>
      <c r="J557" s="42"/>
    </row>
    <row r="558" spans="5:10">
      <c r="E558" s="43">
        <v>45327.624999997555</v>
      </c>
      <c r="F558" s="41">
        <v>14.79039751230939</v>
      </c>
      <c r="G558" s="41">
        <v>0</v>
      </c>
      <c r="H558" s="42"/>
      <c r="I558" s="42"/>
      <c r="J558" s="42"/>
    </row>
    <row r="559" spans="5:10">
      <c r="E559" s="43">
        <v>45327.628472219774</v>
      </c>
      <c r="F559" s="41">
        <v>14.79039751230939</v>
      </c>
      <c r="G559" s="41">
        <v>0</v>
      </c>
      <c r="H559" s="42"/>
      <c r="I559" s="42"/>
      <c r="J559" s="42"/>
    </row>
    <row r="560" spans="5:10">
      <c r="E560" s="43">
        <v>45327.631944441993</v>
      </c>
      <c r="F560" s="41">
        <v>14.79039751230939</v>
      </c>
      <c r="G560" s="41">
        <v>0</v>
      </c>
      <c r="H560" s="42"/>
      <c r="I560" s="42"/>
      <c r="J560" s="42"/>
    </row>
    <row r="561" spans="5:10">
      <c r="E561" s="43">
        <v>45327.635416664212</v>
      </c>
      <c r="F561" s="41">
        <v>14.79039751230939</v>
      </c>
      <c r="G561" s="41">
        <v>0</v>
      </c>
      <c r="H561" s="42"/>
      <c r="I561" s="42"/>
      <c r="J561" s="42"/>
    </row>
    <row r="562" spans="5:10">
      <c r="E562" s="43">
        <v>45327.638888886431</v>
      </c>
      <c r="F562" s="41">
        <v>14.79039751230939</v>
      </c>
      <c r="G562" s="41">
        <v>0</v>
      </c>
      <c r="H562" s="42"/>
      <c r="I562" s="42"/>
      <c r="J562" s="42"/>
    </row>
    <row r="563" spans="5:10">
      <c r="E563" s="43">
        <v>45327.64236110865</v>
      </c>
      <c r="F563" s="41">
        <v>14.79039751230939</v>
      </c>
      <c r="G563" s="41">
        <v>0</v>
      </c>
      <c r="H563" s="42"/>
      <c r="I563" s="42"/>
      <c r="J563" s="42"/>
    </row>
    <row r="564" spans="5:10">
      <c r="E564" s="43">
        <v>45327.645833330869</v>
      </c>
      <c r="F564" s="41">
        <v>14.79039751230939</v>
      </c>
      <c r="G564" s="41">
        <v>0</v>
      </c>
      <c r="H564" s="42"/>
      <c r="I564" s="42"/>
      <c r="J564" s="42"/>
    </row>
    <row r="565" spans="5:10">
      <c r="E565" s="43">
        <v>45327.649305553088</v>
      </c>
      <c r="F565" s="41">
        <v>14.79039751230939</v>
      </c>
      <c r="G565" s="41">
        <v>0</v>
      </c>
      <c r="H565" s="42"/>
      <c r="I565" s="42"/>
      <c r="J565" s="42"/>
    </row>
    <row r="566" spans="5:10">
      <c r="E566" s="43">
        <v>45327.652777775307</v>
      </c>
      <c r="F566" s="41">
        <v>14.79039751230939</v>
      </c>
      <c r="G566" s="41">
        <v>0</v>
      </c>
      <c r="H566" s="42"/>
      <c r="I566" s="42"/>
      <c r="J566" s="42"/>
    </row>
    <row r="567" spans="5:10">
      <c r="E567" s="43">
        <v>45327.656249997526</v>
      </c>
      <c r="F567" s="41">
        <v>14.79039751230939</v>
      </c>
      <c r="G567" s="41">
        <v>0</v>
      </c>
      <c r="H567" s="42"/>
      <c r="I567" s="42"/>
      <c r="J567" s="42"/>
    </row>
    <row r="568" spans="5:10">
      <c r="E568" s="43">
        <v>45327.659722219745</v>
      </c>
      <c r="F568" s="41">
        <v>14.79039751230939</v>
      </c>
      <c r="G568" s="41">
        <v>0</v>
      </c>
      <c r="H568" s="42"/>
      <c r="I568" s="42"/>
      <c r="J568" s="42"/>
    </row>
    <row r="569" spans="5:10">
      <c r="E569" s="43">
        <v>45327.663194441964</v>
      </c>
      <c r="F569" s="41">
        <v>14.79039751230939</v>
      </c>
      <c r="G569" s="41">
        <v>0</v>
      </c>
      <c r="H569" s="42"/>
      <c r="I569" s="42"/>
      <c r="J569" s="42"/>
    </row>
    <row r="570" spans="5:10">
      <c r="E570" s="43">
        <v>45327.666666664183</v>
      </c>
      <c r="F570" s="41">
        <v>14.79039751230939</v>
      </c>
      <c r="G570" s="41">
        <v>0</v>
      </c>
      <c r="H570" s="42"/>
      <c r="I570" s="42"/>
      <c r="J570" s="42"/>
    </row>
    <row r="571" spans="5:10">
      <c r="E571" s="43">
        <v>45327.670138886402</v>
      </c>
      <c r="F571" s="41">
        <v>14.79039751230939</v>
      </c>
      <c r="G571" s="41">
        <v>0</v>
      </c>
      <c r="H571" s="42"/>
      <c r="I571" s="42"/>
      <c r="J571" s="42"/>
    </row>
    <row r="572" spans="5:10">
      <c r="E572" s="43">
        <v>45327.673611108621</v>
      </c>
      <c r="F572" s="41">
        <v>14.79039751230939</v>
      </c>
      <c r="G572" s="41">
        <v>0</v>
      </c>
      <c r="H572" s="42"/>
      <c r="I572" s="42"/>
      <c r="J572" s="42"/>
    </row>
    <row r="573" spans="5:10">
      <c r="E573" s="43">
        <v>45327.67708333084</v>
      </c>
      <c r="F573" s="41">
        <v>14.79039751230939</v>
      </c>
      <c r="G573" s="41">
        <v>0</v>
      </c>
      <c r="H573" s="42"/>
      <c r="I573" s="42"/>
      <c r="J573" s="42"/>
    </row>
    <row r="574" spans="5:10">
      <c r="E574" s="43">
        <v>45327.680555553059</v>
      </c>
      <c r="F574" s="41">
        <v>14.79039751230939</v>
      </c>
      <c r="G574" s="41">
        <v>0</v>
      </c>
      <c r="H574" s="42"/>
      <c r="I574" s="42"/>
      <c r="J574" s="42"/>
    </row>
    <row r="575" spans="5:10">
      <c r="E575" s="43">
        <v>45327.684027775278</v>
      </c>
      <c r="F575" s="41">
        <v>14.79039751230939</v>
      </c>
      <c r="G575" s="41">
        <v>0</v>
      </c>
      <c r="H575" s="42"/>
      <c r="I575" s="42"/>
      <c r="J575" s="42"/>
    </row>
    <row r="576" spans="5:10">
      <c r="E576" s="43">
        <v>45327.687499997497</v>
      </c>
      <c r="F576" s="41">
        <v>14.79039751230939</v>
      </c>
      <c r="G576" s="41">
        <v>0</v>
      </c>
      <c r="H576" s="42"/>
      <c r="I576" s="42"/>
      <c r="J576" s="42"/>
    </row>
    <row r="577" spans="5:10">
      <c r="E577" s="43">
        <v>45327.690972219716</v>
      </c>
      <c r="F577" s="41">
        <v>14.79039751230939</v>
      </c>
      <c r="G577" s="41">
        <v>0</v>
      </c>
      <c r="H577" s="42"/>
      <c r="I577" s="42"/>
      <c r="J577" s="42"/>
    </row>
    <row r="578" spans="5:10">
      <c r="E578" s="43">
        <v>45327.694444441935</v>
      </c>
      <c r="F578" s="41">
        <v>14.79039751230939</v>
      </c>
      <c r="G578" s="41">
        <v>0</v>
      </c>
      <c r="H578" s="42"/>
      <c r="I578" s="42"/>
      <c r="J578" s="42"/>
    </row>
    <row r="579" spans="5:10">
      <c r="E579" s="43">
        <v>45327.697916664154</v>
      </c>
      <c r="F579" s="41">
        <v>14.79039751230939</v>
      </c>
      <c r="G579" s="41">
        <v>0</v>
      </c>
      <c r="H579" s="42"/>
      <c r="I579" s="42"/>
      <c r="J579" s="42"/>
    </row>
    <row r="580" spans="5:10">
      <c r="E580" s="43">
        <v>45327.701388886373</v>
      </c>
      <c r="F580" s="41">
        <v>14.79039751230939</v>
      </c>
      <c r="G580" s="41">
        <v>0</v>
      </c>
      <c r="H580" s="42"/>
      <c r="I580" s="42"/>
      <c r="J580" s="42"/>
    </row>
    <row r="581" spans="5:10">
      <c r="E581" s="43">
        <v>45327.704861108592</v>
      </c>
      <c r="F581" s="41">
        <v>14.79039751230939</v>
      </c>
      <c r="G581" s="41">
        <v>0</v>
      </c>
      <c r="H581" s="42"/>
      <c r="I581" s="42"/>
      <c r="J581" s="42"/>
    </row>
    <row r="582" spans="5:10">
      <c r="E582" s="43">
        <v>45327.708333330811</v>
      </c>
      <c r="F582" s="41">
        <v>14.79039751230939</v>
      </c>
      <c r="G582" s="41">
        <v>0</v>
      </c>
      <c r="H582" s="42"/>
      <c r="I582" s="42"/>
      <c r="J582" s="42"/>
    </row>
    <row r="583" spans="5:10">
      <c r="E583" s="43">
        <v>45327.71180555303</v>
      </c>
      <c r="F583" s="41">
        <v>14.79039751230939</v>
      </c>
      <c r="G583" s="41">
        <v>0</v>
      </c>
      <c r="H583" s="42"/>
      <c r="I583" s="42"/>
      <c r="J583" s="42"/>
    </row>
    <row r="584" spans="5:10">
      <c r="E584" s="43">
        <v>45327.715277775249</v>
      </c>
      <c r="F584" s="41">
        <v>14.79039751230939</v>
      </c>
      <c r="G584" s="41">
        <v>0</v>
      </c>
      <c r="H584" s="42"/>
      <c r="I584" s="42"/>
      <c r="J584" s="42"/>
    </row>
    <row r="585" spans="5:10">
      <c r="E585" s="43">
        <v>45327.718749997468</v>
      </c>
      <c r="F585" s="41">
        <v>14.79039751230939</v>
      </c>
      <c r="G585" s="41">
        <v>0</v>
      </c>
      <c r="H585" s="42"/>
      <c r="I585" s="42"/>
      <c r="J585" s="42"/>
    </row>
    <row r="586" spans="5:10">
      <c r="E586" s="43">
        <v>45327.722222219687</v>
      </c>
      <c r="F586" s="41">
        <v>14.79039751230939</v>
      </c>
      <c r="G586" s="41">
        <v>0</v>
      </c>
      <c r="H586" s="42"/>
      <c r="I586" s="42"/>
      <c r="J586" s="42"/>
    </row>
    <row r="587" spans="5:10">
      <c r="E587" s="43">
        <v>45327.725694441906</v>
      </c>
      <c r="F587" s="41">
        <v>14.79039751230939</v>
      </c>
      <c r="G587" s="41">
        <v>0</v>
      </c>
      <c r="H587" s="42"/>
      <c r="I587" s="42"/>
      <c r="J587" s="42"/>
    </row>
    <row r="588" spans="5:10">
      <c r="E588" s="43">
        <v>45327.729166664125</v>
      </c>
      <c r="F588" s="41">
        <v>14.79039751230939</v>
      </c>
      <c r="G588" s="41">
        <v>0</v>
      </c>
      <c r="H588" s="42"/>
      <c r="I588" s="42"/>
      <c r="J588" s="42"/>
    </row>
    <row r="589" spans="5:10">
      <c r="E589" s="43">
        <v>45327.732638886344</v>
      </c>
      <c r="F589" s="41">
        <v>14.79039751230939</v>
      </c>
      <c r="G589" s="41">
        <v>0</v>
      </c>
      <c r="H589" s="42"/>
      <c r="I589" s="42"/>
      <c r="J589" s="42"/>
    </row>
    <row r="590" spans="5:10">
      <c r="E590" s="43">
        <v>45327.736111108563</v>
      </c>
      <c r="F590" s="41">
        <v>14.79039751230939</v>
      </c>
      <c r="G590" s="41">
        <v>0</v>
      </c>
      <c r="H590" s="42"/>
      <c r="I590" s="42"/>
      <c r="J590" s="42"/>
    </row>
    <row r="591" spans="5:10">
      <c r="E591" s="43">
        <v>45327.739583330782</v>
      </c>
      <c r="F591" s="41">
        <v>14.79039751230939</v>
      </c>
      <c r="G591" s="41">
        <v>0</v>
      </c>
      <c r="H591" s="42"/>
      <c r="I591" s="42"/>
      <c r="J591" s="42"/>
    </row>
    <row r="592" spans="5:10">
      <c r="E592" s="43">
        <v>45327.743055553001</v>
      </c>
      <c r="F592" s="41">
        <v>14.79039751230939</v>
      </c>
      <c r="G592" s="41">
        <v>0</v>
      </c>
      <c r="H592" s="42"/>
      <c r="I592" s="42"/>
      <c r="J592" s="42"/>
    </row>
    <row r="593" spans="5:10">
      <c r="E593" s="43">
        <v>45327.74652777522</v>
      </c>
      <c r="F593" s="41">
        <v>14.79039751230939</v>
      </c>
      <c r="G593" s="41">
        <v>0</v>
      </c>
      <c r="H593" s="42"/>
      <c r="I593" s="42"/>
      <c r="J593" s="42"/>
    </row>
    <row r="594" spans="5:10">
      <c r="E594" s="43">
        <v>45327.749999997439</v>
      </c>
      <c r="F594" s="41">
        <v>14.79039751230939</v>
      </c>
      <c r="G594" s="41">
        <v>0</v>
      </c>
      <c r="H594" s="42"/>
      <c r="I594" s="42"/>
      <c r="J594" s="42"/>
    </row>
    <row r="595" spans="5:10">
      <c r="E595" s="43">
        <v>45327.753472219658</v>
      </c>
      <c r="F595" s="41">
        <v>14.79039751230939</v>
      </c>
      <c r="G595" s="41">
        <v>0</v>
      </c>
      <c r="H595" s="42"/>
      <c r="I595" s="42"/>
      <c r="J595" s="42"/>
    </row>
    <row r="596" spans="5:10">
      <c r="E596" s="43">
        <v>45327.756944441877</v>
      </c>
      <c r="F596" s="41">
        <v>14.79039751230939</v>
      </c>
      <c r="G596" s="41">
        <v>0</v>
      </c>
      <c r="H596" s="42"/>
      <c r="I596" s="42"/>
      <c r="J596" s="42"/>
    </row>
    <row r="597" spans="5:10">
      <c r="E597" s="43">
        <v>45327.760416664096</v>
      </c>
      <c r="F597" s="41">
        <v>14.79039751230939</v>
      </c>
      <c r="G597" s="41">
        <v>0</v>
      </c>
      <c r="H597" s="42"/>
      <c r="I597" s="42"/>
      <c r="J597" s="42"/>
    </row>
    <row r="598" spans="5:10">
      <c r="E598" s="43">
        <v>45327.763888886315</v>
      </c>
      <c r="F598" s="41">
        <v>14.79039751230939</v>
      </c>
      <c r="G598" s="41">
        <v>0</v>
      </c>
      <c r="H598" s="42"/>
      <c r="I598" s="42"/>
      <c r="J598" s="42"/>
    </row>
    <row r="599" spans="5:10">
      <c r="E599" s="43">
        <v>45327.767361108534</v>
      </c>
      <c r="F599" s="41">
        <v>14.79039751230939</v>
      </c>
      <c r="G599" s="41">
        <v>0</v>
      </c>
      <c r="H599" s="42"/>
      <c r="I599" s="42"/>
      <c r="J599" s="42"/>
    </row>
    <row r="600" spans="5:10">
      <c r="E600" s="43">
        <v>45327.770833330753</v>
      </c>
      <c r="F600" s="41">
        <v>14.79039751230939</v>
      </c>
      <c r="G600" s="41">
        <v>0</v>
      </c>
      <c r="H600" s="42"/>
      <c r="I600" s="42"/>
      <c r="J600" s="42"/>
    </row>
    <row r="601" spans="5:10">
      <c r="E601" s="43">
        <v>45327.774305552972</v>
      </c>
      <c r="F601" s="41">
        <v>14.79039751230939</v>
      </c>
      <c r="G601" s="41">
        <v>0</v>
      </c>
      <c r="H601" s="42"/>
      <c r="I601" s="42"/>
      <c r="J601" s="42"/>
    </row>
    <row r="602" spans="5:10">
      <c r="E602" s="43">
        <v>45327.777777775191</v>
      </c>
      <c r="F602" s="41">
        <v>14.79039751230939</v>
      </c>
      <c r="G602" s="41">
        <v>0</v>
      </c>
      <c r="H602" s="42"/>
      <c r="I602" s="42"/>
      <c r="J602" s="42"/>
    </row>
    <row r="603" spans="5:10">
      <c r="E603" s="43">
        <v>45327.78124999741</v>
      </c>
      <c r="F603" s="41">
        <v>14.79039751230939</v>
      </c>
      <c r="G603" s="41">
        <v>0</v>
      </c>
      <c r="H603" s="42"/>
      <c r="I603" s="42"/>
      <c r="J603" s="42"/>
    </row>
    <row r="604" spans="5:10">
      <c r="E604" s="43">
        <v>45327.784722219629</v>
      </c>
      <c r="F604" s="41">
        <v>14.79039751230939</v>
      </c>
      <c r="G604" s="41">
        <v>0</v>
      </c>
      <c r="H604" s="42"/>
      <c r="I604" s="42"/>
      <c r="J604" s="42"/>
    </row>
    <row r="605" spans="5:10">
      <c r="E605" s="43">
        <v>45327.788194441848</v>
      </c>
      <c r="F605" s="41">
        <v>14.79039751230939</v>
      </c>
      <c r="G605" s="41">
        <v>0</v>
      </c>
      <c r="H605" s="42"/>
      <c r="I605" s="42"/>
      <c r="J605" s="42"/>
    </row>
    <row r="606" spans="5:10">
      <c r="E606" s="43">
        <v>45327.791666664067</v>
      </c>
      <c r="F606" s="41">
        <v>14.79039751230939</v>
      </c>
      <c r="G606" s="41">
        <v>0</v>
      </c>
      <c r="H606" s="42"/>
      <c r="I606" s="42"/>
      <c r="J606" s="42"/>
    </row>
    <row r="607" spans="5:10">
      <c r="E607" s="43">
        <v>45327.795138886286</v>
      </c>
      <c r="F607" s="41">
        <v>14.79039751230939</v>
      </c>
      <c r="G607" s="41">
        <v>0</v>
      </c>
      <c r="H607" s="42"/>
      <c r="I607" s="42"/>
      <c r="J607" s="42"/>
    </row>
    <row r="608" spans="5:10">
      <c r="E608" s="43">
        <v>45327.798611108505</v>
      </c>
      <c r="F608" s="41">
        <v>14.79039751230939</v>
      </c>
      <c r="G608" s="41">
        <v>0</v>
      </c>
      <c r="H608" s="42"/>
      <c r="I608" s="42"/>
      <c r="J608" s="42"/>
    </row>
    <row r="609" spans="5:10">
      <c r="E609" s="43">
        <v>45327.802083330724</v>
      </c>
      <c r="F609" s="41">
        <v>14.79039751230939</v>
      </c>
      <c r="G609" s="41">
        <v>0</v>
      </c>
      <c r="H609" s="42"/>
      <c r="I609" s="42"/>
      <c r="J609" s="42"/>
    </row>
    <row r="610" spans="5:10">
      <c r="E610" s="43">
        <v>45327.805555552943</v>
      </c>
      <c r="F610" s="41">
        <v>14.79039751230939</v>
      </c>
      <c r="G610" s="41">
        <v>0</v>
      </c>
      <c r="H610" s="42"/>
      <c r="I610" s="42"/>
      <c r="J610" s="42"/>
    </row>
    <row r="611" spans="5:10">
      <c r="E611" s="43">
        <v>45327.809027775162</v>
      </c>
      <c r="F611" s="41">
        <v>14.79039751230939</v>
      </c>
      <c r="G611" s="41">
        <v>0</v>
      </c>
      <c r="H611" s="42"/>
      <c r="I611" s="42"/>
      <c r="J611" s="42"/>
    </row>
    <row r="612" spans="5:10">
      <c r="E612" s="43">
        <v>45327.812499997381</v>
      </c>
      <c r="F612" s="41">
        <v>14.79039751230939</v>
      </c>
      <c r="G612" s="41">
        <v>0</v>
      </c>
      <c r="H612" s="42"/>
      <c r="I612" s="42"/>
      <c r="J612" s="42"/>
    </row>
    <row r="613" spans="5:10">
      <c r="E613" s="43">
        <v>45327.8159722196</v>
      </c>
      <c r="F613" s="41">
        <v>14.79039751230939</v>
      </c>
      <c r="G613" s="41">
        <v>0</v>
      </c>
      <c r="H613" s="42"/>
      <c r="I613" s="42"/>
      <c r="J613" s="42"/>
    </row>
    <row r="614" spans="5:10">
      <c r="E614" s="43">
        <v>45327.819444441819</v>
      </c>
      <c r="F614" s="41">
        <v>14.79039751230939</v>
      </c>
      <c r="G614" s="41">
        <v>0</v>
      </c>
      <c r="H614" s="42"/>
      <c r="I614" s="42"/>
      <c r="J614" s="42"/>
    </row>
    <row r="615" spans="5:10">
      <c r="E615" s="43">
        <v>45327.822916664038</v>
      </c>
      <c r="F615" s="41">
        <v>14.79039751230939</v>
      </c>
      <c r="G615" s="41">
        <v>0</v>
      </c>
      <c r="H615" s="42"/>
      <c r="I615" s="42"/>
      <c r="J615" s="42"/>
    </row>
    <row r="616" spans="5:10">
      <c r="E616" s="43">
        <v>45327.826388886257</v>
      </c>
      <c r="F616" s="41">
        <v>14.79039751230939</v>
      </c>
      <c r="G616" s="41">
        <v>0</v>
      </c>
      <c r="H616" s="42"/>
      <c r="I616" s="42"/>
      <c r="J616" s="42"/>
    </row>
    <row r="617" spans="5:10">
      <c r="E617" s="43">
        <v>45327.829861108476</v>
      </c>
      <c r="F617" s="41">
        <v>14.79039751230939</v>
      </c>
      <c r="G617" s="41">
        <v>0</v>
      </c>
      <c r="H617" s="42"/>
      <c r="I617" s="42"/>
      <c r="J617" s="42"/>
    </row>
    <row r="618" spans="5:10">
      <c r="E618" s="43">
        <v>45327.833333330695</v>
      </c>
      <c r="F618" s="41">
        <v>14.79039751230939</v>
      </c>
      <c r="G618" s="41">
        <v>0</v>
      </c>
      <c r="H618" s="42"/>
      <c r="I618" s="42"/>
      <c r="J618" s="42"/>
    </row>
    <row r="619" spans="5:10">
      <c r="E619" s="43">
        <v>45327.836805552914</v>
      </c>
      <c r="F619" s="41">
        <v>14.79039751230939</v>
      </c>
      <c r="G619" s="41">
        <v>0</v>
      </c>
      <c r="H619" s="42"/>
      <c r="I619" s="42"/>
      <c r="J619" s="42"/>
    </row>
    <row r="620" spans="5:10">
      <c r="E620" s="43">
        <v>45327.840277775133</v>
      </c>
      <c r="F620" s="41">
        <v>14.79039751230939</v>
      </c>
      <c r="G620" s="41">
        <v>0</v>
      </c>
      <c r="H620" s="42"/>
      <c r="I620" s="42"/>
      <c r="J620" s="42"/>
    </row>
    <row r="621" spans="5:10">
      <c r="E621" s="43">
        <v>45327.843749997352</v>
      </c>
      <c r="F621" s="41">
        <v>14.79039751230939</v>
      </c>
      <c r="G621" s="41">
        <v>0</v>
      </c>
      <c r="H621" s="42"/>
      <c r="I621" s="42"/>
      <c r="J621" s="42"/>
    </row>
    <row r="622" spans="5:10">
      <c r="E622" s="43">
        <v>45327.847222219571</v>
      </c>
      <c r="F622" s="41">
        <v>14.79039751230939</v>
      </c>
      <c r="G622" s="41">
        <v>0</v>
      </c>
      <c r="H622" s="42"/>
      <c r="I622" s="42"/>
      <c r="J622" s="42"/>
    </row>
    <row r="623" spans="5:10">
      <c r="E623" s="43">
        <v>45327.85069444179</v>
      </c>
      <c r="F623" s="41">
        <v>14.79039751230939</v>
      </c>
      <c r="G623" s="41">
        <v>0</v>
      </c>
      <c r="H623" s="42"/>
      <c r="I623" s="42"/>
      <c r="J623" s="42"/>
    </row>
    <row r="624" spans="5:10">
      <c r="E624" s="43">
        <v>45327.854166664009</v>
      </c>
      <c r="F624" s="41">
        <v>14.79039751230939</v>
      </c>
      <c r="G624" s="41">
        <v>0</v>
      </c>
      <c r="H624" s="42"/>
      <c r="I624" s="42"/>
      <c r="J624" s="42"/>
    </row>
    <row r="625" spans="5:10">
      <c r="E625" s="43">
        <v>45327.857638886228</v>
      </c>
      <c r="F625" s="41">
        <v>14.79039751230939</v>
      </c>
      <c r="G625" s="41">
        <v>0</v>
      </c>
      <c r="H625" s="42"/>
      <c r="I625" s="42"/>
      <c r="J625" s="42"/>
    </row>
    <row r="626" spans="5:10">
      <c r="E626" s="43">
        <v>45327.861111108446</v>
      </c>
      <c r="F626" s="41">
        <v>14.79039751230939</v>
      </c>
      <c r="G626" s="41">
        <v>0</v>
      </c>
      <c r="H626" s="42"/>
      <c r="I626" s="42"/>
      <c r="J626" s="42"/>
    </row>
    <row r="627" spans="5:10">
      <c r="E627" s="43">
        <v>45327.864583330665</v>
      </c>
      <c r="F627" s="41">
        <v>14.79039751230939</v>
      </c>
      <c r="G627" s="41">
        <v>0</v>
      </c>
      <c r="H627" s="42"/>
      <c r="I627" s="42"/>
      <c r="J627" s="42"/>
    </row>
    <row r="628" spans="5:10">
      <c r="E628" s="43">
        <v>45327.868055552884</v>
      </c>
      <c r="F628" s="41">
        <v>14.79039751230939</v>
      </c>
      <c r="G628" s="41">
        <v>0</v>
      </c>
      <c r="H628" s="42"/>
      <c r="I628" s="42"/>
      <c r="J628" s="42"/>
    </row>
    <row r="629" spans="5:10">
      <c r="E629" s="43">
        <v>45327.871527775103</v>
      </c>
      <c r="F629" s="41">
        <v>14.79039751230939</v>
      </c>
      <c r="G629" s="41">
        <v>0</v>
      </c>
      <c r="H629" s="42"/>
      <c r="I629" s="42"/>
      <c r="J629" s="42"/>
    </row>
    <row r="630" spans="5:10">
      <c r="E630" s="43">
        <v>45327.874999997322</v>
      </c>
      <c r="F630" s="41">
        <v>14.79039751230939</v>
      </c>
      <c r="G630" s="41">
        <v>0</v>
      </c>
      <c r="H630" s="42"/>
      <c r="I630" s="42"/>
      <c r="J630" s="42"/>
    </row>
    <row r="631" spans="5:10">
      <c r="E631" s="43">
        <v>45327.878472219541</v>
      </c>
      <c r="F631" s="41">
        <v>14.79039751230939</v>
      </c>
      <c r="G631" s="41">
        <v>0</v>
      </c>
      <c r="H631" s="42"/>
      <c r="I631" s="42"/>
      <c r="J631" s="42"/>
    </row>
    <row r="632" spans="5:10">
      <c r="E632" s="43">
        <v>45327.88194444176</v>
      </c>
      <c r="F632" s="41">
        <v>14.79039751230939</v>
      </c>
      <c r="G632" s="41">
        <v>0</v>
      </c>
      <c r="H632" s="42"/>
      <c r="I632" s="42"/>
      <c r="J632" s="42"/>
    </row>
    <row r="633" spans="5:10">
      <c r="E633" s="43">
        <v>45327.885416663979</v>
      </c>
      <c r="F633" s="41">
        <v>14.79039751230939</v>
      </c>
      <c r="G633" s="41">
        <v>0</v>
      </c>
      <c r="H633" s="42"/>
      <c r="I633" s="42"/>
      <c r="J633" s="42"/>
    </row>
    <row r="634" spans="5:10">
      <c r="E634" s="43">
        <v>45327.888888886198</v>
      </c>
      <c r="F634" s="41">
        <v>14.79039751230939</v>
      </c>
      <c r="G634" s="41">
        <v>0</v>
      </c>
      <c r="H634" s="42"/>
      <c r="I634" s="42"/>
      <c r="J634" s="42"/>
    </row>
    <row r="635" spans="5:10">
      <c r="E635" s="43">
        <v>45327.892361108417</v>
      </c>
      <c r="F635" s="41">
        <v>14.79039751230939</v>
      </c>
      <c r="G635" s="41">
        <v>0</v>
      </c>
      <c r="H635" s="42"/>
      <c r="I635" s="42"/>
      <c r="J635" s="42"/>
    </row>
    <row r="636" spans="5:10">
      <c r="E636" s="43">
        <v>45327.895833330636</v>
      </c>
      <c r="F636" s="41">
        <v>14.79039751230939</v>
      </c>
      <c r="G636" s="41">
        <v>0</v>
      </c>
      <c r="H636" s="42"/>
      <c r="I636" s="42"/>
      <c r="J636" s="42"/>
    </row>
    <row r="637" spans="5:10">
      <c r="E637" s="43">
        <v>45327.899305552855</v>
      </c>
      <c r="F637" s="41">
        <v>14.79039751230939</v>
      </c>
      <c r="G637" s="41">
        <v>0</v>
      </c>
      <c r="H637" s="42"/>
      <c r="I637" s="42"/>
      <c r="J637" s="42"/>
    </row>
    <row r="638" spans="5:10">
      <c r="E638" s="43">
        <v>45327.902777775074</v>
      </c>
      <c r="F638" s="41">
        <v>14.79039751230939</v>
      </c>
      <c r="G638" s="41">
        <v>0</v>
      </c>
      <c r="H638" s="42"/>
      <c r="I638" s="42"/>
      <c r="J638" s="42"/>
    </row>
    <row r="639" spans="5:10">
      <c r="E639" s="43">
        <v>45327.906249997293</v>
      </c>
      <c r="F639" s="41">
        <v>14.79039751230939</v>
      </c>
      <c r="G639" s="41">
        <v>0</v>
      </c>
      <c r="H639" s="42"/>
      <c r="I639" s="42"/>
      <c r="J639" s="42"/>
    </row>
    <row r="640" spans="5:10">
      <c r="E640" s="43">
        <v>45327.909722219512</v>
      </c>
      <c r="F640" s="41">
        <v>14.79039751230939</v>
      </c>
      <c r="G640" s="41">
        <v>0</v>
      </c>
      <c r="H640" s="42"/>
      <c r="I640" s="42"/>
      <c r="J640" s="42"/>
    </row>
    <row r="641" spans="5:10">
      <c r="E641" s="43">
        <v>45327.913194441731</v>
      </c>
      <c r="F641" s="41">
        <v>14.79039751230939</v>
      </c>
      <c r="G641" s="41">
        <v>0</v>
      </c>
      <c r="H641" s="42"/>
      <c r="I641" s="42"/>
      <c r="J641" s="42"/>
    </row>
    <row r="642" spans="5:10">
      <c r="E642" s="43">
        <v>45327.91666666395</v>
      </c>
      <c r="F642" s="41">
        <v>14.79039751230939</v>
      </c>
      <c r="G642" s="41">
        <v>0</v>
      </c>
      <c r="H642" s="42"/>
      <c r="I642" s="42"/>
      <c r="J642" s="42"/>
    </row>
    <row r="643" spans="5:10">
      <c r="E643" s="43">
        <v>45327.920138886169</v>
      </c>
      <c r="F643" s="41">
        <v>14.79039751230939</v>
      </c>
      <c r="G643" s="41">
        <v>0</v>
      </c>
      <c r="H643" s="42"/>
      <c r="I643" s="42"/>
      <c r="J643" s="42"/>
    </row>
    <row r="644" spans="5:10">
      <c r="E644" s="43">
        <v>45327.923611108388</v>
      </c>
      <c r="F644" s="41">
        <v>14.79039751230939</v>
      </c>
      <c r="G644" s="41">
        <v>0</v>
      </c>
      <c r="H644" s="42"/>
      <c r="I644" s="42"/>
      <c r="J644" s="42"/>
    </row>
    <row r="645" spans="5:10">
      <c r="E645" s="43">
        <v>45327.927083330607</v>
      </c>
      <c r="F645" s="41">
        <v>14.79039751230939</v>
      </c>
      <c r="G645" s="41">
        <v>0</v>
      </c>
      <c r="H645" s="42"/>
      <c r="I645" s="42"/>
      <c r="J645" s="42"/>
    </row>
    <row r="646" spans="5:10">
      <c r="E646" s="43">
        <v>45327.930555552826</v>
      </c>
      <c r="F646" s="41">
        <v>14.79039751230939</v>
      </c>
      <c r="G646" s="41">
        <v>0</v>
      </c>
      <c r="H646" s="42"/>
      <c r="I646" s="42"/>
      <c r="J646" s="42"/>
    </row>
    <row r="647" spans="5:10">
      <c r="E647" s="43">
        <v>45327.934027775045</v>
      </c>
      <c r="F647" s="41">
        <v>14.79039751230939</v>
      </c>
      <c r="G647" s="41">
        <v>0</v>
      </c>
      <c r="H647" s="42"/>
      <c r="I647" s="42"/>
      <c r="J647" s="42"/>
    </row>
    <row r="648" spans="5:10">
      <c r="E648" s="43">
        <v>45327.937499997264</v>
      </c>
      <c r="F648" s="41">
        <v>14.79039751230939</v>
      </c>
      <c r="G648" s="41">
        <v>0</v>
      </c>
      <c r="H648" s="42"/>
      <c r="I648" s="42"/>
      <c r="J648" s="42"/>
    </row>
    <row r="649" spans="5:10">
      <c r="E649" s="43">
        <v>45327.940972219483</v>
      </c>
      <c r="F649" s="41">
        <v>14.79039751230939</v>
      </c>
      <c r="G649" s="41">
        <v>0</v>
      </c>
      <c r="H649" s="42"/>
      <c r="I649" s="42"/>
      <c r="J649" s="42"/>
    </row>
    <row r="650" spans="5:10">
      <c r="E650" s="43">
        <v>45327.944444441702</v>
      </c>
      <c r="F650" s="41">
        <v>14.79039751230939</v>
      </c>
      <c r="G650" s="41">
        <v>0</v>
      </c>
      <c r="H650" s="42"/>
      <c r="I650" s="42"/>
      <c r="J650" s="42"/>
    </row>
    <row r="651" spans="5:10">
      <c r="E651" s="43">
        <v>45327.947916663921</v>
      </c>
      <c r="F651" s="41">
        <v>14.79039751230939</v>
      </c>
      <c r="G651" s="41">
        <v>0</v>
      </c>
      <c r="H651" s="42"/>
      <c r="I651" s="42"/>
      <c r="J651" s="42"/>
    </row>
    <row r="652" spans="5:10">
      <c r="E652" s="43">
        <v>45327.95138888614</v>
      </c>
      <c r="F652" s="41">
        <v>14.79039751230939</v>
      </c>
      <c r="G652" s="41">
        <v>0</v>
      </c>
      <c r="H652" s="42"/>
      <c r="I652" s="42"/>
      <c r="J652" s="42"/>
    </row>
    <row r="653" spans="5:10">
      <c r="E653" s="43">
        <v>45327.954861108359</v>
      </c>
      <c r="F653" s="41">
        <v>14.79039751230939</v>
      </c>
      <c r="G653" s="41">
        <v>0</v>
      </c>
      <c r="H653" s="42"/>
      <c r="I653" s="42"/>
      <c r="J653" s="42"/>
    </row>
    <row r="654" spans="5:10">
      <c r="E654" s="43">
        <v>45327.958333330578</v>
      </c>
      <c r="F654" s="41">
        <v>14.79039751230939</v>
      </c>
      <c r="G654" s="41">
        <v>0</v>
      </c>
      <c r="H654" s="42"/>
      <c r="I654" s="42"/>
      <c r="J654" s="42"/>
    </row>
    <row r="655" spans="5:10">
      <c r="E655" s="43">
        <v>45327.961805552797</v>
      </c>
      <c r="F655" s="41">
        <v>14.79039751230939</v>
      </c>
      <c r="G655" s="41">
        <v>0</v>
      </c>
      <c r="H655" s="42"/>
      <c r="I655" s="42"/>
      <c r="J655" s="42"/>
    </row>
    <row r="656" spans="5:10">
      <c r="E656" s="43">
        <v>45327.965277775016</v>
      </c>
      <c r="F656" s="41">
        <v>14.79039751230939</v>
      </c>
      <c r="G656" s="41">
        <v>0</v>
      </c>
      <c r="H656" s="42"/>
      <c r="I656" s="42"/>
      <c r="J656" s="42"/>
    </row>
    <row r="657" spans="5:10">
      <c r="E657" s="43">
        <v>45327.968749997235</v>
      </c>
      <c r="F657" s="41">
        <v>14.79039751230939</v>
      </c>
      <c r="G657" s="41">
        <v>0</v>
      </c>
      <c r="H657" s="42"/>
      <c r="I657" s="42"/>
      <c r="J657" s="42"/>
    </row>
    <row r="658" spans="5:10">
      <c r="E658" s="43">
        <v>45327.972222219454</v>
      </c>
      <c r="F658" s="41">
        <v>14.79039751230939</v>
      </c>
      <c r="G658" s="41">
        <v>0</v>
      </c>
      <c r="H658" s="42"/>
      <c r="I658" s="42"/>
      <c r="J658" s="42"/>
    </row>
    <row r="659" spans="5:10">
      <c r="E659" s="43">
        <v>45327.975694441673</v>
      </c>
      <c r="F659" s="41">
        <v>14.79039751230939</v>
      </c>
      <c r="G659" s="41">
        <v>0</v>
      </c>
      <c r="H659" s="42"/>
      <c r="I659" s="42"/>
      <c r="J659" s="42"/>
    </row>
    <row r="660" spans="5:10">
      <c r="E660" s="43">
        <v>45327.979166663892</v>
      </c>
      <c r="F660" s="41">
        <v>14.79039751230939</v>
      </c>
      <c r="G660" s="41">
        <v>0</v>
      </c>
      <c r="H660" s="42"/>
      <c r="I660" s="42"/>
      <c r="J660" s="42"/>
    </row>
    <row r="661" spans="5:10">
      <c r="E661" s="43">
        <v>45327.982638886111</v>
      </c>
      <c r="F661" s="41">
        <v>14.79039751230939</v>
      </c>
      <c r="G661" s="41">
        <v>0</v>
      </c>
      <c r="H661" s="42"/>
      <c r="I661" s="42"/>
      <c r="J661" s="42"/>
    </row>
    <row r="662" spans="5:10">
      <c r="E662" s="43">
        <v>45327.98611110833</v>
      </c>
      <c r="F662" s="41">
        <v>14.79039751230939</v>
      </c>
      <c r="G662" s="41">
        <v>0</v>
      </c>
      <c r="H662" s="42"/>
      <c r="I662" s="42"/>
      <c r="J662" s="42"/>
    </row>
    <row r="663" spans="5:10">
      <c r="E663" s="43">
        <v>45327.989583330549</v>
      </c>
      <c r="F663" s="41">
        <v>14.79039751230939</v>
      </c>
      <c r="G663" s="41">
        <v>0</v>
      </c>
      <c r="H663" s="42"/>
      <c r="I663" s="42"/>
      <c r="J663" s="42"/>
    </row>
    <row r="664" spans="5:10">
      <c r="E664" s="43">
        <v>45327.993055552768</v>
      </c>
      <c r="F664" s="41">
        <v>14.79039751230939</v>
      </c>
      <c r="G664" s="41">
        <v>0</v>
      </c>
      <c r="H664" s="42"/>
      <c r="I664" s="42"/>
      <c r="J664" s="42"/>
    </row>
    <row r="665" spans="5:10">
      <c r="E665" s="43">
        <v>45327.996527774987</v>
      </c>
      <c r="F665" s="41">
        <v>14.79039751230939</v>
      </c>
      <c r="G665" s="41">
        <v>0</v>
      </c>
      <c r="H665" s="42"/>
      <c r="I665" s="42"/>
      <c r="J665" s="42"/>
    </row>
    <row r="666" spans="5:10">
      <c r="E666" s="43">
        <v>45327.999999997206</v>
      </c>
      <c r="F666" s="41">
        <v>14.79039751230939</v>
      </c>
      <c r="G666" s="41">
        <v>0</v>
      </c>
      <c r="H666" s="42"/>
      <c r="I666" s="42"/>
      <c r="J666" s="42"/>
    </row>
    <row r="667" spans="5:10">
      <c r="E667" s="43">
        <v>45328.003472219425</v>
      </c>
      <c r="F667" s="41">
        <v>14.79039751230939</v>
      </c>
      <c r="G667" s="41">
        <v>0</v>
      </c>
      <c r="H667" s="42"/>
      <c r="I667" s="42"/>
      <c r="J667" s="42"/>
    </row>
    <row r="668" spans="5:10">
      <c r="E668" s="43">
        <v>45328.006944441644</v>
      </c>
      <c r="F668" s="41">
        <v>14.79039751230939</v>
      </c>
      <c r="G668" s="41">
        <v>0</v>
      </c>
      <c r="H668" s="42"/>
      <c r="I668" s="42"/>
      <c r="J668" s="42"/>
    </row>
    <row r="669" spans="5:10">
      <c r="E669" s="43">
        <v>45328.010416663863</v>
      </c>
      <c r="F669" s="41">
        <v>14.79039751230939</v>
      </c>
      <c r="G669" s="41">
        <v>0</v>
      </c>
      <c r="H669" s="42"/>
      <c r="I669" s="42"/>
      <c r="J669" s="42"/>
    </row>
    <row r="670" spans="5:10">
      <c r="E670" s="43">
        <v>45328.013888886082</v>
      </c>
      <c r="F670" s="41">
        <v>14.79039751230939</v>
      </c>
      <c r="G670" s="41">
        <v>0</v>
      </c>
      <c r="H670" s="42"/>
      <c r="I670" s="42"/>
      <c r="J670" s="42"/>
    </row>
    <row r="671" spans="5:10">
      <c r="E671" s="43">
        <v>45328.017361108301</v>
      </c>
      <c r="F671" s="41">
        <v>14.79039751230939</v>
      </c>
      <c r="G671" s="41">
        <v>0</v>
      </c>
      <c r="H671" s="42"/>
      <c r="I671" s="42"/>
      <c r="J671" s="42"/>
    </row>
    <row r="672" spans="5:10">
      <c r="E672" s="43">
        <v>45328.02083333052</v>
      </c>
      <c r="F672" s="41">
        <v>14.79039751230939</v>
      </c>
      <c r="G672" s="41">
        <v>0</v>
      </c>
      <c r="H672" s="42"/>
      <c r="I672" s="42"/>
      <c r="J672" s="42"/>
    </row>
    <row r="673" spans="5:10">
      <c r="E673" s="43">
        <v>45328.024305552739</v>
      </c>
      <c r="F673" s="41">
        <v>14.79039751230939</v>
      </c>
      <c r="G673" s="41">
        <v>0</v>
      </c>
      <c r="H673" s="42"/>
      <c r="I673" s="42"/>
      <c r="J673" s="42"/>
    </row>
    <row r="674" spans="5:10">
      <c r="E674" s="43">
        <v>45328.027777774958</v>
      </c>
      <c r="F674" s="41">
        <v>14.79039751230939</v>
      </c>
      <c r="G674" s="41">
        <v>0</v>
      </c>
      <c r="H674" s="42"/>
      <c r="I674" s="42"/>
      <c r="J674" s="42"/>
    </row>
    <row r="675" spans="5:10">
      <c r="E675" s="43">
        <v>45328.031249997177</v>
      </c>
      <c r="F675" s="41">
        <v>14.79039751230939</v>
      </c>
      <c r="G675" s="41">
        <v>0</v>
      </c>
      <c r="H675" s="42"/>
      <c r="I675" s="42"/>
      <c r="J675" s="42"/>
    </row>
    <row r="676" spans="5:10">
      <c r="E676" s="43">
        <v>45328.034722219396</v>
      </c>
      <c r="F676" s="41">
        <v>14.79039751230939</v>
      </c>
      <c r="G676" s="41">
        <v>0</v>
      </c>
      <c r="H676" s="42"/>
      <c r="I676" s="42"/>
      <c r="J676" s="42"/>
    </row>
    <row r="677" spans="5:10">
      <c r="E677" s="43">
        <v>45328.038194441615</v>
      </c>
      <c r="F677" s="41">
        <v>14.79039751230939</v>
      </c>
      <c r="G677" s="41">
        <v>0</v>
      </c>
      <c r="H677" s="42"/>
      <c r="I677" s="42"/>
      <c r="J677" s="42"/>
    </row>
    <row r="678" spans="5:10">
      <c r="E678" s="43">
        <v>45328.041666663834</v>
      </c>
      <c r="F678" s="41">
        <v>14.79039751230939</v>
      </c>
      <c r="G678" s="41">
        <v>0</v>
      </c>
      <c r="H678" s="42"/>
      <c r="I678" s="42"/>
      <c r="J678" s="42"/>
    </row>
    <row r="679" spans="5:10">
      <c r="E679" s="43">
        <v>45328.045138886053</v>
      </c>
      <c r="F679" s="41">
        <v>14.79039751230939</v>
      </c>
      <c r="G679" s="41">
        <v>0</v>
      </c>
      <c r="H679" s="42"/>
      <c r="I679" s="42"/>
      <c r="J679" s="42"/>
    </row>
    <row r="680" spans="5:10">
      <c r="E680" s="43">
        <v>45328.048611108272</v>
      </c>
      <c r="F680" s="41">
        <v>14.79039751230939</v>
      </c>
      <c r="G680" s="41">
        <v>0</v>
      </c>
      <c r="H680" s="42"/>
      <c r="I680" s="42"/>
      <c r="J680" s="42"/>
    </row>
    <row r="681" spans="5:10">
      <c r="E681" s="43">
        <v>45328.052083330491</v>
      </c>
      <c r="F681" s="41">
        <v>14.79039751230939</v>
      </c>
      <c r="G681" s="41">
        <v>0</v>
      </c>
      <c r="H681" s="42"/>
      <c r="I681" s="42"/>
      <c r="J681" s="42"/>
    </row>
    <row r="682" spans="5:10">
      <c r="E682" s="43">
        <v>45328.05555555271</v>
      </c>
      <c r="F682" s="41">
        <v>14.79039751230939</v>
      </c>
      <c r="G682" s="41">
        <v>0</v>
      </c>
      <c r="H682" s="42"/>
      <c r="I682" s="42"/>
      <c r="J682" s="42"/>
    </row>
    <row r="683" spans="5:10">
      <c r="E683" s="43">
        <v>45328.059027774929</v>
      </c>
      <c r="F683" s="41">
        <v>14.79039751230939</v>
      </c>
      <c r="G683" s="41">
        <v>0</v>
      </c>
      <c r="H683" s="42"/>
      <c r="I683" s="42"/>
      <c r="J683" s="42"/>
    </row>
    <row r="684" spans="5:10">
      <c r="E684" s="43">
        <v>45328.062499997148</v>
      </c>
      <c r="F684" s="41">
        <v>14.79039751230939</v>
      </c>
      <c r="G684" s="41">
        <v>0</v>
      </c>
      <c r="H684" s="42"/>
      <c r="I684" s="42"/>
      <c r="J684" s="42"/>
    </row>
    <row r="685" spans="5:10">
      <c r="E685" s="43">
        <v>45328.065972219367</v>
      </c>
      <c r="F685" s="41">
        <v>14.79039751230939</v>
      </c>
      <c r="G685" s="41">
        <v>0</v>
      </c>
      <c r="H685" s="42"/>
      <c r="I685" s="42"/>
      <c r="J685" s="42"/>
    </row>
    <row r="686" spans="5:10">
      <c r="E686" s="43">
        <v>45328.069444441586</v>
      </c>
      <c r="F686" s="41">
        <v>14.79039751230939</v>
      </c>
      <c r="G686" s="41">
        <v>0</v>
      </c>
      <c r="H686" s="42"/>
      <c r="I686" s="42"/>
      <c r="J686" s="42"/>
    </row>
    <row r="687" spans="5:10">
      <c r="E687" s="43">
        <v>45328.072916663805</v>
      </c>
      <c r="F687" s="41">
        <v>14.79039751230939</v>
      </c>
      <c r="G687" s="41">
        <v>0</v>
      </c>
      <c r="H687" s="42"/>
      <c r="I687" s="42"/>
      <c r="J687" s="42"/>
    </row>
    <row r="688" spans="5:10">
      <c r="E688" s="43">
        <v>45328.076388886024</v>
      </c>
      <c r="F688" s="41">
        <v>14.79039751230939</v>
      </c>
      <c r="G688" s="41">
        <v>0</v>
      </c>
      <c r="H688" s="42"/>
      <c r="I688" s="42"/>
      <c r="J688" s="42"/>
    </row>
    <row r="689" spans="5:10">
      <c r="E689" s="43">
        <v>45328.079861108243</v>
      </c>
      <c r="F689" s="41">
        <v>14.79039751230939</v>
      </c>
      <c r="G689" s="41">
        <v>0</v>
      </c>
      <c r="H689" s="42"/>
      <c r="I689" s="42"/>
      <c r="J689" s="42"/>
    </row>
    <row r="690" spans="5:10">
      <c r="E690" s="43">
        <v>45328.083333330462</v>
      </c>
      <c r="F690" s="41">
        <v>14.79039751230939</v>
      </c>
      <c r="G690" s="41">
        <v>0</v>
      </c>
      <c r="H690" s="42"/>
      <c r="I690" s="42"/>
      <c r="J690" s="42"/>
    </row>
    <row r="691" spans="5:10">
      <c r="E691" s="43">
        <v>45328.086805552681</v>
      </c>
      <c r="F691" s="41">
        <v>14.79039751230939</v>
      </c>
      <c r="G691" s="41">
        <v>0</v>
      </c>
      <c r="H691" s="42"/>
      <c r="I691" s="42"/>
      <c r="J691" s="42"/>
    </row>
    <row r="692" spans="5:10">
      <c r="E692" s="43">
        <v>45328.0902777749</v>
      </c>
      <c r="F692" s="41">
        <v>14.79039751230939</v>
      </c>
      <c r="G692" s="41">
        <v>0</v>
      </c>
      <c r="H692" s="42"/>
      <c r="I692" s="42"/>
      <c r="J692" s="42"/>
    </row>
    <row r="693" spans="5:10">
      <c r="E693" s="43">
        <v>45328.093749997119</v>
      </c>
      <c r="F693" s="41">
        <v>14.79039751230939</v>
      </c>
      <c r="G693" s="41">
        <v>0</v>
      </c>
      <c r="H693" s="42"/>
      <c r="I693" s="42"/>
      <c r="J693" s="42"/>
    </row>
    <row r="694" spans="5:10">
      <c r="E694" s="43">
        <v>45328.097222219338</v>
      </c>
      <c r="F694" s="41">
        <v>14.79039751230939</v>
      </c>
      <c r="G694" s="41">
        <v>0</v>
      </c>
      <c r="H694" s="42"/>
      <c r="I694" s="42"/>
      <c r="J694" s="42"/>
    </row>
    <row r="695" spans="5:10">
      <c r="E695" s="43">
        <v>45328.100694441557</v>
      </c>
      <c r="F695" s="41">
        <v>14.79039751230939</v>
      </c>
      <c r="G695" s="41">
        <v>0</v>
      </c>
      <c r="H695" s="42"/>
      <c r="I695" s="42"/>
      <c r="J695" s="42"/>
    </row>
    <row r="696" spans="5:10">
      <c r="E696" s="43">
        <v>45328.104166663776</v>
      </c>
      <c r="F696" s="41">
        <v>14.79039751230939</v>
      </c>
      <c r="G696" s="41">
        <v>0</v>
      </c>
      <c r="H696" s="42"/>
      <c r="I696" s="42"/>
      <c r="J696" s="42"/>
    </row>
    <row r="697" spans="5:10">
      <c r="E697" s="43">
        <v>45328.107638885995</v>
      </c>
      <c r="F697" s="41">
        <v>14.79039751230939</v>
      </c>
      <c r="G697" s="41">
        <v>0</v>
      </c>
      <c r="H697" s="42"/>
      <c r="I697" s="42"/>
      <c r="J697" s="42"/>
    </row>
    <row r="698" spans="5:10">
      <c r="E698" s="43">
        <v>45328.111111108214</v>
      </c>
      <c r="F698" s="41">
        <v>14.79039751230939</v>
      </c>
      <c r="G698" s="41">
        <v>0</v>
      </c>
      <c r="H698" s="42"/>
      <c r="I698" s="42"/>
      <c r="J698" s="42"/>
    </row>
    <row r="699" spans="5:10">
      <c r="E699" s="43">
        <v>45328.114583330433</v>
      </c>
      <c r="F699" s="41">
        <v>14.79039751230939</v>
      </c>
      <c r="G699" s="41">
        <v>0</v>
      </c>
      <c r="H699" s="42"/>
      <c r="I699" s="42"/>
      <c r="J699" s="42"/>
    </row>
    <row r="700" spans="5:10">
      <c r="E700" s="43">
        <v>45328.118055552652</v>
      </c>
      <c r="F700" s="41">
        <v>14.79039751230939</v>
      </c>
      <c r="G700" s="41">
        <v>0</v>
      </c>
      <c r="H700" s="42"/>
      <c r="I700" s="42"/>
      <c r="J700" s="42"/>
    </row>
    <row r="701" spans="5:10">
      <c r="E701" s="43">
        <v>45328.121527774871</v>
      </c>
      <c r="F701" s="41">
        <v>14.79039751230939</v>
      </c>
      <c r="G701" s="41">
        <v>0</v>
      </c>
      <c r="H701" s="42"/>
      <c r="I701" s="42"/>
      <c r="J701" s="42"/>
    </row>
    <row r="702" spans="5:10">
      <c r="E702" s="43">
        <v>45328.12499999709</v>
      </c>
      <c r="F702" s="41">
        <v>14.79039751230939</v>
      </c>
      <c r="G702" s="41">
        <v>0</v>
      </c>
      <c r="H702" s="42"/>
      <c r="I702" s="42"/>
      <c r="J702" s="42"/>
    </row>
    <row r="703" spans="5:10">
      <c r="E703" s="43">
        <v>45328.128472219309</v>
      </c>
      <c r="F703" s="41">
        <v>14.79039751230939</v>
      </c>
      <c r="G703" s="41">
        <v>0</v>
      </c>
      <c r="H703" s="42"/>
      <c r="I703" s="42"/>
      <c r="J703" s="42"/>
    </row>
    <row r="704" spans="5:10">
      <c r="E704" s="43">
        <v>45328.131944441528</v>
      </c>
      <c r="F704" s="41">
        <v>14.79039751230939</v>
      </c>
      <c r="G704" s="41">
        <v>0</v>
      </c>
      <c r="H704" s="42"/>
      <c r="I704" s="42"/>
      <c r="J704" s="42"/>
    </row>
    <row r="705" spans="5:10">
      <c r="E705" s="43">
        <v>45328.135416663747</v>
      </c>
      <c r="F705" s="41">
        <v>14.79039751230939</v>
      </c>
      <c r="G705" s="41">
        <v>0</v>
      </c>
      <c r="H705" s="42"/>
      <c r="I705" s="42"/>
      <c r="J705" s="42"/>
    </row>
    <row r="706" spans="5:10">
      <c r="E706" s="43">
        <v>45328.138888885966</v>
      </c>
      <c r="F706" s="41">
        <v>14.79039751230939</v>
      </c>
      <c r="G706" s="41">
        <v>0</v>
      </c>
      <c r="H706" s="42"/>
      <c r="I706" s="42"/>
      <c r="J706" s="42"/>
    </row>
    <row r="707" spans="5:10">
      <c r="E707" s="43">
        <v>45328.142361108185</v>
      </c>
      <c r="F707" s="41">
        <v>14.79039751230939</v>
      </c>
      <c r="G707" s="41">
        <v>0</v>
      </c>
      <c r="H707" s="42"/>
      <c r="I707" s="42"/>
      <c r="J707" s="42"/>
    </row>
    <row r="708" spans="5:10">
      <c r="E708" s="43">
        <v>45328.145833330404</v>
      </c>
      <c r="F708" s="41">
        <v>14.79039751230939</v>
      </c>
      <c r="G708" s="41">
        <v>0</v>
      </c>
      <c r="H708" s="42"/>
      <c r="I708" s="42"/>
      <c r="J708" s="42"/>
    </row>
    <row r="709" spans="5:10">
      <c r="E709" s="43">
        <v>45328.149305552623</v>
      </c>
      <c r="F709" s="41">
        <v>14.79039751230939</v>
      </c>
      <c r="G709" s="41">
        <v>0</v>
      </c>
      <c r="H709" s="42"/>
      <c r="I709" s="42"/>
      <c r="J709" s="42"/>
    </row>
    <row r="710" spans="5:10">
      <c r="E710" s="43">
        <v>45328.152777774842</v>
      </c>
      <c r="F710" s="41">
        <v>14.79039751230939</v>
      </c>
      <c r="G710" s="41">
        <v>0</v>
      </c>
      <c r="H710" s="42"/>
      <c r="I710" s="42"/>
      <c r="J710" s="42"/>
    </row>
    <row r="711" spans="5:10">
      <c r="E711" s="43">
        <v>45328.156249997061</v>
      </c>
      <c r="F711" s="41">
        <v>14.79039751230939</v>
      </c>
      <c r="G711" s="41">
        <v>0</v>
      </c>
      <c r="H711" s="42"/>
      <c r="I711" s="42"/>
      <c r="J711" s="42"/>
    </row>
    <row r="712" spans="5:10">
      <c r="E712" s="43">
        <v>45328.15972221928</v>
      </c>
      <c r="F712" s="41">
        <v>14.79039751230939</v>
      </c>
      <c r="G712" s="41">
        <v>0</v>
      </c>
      <c r="H712" s="42"/>
      <c r="I712" s="42"/>
      <c r="J712" s="42"/>
    </row>
    <row r="713" spans="5:10">
      <c r="E713" s="43">
        <v>45328.163194441498</v>
      </c>
      <c r="F713" s="41">
        <v>14.79039751230939</v>
      </c>
      <c r="G713" s="41">
        <v>0</v>
      </c>
      <c r="H713" s="42"/>
      <c r="I713" s="42"/>
      <c r="J713" s="42"/>
    </row>
    <row r="714" spans="5:10">
      <c r="E714" s="43">
        <v>45328.166666663717</v>
      </c>
      <c r="F714" s="41">
        <v>14.79039751230939</v>
      </c>
      <c r="G714" s="41">
        <v>0</v>
      </c>
      <c r="H714" s="42"/>
      <c r="I714" s="42"/>
      <c r="J714" s="42"/>
    </row>
    <row r="715" spans="5:10">
      <c r="E715" s="43">
        <v>45328.170138885936</v>
      </c>
      <c r="F715" s="41">
        <v>14.79039751230939</v>
      </c>
      <c r="G715" s="41">
        <v>0</v>
      </c>
      <c r="H715" s="42"/>
      <c r="I715" s="42"/>
      <c r="J715" s="42"/>
    </row>
    <row r="716" spans="5:10">
      <c r="E716" s="43">
        <v>45328.173611108155</v>
      </c>
      <c r="F716" s="41">
        <v>14.79039751230939</v>
      </c>
      <c r="G716" s="41">
        <v>0</v>
      </c>
      <c r="H716" s="42"/>
      <c r="I716" s="42"/>
      <c r="J716" s="42"/>
    </row>
    <row r="717" spans="5:10">
      <c r="E717" s="43">
        <v>45328.177083330374</v>
      </c>
      <c r="F717" s="41">
        <v>14.79039751230939</v>
      </c>
      <c r="G717" s="41">
        <v>0</v>
      </c>
      <c r="H717" s="42"/>
      <c r="I717" s="42"/>
      <c r="J717" s="42"/>
    </row>
    <row r="718" spans="5:10">
      <c r="E718" s="43">
        <v>45328.180555552593</v>
      </c>
      <c r="F718" s="41">
        <v>14.79039751230939</v>
      </c>
      <c r="G718" s="41">
        <v>0</v>
      </c>
      <c r="H718" s="42"/>
      <c r="I718" s="42"/>
      <c r="J718" s="42"/>
    </row>
    <row r="719" spans="5:10">
      <c r="E719" s="43">
        <v>45328.184027774812</v>
      </c>
      <c r="F719" s="41">
        <v>14.79039751230939</v>
      </c>
      <c r="G719" s="41">
        <v>0</v>
      </c>
      <c r="H719" s="42"/>
      <c r="I719" s="42"/>
      <c r="J719" s="42"/>
    </row>
    <row r="720" spans="5:10">
      <c r="E720" s="43">
        <v>45328.187499997031</v>
      </c>
      <c r="F720" s="41">
        <v>14.79039751230939</v>
      </c>
      <c r="G720" s="41">
        <v>0</v>
      </c>
      <c r="H720" s="42"/>
      <c r="I720" s="42"/>
      <c r="J720" s="42"/>
    </row>
    <row r="721" spans="5:10">
      <c r="E721" s="43">
        <v>45328.19097221925</v>
      </c>
      <c r="F721" s="41">
        <v>14.79039751230939</v>
      </c>
      <c r="G721" s="41">
        <v>0</v>
      </c>
      <c r="H721" s="42"/>
      <c r="I721" s="42"/>
      <c r="J721" s="42"/>
    </row>
    <row r="722" spans="5:10">
      <c r="E722" s="43">
        <v>45328.194444441469</v>
      </c>
      <c r="F722" s="41">
        <v>14.79039751230939</v>
      </c>
      <c r="G722" s="41">
        <v>0</v>
      </c>
      <c r="H722" s="42"/>
      <c r="I722" s="42"/>
      <c r="J722" s="42"/>
    </row>
    <row r="723" spans="5:10">
      <c r="E723" s="43">
        <v>45328.197916663688</v>
      </c>
      <c r="F723" s="41">
        <v>14.79039751230939</v>
      </c>
      <c r="G723" s="41">
        <v>0</v>
      </c>
      <c r="H723" s="42"/>
      <c r="I723" s="42"/>
      <c r="J723" s="42"/>
    </row>
    <row r="724" spans="5:10">
      <c r="E724" s="43">
        <v>45328.201388885907</v>
      </c>
      <c r="F724" s="41">
        <v>14.79039751230939</v>
      </c>
      <c r="G724" s="41">
        <v>0</v>
      </c>
      <c r="H724" s="42"/>
      <c r="I724" s="42"/>
      <c r="J724" s="42"/>
    </row>
    <row r="725" spans="5:10">
      <c r="E725" s="43">
        <v>45328.204861108126</v>
      </c>
      <c r="F725" s="41">
        <v>14.79039751230939</v>
      </c>
      <c r="G725" s="41">
        <v>0</v>
      </c>
      <c r="H725" s="42"/>
      <c r="I725" s="42"/>
      <c r="J725" s="42"/>
    </row>
    <row r="726" spans="5:10">
      <c r="E726" s="43">
        <v>45328.208333330345</v>
      </c>
      <c r="F726" s="41">
        <v>14.79039751230939</v>
      </c>
      <c r="G726" s="41">
        <v>0</v>
      </c>
      <c r="H726" s="42"/>
      <c r="I726" s="42"/>
      <c r="J726" s="42"/>
    </row>
    <row r="727" spans="5:10">
      <c r="E727" s="43">
        <v>45328.211805552564</v>
      </c>
      <c r="F727" s="41">
        <v>14.79039751230939</v>
      </c>
      <c r="G727" s="41">
        <v>0</v>
      </c>
      <c r="H727" s="42"/>
      <c r="I727" s="42"/>
      <c r="J727" s="42"/>
    </row>
    <row r="728" spans="5:10">
      <c r="E728" s="43">
        <v>45328.215277774783</v>
      </c>
      <c r="F728" s="41">
        <v>14.79039751230939</v>
      </c>
      <c r="G728" s="41">
        <v>0</v>
      </c>
      <c r="H728" s="42"/>
      <c r="I728" s="42"/>
      <c r="J728" s="42"/>
    </row>
    <row r="729" spans="5:10">
      <c r="E729" s="43">
        <v>45328.218749997002</v>
      </c>
      <c r="F729" s="41">
        <v>14.79039751230939</v>
      </c>
      <c r="G729" s="41">
        <v>0</v>
      </c>
      <c r="H729" s="42"/>
      <c r="I729" s="42"/>
      <c r="J729" s="42"/>
    </row>
    <row r="730" spans="5:10">
      <c r="E730" s="43">
        <v>45328.222222219221</v>
      </c>
      <c r="F730" s="41">
        <v>14.79039751230939</v>
      </c>
      <c r="G730" s="41">
        <v>0</v>
      </c>
      <c r="H730" s="42"/>
      <c r="I730" s="42"/>
      <c r="J730" s="42"/>
    </row>
    <row r="731" spans="5:10">
      <c r="E731" s="43">
        <v>45328.22569444144</v>
      </c>
      <c r="F731" s="41">
        <v>14.79039751230939</v>
      </c>
      <c r="G731" s="41">
        <v>0</v>
      </c>
      <c r="H731" s="42"/>
      <c r="I731" s="42"/>
      <c r="J731" s="42"/>
    </row>
    <row r="732" spans="5:10">
      <c r="E732" s="43">
        <v>45328.229166663659</v>
      </c>
      <c r="F732" s="41">
        <v>14.79039751230939</v>
      </c>
      <c r="G732" s="41">
        <v>0</v>
      </c>
      <c r="H732" s="42"/>
      <c r="I732" s="42"/>
      <c r="J732" s="42"/>
    </row>
    <row r="733" spans="5:10">
      <c r="E733" s="43">
        <v>45328.232638885878</v>
      </c>
      <c r="F733" s="41">
        <v>14.79039751230939</v>
      </c>
      <c r="G733" s="41">
        <v>0</v>
      </c>
      <c r="H733" s="42"/>
      <c r="I733" s="42"/>
      <c r="J733" s="42"/>
    </row>
    <row r="734" spans="5:10">
      <c r="E734" s="43">
        <v>45328.236111108097</v>
      </c>
      <c r="F734" s="41">
        <v>14.79039751230939</v>
      </c>
      <c r="G734" s="41">
        <v>0</v>
      </c>
      <c r="H734" s="42"/>
      <c r="I734" s="42"/>
      <c r="J734" s="42"/>
    </row>
    <row r="735" spans="5:10">
      <c r="E735" s="43">
        <v>45328.239583330316</v>
      </c>
      <c r="F735" s="41">
        <v>14.79039751230939</v>
      </c>
      <c r="G735" s="41">
        <v>0</v>
      </c>
      <c r="H735" s="42"/>
      <c r="I735" s="42"/>
      <c r="J735" s="42"/>
    </row>
    <row r="736" spans="5:10">
      <c r="E736" s="43">
        <v>45328.243055552535</v>
      </c>
      <c r="F736" s="41">
        <v>14.79039751230939</v>
      </c>
      <c r="G736" s="41">
        <v>0</v>
      </c>
      <c r="H736" s="42"/>
      <c r="I736" s="42"/>
      <c r="J736" s="42"/>
    </row>
    <row r="737" spans="5:10">
      <c r="E737" s="43">
        <v>45328.246527774754</v>
      </c>
      <c r="F737" s="41">
        <v>14.79039751230939</v>
      </c>
      <c r="G737" s="41">
        <v>0</v>
      </c>
      <c r="H737" s="42"/>
      <c r="I737" s="42"/>
      <c r="J737" s="42"/>
    </row>
    <row r="738" spans="5:10">
      <c r="E738" s="43">
        <v>45328.249999996973</v>
      </c>
      <c r="F738" s="41">
        <v>14.79039751230939</v>
      </c>
      <c r="G738" s="41">
        <v>0</v>
      </c>
      <c r="H738" s="42"/>
      <c r="I738" s="42"/>
      <c r="J738" s="42"/>
    </row>
    <row r="739" spans="5:10">
      <c r="E739" s="43">
        <v>45328.253472219192</v>
      </c>
      <c r="F739" s="41">
        <v>14.79039751230939</v>
      </c>
      <c r="G739" s="41">
        <v>0</v>
      </c>
      <c r="H739" s="42"/>
      <c r="I739" s="42"/>
      <c r="J739" s="42"/>
    </row>
    <row r="740" spans="5:10">
      <c r="E740" s="43">
        <v>45328.256944441411</v>
      </c>
      <c r="F740" s="41">
        <v>14.79039751230939</v>
      </c>
      <c r="G740" s="41">
        <v>0</v>
      </c>
      <c r="H740" s="42"/>
      <c r="I740" s="42"/>
      <c r="J740" s="42"/>
    </row>
    <row r="741" spans="5:10">
      <c r="E741" s="43">
        <v>45328.26041666363</v>
      </c>
      <c r="F741" s="41">
        <v>14.79039751230939</v>
      </c>
      <c r="G741" s="41">
        <v>0</v>
      </c>
      <c r="H741" s="42"/>
      <c r="I741" s="42"/>
      <c r="J741" s="42"/>
    </row>
    <row r="742" spans="5:10">
      <c r="E742" s="43">
        <v>45328.263888885849</v>
      </c>
      <c r="F742" s="41">
        <v>14.79039751230939</v>
      </c>
      <c r="G742" s="41">
        <v>0</v>
      </c>
      <c r="H742" s="42"/>
      <c r="I742" s="42"/>
      <c r="J742" s="42"/>
    </row>
    <row r="743" spans="5:10">
      <c r="E743" s="43">
        <v>45328.267361108068</v>
      </c>
      <c r="F743" s="41">
        <v>14.79039751230939</v>
      </c>
      <c r="G743" s="41">
        <v>0</v>
      </c>
      <c r="H743" s="42"/>
      <c r="I743" s="42"/>
      <c r="J743" s="42"/>
    </row>
    <row r="744" spans="5:10">
      <c r="E744" s="43">
        <v>45328.270833330287</v>
      </c>
      <c r="F744" s="41">
        <v>14.79039751230939</v>
      </c>
      <c r="G744" s="41">
        <v>0</v>
      </c>
      <c r="H744" s="42"/>
      <c r="I744" s="42"/>
      <c r="J744" s="42"/>
    </row>
    <row r="745" spans="5:10">
      <c r="E745" s="43">
        <v>45328.274305552506</v>
      </c>
      <c r="F745" s="41">
        <v>14.79039751230939</v>
      </c>
      <c r="G745" s="41">
        <v>0</v>
      </c>
      <c r="H745" s="42"/>
      <c r="I745" s="42"/>
      <c r="J745" s="42"/>
    </row>
    <row r="746" spans="5:10">
      <c r="E746" s="43">
        <v>45328.277777774725</v>
      </c>
      <c r="F746" s="41">
        <v>14.79039751230939</v>
      </c>
      <c r="G746" s="41">
        <v>0</v>
      </c>
      <c r="H746" s="42"/>
      <c r="I746" s="42"/>
      <c r="J746" s="42"/>
    </row>
    <row r="747" spans="5:10">
      <c r="E747" s="43">
        <v>45328.281249996944</v>
      </c>
      <c r="F747" s="41">
        <v>14.79039751230939</v>
      </c>
      <c r="G747" s="41">
        <v>0</v>
      </c>
      <c r="H747" s="42"/>
      <c r="I747" s="42"/>
      <c r="J747" s="42"/>
    </row>
    <row r="748" spans="5:10">
      <c r="E748" s="43">
        <v>45328.284722219163</v>
      </c>
      <c r="F748" s="41">
        <v>14.79039751230939</v>
      </c>
      <c r="G748" s="41">
        <v>0</v>
      </c>
      <c r="H748" s="42"/>
      <c r="I748" s="42"/>
      <c r="J748" s="42"/>
    </row>
    <row r="749" spans="5:10">
      <c r="E749" s="43">
        <v>45328.288194441382</v>
      </c>
      <c r="F749" s="41">
        <v>14.79039751230939</v>
      </c>
      <c r="G749" s="41">
        <v>0</v>
      </c>
      <c r="H749" s="42"/>
      <c r="I749" s="42"/>
      <c r="J749" s="42"/>
    </row>
    <row r="750" spans="5:10">
      <c r="E750" s="43">
        <v>45328.291666663601</v>
      </c>
      <c r="F750" s="41">
        <v>14.79039751230939</v>
      </c>
      <c r="G750" s="41">
        <v>0</v>
      </c>
      <c r="H750" s="42"/>
      <c r="I750" s="42"/>
      <c r="J750" s="42"/>
    </row>
    <row r="751" spans="5:10">
      <c r="E751" s="43">
        <v>45328.29513888582</v>
      </c>
      <c r="F751" s="41">
        <v>14.79039751230939</v>
      </c>
      <c r="G751" s="41">
        <v>0</v>
      </c>
      <c r="H751" s="42"/>
      <c r="I751" s="42"/>
      <c r="J751" s="42"/>
    </row>
    <row r="752" spans="5:10">
      <c r="E752" s="43">
        <v>45328.298611108039</v>
      </c>
      <c r="F752" s="41">
        <v>14.79039751230939</v>
      </c>
      <c r="G752" s="41">
        <v>0</v>
      </c>
      <c r="H752" s="42"/>
      <c r="I752" s="42"/>
      <c r="J752" s="42"/>
    </row>
    <row r="753" spans="5:10">
      <c r="E753" s="43">
        <v>45328.302083330258</v>
      </c>
      <c r="F753" s="41">
        <v>14.79039751230939</v>
      </c>
      <c r="G753" s="41">
        <v>0</v>
      </c>
      <c r="H753" s="42"/>
      <c r="I753" s="42"/>
      <c r="J753" s="42"/>
    </row>
    <row r="754" spans="5:10">
      <c r="E754" s="43">
        <v>45328.305555552477</v>
      </c>
      <c r="F754" s="41">
        <v>14.79039751230939</v>
      </c>
      <c r="G754" s="41">
        <v>0</v>
      </c>
      <c r="H754" s="42"/>
      <c r="I754" s="42"/>
      <c r="J754" s="42"/>
    </row>
    <row r="755" spans="5:10">
      <c r="E755" s="43">
        <v>45328.309027774696</v>
      </c>
      <c r="F755" s="41">
        <v>14.79039751230939</v>
      </c>
      <c r="G755" s="41">
        <v>0</v>
      </c>
      <c r="H755" s="42"/>
      <c r="I755" s="42"/>
      <c r="J755" s="42"/>
    </row>
    <row r="756" spans="5:10">
      <c r="E756" s="43">
        <v>45328.312499996915</v>
      </c>
      <c r="F756" s="41">
        <v>14.79039751230939</v>
      </c>
      <c r="G756" s="41">
        <v>0</v>
      </c>
      <c r="H756" s="42"/>
      <c r="I756" s="42"/>
      <c r="J756" s="42"/>
    </row>
    <row r="757" spans="5:10">
      <c r="E757" s="43">
        <v>45328.315972219134</v>
      </c>
      <c r="F757" s="41">
        <v>14.79039751230939</v>
      </c>
      <c r="G757" s="41">
        <v>0</v>
      </c>
      <c r="H757" s="42"/>
      <c r="I757" s="42"/>
      <c r="J757" s="42"/>
    </row>
    <row r="758" spans="5:10">
      <c r="E758" s="43">
        <v>45328.319444441353</v>
      </c>
      <c r="F758" s="41">
        <v>14.79039751230939</v>
      </c>
      <c r="G758" s="41">
        <v>0</v>
      </c>
      <c r="H758" s="42"/>
      <c r="I758" s="42"/>
      <c r="J758" s="42"/>
    </row>
    <row r="759" spans="5:10">
      <c r="E759" s="43">
        <v>45328.322916663572</v>
      </c>
      <c r="F759" s="41">
        <v>14.79039751230939</v>
      </c>
      <c r="G759" s="41">
        <v>0</v>
      </c>
      <c r="H759" s="42"/>
      <c r="I759" s="42"/>
      <c r="J759" s="42"/>
    </row>
    <row r="760" spans="5:10">
      <c r="E760" s="43">
        <v>45328.326388885791</v>
      </c>
      <c r="F760" s="41">
        <v>14.79039751230939</v>
      </c>
      <c r="G760" s="41">
        <v>0</v>
      </c>
      <c r="H760" s="42"/>
      <c r="I760" s="42"/>
      <c r="J760" s="42"/>
    </row>
    <row r="761" spans="5:10">
      <c r="E761" s="43">
        <v>45328.32986110801</v>
      </c>
      <c r="F761" s="41">
        <v>14.79039751230939</v>
      </c>
      <c r="G761" s="41">
        <v>0</v>
      </c>
      <c r="H761" s="42"/>
      <c r="I761" s="42"/>
      <c r="J761" s="42"/>
    </row>
    <row r="762" spans="5:10">
      <c r="E762" s="43">
        <v>45328.333333330229</v>
      </c>
      <c r="F762" s="41">
        <v>14.79039751230939</v>
      </c>
      <c r="G762" s="41">
        <v>0</v>
      </c>
      <c r="H762" s="42"/>
      <c r="I762" s="42"/>
      <c r="J762" s="42"/>
    </row>
    <row r="763" spans="5:10">
      <c r="E763" s="43">
        <v>45328.336805552448</v>
      </c>
      <c r="F763" s="41">
        <v>14.79039751230939</v>
      </c>
      <c r="G763" s="41">
        <v>0</v>
      </c>
      <c r="H763" s="42"/>
      <c r="I763" s="42"/>
      <c r="J763" s="42"/>
    </row>
    <row r="764" spans="5:10">
      <c r="E764" s="43">
        <v>45328.340277774667</v>
      </c>
      <c r="F764" s="41">
        <v>14.79039751230939</v>
      </c>
      <c r="G764" s="41">
        <v>0</v>
      </c>
      <c r="H764" s="42"/>
      <c r="I764" s="42"/>
      <c r="J764" s="42"/>
    </row>
    <row r="765" spans="5:10">
      <c r="E765" s="43">
        <v>45328.343749996886</v>
      </c>
      <c r="F765" s="41">
        <v>14.79039751230939</v>
      </c>
      <c r="G765" s="41">
        <v>0</v>
      </c>
      <c r="H765" s="42"/>
      <c r="I765" s="42"/>
      <c r="J765" s="42"/>
    </row>
    <row r="766" spans="5:10">
      <c r="E766" s="43">
        <v>45328.347222219105</v>
      </c>
      <c r="F766" s="41">
        <v>14.79039751230939</v>
      </c>
      <c r="G766" s="41">
        <v>0</v>
      </c>
      <c r="H766" s="42"/>
      <c r="I766" s="42"/>
      <c r="J766" s="42"/>
    </row>
    <row r="767" spans="5:10">
      <c r="E767" s="43">
        <v>45328.350694441324</v>
      </c>
      <c r="F767" s="41">
        <v>14.79039751230939</v>
      </c>
      <c r="G767" s="41">
        <v>0</v>
      </c>
      <c r="H767" s="42"/>
      <c r="I767" s="42"/>
      <c r="J767" s="42"/>
    </row>
    <row r="768" spans="5:10">
      <c r="E768" s="43">
        <v>45328.354166663543</v>
      </c>
      <c r="F768" s="41">
        <v>14.79039751230939</v>
      </c>
      <c r="G768" s="41">
        <v>0</v>
      </c>
      <c r="H768" s="42"/>
      <c r="I768" s="42"/>
      <c r="J768" s="42"/>
    </row>
    <row r="769" spans="5:10">
      <c r="E769" s="43">
        <v>45328.357638885762</v>
      </c>
      <c r="F769" s="41">
        <v>14.79039751230939</v>
      </c>
      <c r="G769" s="41">
        <v>0</v>
      </c>
      <c r="H769" s="42"/>
      <c r="I769" s="42"/>
      <c r="J769" s="42"/>
    </row>
    <row r="770" spans="5:10">
      <c r="E770" s="43">
        <v>45328.361111107981</v>
      </c>
      <c r="F770" s="41">
        <v>14.79039751230939</v>
      </c>
      <c r="G770" s="41">
        <v>0</v>
      </c>
      <c r="H770" s="42"/>
      <c r="I770" s="42"/>
      <c r="J770" s="42"/>
    </row>
    <row r="771" spans="5:10">
      <c r="E771" s="43">
        <v>45328.3645833302</v>
      </c>
      <c r="F771" s="41">
        <v>14.79039751230939</v>
      </c>
      <c r="G771" s="41">
        <v>0</v>
      </c>
      <c r="H771" s="42"/>
      <c r="I771" s="42"/>
      <c r="J771" s="42"/>
    </row>
    <row r="772" spans="5:10">
      <c r="E772" s="43">
        <v>45328.368055552419</v>
      </c>
      <c r="F772" s="41">
        <v>14.79039751230939</v>
      </c>
      <c r="G772" s="41">
        <v>0</v>
      </c>
      <c r="H772" s="42"/>
      <c r="I772" s="42"/>
      <c r="J772" s="42"/>
    </row>
    <row r="773" spans="5:10">
      <c r="E773" s="43">
        <v>45328.371527774638</v>
      </c>
      <c r="F773" s="41">
        <v>14.79039751230939</v>
      </c>
      <c r="G773" s="41">
        <v>0</v>
      </c>
      <c r="H773" s="42"/>
      <c r="I773" s="42"/>
      <c r="J773" s="42"/>
    </row>
    <row r="774" spans="5:10">
      <c r="E774" s="43">
        <v>45328.374999996857</v>
      </c>
      <c r="F774" s="41">
        <v>14.79039751230939</v>
      </c>
      <c r="G774" s="41">
        <v>0</v>
      </c>
      <c r="H774" s="42"/>
      <c r="I774" s="42"/>
      <c r="J774" s="42"/>
    </row>
    <row r="775" spans="5:10">
      <c r="E775" s="43">
        <v>45328.378472219076</v>
      </c>
      <c r="F775" s="41">
        <v>14.79039751230939</v>
      </c>
      <c r="G775" s="41">
        <v>0</v>
      </c>
      <c r="H775" s="42"/>
      <c r="I775" s="42"/>
      <c r="J775" s="42"/>
    </row>
    <row r="776" spans="5:10">
      <c r="E776" s="43">
        <v>45328.381944441295</v>
      </c>
      <c r="F776" s="41">
        <v>14.79039751230939</v>
      </c>
      <c r="G776" s="41">
        <v>0</v>
      </c>
      <c r="H776" s="42"/>
      <c r="I776" s="42"/>
      <c r="J776" s="42"/>
    </row>
    <row r="777" spans="5:10">
      <c r="E777" s="43">
        <v>45328.385416663514</v>
      </c>
      <c r="F777" s="41">
        <v>14.79039751230939</v>
      </c>
      <c r="G777" s="41">
        <v>0</v>
      </c>
      <c r="H777" s="42"/>
      <c r="I777" s="42"/>
      <c r="J777" s="42"/>
    </row>
    <row r="778" spans="5:10">
      <c r="E778" s="43">
        <v>45328.388888885733</v>
      </c>
      <c r="F778" s="41">
        <v>14.79039751230939</v>
      </c>
      <c r="G778" s="41">
        <v>0</v>
      </c>
      <c r="H778" s="42"/>
      <c r="I778" s="42"/>
      <c r="J778" s="42"/>
    </row>
    <row r="779" spans="5:10">
      <c r="E779" s="43">
        <v>45328.392361107952</v>
      </c>
      <c r="F779" s="41">
        <v>14.79039751230939</v>
      </c>
      <c r="G779" s="41">
        <v>0</v>
      </c>
      <c r="H779" s="42"/>
      <c r="I779" s="42"/>
      <c r="J779" s="42"/>
    </row>
    <row r="780" spans="5:10">
      <c r="E780" s="43">
        <v>45328.395833330171</v>
      </c>
      <c r="F780" s="41">
        <v>14.79039751230939</v>
      </c>
      <c r="G780" s="41">
        <v>0</v>
      </c>
      <c r="H780" s="42"/>
      <c r="I780" s="42"/>
      <c r="J780" s="42"/>
    </row>
    <row r="781" spans="5:10">
      <c r="E781" s="43">
        <v>45328.39930555239</v>
      </c>
      <c r="F781" s="41">
        <v>14.79039751230939</v>
      </c>
      <c r="G781" s="41">
        <v>0</v>
      </c>
      <c r="H781" s="42"/>
      <c r="I781" s="42"/>
      <c r="J781" s="42"/>
    </row>
    <row r="782" spans="5:10">
      <c r="E782" s="43">
        <v>45328.402777774609</v>
      </c>
      <c r="F782" s="41">
        <v>14.79039751230939</v>
      </c>
      <c r="G782" s="41">
        <v>0</v>
      </c>
      <c r="H782" s="42"/>
      <c r="I782" s="42"/>
      <c r="J782" s="42"/>
    </row>
    <row r="783" spans="5:10">
      <c r="E783" s="43">
        <v>45328.406249996828</v>
      </c>
      <c r="F783" s="41">
        <v>14.79039751230939</v>
      </c>
      <c r="G783" s="41">
        <v>0</v>
      </c>
      <c r="H783" s="42"/>
      <c r="I783" s="42"/>
      <c r="J783" s="42"/>
    </row>
    <row r="784" spans="5:10">
      <c r="E784" s="43">
        <v>45328.409722219047</v>
      </c>
      <c r="F784" s="41">
        <v>14.79039751230939</v>
      </c>
      <c r="G784" s="41">
        <v>0</v>
      </c>
      <c r="H784" s="42"/>
      <c r="I784" s="42"/>
      <c r="J784" s="42"/>
    </row>
    <row r="785" spans="5:10">
      <c r="E785" s="43">
        <v>45328.413194441266</v>
      </c>
      <c r="F785" s="41">
        <v>14.79039751230939</v>
      </c>
      <c r="G785" s="41">
        <v>0</v>
      </c>
      <c r="H785" s="42"/>
      <c r="I785" s="42"/>
      <c r="J785" s="42"/>
    </row>
    <row r="786" spans="5:10">
      <c r="E786" s="43">
        <v>45328.416666663485</v>
      </c>
      <c r="F786" s="41">
        <v>14.79039751230939</v>
      </c>
      <c r="G786" s="41">
        <v>0</v>
      </c>
      <c r="H786" s="42"/>
      <c r="I786" s="42"/>
      <c r="J786" s="42"/>
    </row>
    <row r="787" spans="5:10">
      <c r="E787" s="43">
        <v>45328.420138885704</v>
      </c>
      <c r="F787" s="41">
        <v>14.79039751230939</v>
      </c>
      <c r="G787" s="41">
        <v>0</v>
      </c>
      <c r="H787" s="42"/>
      <c r="I787" s="42"/>
      <c r="J787" s="42"/>
    </row>
    <row r="788" spans="5:10">
      <c r="E788" s="43">
        <v>45328.423611107923</v>
      </c>
      <c r="F788" s="41">
        <v>14.79039751230939</v>
      </c>
      <c r="G788" s="41">
        <v>0</v>
      </c>
      <c r="H788" s="42"/>
      <c r="I788" s="42"/>
      <c r="J788" s="42"/>
    </row>
    <row r="789" spans="5:10">
      <c r="E789" s="43">
        <v>45328.427083330142</v>
      </c>
      <c r="F789" s="41">
        <v>14.79039751230939</v>
      </c>
      <c r="G789" s="41">
        <v>0</v>
      </c>
      <c r="H789" s="42"/>
      <c r="I789" s="42"/>
      <c r="J789" s="42"/>
    </row>
    <row r="790" spans="5:10">
      <c r="E790" s="43">
        <v>45328.430555552361</v>
      </c>
      <c r="F790" s="41">
        <v>14.79039751230939</v>
      </c>
      <c r="G790" s="41">
        <v>0</v>
      </c>
      <c r="H790" s="42"/>
      <c r="I790" s="42"/>
      <c r="J790" s="42"/>
    </row>
    <row r="791" spans="5:10">
      <c r="E791" s="43">
        <v>45328.43402777458</v>
      </c>
      <c r="F791" s="41">
        <v>14.79039751230939</v>
      </c>
      <c r="G791" s="41">
        <v>0</v>
      </c>
      <c r="H791" s="42"/>
      <c r="I791" s="42"/>
      <c r="J791" s="42"/>
    </row>
    <row r="792" spans="5:10">
      <c r="E792" s="43">
        <v>45328.437499996799</v>
      </c>
      <c r="F792" s="41">
        <v>14.79039751230939</v>
      </c>
      <c r="G792" s="41">
        <v>0</v>
      </c>
      <c r="H792" s="42"/>
      <c r="I792" s="42"/>
      <c r="J792" s="42"/>
    </row>
    <row r="793" spans="5:10">
      <c r="E793" s="43">
        <v>45328.440972219018</v>
      </c>
      <c r="F793" s="41">
        <v>14.79039751230939</v>
      </c>
      <c r="G793" s="41">
        <v>0</v>
      </c>
      <c r="H793" s="42"/>
      <c r="I793" s="42"/>
      <c r="J793" s="42"/>
    </row>
    <row r="794" spans="5:10">
      <c r="E794" s="43">
        <v>45328.444444441237</v>
      </c>
      <c r="F794" s="41">
        <v>14.79039751230939</v>
      </c>
      <c r="G794" s="41">
        <v>0</v>
      </c>
      <c r="H794" s="42"/>
      <c r="I794" s="42"/>
      <c r="J794" s="42"/>
    </row>
    <row r="795" spans="5:10">
      <c r="E795" s="43">
        <v>45328.447916663456</v>
      </c>
      <c r="F795" s="41">
        <v>14.79039751230939</v>
      </c>
      <c r="G795" s="41">
        <v>0</v>
      </c>
      <c r="H795" s="42"/>
      <c r="I795" s="42"/>
      <c r="J795" s="42"/>
    </row>
    <row r="796" spans="5:10">
      <c r="E796" s="43">
        <v>45328.451388885675</v>
      </c>
      <c r="F796" s="41">
        <v>14.79039751230939</v>
      </c>
      <c r="G796" s="41">
        <v>0</v>
      </c>
      <c r="H796" s="42"/>
      <c r="I796" s="42"/>
      <c r="J796" s="42"/>
    </row>
    <row r="797" spans="5:10">
      <c r="E797" s="43">
        <v>45328.454861107894</v>
      </c>
      <c r="F797" s="41">
        <v>14.79039751230939</v>
      </c>
      <c r="G797" s="41">
        <v>0</v>
      </c>
      <c r="H797" s="42"/>
      <c r="I797" s="42"/>
      <c r="J797" s="42"/>
    </row>
    <row r="798" spans="5:10">
      <c r="E798" s="43">
        <v>45328.458333330113</v>
      </c>
      <c r="F798" s="41">
        <v>14.79039751230939</v>
      </c>
      <c r="G798" s="41">
        <v>0</v>
      </c>
      <c r="H798" s="42"/>
      <c r="I798" s="42"/>
      <c r="J798" s="42"/>
    </row>
    <row r="799" spans="5:10">
      <c r="E799" s="43">
        <v>45328.461805552331</v>
      </c>
      <c r="F799" s="41">
        <v>14.79039751230939</v>
      </c>
      <c r="G799" s="41">
        <v>0</v>
      </c>
      <c r="H799" s="42"/>
      <c r="I799" s="42"/>
      <c r="J799" s="42"/>
    </row>
    <row r="800" spans="5:10">
      <c r="E800" s="43">
        <v>45328.46527777455</v>
      </c>
      <c r="F800" s="41">
        <v>14.79039751230939</v>
      </c>
      <c r="G800" s="41">
        <v>0</v>
      </c>
      <c r="H800" s="42"/>
      <c r="I800" s="42"/>
      <c r="J800" s="42"/>
    </row>
    <row r="801" spans="5:10">
      <c r="E801" s="43">
        <v>45328.468749996769</v>
      </c>
      <c r="F801" s="41">
        <v>14.79039751230939</v>
      </c>
      <c r="G801" s="41">
        <v>0</v>
      </c>
      <c r="H801" s="42"/>
      <c r="I801" s="42"/>
      <c r="J801" s="42"/>
    </row>
    <row r="802" spans="5:10">
      <c r="E802" s="43">
        <v>45328.472222218988</v>
      </c>
      <c r="F802" s="41">
        <v>14.79039751230939</v>
      </c>
      <c r="G802" s="41">
        <v>0</v>
      </c>
      <c r="H802" s="42"/>
      <c r="I802" s="42"/>
      <c r="J802" s="42"/>
    </row>
    <row r="803" spans="5:10">
      <c r="E803" s="43">
        <v>45328.475694441207</v>
      </c>
      <c r="F803" s="41">
        <v>14.79039751230939</v>
      </c>
      <c r="G803" s="41">
        <v>0</v>
      </c>
      <c r="H803" s="42"/>
      <c r="I803" s="42"/>
      <c r="J803" s="42"/>
    </row>
    <row r="804" spans="5:10">
      <c r="E804" s="43">
        <v>45328.479166663426</v>
      </c>
      <c r="F804" s="41">
        <v>14.79039751230939</v>
      </c>
      <c r="G804" s="41">
        <v>0</v>
      </c>
      <c r="H804" s="42"/>
      <c r="I804" s="42"/>
      <c r="J804" s="42"/>
    </row>
    <row r="805" spans="5:10">
      <c r="E805" s="43">
        <v>45328.482638885645</v>
      </c>
      <c r="F805" s="41">
        <v>14.79039751230939</v>
      </c>
      <c r="G805" s="41">
        <v>0</v>
      </c>
      <c r="H805" s="42"/>
      <c r="I805" s="42"/>
      <c r="J805" s="42"/>
    </row>
    <row r="806" spans="5:10">
      <c r="E806" s="43">
        <v>45328.486111107864</v>
      </c>
      <c r="F806" s="41">
        <v>14.79039751230939</v>
      </c>
      <c r="G806" s="41">
        <v>0</v>
      </c>
      <c r="H806" s="42"/>
      <c r="I806" s="42"/>
      <c r="J806" s="42"/>
    </row>
    <row r="807" spans="5:10">
      <c r="E807" s="43">
        <v>45328.489583330083</v>
      </c>
      <c r="F807" s="41">
        <v>14.79039751230939</v>
      </c>
      <c r="G807" s="41">
        <v>0</v>
      </c>
      <c r="H807" s="42"/>
      <c r="I807" s="42"/>
      <c r="J807" s="42"/>
    </row>
    <row r="808" spans="5:10">
      <c r="E808" s="43">
        <v>45328.493055552302</v>
      </c>
      <c r="F808" s="41">
        <v>14.79039751230939</v>
      </c>
      <c r="G808" s="41">
        <v>0</v>
      </c>
      <c r="H808" s="42"/>
      <c r="I808" s="42"/>
      <c r="J808" s="42"/>
    </row>
    <row r="809" spans="5:10">
      <c r="E809" s="43">
        <v>45328.496527774521</v>
      </c>
      <c r="F809" s="41">
        <v>14.79039751230939</v>
      </c>
      <c r="G809" s="41">
        <v>0</v>
      </c>
      <c r="H809" s="42"/>
      <c r="I809" s="42"/>
      <c r="J809" s="42"/>
    </row>
    <row r="810" spans="5:10">
      <c r="E810" s="43">
        <v>45328.49999999674</v>
      </c>
      <c r="F810" s="41">
        <v>14.79039751230939</v>
      </c>
      <c r="G810" s="41">
        <v>0</v>
      </c>
      <c r="H810" s="42"/>
      <c r="I810" s="42"/>
      <c r="J810" s="42"/>
    </row>
    <row r="811" spans="5:10">
      <c r="E811" s="43">
        <v>45328.503472218959</v>
      </c>
      <c r="F811" s="41">
        <v>14.79039751230939</v>
      </c>
      <c r="G811" s="41">
        <v>0</v>
      </c>
      <c r="H811" s="42"/>
      <c r="I811" s="42"/>
      <c r="J811" s="42"/>
    </row>
    <row r="812" spans="5:10">
      <c r="E812" s="43">
        <v>45328.506944441178</v>
      </c>
      <c r="F812" s="41">
        <v>14.79039751230939</v>
      </c>
      <c r="G812" s="41">
        <v>0</v>
      </c>
      <c r="H812" s="42"/>
      <c r="I812" s="42"/>
      <c r="J812" s="42"/>
    </row>
    <row r="813" spans="5:10">
      <c r="E813" s="43">
        <v>45328.510416663397</v>
      </c>
      <c r="F813" s="41">
        <v>14.79039751230939</v>
      </c>
      <c r="G813" s="41">
        <v>0</v>
      </c>
      <c r="H813" s="42"/>
      <c r="I813" s="42"/>
      <c r="J813" s="42"/>
    </row>
    <row r="814" spans="5:10">
      <c r="E814" s="43">
        <v>45328.513888885616</v>
      </c>
      <c r="F814" s="41">
        <v>14.79039751230939</v>
      </c>
      <c r="G814" s="41">
        <v>0</v>
      </c>
      <c r="H814" s="42"/>
      <c r="I814" s="42"/>
      <c r="J814" s="42"/>
    </row>
    <row r="815" spans="5:10">
      <c r="E815" s="43">
        <v>45328.517361107835</v>
      </c>
      <c r="F815" s="41">
        <v>14.79039751230939</v>
      </c>
      <c r="G815" s="41">
        <v>0</v>
      </c>
      <c r="H815" s="42"/>
      <c r="I815" s="42"/>
      <c r="J815" s="42"/>
    </row>
    <row r="816" spans="5:10">
      <c r="E816" s="43">
        <v>45328.520833330054</v>
      </c>
      <c r="F816" s="41">
        <v>14.79039751230939</v>
      </c>
      <c r="G816" s="41">
        <v>0</v>
      </c>
      <c r="H816" s="42"/>
      <c r="I816" s="42"/>
      <c r="J816" s="42"/>
    </row>
    <row r="817" spans="5:10">
      <c r="E817" s="43">
        <v>45328.524305552273</v>
      </c>
      <c r="F817" s="41">
        <v>14.79039751230939</v>
      </c>
      <c r="G817" s="41">
        <v>0</v>
      </c>
      <c r="H817" s="42"/>
      <c r="I817" s="42"/>
      <c r="J817" s="42"/>
    </row>
    <row r="818" spans="5:10">
      <c r="E818" s="43">
        <v>45328.527777774492</v>
      </c>
      <c r="F818" s="41">
        <v>14.79039751230939</v>
      </c>
      <c r="G818" s="41">
        <v>0</v>
      </c>
      <c r="H818" s="42"/>
      <c r="I818" s="42"/>
      <c r="J818" s="42"/>
    </row>
    <row r="819" spans="5:10">
      <c r="E819" s="43">
        <v>45328.531249996711</v>
      </c>
      <c r="F819" s="41">
        <v>14.79039751230939</v>
      </c>
      <c r="G819" s="41">
        <v>0</v>
      </c>
      <c r="H819" s="42"/>
      <c r="I819" s="42"/>
      <c r="J819" s="42"/>
    </row>
    <row r="820" spans="5:10">
      <c r="E820" s="43">
        <v>45328.53472221893</v>
      </c>
      <c r="F820" s="41">
        <v>14.79039751230939</v>
      </c>
      <c r="G820" s="41">
        <v>0</v>
      </c>
      <c r="H820" s="42"/>
      <c r="I820" s="42"/>
      <c r="J820" s="42"/>
    </row>
    <row r="821" spans="5:10">
      <c r="E821" s="43">
        <v>45328.538194441149</v>
      </c>
      <c r="F821" s="41">
        <v>14.79039751230939</v>
      </c>
      <c r="G821" s="41">
        <v>0</v>
      </c>
      <c r="H821" s="42"/>
      <c r="I821" s="42"/>
      <c r="J821" s="42"/>
    </row>
    <row r="822" spans="5:10">
      <c r="E822" s="43">
        <v>45328.541666663368</v>
      </c>
      <c r="F822" s="41">
        <v>14.79039751230939</v>
      </c>
      <c r="G822" s="41">
        <v>0</v>
      </c>
      <c r="H822" s="42"/>
      <c r="I822" s="42"/>
      <c r="J822" s="42"/>
    </row>
    <row r="823" spans="5:10">
      <c r="E823" s="43">
        <v>45328.545138885587</v>
      </c>
      <c r="F823" s="41">
        <v>14.79039751230939</v>
      </c>
      <c r="G823" s="41">
        <v>0</v>
      </c>
      <c r="H823" s="42"/>
      <c r="I823" s="42"/>
      <c r="J823" s="42"/>
    </row>
    <row r="824" spans="5:10">
      <c r="E824" s="43">
        <v>45328.548611107806</v>
      </c>
      <c r="F824" s="41">
        <v>14.79039751230939</v>
      </c>
      <c r="G824" s="41">
        <v>0</v>
      </c>
      <c r="H824" s="42"/>
      <c r="I824" s="42"/>
      <c r="J824" s="42"/>
    </row>
    <row r="825" spans="5:10">
      <c r="E825" s="43">
        <v>45328.552083330025</v>
      </c>
      <c r="F825" s="41">
        <v>14.79039751230939</v>
      </c>
      <c r="G825" s="41">
        <v>0</v>
      </c>
      <c r="H825" s="42"/>
      <c r="I825" s="42"/>
      <c r="J825" s="42"/>
    </row>
    <row r="826" spans="5:10">
      <c r="E826" s="43">
        <v>45328.555555552244</v>
      </c>
      <c r="F826" s="41">
        <v>14.79039751230939</v>
      </c>
      <c r="G826" s="41">
        <v>0</v>
      </c>
      <c r="H826" s="42"/>
      <c r="I826" s="42"/>
      <c r="J826" s="42"/>
    </row>
    <row r="827" spans="5:10">
      <c r="E827" s="43">
        <v>45328.559027774463</v>
      </c>
      <c r="F827" s="41">
        <v>14.79039751230939</v>
      </c>
      <c r="G827" s="41">
        <v>0</v>
      </c>
      <c r="H827" s="42"/>
      <c r="I827" s="42"/>
      <c r="J827" s="42"/>
    </row>
    <row r="828" spans="5:10">
      <c r="E828" s="43">
        <v>45328.562499996682</v>
      </c>
      <c r="F828" s="41">
        <v>14.79039751230939</v>
      </c>
      <c r="G828" s="41">
        <v>0</v>
      </c>
      <c r="H828" s="42"/>
      <c r="I828" s="42"/>
      <c r="J828" s="42"/>
    </row>
    <row r="829" spans="5:10">
      <c r="E829" s="43">
        <v>45328.565972218901</v>
      </c>
      <c r="F829" s="41">
        <v>14.79039751230939</v>
      </c>
      <c r="G829" s="41">
        <v>0</v>
      </c>
      <c r="H829" s="42"/>
      <c r="I829" s="42"/>
      <c r="J829" s="42"/>
    </row>
    <row r="830" spans="5:10">
      <c r="E830" s="43">
        <v>45328.56944444112</v>
      </c>
      <c r="F830" s="41">
        <v>14.79039751230939</v>
      </c>
      <c r="G830" s="41">
        <v>0</v>
      </c>
      <c r="H830" s="42"/>
      <c r="I830" s="42"/>
      <c r="J830" s="42"/>
    </row>
    <row r="831" spans="5:10">
      <c r="E831" s="43">
        <v>45328.572916663339</v>
      </c>
      <c r="F831" s="41">
        <v>14.79039751230939</v>
      </c>
      <c r="G831" s="41">
        <v>0</v>
      </c>
      <c r="H831" s="42"/>
      <c r="I831" s="42"/>
      <c r="J831" s="42"/>
    </row>
    <row r="832" spans="5:10">
      <c r="E832" s="43">
        <v>45328.576388885558</v>
      </c>
      <c r="F832" s="41">
        <v>14.79039751230939</v>
      </c>
      <c r="G832" s="41">
        <v>0</v>
      </c>
      <c r="H832" s="42"/>
      <c r="I832" s="42"/>
      <c r="J832" s="42"/>
    </row>
    <row r="833" spans="5:10">
      <c r="E833" s="43">
        <v>45328.579861107777</v>
      </c>
      <c r="F833" s="41">
        <v>14.79039751230939</v>
      </c>
      <c r="G833" s="41">
        <v>0</v>
      </c>
      <c r="H833" s="42"/>
      <c r="I833" s="42"/>
      <c r="J833" s="42"/>
    </row>
    <row r="834" spans="5:10">
      <c r="E834" s="43">
        <v>45328.583333329996</v>
      </c>
      <c r="F834" s="41">
        <v>14.79039751230939</v>
      </c>
      <c r="G834" s="41">
        <v>0</v>
      </c>
      <c r="H834" s="42"/>
      <c r="I834" s="42"/>
      <c r="J834" s="42"/>
    </row>
    <row r="835" spans="5:10">
      <c r="E835" s="43">
        <v>45328.586805552215</v>
      </c>
      <c r="F835" s="41">
        <v>14.79039751230939</v>
      </c>
      <c r="G835" s="41">
        <v>0</v>
      </c>
      <c r="H835" s="42"/>
      <c r="I835" s="42"/>
      <c r="J835" s="42"/>
    </row>
    <row r="836" spans="5:10">
      <c r="E836" s="43">
        <v>45328.590277774434</v>
      </c>
      <c r="F836" s="41">
        <v>14.79039751230939</v>
      </c>
      <c r="G836" s="41">
        <v>0</v>
      </c>
      <c r="H836" s="42"/>
      <c r="I836" s="42"/>
      <c r="J836" s="42"/>
    </row>
    <row r="837" spans="5:10">
      <c r="E837" s="43">
        <v>45328.593749996653</v>
      </c>
      <c r="F837" s="41">
        <v>14.79039751230939</v>
      </c>
      <c r="G837" s="41">
        <v>0</v>
      </c>
      <c r="H837" s="42"/>
      <c r="I837" s="42"/>
      <c r="J837" s="42"/>
    </row>
    <row r="838" spans="5:10">
      <c r="E838" s="43">
        <v>45328.597222218872</v>
      </c>
      <c r="F838" s="41">
        <v>14.79039751230939</v>
      </c>
      <c r="G838" s="41">
        <v>0</v>
      </c>
      <c r="H838" s="42"/>
      <c r="I838" s="42"/>
      <c r="J838" s="42"/>
    </row>
    <row r="839" spans="5:10">
      <c r="E839" s="43">
        <v>45328.600694441091</v>
      </c>
      <c r="F839" s="41">
        <v>14.79039751230939</v>
      </c>
      <c r="G839" s="41">
        <v>0</v>
      </c>
      <c r="H839" s="42"/>
      <c r="I839" s="42"/>
      <c r="J839" s="42"/>
    </row>
    <row r="840" spans="5:10">
      <c r="E840" s="43">
        <v>45328.60416666331</v>
      </c>
      <c r="F840" s="41">
        <v>14.79039751230939</v>
      </c>
      <c r="G840" s="41">
        <v>0</v>
      </c>
      <c r="H840" s="42"/>
      <c r="I840" s="42"/>
      <c r="J840" s="42"/>
    </row>
    <row r="841" spans="5:10">
      <c r="E841" s="43">
        <v>45328.607638885529</v>
      </c>
      <c r="F841" s="41">
        <v>14.79039751230939</v>
      </c>
      <c r="G841" s="41">
        <v>0</v>
      </c>
      <c r="H841" s="42"/>
      <c r="I841" s="42"/>
      <c r="J841" s="42"/>
    </row>
    <row r="842" spans="5:10">
      <c r="E842" s="43">
        <v>45328.611111107748</v>
      </c>
      <c r="F842" s="41">
        <v>14.79039751230939</v>
      </c>
      <c r="G842" s="41">
        <v>0</v>
      </c>
      <c r="H842" s="42"/>
      <c r="I842" s="42"/>
      <c r="J842" s="42"/>
    </row>
    <row r="843" spans="5:10">
      <c r="E843" s="43">
        <v>45328.614583329967</v>
      </c>
      <c r="F843" s="41">
        <v>14.79039751230939</v>
      </c>
      <c r="G843" s="41">
        <v>0</v>
      </c>
      <c r="H843" s="42"/>
      <c r="I843" s="42"/>
      <c r="J843" s="42"/>
    </row>
    <row r="844" spans="5:10">
      <c r="E844" s="43">
        <v>45328.618055552186</v>
      </c>
      <c r="F844" s="41">
        <v>14.79039751230939</v>
      </c>
      <c r="G844" s="41">
        <v>0</v>
      </c>
      <c r="H844" s="42"/>
      <c r="I844" s="42"/>
      <c r="J844" s="42"/>
    </row>
    <row r="845" spans="5:10">
      <c r="E845" s="43">
        <v>45328.621527774405</v>
      </c>
      <c r="F845" s="41">
        <v>14.79039751230939</v>
      </c>
      <c r="G845" s="41">
        <v>0</v>
      </c>
      <c r="H845" s="42"/>
      <c r="I845" s="42"/>
      <c r="J845" s="42"/>
    </row>
    <row r="846" spans="5:10">
      <c r="E846" s="43">
        <v>45328.624999996624</v>
      </c>
      <c r="F846" s="41">
        <v>14.79039751230939</v>
      </c>
      <c r="G846" s="41">
        <v>0</v>
      </c>
      <c r="H846" s="42"/>
      <c r="I846" s="42"/>
      <c r="J846" s="42"/>
    </row>
    <row r="847" spans="5:10">
      <c r="E847" s="43">
        <v>45328.628472218843</v>
      </c>
      <c r="F847" s="41">
        <v>14.79039751230939</v>
      </c>
      <c r="G847" s="41">
        <v>0</v>
      </c>
      <c r="H847" s="42"/>
      <c r="I847" s="42"/>
      <c r="J847" s="42"/>
    </row>
    <row r="848" spans="5:10">
      <c r="E848" s="43">
        <v>45328.631944441062</v>
      </c>
      <c r="F848" s="41">
        <v>14.79039751230939</v>
      </c>
      <c r="G848" s="41">
        <v>0</v>
      </c>
      <c r="H848" s="42"/>
      <c r="I848" s="42"/>
      <c r="J848" s="42"/>
    </row>
    <row r="849" spans="5:10">
      <c r="E849" s="43">
        <v>45328.635416663281</v>
      </c>
      <c r="F849" s="41">
        <v>14.79039751230939</v>
      </c>
      <c r="G849" s="41">
        <v>0</v>
      </c>
      <c r="H849" s="42"/>
      <c r="I849" s="42"/>
      <c r="J849" s="42"/>
    </row>
    <row r="850" spans="5:10">
      <c r="E850" s="43">
        <v>45328.6388888855</v>
      </c>
      <c r="F850" s="41">
        <v>14.79039751230939</v>
      </c>
      <c r="G850" s="41">
        <v>0</v>
      </c>
      <c r="H850" s="42"/>
      <c r="I850" s="42"/>
      <c r="J850" s="42"/>
    </row>
    <row r="851" spans="5:10">
      <c r="E851" s="43">
        <v>45328.642361107719</v>
      </c>
      <c r="F851" s="41">
        <v>14.79039751230939</v>
      </c>
      <c r="G851" s="41">
        <v>0</v>
      </c>
      <c r="H851" s="42"/>
      <c r="I851" s="42"/>
      <c r="J851" s="42"/>
    </row>
    <row r="852" spans="5:10">
      <c r="E852" s="43">
        <v>45328.645833329938</v>
      </c>
      <c r="F852" s="41">
        <v>14.79039751230939</v>
      </c>
      <c r="G852" s="41">
        <v>0</v>
      </c>
      <c r="H852" s="42"/>
      <c r="I852" s="42"/>
      <c r="J852" s="42"/>
    </row>
    <row r="853" spans="5:10">
      <c r="E853" s="43">
        <v>45328.649305552157</v>
      </c>
      <c r="F853" s="41">
        <v>14.79039751230939</v>
      </c>
      <c r="G853" s="41">
        <v>0</v>
      </c>
      <c r="H853" s="42"/>
      <c r="I853" s="42"/>
      <c r="J853" s="42"/>
    </row>
    <row r="854" spans="5:10">
      <c r="E854" s="43">
        <v>45328.652777774376</v>
      </c>
      <c r="F854" s="41">
        <v>14.79039751230939</v>
      </c>
      <c r="G854" s="41">
        <v>0</v>
      </c>
      <c r="H854" s="42"/>
      <c r="I854" s="42"/>
      <c r="J854" s="42"/>
    </row>
    <row r="855" spans="5:10">
      <c r="E855" s="43">
        <v>45328.656249996595</v>
      </c>
      <c r="F855" s="41">
        <v>14.79039751230939</v>
      </c>
      <c r="G855" s="41">
        <v>0</v>
      </c>
      <c r="H855" s="42"/>
      <c r="I855" s="42"/>
      <c r="J855" s="42"/>
    </row>
    <row r="856" spans="5:10">
      <c r="E856" s="43">
        <v>45328.659722218814</v>
      </c>
      <c r="F856" s="41">
        <v>14.79039751230939</v>
      </c>
      <c r="G856" s="41">
        <v>0</v>
      </c>
      <c r="H856" s="42"/>
      <c r="I856" s="42"/>
      <c r="J856" s="42"/>
    </row>
    <row r="857" spans="5:10">
      <c r="E857" s="43">
        <v>45328.663194441033</v>
      </c>
      <c r="F857" s="41">
        <v>14.79039751230939</v>
      </c>
      <c r="G857" s="41">
        <v>0</v>
      </c>
      <c r="H857" s="42"/>
      <c r="I857" s="42"/>
      <c r="J857" s="42"/>
    </row>
    <row r="858" spans="5:10">
      <c r="E858" s="43">
        <v>45328.666666663252</v>
      </c>
      <c r="F858" s="41">
        <v>14.79039751230939</v>
      </c>
      <c r="G858" s="41">
        <v>0</v>
      </c>
      <c r="H858" s="42"/>
      <c r="I858" s="42"/>
      <c r="J858" s="42"/>
    </row>
    <row r="859" spans="5:10">
      <c r="E859" s="43">
        <v>45328.670138885471</v>
      </c>
      <c r="F859" s="41">
        <v>14.79039751230939</v>
      </c>
      <c r="G859" s="41">
        <v>0</v>
      </c>
      <c r="H859" s="42"/>
      <c r="I859" s="42"/>
      <c r="J859" s="42"/>
    </row>
    <row r="860" spans="5:10">
      <c r="E860" s="43">
        <v>45328.67361110769</v>
      </c>
      <c r="F860" s="41">
        <v>14.79039751230939</v>
      </c>
      <c r="G860" s="41">
        <v>0</v>
      </c>
      <c r="H860" s="42"/>
      <c r="I860" s="42"/>
      <c r="J860" s="42"/>
    </row>
    <row r="861" spans="5:10">
      <c r="E861" s="43">
        <v>45328.677083329909</v>
      </c>
      <c r="F861" s="41">
        <v>14.79039751230939</v>
      </c>
      <c r="G861" s="41">
        <v>0</v>
      </c>
      <c r="H861" s="42"/>
      <c r="I861" s="42"/>
      <c r="J861" s="42"/>
    </row>
    <row r="862" spans="5:10">
      <c r="E862" s="43">
        <v>45328.680555552128</v>
      </c>
      <c r="F862" s="41">
        <v>14.79039751230939</v>
      </c>
      <c r="G862" s="41">
        <v>0</v>
      </c>
      <c r="H862" s="42"/>
      <c r="I862" s="42"/>
      <c r="J862" s="42"/>
    </row>
    <row r="863" spans="5:10">
      <c r="E863" s="43">
        <v>45328.684027774347</v>
      </c>
      <c r="F863" s="41">
        <v>14.79039751230939</v>
      </c>
      <c r="G863" s="41">
        <v>0</v>
      </c>
      <c r="H863" s="42"/>
      <c r="I863" s="42"/>
      <c r="J863" s="42"/>
    </row>
    <row r="864" spans="5:10">
      <c r="E864" s="43">
        <v>45328.687499996566</v>
      </c>
      <c r="F864" s="41">
        <v>14.79039751230939</v>
      </c>
      <c r="G864" s="41">
        <v>0</v>
      </c>
      <c r="H864" s="42"/>
      <c r="I864" s="42"/>
      <c r="J864" s="42"/>
    </row>
    <row r="865" spans="5:10">
      <c r="E865" s="43">
        <v>45328.690972218785</v>
      </c>
      <c r="F865" s="41">
        <v>14.79039751230939</v>
      </c>
      <c r="G865" s="41">
        <v>0</v>
      </c>
      <c r="H865" s="42"/>
      <c r="I865" s="42"/>
      <c r="J865" s="42"/>
    </row>
    <row r="866" spans="5:10">
      <c r="E866" s="43">
        <v>45328.694444441004</v>
      </c>
      <c r="F866" s="41">
        <v>14.79039751230939</v>
      </c>
      <c r="G866" s="41">
        <v>0</v>
      </c>
      <c r="H866" s="42"/>
      <c r="I866" s="42"/>
      <c r="J866" s="42"/>
    </row>
    <row r="867" spans="5:10">
      <c r="E867" s="43">
        <v>45328.697916663223</v>
      </c>
      <c r="F867" s="41">
        <v>14.79039751230939</v>
      </c>
      <c r="G867" s="41">
        <v>0</v>
      </c>
      <c r="H867" s="42"/>
      <c r="I867" s="42"/>
      <c r="J867" s="42"/>
    </row>
    <row r="868" spans="5:10">
      <c r="E868" s="43">
        <v>45328.701388885442</v>
      </c>
      <c r="F868" s="41">
        <v>14.79039751230939</v>
      </c>
      <c r="G868" s="41">
        <v>0</v>
      </c>
      <c r="H868" s="42"/>
      <c r="I868" s="42"/>
      <c r="J868" s="42"/>
    </row>
    <row r="869" spans="5:10">
      <c r="E869" s="43">
        <v>45328.704861107661</v>
      </c>
      <c r="F869" s="41">
        <v>14.79039751230939</v>
      </c>
      <c r="G869" s="41">
        <v>0</v>
      </c>
      <c r="H869" s="42"/>
      <c r="I869" s="42"/>
      <c r="J869" s="42"/>
    </row>
    <row r="870" spans="5:10">
      <c r="E870" s="43">
        <v>45328.70833332988</v>
      </c>
      <c r="F870" s="41">
        <v>14.79039751230939</v>
      </c>
      <c r="G870" s="41">
        <v>0</v>
      </c>
      <c r="H870" s="42"/>
      <c r="I870" s="42"/>
      <c r="J870" s="42"/>
    </row>
    <row r="871" spans="5:10">
      <c r="E871" s="43">
        <v>45328.711805552099</v>
      </c>
      <c r="F871" s="41">
        <v>14.79039751230939</v>
      </c>
      <c r="G871" s="41">
        <v>0</v>
      </c>
      <c r="H871" s="42"/>
      <c r="I871" s="42"/>
      <c r="J871" s="42"/>
    </row>
    <row r="872" spans="5:10">
      <c r="E872" s="43">
        <v>45328.715277774318</v>
      </c>
      <c r="F872" s="41">
        <v>14.79039751230939</v>
      </c>
      <c r="G872" s="41">
        <v>0</v>
      </c>
      <c r="H872" s="42"/>
      <c r="I872" s="42"/>
      <c r="J872" s="42"/>
    </row>
    <row r="873" spans="5:10">
      <c r="E873" s="43">
        <v>45328.718749996537</v>
      </c>
      <c r="F873" s="41">
        <v>14.79039751230939</v>
      </c>
      <c r="G873" s="41">
        <v>0</v>
      </c>
      <c r="H873" s="42"/>
      <c r="I873" s="42"/>
      <c r="J873" s="42"/>
    </row>
    <row r="874" spans="5:10">
      <c r="E874" s="43">
        <v>45328.722222218756</v>
      </c>
      <c r="F874" s="41">
        <v>14.79039751230939</v>
      </c>
      <c r="G874" s="41">
        <v>0</v>
      </c>
      <c r="H874" s="42"/>
      <c r="I874" s="42"/>
      <c r="J874" s="42"/>
    </row>
    <row r="875" spans="5:10">
      <c r="E875" s="43">
        <v>45328.725694440975</v>
      </c>
      <c r="F875" s="41">
        <v>14.79039751230939</v>
      </c>
      <c r="G875" s="41">
        <v>0</v>
      </c>
      <c r="H875" s="42"/>
      <c r="I875" s="42"/>
      <c r="J875" s="42"/>
    </row>
    <row r="876" spans="5:10">
      <c r="E876" s="43">
        <v>45328.729166663194</v>
      </c>
      <c r="F876" s="41">
        <v>14.79039751230939</v>
      </c>
      <c r="G876" s="41">
        <v>0</v>
      </c>
      <c r="H876" s="42"/>
      <c r="I876" s="42"/>
      <c r="J876" s="42"/>
    </row>
    <row r="877" spans="5:10">
      <c r="E877" s="43">
        <v>45328.732638885413</v>
      </c>
      <c r="F877" s="41">
        <v>14.79039751230939</v>
      </c>
      <c r="G877" s="41">
        <v>0</v>
      </c>
      <c r="H877" s="42"/>
      <c r="I877" s="42"/>
      <c r="J877" s="42"/>
    </row>
    <row r="878" spans="5:10">
      <c r="E878" s="43">
        <v>45328.736111107632</v>
      </c>
      <c r="F878" s="41">
        <v>14.79039751230939</v>
      </c>
      <c r="G878" s="41">
        <v>0</v>
      </c>
      <c r="H878" s="42"/>
      <c r="I878" s="42"/>
      <c r="J878" s="42"/>
    </row>
    <row r="879" spans="5:10">
      <c r="E879" s="43">
        <v>45328.739583329851</v>
      </c>
      <c r="F879" s="41">
        <v>14.79039751230939</v>
      </c>
      <c r="G879" s="41">
        <v>0</v>
      </c>
      <c r="H879" s="42"/>
      <c r="I879" s="42"/>
      <c r="J879" s="42"/>
    </row>
    <row r="880" spans="5:10">
      <c r="E880" s="43">
        <v>45328.74305555207</v>
      </c>
      <c r="F880" s="41">
        <v>14.79039751230939</v>
      </c>
      <c r="G880" s="41">
        <v>0</v>
      </c>
      <c r="H880" s="42"/>
      <c r="I880" s="42"/>
      <c r="J880" s="42"/>
    </row>
    <row r="881" spans="5:10">
      <c r="E881" s="43">
        <v>45328.746527774289</v>
      </c>
      <c r="F881" s="41">
        <v>14.79039751230939</v>
      </c>
      <c r="G881" s="41">
        <v>0</v>
      </c>
      <c r="H881" s="42"/>
      <c r="I881" s="42"/>
      <c r="J881" s="42"/>
    </row>
    <row r="882" spans="5:10">
      <c r="E882" s="43">
        <v>45328.749999996508</v>
      </c>
      <c r="F882" s="41">
        <v>14.79039751230939</v>
      </c>
      <c r="G882" s="41">
        <v>0</v>
      </c>
      <c r="H882" s="42"/>
      <c r="I882" s="42"/>
      <c r="J882" s="42"/>
    </row>
    <row r="883" spans="5:10">
      <c r="E883" s="43">
        <v>45328.753472218727</v>
      </c>
      <c r="F883" s="41">
        <v>14.79039751230939</v>
      </c>
      <c r="G883" s="41">
        <v>0</v>
      </c>
      <c r="H883" s="42"/>
      <c r="I883" s="42"/>
      <c r="J883" s="42"/>
    </row>
    <row r="884" spans="5:10">
      <c r="E884" s="43">
        <v>45328.756944440946</v>
      </c>
      <c r="F884" s="41">
        <v>14.79039751230939</v>
      </c>
      <c r="G884" s="41">
        <v>0</v>
      </c>
      <c r="H884" s="42"/>
      <c r="I884" s="42"/>
      <c r="J884" s="42"/>
    </row>
    <row r="885" spans="5:10">
      <c r="E885" s="43">
        <v>45328.760416663165</v>
      </c>
      <c r="F885" s="41">
        <v>14.79039751230939</v>
      </c>
      <c r="G885" s="41">
        <v>0</v>
      </c>
      <c r="H885" s="42"/>
      <c r="I885" s="42"/>
      <c r="J885" s="42"/>
    </row>
    <row r="886" spans="5:10">
      <c r="E886" s="43">
        <v>45328.763888885383</v>
      </c>
      <c r="F886" s="41">
        <v>14.79039751230939</v>
      </c>
      <c r="G886" s="41">
        <v>0</v>
      </c>
      <c r="H886" s="42"/>
      <c r="I886" s="42"/>
      <c r="J886" s="42"/>
    </row>
    <row r="887" spans="5:10">
      <c r="E887" s="43">
        <v>45328.767361107602</v>
      </c>
      <c r="F887" s="41">
        <v>14.79039751230939</v>
      </c>
      <c r="G887" s="41">
        <v>0</v>
      </c>
      <c r="H887" s="42"/>
      <c r="I887" s="42"/>
      <c r="J887" s="42"/>
    </row>
    <row r="888" spans="5:10">
      <c r="E888" s="43">
        <v>45328.770833329821</v>
      </c>
      <c r="F888" s="41">
        <v>14.79039751230939</v>
      </c>
      <c r="G888" s="41">
        <v>0</v>
      </c>
      <c r="H888" s="42"/>
      <c r="I888" s="42"/>
      <c r="J888" s="42"/>
    </row>
    <row r="889" spans="5:10">
      <c r="E889" s="43">
        <v>45328.77430555204</v>
      </c>
      <c r="F889" s="41">
        <v>14.79039751230939</v>
      </c>
      <c r="G889" s="41">
        <v>0</v>
      </c>
      <c r="H889" s="42"/>
      <c r="I889" s="42"/>
      <c r="J889" s="42"/>
    </row>
    <row r="890" spans="5:10">
      <c r="E890" s="43">
        <v>45328.777777774259</v>
      </c>
      <c r="F890" s="41">
        <v>14.79039751230939</v>
      </c>
      <c r="G890" s="41">
        <v>0</v>
      </c>
      <c r="H890" s="42"/>
      <c r="I890" s="42"/>
      <c r="J890" s="42"/>
    </row>
    <row r="891" spans="5:10">
      <c r="E891" s="43">
        <v>45328.781249996478</v>
      </c>
      <c r="F891" s="41">
        <v>14.79039751230939</v>
      </c>
      <c r="G891" s="41">
        <v>0</v>
      </c>
      <c r="H891" s="42"/>
      <c r="I891" s="42"/>
      <c r="J891" s="42"/>
    </row>
    <row r="892" spans="5:10">
      <c r="E892" s="43">
        <v>45328.784722218697</v>
      </c>
      <c r="F892" s="41">
        <v>14.79039751230939</v>
      </c>
      <c r="G892" s="41">
        <v>0</v>
      </c>
      <c r="H892" s="42"/>
      <c r="I892" s="42"/>
      <c r="J892" s="42"/>
    </row>
    <row r="893" spans="5:10">
      <c r="E893" s="43">
        <v>45328.788194440916</v>
      </c>
      <c r="F893" s="41">
        <v>14.79039751230939</v>
      </c>
      <c r="G893" s="41">
        <v>0</v>
      </c>
      <c r="H893" s="42"/>
      <c r="I893" s="42"/>
      <c r="J893" s="42"/>
    </row>
    <row r="894" spans="5:10">
      <c r="E894" s="43">
        <v>45328.791666663135</v>
      </c>
      <c r="F894" s="41">
        <v>14.79039751230939</v>
      </c>
      <c r="G894" s="41">
        <v>0</v>
      </c>
      <c r="H894" s="42"/>
      <c r="I894" s="42"/>
      <c r="J894" s="42"/>
    </row>
    <row r="895" spans="5:10">
      <c r="E895" s="43">
        <v>45328.795138885354</v>
      </c>
      <c r="F895" s="41">
        <v>14.79039751230939</v>
      </c>
      <c r="G895" s="41">
        <v>0</v>
      </c>
      <c r="H895" s="42"/>
      <c r="I895" s="42"/>
      <c r="J895" s="42"/>
    </row>
    <row r="896" spans="5:10">
      <c r="E896" s="43">
        <v>45328.798611107573</v>
      </c>
      <c r="F896" s="41">
        <v>14.79039751230939</v>
      </c>
      <c r="G896" s="41">
        <v>0</v>
      </c>
      <c r="H896" s="42"/>
      <c r="I896" s="42"/>
      <c r="J896" s="42"/>
    </row>
    <row r="897" spans="5:10">
      <c r="E897" s="43">
        <v>45328.802083329792</v>
      </c>
      <c r="F897" s="41">
        <v>14.79039751230939</v>
      </c>
      <c r="G897" s="41">
        <v>0</v>
      </c>
      <c r="H897" s="42"/>
      <c r="I897" s="42"/>
      <c r="J897" s="42"/>
    </row>
    <row r="898" spans="5:10">
      <c r="E898" s="43">
        <v>45328.805555552011</v>
      </c>
      <c r="F898" s="41">
        <v>14.79039751230939</v>
      </c>
      <c r="G898" s="41">
        <v>0</v>
      </c>
      <c r="H898" s="42"/>
      <c r="I898" s="42"/>
      <c r="J898" s="42"/>
    </row>
    <row r="899" spans="5:10">
      <c r="E899" s="43">
        <v>45328.80902777423</v>
      </c>
      <c r="F899" s="41">
        <v>14.79039751230939</v>
      </c>
      <c r="G899" s="41">
        <v>0</v>
      </c>
      <c r="H899" s="42"/>
      <c r="I899" s="42"/>
      <c r="J899" s="42"/>
    </row>
    <row r="900" spans="5:10">
      <c r="E900" s="43">
        <v>45328.812499996449</v>
      </c>
      <c r="F900" s="41">
        <v>14.79039751230939</v>
      </c>
      <c r="G900" s="41">
        <v>0</v>
      </c>
      <c r="H900" s="42"/>
      <c r="I900" s="42"/>
      <c r="J900" s="42"/>
    </row>
    <row r="901" spans="5:10">
      <c r="E901" s="43">
        <v>45328.815972218668</v>
      </c>
      <c r="F901" s="41">
        <v>14.79039751230939</v>
      </c>
      <c r="G901" s="41">
        <v>0</v>
      </c>
      <c r="H901" s="42"/>
      <c r="I901" s="42"/>
      <c r="J901" s="42"/>
    </row>
    <row r="902" spans="5:10">
      <c r="E902" s="43">
        <v>45328.819444440887</v>
      </c>
      <c r="F902" s="41">
        <v>14.79039751230939</v>
      </c>
      <c r="G902" s="41">
        <v>0</v>
      </c>
      <c r="H902" s="42"/>
      <c r="I902" s="42"/>
      <c r="J902" s="42"/>
    </row>
    <row r="903" spans="5:10">
      <c r="E903" s="43">
        <v>45328.822916663106</v>
      </c>
      <c r="F903" s="41">
        <v>14.79039751230939</v>
      </c>
      <c r="G903" s="41">
        <v>0</v>
      </c>
      <c r="H903" s="42"/>
      <c r="I903" s="42"/>
      <c r="J903" s="42"/>
    </row>
    <row r="904" spans="5:10">
      <c r="E904" s="43">
        <v>45328.826388885325</v>
      </c>
      <c r="F904" s="41">
        <v>14.79039751230939</v>
      </c>
      <c r="G904" s="41">
        <v>0</v>
      </c>
      <c r="H904" s="42"/>
      <c r="I904" s="42"/>
      <c r="J904" s="42"/>
    </row>
    <row r="905" spans="5:10">
      <c r="E905" s="43">
        <v>45328.829861107544</v>
      </c>
      <c r="F905" s="41">
        <v>14.79039751230939</v>
      </c>
      <c r="G905" s="41">
        <v>0</v>
      </c>
      <c r="H905" s="42"/>
      <c r="I905" s="42"/>
      <c r="J905" s="42"/>
    </row>
    <row r="906" spans="5:10">
      <c r="E906" s="43">
        <v>45328.833333329763</v>
      </c>
      <c r="F906" s="41">
        <v>14.79039751230939</v>
      </c>
      <c r="G906" s="41">
        <v>0</v>
      </c>
      <c r="H906" s="42"/>
      <c r="I906" s="42"/>
      <c r="J906" s="42"/>
    </row>
    <row r="907" spans="5:10">
      <c r="E907" s="43">
        <v>45328.836805551982</v>
      </c>
      <c r="F907" s="41">
        <v>14.79039751230939</v>
      </c>
      <c r="G907" s="41">
        <v>0</v>
      </c>
      <c r="H907" s="42"/>
      <c r="I907" s="42"/>
      <c r="J907" s="42"/>
    </row>
    <row r="908" spans="5:10">
      <c r="E908" s="43">
        <v>45328.840277774201</v>
      </c>
      <c r="F908" s="41">
        <v>14.79039751230939</v>
      </c>
      <c r="G908" s="41">
        <v>0</v>
      </c>
      <c r="H908" s="42"/>
      <c r="I908" s="42"/>
      <c r="J908" s="42"/>
    </row>
    <row r="909" spans="5:10">
      <c r="E909" s="43">
        <v>45328.84374999642</v>
      </c>
      <c r="F909" s="41">
        <v>14.79039751230939</v>
      </c>
      <c r="G909" s="41">
        <v>0</v>
      </c>
      <c r="H909" s="42"/>
      <c r="I909" s="42"/>
      <c r="J909" s="42"/>
    </row>
    <row r="910" spans="5:10">
      <c r="E910" s="43">
        <v>45328.847222218639</v>
      </c>
      <c r="F910" s="41">
        <v>14.79039751230939</v>
      </c>
      <c r="G910" s="41">
        <v>0</v>
      </c>
      <c r="H910" s="42"/>
      <c r="I910" s="42"/>
      <c r="J910" s="42"/>
    </row>
    <row r="911" spans="5:10">
      <c r="E911" s="43">
        <v>45328.850694440858</v>
      </c>
      <c r="F911" s="41">
        <v>14.79039751230939</v>
      </c>
      <c r="G911" s="41">
        <v>0</v>
      </c>
      <c r="H911" s="42"/>
      <c r="I911" s="42"/>
      <c r="J911" s="42"/>
    </row>
    <row r="912" spans="5:10">
      <c r="E912" s="43">
        <v>45328.854166663077</v>
      </c>
      <c r="F912" s="41">
        <v>14.79039751230939</v>
      </c>
      <c r="G912" s="41">
        <v>0</v>
      </c>
      <c r="H912" s="42"/>
      <c r="I912" s="42"/>
      <c r="J912" s="42"/>
    </row>
    <row r="913" spans="5:10">
      <c r="E913" s="43">
        <v>45328.857638885296</v>
      </c>
      <c r="F913" s="41">
        <v>14.79039751230939</v>
      </c>
      <c r="G913" s="41">
        <v>0</v>
      </c>
      <c r="H913" s="42"/>
      <c r="I913" s="42"/>
      <c r="J913" s="42"/>
    </row>
    <row r="914" spans="5:10">
      <c r="E914" s="43">
        <v>45328.861111107515</v>
      </c>
      <c r="F914" s="41">
        <v>14.79039751230939</v>
      </c>
      <c r="G914" s="41">
        <v>0</v>
      </c>
      <c r="H914" s="42"/>
      <c r="I914" s="42"/>
      <c r="J914" s="42"/>
    </row>
    <row r="915" spans="5:10">
      <c r="E915" s="43">
        <v>45328.864583329734</v>
      </c>
      <c r="F915" s="41">
        <v>14.79039751230939</v>
      </c>
      <c r="G915" s="41">
        <v>0</v>
      </c>
      <c r="H915" s="42"/>
      <c r="I915" s="42"/>
      <c r="J915" s="42"/>
    </row>
    <row r="916" spans="5:10">
      <c r="E916" s="43">
        <v>45328.868055551953</v>
      </c>
      <c r="F916" s="41">
        <v>14.79039751230939</v>
      </c>
      <c r="G916" s="41">
        <v>0</v>
      </c>
      <c r="H916" s="42"/>
      <c r="I916" s="42"/>
      <c r="J916" s="42"/>
    </row>
    <row r="917" spans="5:10">
      <c r="E917" s="43">
        <v>45328.871527774172</v>
      </c>
      <c r="F917" s="41">
        <v>14.79039751230939</v>
      </c>
      <c r="G917" s="41">
        <v>0</v>
      </c>
      <c r="H917" s="42"/>
      <c r="I917" s="42"/>
      <c r="J917" s="42"/>
    </row>
    <row r="918" spans="5:10">
      <c r="E918" s="43">
        <v>45328.874999996391</v>
      </c>
      <c r="F918" s="41">
        <v>14.79039751230939</v>
      </c>
      <c r="G918" s="41">
        <v>0</v>
      </c>
      <c r="H918" s="42"/>
      <c r="I918" s="42"/>
      <c r="J918" s="42"/>
    </row>
    <row r="919" spans="5:10">
      <c r="E919" s="43">
        <v>45328.87847221861</v>
      </c>
      <c r="F919" s="41">
        <v>14.79039751230939</v>
      </c>
      <c r="G919" s="41">
        <v>0</v>
      </c>
      <c r="H919" s="42"/>
      <c r="I919" s="42"/>
      <c r="J919" s="42"/>
    </row>
    <row r="920" spans="5:10">
      <c r="E920" s="43">
        <v>45328.881944440829</v>
      </c>
      <c r="F920" s="41">
        <v>14.79039751230939</v>
      </c>
      <c r="G920" s="41">
        <v>0</v>
      </c>
      <c r="H920" s="42"/>
      <c r="I920" s="42"/>
      <c r="J920" s="42"/>
    </row>
    <row r="921" spans="5:10">
      <c r="E921" s="43">
        <v>45328.885416663048</v>
      </c>
      <c r="F921" s="41">
        <v>14.79039751230939</v>
      </c>
      <c r="G921" s="41">
        <v>0</v>
      </c>
      <c r="H921" s="42"/>
      <c r="I921" s="42"/>
      <c r="J921" s="42"/>
    </row>
    <row r="922" spans="5:10">
      <c r="E922" s="43">
        <v>45328.888888885267</v>
      </c>
      <c r="F922" s="41">
        <v>14.79039751230939</v>
      </c>
      <c r="G922" s="41">
        <v>0</v>
      </c>
      <c r="H922" s="42"/>
      <c r="I922" s="42"/>
      <c r="J922" s="42"/>
    </row>
    <row r="923" spans="5:10">
      <c r="E923" s="43">
        <v>45328.892361107486</v>
      </c>
      <c r="F923" s="41">
        <v>14.79039751230939</v>
      </c>
      <c r="G923" s="41">
        <v>0</v>
      </c>
      <c r="H923" s="42"/>
      <c r="I923" s="42"/>
      <c r="J923" s="42"/>
    </row>
    <row r="924" spans="5:10">
      <c r="E924" s="43">
        <v>45328.895833329705</v>
      </c>
      <c r="F924" s="41">
        <v>14.79039751230939</v>
      </c>
      <c r="G924" s="41">
        <v>0</v>
      </c>
      <c r="H924" s="42"/>
      <c r="I924" s="42"/>
      <c r="J924" s="42"/>
    </row>
    <row r="925" spans="5:10">
      <c r="E925" s="43">
        <v>45328.899305551924</v>
      </c>
      <c r="F925" s="41">
        <v>14.79039751230939</v>
      </c>
      <c r="G925" s="41">
        <v>0</v>
      </c>
      <c r="H925" s="42"/>
      <c r="I925" s="42"/>
      <c r="J925" s="42"/>
    </row>
    <row r="926" spans="5:10">
      <c r="E926" s="43">
        <v>45328.902777774143</v>
      </c>
      <c r="F926" s="41">
        <v>14.79039751230939</v>
      </c>
      <c r="G926" s="41">
        <v>0</v>
      </c>
      <c r="H926" s="42"/>
      <c r="I926" s="42"/>
      <c r="J926" s="42"/>
    </row>
    <row r="927" spans="5:10">
      <c r="E927" s="43">
        <v>45328.906249996362</v>
      </c>
      <c r="F927" s="41">
        <v>14.79039751230939</v>
      </c>
      <c r="G927" s="41">
        <v>0</v>
      </c>
      <c r="H927" s="42"/>
      <c r="I927" s="42"/>
      <c r="J927" s="42"/>
    </row>
    <row r="928" spans="5:10">
      <c r="E928" s="43">
        <v>45328.909722218581</v>
      </c>
      <c r="F928" s="41">
        <v>14.79039751230939</v>
      </c>
      <c r="G928" s="41">
        <v>0</v>
      </c>
      <c r="H928" s="42"/>
      <c r="I928" s="42"/>
      <c r="J928" s="42"/>
    </row>
    <row r="929" spans="5:10">
      <c r="E929" s="43">
        <v>45328.9131944408</v>
      </c>
      <c r="F929" s="41">
        <v>14.79039751230939</v>
      </c>
      <c r="G929" s="41">
        <v>0</v>
      </c>
      <c r="H929" s="42"/>
      <c r="I929" s="42"/>
      <c r="J929" s="42"/>
    </row>
    <row r="930" spans="5:10">
      <c r="E930" s="43">
        <v>45328.916666663019</v>
      </c>
      <c r="F930" s="41">
        <v>14.79039751230939</v>
      </c>
      <c r="G930" s="41">
        <v>0</v>
      </c>
      <c r="H930" s="42"/>
      <c r="I930" s="42"/>
      <c r="J930" s="42"/>
    </row>
    <row r="931" spans="5:10">
      <c r="E931" s="43">
        <v>45328.920138885238</v>
      </c>
      <c r="F931" s="41">
        <v>14.79039751230939</v>
      </c>
      <c r="G931" s="41">
        <v>0</v>
      </c>
      <c r="H931" s="42"/>
      <c r="I931" s="42"/>
      <c r="J931" s="42"/>
    </row>
    <row r="932" spans="5:10">
      <c r="E932" s="43">
        <v>45328.923611107457</v>
      </c>
      <c r="F932" s="41">
        <v>14.79039751230939</v>
      </c>
      <c r="G932" s="41">
        <v>0</v>
      </c>
      <c r="H932" s="42"/>
      <c r="I932" s="42"/>
      <c r="J932" s="42"/>
    </row>
    <row r="933" spans="5:10">
      <c r="E933" s="43">
        <v>45328.927083329676</v>
      </c>
      <c r="F933" s="41">
        <v>14.79039751230939</v>
      </c>
      <c r="G933" s="41">
        <v>0</v>
      </c>
      <c r="H933" s="42"/>
      <c r="I933" s="42"/>
      <c r="J933" s="42"/>
    </row>
    <row r="934" spans="5:10">
      <c r="E934" s="43">
        <v>45328.930555551895</v>
      </c>
      <c r="F934" s="41">
        <v>14.79039751230939</v>
      </c>
      <c r="G934" s="41">
        <v>0</v>
      </c>
      <c r="H934" s="42"/>
      <c r="I934" s="42"/>
      <c r="J934" s="42"/>
    </row>
    <row r="935" spans="5:10">
      <c r="E935" s="43">
        <v>45328.934027774114</v>
      </c>
      <c r="F935" s="41">
        <v>14.79039751230939</v>
      </c>
      <c r="G935" s="41">
        <v>0</v>
      </c>
      <c r="H935" s="42"/>
      <c r="I935" s="42"/>
      <c r="J935" s="42"/>
    </row>
    <row r="936" spans="5:10">
      <c r="E936" s="43">
        <v>45328.937499996333</v>
      </c>
      <c r="F936" s="41">
        <v>14.79039751230939</v>
      </c>
      <c r="G936" s="41">
        <v>0</v>
      </c>
      <c r="H936" s="42"/>
      <c r="I936" s="42"/>
      <c r="J936" s="42"/>
    </row>
    <row r="937" spans="5:10">
      <c r="E937" s="43">
        <v>45328.940972218552</v>
      </c>
      <c r="F937" s="41">
        <v>14.79039751230939</v>
      </c>
      <c r="G937" s="41">
        <v>0</v>
      </c>
      <c r="H937" s="42"/>
      <c r="I937" s="42"/>
      <c r="J937" s="42"/>
    </row>
    <row r="938" spans="5:10">
      <c r="E938" s="43">
        <v>45328.944444440771</v>
      </c>
      <c r="F938" s="41">
        <v>14.79039751230939</v>
      </c>
      <c r="G938" s="41">
        <v>0</v>
      </c>
      <c r="H938" s="42"/>
      <c r="I938" s="42"/>
      <c r="J938" s="42"/>
    </row>
    <row r="939" spans="5:10">
      <c r="E939" s="43">
        <v>45328.94791666299</v>
      </c>
      <c r="F939" s="41">
        <v>14.79039751230939</v>
      </c>
      <c r="G939" s="41">
        <v>0</v>
      </c>
      <c r="H939" s="42"/>
      <c r="I939" s="42"/>
      <c r="J939" s="42"/>
    </row>
    <row r="940" spans="5:10">
      <c r="E940" s="43">
        <v>45328.951388885209</v>
      </c>
      <c r="F940" s="41">
        <v>14.79039751230939</v>
      </c>
      <c r="G940" s="41">
        <v>0</v>
      </c>
      <c r="H940" s="42"/>
      <c r="I940" s="42"/>
      <c r="J940" s="42"/>
    </row>
    <row r="941" spans="5:10">
      <c r="E941" s="43">
        <v>45328.954861107428</v>
      </c>
      <c r="F941" s="41">
        <v>14.79039751230939</v>
      </c>
      <c r="G941" s="41">
        <v>0</v>
      </c>
      <c r="H941" s="42"/>
      <c r="I941" s="42"/>
      <c r="J941" s="42"/>
    </row>
    <row r="942" spans="5:10">
      <c r="E942" s="43">
        <v>45328.958333329647</v>
      </c>
      <c r="F942" s="41">
        <v>14.79039751230939</v>
      </c>
      <c r="G942" s="41">
        <v>0</v>
      </c>
      <c r="H942" s="42"/>
      <c r="I942" s="42"/>
      <c r="J942" s="42"/>
    </row>
    <row r="943" spans="5:10">
      <c r="E943" s="43">
        <v>45328.961805551866</v>
      </c>
      <c r="F943" s="41">
        <v>14.79039751230939</v>
      </c>
      <c r="G943" s="41">
        <v>0</v>
      </c>
      <c r="H943" s="42"/>
      <c r="I943" s="42"/>
      <c r="J943" s="42"/>
    </row>
    <row r="944" spans="5:10">
      <c r="E944" s="43">
        <v>45328.965277774085</v>
      </c>
      <c r="F944" s="41">
        <v>14.79039751230939</v>
      </c>
      <c r="G944" s="41">
        <v>0</v>
      </c>
      <c r="H944" s="42"/>
      <c r="I944" s="42"/>
      <c r="J944" s="42"/>
    </row>
    <row r="945" spans="5:10">
      <c r="E945" s="43">
        <v>45328.968749996304</v>
      </c>
      <c r="F945" s="41">
        <v>14.79039751230939</v>
      </c>
      <c r="G945" s="41">
        <v>0</v>
      </c>
      <c r="H945" s="42"/>
      <c r="I945" s="42"/>
      <c r="J945" s="42"/>
    </row>
    <row r="946" spans="5:10">
      <c r="E946" s="43">
        <v>45328.972222218523</v>
      </c>
      <c r="F946" s="41">
        <v>14.79039751230939</v>
      </c>
      <c r="G946" s="41">
        <v>0</v>
      </c>
      <c r="H946" s="42"/>
      <c r="I946" s="42"/>
      <c r="J946" s="42"/>
    </row>
    <row r="947" spans="5:10">
      <c r="E947" s="43">
        <v>45328.975694440742</v>
      </c>
      <c r="F947" s="41">
        <v>14.79039751230939</v>
      </c>
      <c r="G947" s="41">
        <v>0</v>
      </c>
      <c r="H947" s="42"/>
      <c r="I947" s="42"/>
      <c r="J947" s="42"/>
    </row>
    <row r="948" spans="5:10">
      <c r="E948" s="43">
        <v>45328.979166662961</v>
      </c>
      <c r="F948" s="41">
        <v>14.79039751230939</v>
      </c>
      <c r="G948" s="41">
        <v>0</v>
      </c>
      <c r="H948" s="42"/>
      <c r="I948" s="42"/>
      <c r="J948" s="42"/>
    </row>
    <row r="949" spans="5:10">
      <c r="E949" s="43">
        <v>45328.98263888518</v>
      </c>
      <c r="F949" s="41">
        <v>14.79039751230939</v>
      </c>
      <c r="G949" s="41">
        <v>0</v>
      </c>
      <c r="H949" s="42"/>
      <c r="I949" s="42"/>
      <c r="J949" s="42"/>
    </row>
    <row r="950" spans="5:10">
      <c r="E950" s="43">
        <v>45328.986111107399</v>
      </c>
      <c r="F950" s="41">
        <v>14.79039751230939</v>
      </c>
      <c r="G950" s="41">
        <v>0</v>
      </c>
      <c r="H950" s="42"/>
      <c r="I950" s="42"/>
      <c r="J950" s="42"/>
    </row>
    <row r="951" spans="5:10">
      <c r="E951" s="43">
        <v>45328.989583329618</v>
      </c>
      <c r="F951" s="41">
        <v>14.79039751230939</v>
      </c>
      <c r="G951" s="41">
        <v>0</v>
      </c>
      <c r="H951" s="42"/>
      <c r="I951" s="42"/>
      <c r="J951" s="42"/>
    </row>
    <row r="952" spans="5:10">
      <c r="E952" s="43">
        <v>45328.993055551837</v>
      </c>
      <c r="F952" s="41">
        <v>14.79039751230939</v>
      </c>
      <c r="G952" s="41">
        <v>0</v>
      </c>
      <c r="H952" s="42"/>
      <c r="I952" s="42"/>
      <c r="J952" s="42"/>
    </row>
    <row r="953" spans="5:10">
      <c r="E953" s="43">
        <v>45328.996527774056</v>
      </c>
      <c r="F953" s="41">
        <v>14.79039751230939</v>
      </c>
      <c r="G953" s="41">
        <v>0</v>
      </c>
      <c r="H953" s="42"/>
      <c r="I953" s="42"/>
      <c r="J953" s="42"/>
    </row>
    <row r="954" spans="5:10">
      <c r="E954" s="43">
        <v>45328.999999996275</v>
      </c>
      <c r="F954" s="41">
        <v>14.79039751230939</v>
      </c>
      <c r="G954" s="41">
        <v>0</v>
      </c>
      <c r="H954" s="42"/>
      <c r="I954" s="42"/>
      <c r="J954" s="42"/>
    </row>
    <row r="955" spans="5:10">
      <c r="E955" s="43">
        <v>45329.003472218494</v>
      </c>
      <c r="F955" s="41">
        <v>14.79039751230939</v>
      </c>
      <c r="G955" s="41">
        <v>0</v>
      </c>
      <c r="H955" s="42"/>
      <c r="I955" s="42"/>
      <c r="J955" s="42"/>
    </row>
    <row r="956" spans="5:10">
      <c r="E956" s="43">
        <v>45329.006944440713</v>
      </c>
      <c r="F956" s="41">
        <v>14.79039751230939</v>
      </c>
      <c r="G956" s="41">
        <v>0</v>
      </c>
      <c r="H956" s="42"/>
      <c r="I956" s="42"/>
      <c r="J956" s="42"/>
    </row>
    <row r="957" spans="5:10">
      <c r="E957" s="43">
        <v>45329.010416662932</v>
      </c>
      <c r="F957" s="41">
        <v>14.79039751230939</v>
      </c>
      <c r="G957" s="41">
        <v>0</v>
      </c>
      <c r="H957" s="42"/>
      <c r="I957" s="42"/>
      <c r="J957" s="42"/>
    </row>
    <row r="958" spans="5:10">
      <c r="E958" s="43">
        <v>45329.013888885151</v>
      </c>
      <c r="F958" s="41">
        <v>14.79039751230939</v>
      </c>
      <c r="G958" s="41">
        <v>0</v>
      </c>
      <c r="H958" s="42"/>
      <c r="I958" s="42"/>
      <c r="J958" s="42"/>
    </row>
    <row r="959" spans="5:10">
      <c r="E959" s="43">
        <v>45329.01736110737</v>
      </c>
      <c r="F959" s="41">
        <v>14.79039751230939</v>
      </c>
      <c r="G959" s="41">
        <v>0</v>
      </c>
      <c r="H959" s="42"/>
      <c r="I959" s="42"/>
      <c r="J959" s="42"/>
    </row>
    <row r="960" spans="5:10">
      <c r="E960" s="43">
        <v>45329.020833329589</v>
      </c>
      <c r="F960" s="41">
        <v>14.79039751230939</v>
      </c>
      <c r="G960" s="41">
        <v>0</v>
      </c>
      <c r="H960" s="42"/>
      <c r="I960" s="42"/>
      <c r="J960" s="42"/>
    </row>
    <row r="961" spans="5:10">
      <c r="E961" s="43">
        <v>45329.024305551808</v>
      </c>
      <c r="F961" s="41">
        <v>14.79039751230939</v>
      </c>
      <c r="G961" s="41">
        <v>0</v>
      </c>
      <c r="H961" s="42"/>
      <c r="I961" s="42"/>
      <c r="J961" s="42"/>
    </row>
    <row r="962" spans="5:10">
      <c r="E962" s="43">
        <v>45329.027777774027</v>
      </c>
      <c r="F962" s="41">
        <v>14.79039751230939</v>
      </c>
      <c r="G962" s="41">
        <v>0</v>
      </c>
      <c r="H962" s="42"/>
      <c r="I962" s="42"/>
      <c r="J962" s="42"/>
    </row>
    <row r="963" spans="5:10">
      <c r="E963" s="43">
        <v>45329.031249996246</v>
      </c>
      <c r="F963" s="41">
        <v>14.79039751230939</v>
      </c>
      <c r="G963" s="41">
        <v>0</v>
      </c>
      <c r="H963" s="42"/>
      <c r="I963" s="42"/>
      <c r="J963" s="42"/>
    </row>
    <row r="964" spans="5:10">
      <c r="E964" s="43">
        <v>45329.034722218465</v>
      </c>
      <c r="F964" s="41">
        <v>14.79039751230939</v>
      </c>
      <c r="G964" s="41">
        <v>0</v>
      </c>
      <c r="H964" s="42"/>
      <c r="I964" s="42"/>
      <c r="J964" s="42"/>
    </row>
    <row r="965" spans="5:10">
      <c r="E965" s="43">
        <v>45329.038194440684</v>
      </c>
      <c r="F965" s="41">
        <v>14.79039751230939</v>
      </c>
      <c r="G965" s="41">
        <v>0</v>
      </c>
      <c r="H965" s="42"/>
      <c r="I965" s="42"/>
      <c r="J965" s="42"/>
    </row>
    <row r="966" spans="5:10">
      <c r="E966" s="43">
        <v>45329.041666662903</v>
      </c>
      <c r="F966" s="41">
        <v>14.79039751230939</v>
      </c>
      <c r="G966" s="41">
        <v>0</v>
      </c>
      <c r="H966" s="42"/>
      <c r="I966" s="42"/>
      <c r="J966" s="42"/>
    </row>
    <row r="967" spans="5:10">
      <c r="E967" s="43">
        <v>45329.045138885122</v>
      </c>
      <c r="F967" s="41">
        <v>14.79039751230939</v>
      </c>
      <c r="G967" s="41">
        <v>0</v>
      </c>
      <c r="H967" s="42"/>
      <c r="I967" s="42"/>
      <c r="J967" s="42"/>
    </row>
    <row r="968" spans="5:10">
      <c r="E968" s="43">
        <v>45329.048611107341</v>
      </c>
      <c r="F968" s="41">
        <v>14.79039751230939</v>
      </c>
      <c r="G968" s="41">
        <v>0</v>
      </c>
      <c r="H968" s="42"/>
      <c r="I968" s="42"/>
      <c r="J968" s="42"/>
    </row>
    <row r="969" spans="5:10">
      <c r="E969" s="43">
        <v>45329.05208332956</v>
      </c>
      <c r="F969" s="41">
        <v>14.79039751230939</v>
      </c>
      <c r="G969" s="41">
        <v>0</v>
      </c>
      <c r="H969" s="42"/>
      <c r="I969" s="42"/>
      <c r="J969" s="42"/>
    </row>
    <row r="970" spans="5:10">
      <c r="E970" s="43">
        <v>45329.055555551779</v>
      </c>
      <c r="F970" s="41">
        <v>14.79039751230939</v>
      </c>
      <c r="G970" s="41">
        <v>0</v>
      </c>
      <c r="H970" s="42"/>
      <c r="I970" s="42"/>
      <c r="J970" s="42"/>
    </row>
    <row r="971" spans="5:10">
      <c r="E971" s="43">
        <v>45329.059027773998</v>
      </c>
      <c r="F971" s="41">
        <v>14.79039751230939</v>
      </c>
      <c r="G971" s="41">
        <v>0</v>
      </c>
      <c r="H971" s="42"/>
      <c r="I971" s="42"/>
      <c r="J971" s="42"/>
    </row>
    <row r="972" spans="5:10">
      <c r="E972" s="43">
        <v>45329.062499996217</v>
      </c>
      <c r="F972" s="41">
        <v>14.79039751230939</v>
      </c>
      <c r="G972" s="41">
        <v>0</v>
      </c>
      <c r="H972" s="42"/>
      <c r="I972" s="42"/>
      <c r="J972" s="42"/>
    </row>
    <row r="973" spans="5:10">
      <c r="E973" s="43">
        <v>45329.065972218435</v>
      </c>
      <c r="F973" s="41">
        <v>14.79039751230939</v>
      </c>
      <c r="G973" s="41">
        <v>0</v>
      </c>
      <c r="H973" s="42"/>
      <c r="I973" s="42"/>
      <c r="J973" s="42"/>
    </row>
    <row r="974" spans="5:10">
      <c r="E974" s="43">
        <v>45329.069444440654</v>
      </c>
      <c r="F974" s="41">
        <v>14.79039751230939</v>
      </c>
      <c r="G974" s="41">
        <v>0</v>
      </c>
      <c r="H974" s="42"/>
      <c r="I974" s="42"/>
      <c r="J974" s="42"/>
    </row>
    <row r="975" spans="5:10">
      <c r="E975" s="43">
        <v>45329.072916662873</v>
      </c>
      <c r="F975" s="41">
        <v>14.79039751230939</v>
      </c>
      <c r="G975" s="41">
        <v>0</v>
      </c>
      <c r="H975" s="42"/>
      <c r="I975" s="42"/>
      <c r="J975" s="42"/>
    </row>
    <row r="976" spans="5:10">
      <c r="E976" s="43">
        <v>45329.076388885092</v>
      </c>
      <c r="F976" s="41">
        <v>14.79039751230939</v>
      </c>
      <c r="G976" s="41">
        <v>0</v>
      </c>
      <c r="H976" s="42"/>
      <c r="I976" s="42"/>
      <c r="J976" s="42"/>
    </row>
    <row r="977" spans="5:10">
      <c r="E977" s="43">
        <v>45329.079861107311</v>
      </c>
      <c r="F977" s="41">
        <v>14.79039751230939</v>
      </c>
      <c r="G977" s="41">
        <v>0</v>
      </c>
      <c r="H977" s="42"/>
      <c r="I977" s="42"/>
      <c r="J977" s="42"/>
    </row>
    <row r="978" spans="5:10">
      <c r="E978" s="43">
        <v>45329.08333332953</v>
      </c>
      <c r="F978" s="41">
        <v>14.79039751230939</v>
      </c>
      <c r="G978" s="41">
        <v>0</v>
      </c>
      <c r="H978" s="42"/>
      <c r="I978" s="42"/>
      <c r="J978" s="42"/>
    </row>
    <row r="979" spans="5:10">
      <c r="E979" s="43">
        <v>45329.086805551749</v>
      </c>
      <c r="F979" s="41">
        <v>14.79039751230939</v>
      </c>
      <c r="G979" s="41">
        <v>0</v>
      </c>
      <c r="H979" s="42"/>
      <c r="I979" s="42"/>
      <c r="J979" s="42"/>
    </row>
    <row r="980" spans="5:10">
      <c r="E980" s="43">
        <v>45329.090277773968</v>
      </c>
      <c r="F980" s="41">
        <v>14.79039751230939</v>
      </c>
      <c r="G980" s="41">
        <v>0</v>
      </c>
      <c r="H980" s="42"/>
      <c r="I980" s="42"/>
      <c r="J980" s="42"/>
    </row>
    <row r="981" spans="5:10">
      <c r="E981" s="43">
        <v>45329.093749996187</v>
      </c>
      <c r="F981" s="41">
        <v>14.79039751230939</v>
      </c>
      <c r="G981" s="41">
        <v>0</v>
      </c>
      <c r="H981" s="42"/>
      <c r="I981" s="42"/>
      <c r="J981" s="42"/>
    </row>
    <row r="982" spans="5:10">
      <c r="E982" s="43">
        <v>45329.097222218406</v>
      </c>
      <c r="F982" s="41">
        <v>14.79039751230939</v>
      </c>
      <c r="G982" s="41">
        <v>0</v>
      </c>
      <c r="H982" s="42"/>
      <c r="I982" s="42"/>
      <c r="J982" s="42"/>
    </row>
    <row r="983" spans="5:10">
      <c r="E983" s="43">
        <v>45329.100694440625</v>
      </c>
      <c r="F983" s="41">
        <v>14.79039751230939</v>
      </c>
      <c r="G983" s="41">
        <v>0</v>
      </c>
      <c r="H983" s="42"/>
      <c r="I983" s="42"/>
      <c r="J983" s="42"/>
    </row>
    <row r="984" spans="5:10">
      <c r="E984" s="43">
        <v>45329.104166662844</v>
      </c>
      <c r="F984" s="41">
        <v>14.79039751230939</v>
      </c>
      <c r="G984" s="41">
        <v>0</v>
      </c>
      <c r="H984" s="42"/>
      <c r="I984" s="42"/>
      <c r="J984" s="42"/>
    </row>
    <row r="985" spans="5:10">
      <c r="E985" s="43">
        <v>45329.107638885063</v>
      </c>
      <c r="F985" s="41">
        <v>14.79039751230939</v>
      </c>
      <c r="G985" s="41">
        <v>0</v>
      </c>
      <c r="H985" s="42"/>
      <c r="I985" s="42"/>
      <c r="J985" s="42"/>
    </row>
    <row r="986" spans="5:10">
      <c r="E986" s="43">
        <v>45329.111111107282</v>
      </c>
      <c r="F986" s="41">
        <v>14.79039751230939</v>
      </c>
      <c r="G986" s="41">
        <v>0</v>
      </c>
      <c r="H986" s="42"/>
      <c r="I986" s="42"/>
      <c r="J986" s="42"/>
    </row>
    <row r="987" spans="5:10">
      <c r="E987" s="43">
        <v>45329.114583329501</v>
      </c>
      <c r="F987" s="41">
        <v>14.79039751230939</v>
      </c>
      <c r="G987" s="41">
        <v>0</v>
      </c>
      <c r="H987" s="42"/>
      <c r="I987" s="42"/>
      <c r="J987" s="42"/>
    </row>
    <row r="988" spans="5:10">
      <c r="E988" s="43">
        <v>45329.11805555172</v>
      </c>
      <c r="F988" s="41">
        <v>14.79039751230939</v>
      </c>
      <c r="G988" s="41">
        <v>0</v>
      </c>
      <c r="H988" s="42"/>
      <c r="I988" s="42"/>
      <c r="J988" s="42"/>
    </row>
    <row r="989" spans="5:10">
      <c r="E989" s="43">
        <v>45329.121527773939</v>
      </c>
      <c r="F989" s="41">
        <v>14.79039751230939</v>
      </c>
      <c r="G989" s="41">
        <v>0</v>
      </c>
      <c r="H989" s="42"/>
      <c r="I989" s="42"/>
      <c r="J989" s="42"/>
    </row>
    <row r="990" spans="5:10">
      <c r="E990" s="43">
        <v>45329.124999996158</v>
      </c>
      <c r="F990" s="41">
        <v>14.79039751230939</v>
      </c>
      <c r="G990" s="41">
        <v>0</v>
      </c>
      <c r="H990" s="42"/>
      <c r="I990" s="42"/>
      <c r="J990" s="42"/>
    </row>
    <row r="991" spans="5:10">
      <c r="E991" s="43">
        <v>45329.128472218377</v>
      </c>
      <c r="F991" s="41">
        <v>14.79039751230939</v>
      </c>
      <c r="G991" s="41">
        <v>0</v>
      </c>
      <c r="H991" s="42"/>
      <c r="I991" s="42"/>
      <c r="J991" s="42"/>
    </row>
    <row r="992" spans="5:10">
      <c r="E992" s="43">
        <v>45329.131944440596</v>
      </c>
      <c r="F992" s="41">
        <v>14.79039751230939</v>
      </c>
      <c r="G992" s="41">
        <v>0</v>
      </c>
      <c r="H992" s="42"/>
      <c r="I992" s="42"/>
      <c r="J992" s="42"/>
    </row>
    <row r="993" spans="5:10">
      <c r="E993" s="43">
        <v>45329.135416662815</v>
      </c>
      <c r="F993" s="41">
        <v>14.79039751230939</v>
      </c>
      <c r="G993" s="41">
        <v>0</v>
      </c>
      <c r="H993" s="42"/>
      <c r="I993" s="42"/>
      <c r="J993" s="42"/>
    </row>
    <row r="994" spans="5:10">
      <c r="E994" s="43">
        <v>45329.138888885034</v>
      </c>
      <c r="F994" s="41">
        <v>14.79039751230939</v>
      </c>
      <c r="G994" s="41">
        <v>0</v>
      </c>
      <c r="H994" s="42"/>
      <c r="I994" s="42"/>
      <c r="J994" s="42"/>
    </row>
    <row r="995" spans="5:10">
      <c r="E995" s="43">
        <v>45329.142361107253</v>
      </c>
      <c r="F995" s="41">
        <v>14.79039751230939</v>
      </c>
      <c r="G995" s="41">
        <v>0</v>
      </c>
      <c r="H995" s="42"/>
      <c r="I995" s="42"/>
      <c r="J995" s="42"/>
    </row>
    <row r="996" spans="5:10">
      <c r="E996" s="43">
        <v>45329.145833329472</v>
      </c>
      <c r="F996" s="41">
        <v>14.79039751230939</v>
      </c>
      <c r="G996" s="41">
        <v>0</v>
      </c>
      <c r="H996" s="42"/>
      <c r="I996" s="42"/>
      <c r="J996" s="42"/>
    </row>
    <row r="997" spans="5:10">
      <c r="E997" s="43">
        <v>45329.149305551691</v>
      </c>
      <c r="F997" s="41">
        <v>14.79039751230939</v>
      </c>
      <c r="G997" s="41">
        <v>0</v>
      </c>
      <c r="H997" s="42"/>
      <c r="I997" s="42"/>
      <c r="J997" s="42"/>
    </row>
    <row r="998" spans="5:10">
      <c r="E998" s="43">
        <v>45329.15277777391</v>
      </c>
      <c r="F998" s="41">
        <v>14.79039751230939</v>
      </c>
      <c r="G998" s="41">
        <v>0</v>
      </c>
      <c r="H998" s="42"/>
      <c r="I998" s="42"/>
      <c r="J998" s="42"/>
    </row>
    <row r="999" spans="5:10">
      <c r="E999" s="43">
        <v>45329.156249996129</v>
      </c>
      <c r="F999" s="41">
        <v>14.79039751230939</v>
      </c>
      <c r="G999" s="41">
        <v>0</v>
      </c>
      <c r="H999" s="42"/>
      <c r="I999" s="42"/>
      <c r="J999" s="42"/>
    </row>
    <row r="1000" spans="5:10">
      <c r="E1000" s="43">
        <v>45329.159722218348</v>
      </c>
      <c r="F1000" s="41">
        <v>14.79039751230939</v>
      </c>
      <c r="G1000" s="41">
        <v>0</v>
      </c>
      <c r="H1000" s="42"/>
      <c r="I1000" s="42"/>
      <c r="J1000" s="42"/>
    </row>
    <row r="1001" spans="5:10">
      <c r="E1001" s="43">
        <v>45329.163194440567</v>
      </c>
      <c r="F1001" s="41">
        <v>14.79039751230939</v>
      </c>
      <c r="G1001" s="41">
        <v>0</v>
      </c>
      <c r="H1001" s="42"/>
      <c r="I1001" s="42"/>
      <c r="J1001" s="42"/>
    </row>
    <row r="1002" spans="5:10">
      <c r="E1002" s="43">
        <v>45329.166666662786</v>
      </c>
      <c r="F1002" s="41">
        <v>14.79039751230939</v>
      </c>
      <c r="G1002" s="41">
        <v>0</v>
      </c>
      <c r="H1002" s="42"/>
      <c r="I1002" s="42"/>
      <c r="J1002" s="42"/>
    </row>
    <row r="1003" spans="5:10">
      <c r="E1003" s="43">
        <v>45329.170138885005</v>
      </c>
      <c r="F1003" s="41">
        <v>14.79039751230939</v>
      </c>
      <c r="G1003" s="41">
        <v>0</v>
      </c>
      <c r="H1003" s="42"/>
      <c r="I1003" s="42"/>
      <c r="J1003" s="42"/>
    </row>
    <row r="1004" spans="5:10">
      <c r="E1004" s="43">
        <v>45329.173611107224</v>
      </c>
      <c r="F1004" s="41">
        <v>14.79039751230939</v>
      </c>
      <c r="G1004" s="41">
        <v>0</v>
      </c>
      <c r="H1004" s="42"/>
      <c r="I1004" s="42"/>
      <c r="J1004" s="42"/>
    </row>
    <row r="1005" spans="5:10">
      <c r="E1005" s="43">
        <v>45329.177083329443</v>
      </c>
      <c r="F1005" s="41">
        <v>14.79039751230939</v>
      </c>
      <c r="G1005" s="41">
        <v>0</v>
      </c>
      <c r="H1005" s="42"/>
      <c r="I1005" s="42"/>
      <c r="J1005" s="42"/>
    </row>
    <row r="1006" spans="5:10">
      <c r="E1006" s="43">
        <v>45329.180555551662</v>
      </c>
      <c r="F1006" s="41">
        <v>14.79039751230939</v>
      </c>
      <c r="G1006" s="41">
        <v>0</v>
      </c>
      <c r="H1006" s="42"/>
      <c r="I1006" s="42"/>
      <c r="J1006" s="42"/>
    </row>
    <row r="1007" spans="5:10">
      <c r="E1007" s="43">
        <v>45329.184027773881</v>
      </c>
      <c r="F1007" s="41">
        <v>14.79039751230939</v>
      </c>
      <c r="G1007" s="41">
        <v>0</v>
      </c>
      <c r="H1007" s="42"/>
      <c r="I1007" s="42"/>
      <c r="J1007" s="42"/>
    </row>
    <row r="1008" spans="5:10">
      <c r="E1008" s="43">
        <v>45329.1874999961</v>
      </c>
      <c r="F1008" s="41">
        <v>14.79039751230939</v>
      </c>
      <c r="G1008" s="41">
        <v>0</v>
      </c>
      <c r="H1008" s="42"/>
      <c r="I1008" s="42"/>
      <c r="J1008" s="42"/>
    </row>
    <row r="1009" spans="5:10">
      <c r="E1009" s="43">
        <v>45329.190972218319</v>
      </c>
      <c r="F1009" s="41">
        <v>14.79039751230939</v>
      </c>
      <c r="G1009" s="41">
        <v>0</v>
      </c>
      <c r="H1009" s="42"/>
      <c r="I1009" s="42"/>
      <c r="J1009" s="42"/>
    </row>
    <row r="1010" spans="5:10">
      <c r="E1010" s="43">
        <v>45329.194444440538</v>
      </c>
      <c r="F1010" s="41">
        <v>14.79039751230939</v>
      </c>
      <c r="G1010" s="41">
        <v>0</v>
      </c>
      <c r="H1010" s="42"/>
      <c r="I1010" s="42"/>
      <c r="J1010" s="42"/>
    </row>
    <row r="1011" spans="5:10">
      <c r="E1011" s="43">
        <v>45329.197916662757</v>
      </c>
      <c r="F1011" s="41">
        <v>14.79039751230939</v>
      </c>
      <c r="G1011" s="41">
        <v>0</v>
      </c>
      <c r="H1011" s="42"/>
      <c r="I1011" s="42"/>
      <c r="J1011" s="42"/>
    </row>
    <row r="1012" spans="5:10">
      <c r="E1012" s="43">
        <v>45329.201388884976</v>
      </c>
      <c r="F1012" s="41">
        <v>14.79039751230939</v>
      </c>
      <c r="G1012" s="41">
        <v>0</v>
      </c>
      <c r="H1012" s="42"/>
      <c r="I1012" s="42"/>
      <c r="J1012" s="42"/>
    </row>
    <row r="1013" spans="5:10">
      <c r="E1013" s="43">
        <v>45329.204861107195</v>
      </c>
      <c r="F1013" s="41">
        <v>14.79039751230939</v>
      </c>
      <c r="G1013" s="41">
        <v>0</v>
      </c>
      <c r="H1013" s="42"/>
      <c r="I1013" s="42"/>
      <c r="J1013" s="42"/>
    </row>
    <row r="1014" spans="5:10">
      <c r="E1014" s="43">
        <v>45329.208333329414</v>
      </c>
      <c r="F1014" s="41">
        <v>14.79039751230939</v>
      </c>
      <c r="G1014" s="41">
        <v>0</v>
      </c>
      <c r="H1014" s="42"/>
      <c r="I1014" s="42"/>
      <c r="J1014" s="42"/>
    </row>
    <row r="1015" spans="5:10">
      <c r="E1015" s="43">
        <v>45329.211805551633</v>
      </c>
      <c r="F1015" s="41">
        <v>14.79039751230939</v>
      </c>
      <c r="G1015" s="41">
        <v>0</v>
      </c>
      <c r="H1015" s="42"/>
      <c r="I1015" s="42"/>
      <c r="J1015" s="42"/>
    </row>
    <row r="1016" spans="5:10">
      <c r="E1016" s="43">
        <v>45329.215277773852</v>
      </c>
      <c r="F1016" s="41">
        <v>14.79039751230939</v>
      </c>
      <c r="G1016" s="41">
        <v>0</v>
      </c>
      <c r="H1016" s="42"/>
      <c r="I1016" s="42"/>
      <c r="J1016" s="42"/>
    </row>
    <row r="1017" spans="5:10">
      <c r="E1017" s="43">
        <v>45329.218749996071</v>
      </c>
      <c r="F1017" s="41">
        <v>14.79039751230939</v>
      </c>
      <c r="G1017" s="41">
        <v>0</v>
      </c>
      <c r="H1017" s="42"/>
      <c r="I1017" s="42"/>
      <c r="J1017" s="42"/>
    </row>
    <row r="1018" spans="5:10">
      <c r="E1018" s="43">
        <v>45329.22222221829</v>
      </c>
      <c r="F1018" s="41">
        <v>14.79039751230939</v>
      </c>
      <c r="G1018" s="41">
        <v>0</v>
      </c>
      <c r="H1018" s="42"/>
      <c r="I1018" s="42"/>
      <c r="J1018" s="42"/>
    </row>
    <row r="1019" spans="5:10">
      <c r="E1019" s="43">
        <v>45329.225694440509</v>
      </c>
      <c r="F1019" s="41">
        <v>14.79039751230939</v>
      </c>
      <c r="G1019" s="41">
        <v>0</v>
      </c>
      <c r="H1019" s="42"/>
      <c r="I1019" s="42"/>
      <c r="J1019" s="42"/>
    </row>
    <row r="1020" spans="5:10">
      <c r="E1020" s="43">
        <v>45329.229166662728</v>
      </c>
      <c r="F1020" s="41">
        <v>14.79039751230939</v>
      </c>
      <c r="G1020" s="41">
        <v>0</v>
      </c>
      <c r="H1020" s="42"/>
      <c r="I1020" s="42"/>
      <c r="J1020" s="42"/>
    </row>
    <row r="1021" spans="5:10">
      <c r="E1021" s="43">
        <v>45329.232638884947</v>
      </c>
      <c r="F1021" s="41">
        <v>14.79039751230939</v>
      </c>
      <c r="G1021" s="41">
        <v>0</v>
      </c>
      <c r="H1021" s="42"/>
      <c r="I1021" s="42"/>
      <c r="J1021" s="42"/>
    </row>
    <row r="1022" spans="5:10">
      <c r="E1022" s="43">
        <v>45329.236111107166</v>
      </c>
      <c r="F1022" s="41">
        <v>14.79039751230939</v>
      </c>
      <c r="G1022" s="41">
        <v>0</v>
      </c>
      <c r="H1022" s="42"/>
      <c r="I1022" s="42"/>
      <c r="J1022" s="42"/>
    </row>
    <row r="1023" spans="5:10">
      <c r="E1023" s="43">
        <v>45329.239583329385</v>
      </c>
      <c r="F1023" s="41">
        <v>14.79039751230939</v>
      </c>
      <c r="G1023" s="41">
        <v>0</v>
      </c>
      <c r="H1023" s="42"/>
      <c r="I1023" s="42"/>
      <c r="J1023" s="42"/>
    </row>
    <row r="1024" spans="5:10">
      <c r="E1024" s="43">
        <v>45329.243055551604</v>
      </c>
      <c r="F1024" s="41">
        <v>14.79039751230939</v>
      </c>
      <c r="G1024" s="41">
        <v>0</v>
      </c>
      <c r="H1024" s="42"/>
      <c r="I1024" s="42"/>
      <c r="J1024" s="42"/>
    </row>
    <row r="1025" spans="5:10">
      <c r="E1025" s="43">
        <v>45329.246527773823</v>
      </c>
      <c r="F1025" s="41">
        <v>14.79039751230939</v>
      </c>
      <c r="G1025" s="41">
        <v>0</v>
      </c>
      <c r="H1025" s="42"/>
      <c r="I1025" s="42"/>
      <c r="J1025" s="42"/>
    </row>
    <row r="1026" spans="5:10">
      <c r="E1026" s="43">
        <v>45329.249999996042</v>
      </c>
      <c r="F1026" s="41">
        <v>14.79039751230939</v>
      </c>
      <c r="G1026" s="41">
        <v>0</v>
      </c>
      <c r="H1026" s="42"/>
      <c r="I1026" s="42"/>
      <c r="J1026" s="42"/>
    </row>
    <row r="1027" spans="5:10">
      <c r="E1027" s="43">
        <v>45329.253472218261</v>
      </c>
      <c r="F1027" s="41">
        <v>14.79039751230939</v>
      </c>
      <c r="G1027" s="41">
        <v>0</v>
      </c>
      <c r="H1027" s="42"/>
      <c r="I1027" s="42"/>
      <c r="J1027" s="42"/>
    </row>
    <row r="1028" spans="5:10">
      <c r="E1028" s="43">
        <v>45329.25694444048</v>
      </c>
      <c r="F1028" s="41">
        <v>14.79039751230939</v>
      </c>
      <c r="G1028" s="41">
        <v>0</v>
      </c>
      <c r="H1028" s="42"/>
      <c r="I1028" s="42"/>
      <c r="J1028" s="42"/>
    </row>
    <row r="1029" spans="5:10">
      <c r="E1029" s="43">
        <v>45329.260416662699</v>
      </c>
      <c r="F1029" s="41">
        <v>14.79039751230939</v>
      </c>
      <c r="G1029" s="41">
        <v>0</v>
      </c>
      <c r="H1029" s="42"/>
      <c r="I1029" s="42"/>
      <c r="J1029" s="42"/>
    </row>
    <row r="1030" spans="5:10">
      <c r="E1030" s="43">
        <v>45329.263888884918</v>
      </c>
      <c r="F1030" s="41">
        <v>14.79039751230939</v>
      </c>
      <c r="G1030" s="41">
        <v>0</v>
      </c>
      <c r="H1030" s="42"/>
      <c r="I1030" s="42"/>
      <c r="J1030" s="42"/>
    </row>
    <row r="1031" spans="5:10">
      <c r="E1031" s="43">
        <v>45329.267361107137</v>
      </c>
      <c r="F1031" s="41">
        <v>14.79039751230939</v>
      </c>
      <c r="G1031" s="41">
        <v>0</v>
      </c>
      <c r="H1031" s="42"/>
      <c r="I1031" s="42"/>
      <c r="J1031" s="42"/>
    </row>
    <row r="1032" spans="5:10">
      <c r="E1032" s="43">
        <v>45329.270833329356</v>
      </c>
      <c r="F1032" s="41">
        <v>14.79039751230939</v>
      </c>
      <c r="G1032" s="41">
        <v>0</v>
      </c>
      <c r="H1032" s="42"/>
      <c r="I1032" s="42"/>
      <c r="J1032" s="42"/>
    </row>
    <row r="1033" spans="5:10">
      <c r="E1033" s="43">
        <v>45329.274305551575</v>
      </c>
      <c r="F1033" s="41">
        <v>14.79039751230939</v>
      </c>
      <c r="G1033" s="41">
        <v>0</v>
      </c>
      <c r="H1033" s="42"/>
      <c r="I1033" s="42"/>
      <c r="J1033" s="42"/>
    </row>
    <row r="1034" spans="5:10">
      <c r="E1034" s="43">
        <v>45329.277777773794</v>
      </c>
      <c r="F1034" s="41">
        <v>14.79039751230939</v>
      </c>
      <c r="G1034" s="41">
        <v>0</v>
      </c>
      <c r="H1034" s="42"/>
      <c r="I1034" s="42"/>
      <c r="J1034" s="42"/>
    </row>
    <row r="1035" spans="5:10">
      <c r="E1035" s="43">
        <v>45329.281249996013</v>
      </c>
      <c r="F1035" s="41">
        <v>14.79039751230939</v>
      </c>
      <c r="G1035" s="41">
        <v>0</v>
      </c>
      <c r="H1035" s="42"/>
      <c r="I1035" s="42"/>
      <c r="J1035" s="42"/>
    </row>
    <row r="1036" spans="5:10">
      <c r="E1036" s="43">
        <v>45329.284722218232</v>
      </c>
      <c r="F1036" s="41">
        <v>14.79039751230939</v>
      </c>
      <c r="G1036" s="41">
        <v>0</v>
      </c>
      <c r="H1036" s="42"/>
      <c r="I1036" s="42"/>
      <c r="J1036" s="42"/>
    </row>
    <row r="1037" spans="5:10">
      <c r="E1037" s="43">
        <v>45329.288194440451</v>
      </c>
      <c r="F1037" s="41">
        <v>14.79039751230939</v>
      </c>
      <c r="G1037" s="41">
        <v>0</v>
      </c>
      <c r="H1037" s="42"/>
      <c r="I1037" s="42"/>
      <c r="J1037" s="42"/>
    </row>
    <row r="1038" spans="5:10">
      <c r="E1038" s="43">
        <v>45329.29166666267</v>
      </c>
      <c r="F1038" s="41">
        <v>14.79039751230939</v>
      </c>
      <c r="G1038" s="41">
        <v>0</v>
      </c>
      <c r="H1038" s="42"/>
      <c r="I1038" s="42"/>
      <c r="J1038" s="42"/>
    </row>
    <row r="1039" spans="5:10">
      <c r="E1039" s="43">
        <v>45329.295138884889</v>
      </c>
      <c r="F1039" s="41">
        <v>14.79039751230939</v>
      </c>
      <c r="G1039" s="41">
        <v>0</v>
      </c>
      <c r="H1039" s="42"/>
      <c r="I1039" s="42"/>
      <c r="J1039" s="42"/>
    </row>
    <row r="1040" spans="5:10">
      <c r="E1040" s="43">
        <v>45329.298611107108</v>
      </c>
      <c r="F1040" s="41">
        <v>14.79039751230939</v>
      </c>
      <c r="G1040" s="41">
        <v>0</v>
      </c>
      <c r="H1040" s="42"/>
      <c r="I1040" s="42"/>
      <c r="J1040" s="42"/>
    </row>
    <row r="1041" spans="5:10">
      <c r="E1041" s="43">
        <v>45329.302083329327</v>
      </c>
      <c r="F1041" s="41">
        <v>14.79039751230939</v>
      </c>
      <c r="G1041" s="41">
        <v>0</v>
      </c>
      <c r="H1041" s="42"/>
      <c r="I1041" s="42"/>
      <c r="J1041" s="42"/>
    </row>
    <row r="1042" spans="5:10">
      <c r="E1042" s="43">
        <v>45329.305555551546</v>
      </c>
      <c r="F1042" s="41">
        <v>14.79039751230939</v>
      </c>
      <c r="G1042" s="41">
        <v>0</v>
      </c>
      <c r="H1042" s="42"/>
      <c r="I1042" s="42"/>
      <c r="J1042" s="42"/>
    </row>
    <row r="1043" spans="5:10">
      <c r="E1043" s="43">
        <v>45329.309027773765</v>
      </c>
      <c r="F1043" s="41">
        <v>14.79039751230939</v>
      </c>
      <c r="G1043" s="41">
        <v>0</v>
      </c>
      <c r="H1043" s="42"/>
      <c r="I1043" s="42"/>
      <c r="J1043" s="42"/>
    </row>
    <row r="1044" spans="5:10">
      <c r="E1044" s="43">
        <v>45329.312499995984</v>
      </c>
      <c r="F1044" s="41">
        <v>14.79039751230939</v>
      </c>
      <c r="G1044" s="41">
        <v>0</v>
      </c>
      <c r="H1044" s="42"/>
      <c r="I1044" s="42"/>
      <c r="J1044" s="42"/>
    </row>
    <row r="1045" spans="5:10">
      <c r="E1045" s="43">
        <v>45329.315972218203</v>
      </c>
      <c r="F1045" s="41">
        <v>14.79039751230939</v>
      </c>
      <c r="G1045" s="41">
        <v>0</v>
      </c>
      <c r="H1045" s="42"/>
      <c r="I1045" s="42"/>
      <c r="J1045" s="42"/>
    </row>
    <row r="1046" spans="5:10">
      <c r="E1046" s="43">
        <v>45329.319444440422</v>
      </c>
      <c r="F1046" s="41">
        <v>14.79039751230939</v>
      </c>
      <c r="G1046" s="41">
        <v>0</v>
      </c>
      <c r="H1046" s="42"/>
      <c r="I1046" s="42"/>
      <c r="J1046" s="42"/>
    </row>
    <row r="1047" spans="5:10">
      <c r="E1047" s="43">
        <v>45329.322916662641</v>
      </c>
      <c r="F1047" s="41">
        <v>14.79039751230939</v>
      </c>
      <c r="G1047" s="41">
        <v>0</v>
      </c>
      <c r="H1047" s="42"/>
      <c r="I1047" s="42"/>
      <c r="J1047" s="42"/>
    </row>
    <row r="1048" spans="5:10">
      <c r="E1048" s="43">
        <v>45329.32638888486</v>
      </c>
      <c r="F1048" s="41">
        <v>14.79039751230939</v>
      </c>
      <c r="G1048" s="41">
        <v>0</v>
      </c>
      <c r="H1048" s="42"/>
      <c r="I1048" s="42"/>
      <c r="J1048" s="42"/>
    </row>
    <row r="1049" spans="5:10">
      <c r="E1049" s="43">
        <v>45329.329861107079</v>
      </c>
      <c r="F1049" s="41">
        <v>14.79039751230939</v>
      </c>
      <c r="G1049" s="41">
        <v>0</v>
      </c>
      <c r="H1049" s="42"/>
      <c r="I1049" s="42"/>
      <c r="J1049" s="42"/>
    </row>
    <row r="1050" spans="5:10">
      <c r="E1050" s="43">
        <v>45329.333333329298</v>
      </c>
      <c r="F1050" s="41">
        <v>14.79039751230939</v>
      </c>
      <c r="G1050" s="41">
        <v>0</v>
      </c>
      <c r="H1050" s="42"/>
      <c r="I1050" s="42"/>
      <c r="J1050" s="42"/>
    </row>
    <row r="1051" spans="5:10">
      <c r="E1051" s="43">
        <v>45329.336805551517</v>
      </c>
      <c r="F1051" s="41">
        <v>14.79039751230939</v>
      </c>
      <c r="G1051" s="41">
        <v>0</v>
      </c>
      <c r="H1051" s="42"/>
      <c r="I1051" s="42"/>
      <c r="J1051" s="42"/>
    </row>
    <row r="1052" spans="5:10">
      <c r="E1052" s="43">
        <v>45329.340277773736</v>
      </c>
      <c r="F1052" s="41">
        <v>14.79039751230939</v>
      </c>
      <c r="G1052" s="41">
        <v>0</v>
      </c>
      <c r="H1052" s="42"/>
      <c r="I1052" s="42"/>
      <c r="J1052" s="42"/>
    </row>
    <row r="1053" spans="5:10">
      <c r="E1053" s="43">
        <v>45329.343749995955</v>
      </c>
      <c r="F1053" s="41">
        <v>14.79039751230939</v>
      </c>
      <c r="G1053" s="41">
        <v>0</v>
      </c>
      <c r="H1053" s="42"/>
      <c r="I1053" s="42"/>
      <c r="J1053" s="42"/>
    </row>
    <row r="1054" spans="5:10">
      <c r="E1054" s="43">
        <v>45329.347222218174</v>
      </c>
      <c r="F1054" s="41">
        <v>14.79039751230939</v>
      </c>
      <c r="G1054" s="41">
        <v>0</v>
      </c>
      <c r="H1054" s="42"/>
      <c r="I1054" s="42"/>
      <c r="J1054" s="42"/>
    </row>
    <row r="1055" spans="5:10">
      <c r="E1055" s="43">
        <v>45329.350694440393</v>
      </c>
      <c r="F1055" s="41">
        <v>14.79039751230939</v>
      </c>
      <c r="G1055" s="41">
        <v>0</v>
      </c>
      <c r="H1055" s="42"/>
      <c r="I1055" s="42"/>
      <c r="J1055" s="42"/>
    </row>
    <row r="1056" spans="5:10">
      <c r="E1056" s="43">
        <v>45329.354166662612</v>
      </c>
      <c r="F1056" s="41">
        <v>14.79039751230939</v>
      </c>
      <c r="G1056" s="41">
        <v>0</v>
      </c>
      <c r="H1056" s="42"/>
      <c r="I1056" s="42"/>
      <c r="J1056" s="42"/>
    </row>
    <row r="1057" spans="5:10">
      <c r="E1057" s="43">
        <v>45329.357638884831</v>
      </c>
      <c r="F1057" s="41">
        <v>14.79039751230939</v>
      </c>
      <c r="G1057" s="41">
        <v>0</v>
      </c>
      <c r="H1057" s="42"/>
      <c r="I1057" s="42"/>
      <c r="J1057" s="42"/>
    </row>
    <row r="1058" spans="5:10">
      <c r="E1058" s="43">
        <v>45329.36111110705</v>
      </c>
      <c r="F1058" s="41">
        <v>14.79039751230939</v>
      </c>
      <c r="G1058" s="41">
        <v>0</v>
      </c>
      <c r="H1058" s="42"/>
      <c r="I1058" s="42"/>
      <c r="J1058" s="42"/>
    </row>
    <row r="1059" spans="5:10">
      <c r="E1059" s="43">
        <v>45329.364583329268</v>
      </c>
      <c r="F1059" s="41">
        <v>14.79039751230939</v>
      </c>
      <c r="G1059" s="41">
        <v>0</v>
      </c>
      <c r="H1059" s="42"/>
      <c r="I1059" s="42"/>
      <c r="J1059" s="42"/>
    </row>
    <row r="1060" spans="5:10">
      <c r="E1060" s="43">
        <v>45329.368055551487</v>
      </c>
      <c r="F1060" s="41">
        <v>14.79039751230939</v>
      </c>
      <c r="G1060" s="41">
        <v>0</v>
      </c>
      <c r="H1060" s="42"/>
      <c r="I1060" s="42"/>
      <c r="J1060" s="42"/>
    </row>
    <row r="1061" spans="5:10">
      <c r="E1061" s="43">
        <v>45329.371527773706</v>
      </c>
      <c r="F1061" s="41">
        <v>14.79039751230939</v>
      </c>
      <c r="G1061" s="41">
        <v>0</v>
      </c>
      <c r="H1061" s="42"/>
      <c r="I1061" s="42"/>
      <c r="J1061" s="42"/>
    </row>
    <row r="1062" spans="5:10">
      <c r="E1062" s="43">
        <v>45329.374999995925</v>
      </c>
      <c r="F1062" s="41">
        <v>14.79039751230939</v>
      </c>
      <c r="G1062" s="41">
        <v>0</v>
      </c>
      <c r="H1062" s="42"/>
      <c r="I1062" s="42"/>
      <c r="J1062" s="42"/>
    </row>
    <row r="1063" spans="5:10">
      <c r="E1063" s="43">
        <v>45329.378472218144</v>
      </c>
      <c r="F1063" s="41">
        <v>14.79039751230939</v>
      </c>
      <c r="G1063" s="41">
        <v>0</v>
      </c>
      <c r="H1063" s="42"/>
      <c r="I1063" s="42"/>
      <c r="J1063" s="42"/>
    </row>
    <row r="1064" spans="5:10">
      <c r="E1064" s="43">
        <v>45329.381944440363</v>
      </c>
      <c r="F1064" s="41">
        <v>14.79039751230939</v>
      </c>
      <c r="G1064" s="41">
        <v>0</v>
      </c>
      <c r="H1064" s="42"/>
      <c r="I1064" s="42"/>
      <c r="J1064" s="42"/>
    </row>
    <row r="1065" spans="5:10">
      <c r="E1065" s="43">
        <v>45329.385416662582</v>
      </c>
      <c r="F1065" s="41">
        <v>14.79039751230939</v>
      </c>
      <c r="G1065" s="41">
        <v>0</v>
      </c>
      <c r="H1065" s="42"/>
      <c r="I1065" s="42"/>
      <c r="J1065" s="42"/>
    </row>
    <row r="1066" spans="5:10">
      <c r="E1066" s="43">
        <v>45329.388888884801</v>
      </c>
      <c r="F1066" s="41">
        <v>14.79039751230939</v>
      </c>
      <c r="G1066" s="41">
        <v>0</v>
      </c>
      <c r="H1066" s="42"/>
      <c r="I1066" s="42"/>
      <c r="J1066" s="42"/>
    </row>
    <row r="1067" spans="5:10">
      <c r="E1067" s="43">
        <v>45329.39236110702</v>
      </c>
      <c r="F1067" s="41">
        <v>14.79039751230939</v>
      </c>
      <c r="G1067" s="41">
        <v>0</v>
      </c>
      <c r="H1067" s="42"/>
      <c r="I1067" s="42"/>
      <c r="J1067" s="42"/>
    </row>
    <row r="1068" spans="5:10">
      <c r="E1068" s="43">
        <v>45329.395833329239</v>
      </c>
      <c r="F1068" s="41">
        <v>14.79039751230939</v>
      </c>
      <c r="G1068" s="41">
        <v>0</v>
      </c>
      <c r="H1068" s="42"/>
      <c r="I1068" s="42"/>
      <c r="J1068" s="42"/>
    </row>
    <row r="1069" spans="5:10">
      <c r="E1069" s="43">
        <v>45329.399305551458</v>
      </c>
      <c r="F1069" s="41">
        <v>14.79039751230939</v>
      </c>
      <c r="G1069" s="41">
        <v>0</v>
      </c>
      <c r="H1069" s="42"/>
      <c r="I1069" s="42"/>
      <c r="J1069" s="42"/>
    </row>
    <row r="1070" spans="5:10">
      <c r="E1070" s="43">
        <v>45329.402777773677</v>
      </c>
      <c r="F1070" s="41">
        <v>14.79039751230939</v>
      </c>
      <c r="G1070" s="41">
        <v>0</v>
      </c>
      <c r="H1070" s="42"/>
      <c r="I1070" s="42"/>
      <c r="J1070" s="42"/>
    </row>
    <row r="1071" spans="5:10">
      <c r="E1071" s="43">
        <v>45329.406249995896</v>
      </c>
      <c r="F1071" s="41">
        <v>14.79039751230939</v>
      </c>
      <c r="G1071" s="41">
        <v>0</v>
      </c>
      <c r="H1071" s="42"/>
      <c r="I1071" s="42"/>
      <c r="J1071" s="42"/>
    </row>
    <row r="1072" spans="5:10">
      <c r="E1072" s="43">
        <v>45329.409722218115</v>
      </c>
      <c r="F1072" s="41">
        <v>14.79039751230939</v>
      </c>
      <c r="G1072" s="41">
        <v>0</v>
      </c>
      <c r="H1072" s="42"/>
      <c r="I1072" s="42"/>
      <c r="J1072" s="42"/>
    </row>
    <row r="1073" spans="5:10">
      <c r="E1073" s="43">
        <v>45329.413194440334</v>
      </c>
      <c r="F1073" s="41">
        <v>14.79039751230939</v>
      </c>
      <c r="G1073" s="41">
        <v>0</v>
      </c>
      <c r="H1073" s="42"/>
      <c r="I1073" s="42"/>
      <c r="J1073" s="42"/>
    </row>
    <row r="1074" spans="5:10">
      <c r="E1074" s="43">
        <v>45329.416666662553</v>
      </c>
      <c r="F1074" s="41">
        <v>14.79039751230939</v>
      </c>
      <c r="G1074" s="41">
        <v>0</v>
      </c>
      <c r="H1074" s="42"/>
      <c r="I1074" s="42"/>
      <c r="J1074" s="42"/>
    </row>
    <row r="1075" spans="5:10">
      <c r="E1075" s="43">
        <v>45329.420138884772</v>
      </c>
      <c r="F1075" s="41">
        <v>14.79039751230939</v>
      </c>
      <c r="G1075" s="41">
        <v>0</v>
      </c>
      <c r="H1075" s="42"/>
      <c r="I1075" s="42"/>
      <c r="J1075" s="42"/>
    </row>
    <row r="1076" spans="5:10">
      <c r="E1076" s="43">
        <v>45329.423611106991</v>
      </c>
      <c r="F1076" s="41">
        <v>14.79039751230939</v>
      </c>
      <c r="G1076" s="41">
        <v>0</v>
      </c>
      <c r="H1076" s="42"/>
      <c r="I1076" s="42"/>
      <c r="J1076" s="42"/>
    </row>
    <row r="1077" spans="5:10">
      <c r="E1077" s="43">
        <v>45329.42708332921</v>
      </c>
      <c r="F1077" s="41">
        <v>14.79039751230939</v>
      </c>
      <c r="G1077" s="41">
        <v>0</v>
      </c>
      <c r="H1077" s="42"/>
      <c r="I1077" s="42"/>
      <c r="J1077" s="42"/>
    </row>
    <row r="1078" spans="5:10">
      <c r="E1078" s="43">
        <v>45329.430555551429</v>
      </c>
      <c r="F1078" s="41">
        <v>14.79039751230939</v>
      </c>
      <c r="G1078" s="41">
        <v>0</v>
      </c>
      <c r="H1078" s="42"/>
      <c r="I1078" s="42"/>
      <c r="J1078" s="42"/>
    </row>
    <row r="1079" spans="5:10">
      <c r="E1079" s="43">
        <v>45329.434027773648</v>
      </c>
      <c r="F1079" s="41">
        <v>14.79039751230939</v>
      </c>
      <c r="G1079" s="41">
        <v>0</v>
      </c>
      <c r="H1079" s="42"/>
      <c r="I1079" s="42"/>
      <c r="J1079" s="42"/>
    </row>
    <row r="1080" spans="5:10">
      <c r="E1080" s="43">
        <v>45329.437499995867</v>
      </c>
      <c r="F1080" s="41">
        <v>14.79039751230939</v>
      </c>
      <c r="G1080" s="41">
        <v>0</v>
      </c>
      <c r="H1080" s="42"/>
      <c r="I1080" s="42"/>
      <c r="J1080" s="42"/>
    </row>
    <row r="1081" spans="5:10">
      <c r="E1081" s="43">
        <v>45329.440972218086</v>
      </c>
      <c r="F1081" s="41">
        <v>14.79039751230939</v>
      </c>
      <c r="G1081" s="41">
        <v>0</v>
      </c>
      <c r="H1081" s="42"/>
      <c r="I1081" s="42"/>
      <c r="J1081" s="42"/>
    </row>
    <row r="1082" spans="5:10">
      <c r="E1082" s="43">
        <v>45329.444444440305</v>
      </c>
      <c r="F1082" s="41">
        <v>14.79039751230939</v>
      </c>
      <c r="G1082" s="41">
        <v>0</v>
      </c>
      <c r="H1082" s="42"/>
      <c r="I1082" s="42"/>
      <c r="J1082" s="42"/>
    </row>
    <row r="1083" spans="5:10">
      <c r="E1083" s="43">
        <v>45329.447916662524</v>
      </c>
      <c r="F1083" s="41">
        <v>14.79039751230939</v>
      </c>
      <c r="G1083" s="41">
        <v>0</v>
      </c>
      <c r="H1083" s="42"/>
      <c r="I1083" s="42"/>
      <c r="J1083" s="42"/>
    </row>
    <row r="1084" spans="5:10">
      <c r="E1084" s="43">
        <v>45329.451388884743</v>
      </c>
      <c r="F1084" s="41">
        <v>14.79039751230939</v>
      </c>
      <c r="G1084" s="41">
        <v>0</v>
      </c>
      <c r="H1084" s="42"/>
      <c r="I1084" s="42"/>
      <c r="J1084" s="42"/>
    </row>
    <row r="1085" spans="5:10">
      <c r="E1085" s="43">
        <v>45329.454861106962</v>
      </c>
      <c r="F1085" s="41">
        <v>14.79039751230939</v>
      </c>
      <c r="G1085" s="41">
        <v>0</v>
      </c>
      <c r="H1085" s="42"/>
      <c r="I1085" s="42"/>
      <c r="J1085" s="42"/>
    </row>
    <row r="1086" spans="5:10">
      <c r="E1086" s="43">
        <v>45329.458333329181</v>
      </c>
      <c r="F1086" s="41">
        <v>14.79039751230939</v>
      </c>
      <c r="G1086" s="41">
        <v>0</v>
      </c>
      <c r="H1086" s="42"/>
      <c r="I1086" s="42"/>
      <c r="J1086" s="42"/>
    </row>
    <row r="1087" spans="5:10">
      <c r="E1087" s="43">
        <v>45329.4618055514</v>
      </c>
      <c r="F1087" s="41">
        <v>14.79039751230939</v>
      </c>
      <c r="G1087" s="41">
        <v>0</v>
      </c>
      <c r="H1087" s="42"/>
      <c r="I1087" s="42"/>
      <c r="J1087" s="42"/>
    </row>
    <row r="1088" spans="5:10">
      <c r="E1088" s="43">
        <v>45329.465277773619</v>
      </c>
      <c r="F1088" s="41">
        <v>14.79039751230939</v>
      </c>
      <c r="G1088" s="41">
        <v>0</v>
      </c>
      <c r="H1088" s="42"/>
      <c r="I1088" s="42"/>
      <c r="J1088" s="42"/>
    </row>
    <row r="1089" spans="5:10">
      <c r="E1089" s="43">
        <v>45329.468749995838</v>
      </c>
      <c r="F1089" s="41">
        <v>14.79039751230939</v>
      </c>
      <c r="G1089" s="41">
        <v>0</v>
      </c>
      <c r="H1089" s="42"/>
      <c r="I1089" s="42"/>
      <c r="J1089" s="42"/>
    </row>
    <row r="1090" spans="5:10">
      <c r="E1090" s="43">
        <v>45329.472222218057</v>
      </c>
      <c r="F1090" s="41">
        <v>14.79039751230939</v>
      </c>
      <c r="G1090" s="41">
        <v>0</v>
      </c>
      <c r="H1090" s="42"/>
      <c r="I1090" s="42"/>
      <c r="J1090" s="42"/>
    </row>
    <row r="1091" spans="5:10">
      <c r="E1091" s="43">
        <v>45329.475694440276</v>
      </c>
      <c r="F1091" s="41">
        <v>14.79039751230939</v>
      </c>
      <c r="G1091" s="41">
        <v>0</v>
      </c>
      <c r="H1091" s="42"/>
      <c r="I1091" s="42"/>
      <c r="J1091" s="42"/>
    </row>
    <row r="1092" spans="5:10">
      <c r="E1092" s="43">
        <v>45329.479166662495</v>
      </c>
      <c r="F1092" s="41">
        <v>14.79039751230939</v>
      </c>
      <c r="G1092" s="41">
        <v>0</v>
      </c>
      <c r="H1092" s="42"/>
      <c r="I1092" s="42"/>
      <c r="J1092" s="42"/>
    </row>
    <row r="1093" spans="5:10">
      <c r="E1093" s="43">
        <v>45329.482638884714</v>
      </c>
      <c r="F1093" s="41">
        <v>14.79039751230939</v>
      </c>
      <c r="G1093" s="41">
        <v>0</v>
      </c>
      <c r="H1093" s="42"/>
      <c r="I1093" s="42"/>
      <c r="J1093" s="42"/>
    </row>
    <row r="1094" spans="5:10">
      <c r="E1094" s="43">
        <v>45329.486111106933</v>
      </c>
      <c r="F1094" s="41">
        <v>14.79039751230939</v>
      </c>
      <c r="G1094" s="41">
        <v>0</v>
      </c>
      <c r="H1094" s="42"/>
      <c r="I1094" s="42"/>
      <c r="J1094" s="42"/>
    </row>
    <row r="1095" spans="5:10">
      <c r="E1095" s="43">
        <v>45329.489583329152</v>
      </c>
      <c r="F1095" s="41">
        <v>14.79039751230939</v>
      </c>
      <c r="G1095" s="41">
        <v>0</v>
      </c>
      <c r="H1095" s="42"/>
      <c r="I1095" s="42"/>
      <c r="J1095" s="42"/>
    </row>
    <row r="1096" spans="5:10">
      <c r="E1096" s="43">
        <v>45329.493055551371</v>
      </c>
      <c r="F1096" s="41">
        <v>14.79039751230939</v>
      </c>
      <c r="G1096" s="41">
        <v>0</v>
      </c>
      <c r="H1096" s="42"/>
      <c r="I1096" s="42"/>
      <c r="J1096" s="42"/>
    </row>
    <row r="1097" spans="5:10">
      <c r="E1097" s="43">
        <v>45329.49652777359</v>
      </c>
      <c r="F1097" s="41">
        <v>14.79039751230939</v>
      </c>
      <c r="G1097" s="41">
        <v>0</v>
      </c>
      <c r="H1097" s="42"/>
      <c r="I1097" s="42"/>
      <c r="J1097" s="42"/>
    </row>
    <row r="1098" spans="5:10">
      <c r="E1098" s="43">
        <v>45329.499999995809</v>
      </c>
      <c r="F1098" s="41">
        <v>14.79039751230939</v>
      </c>
      <c r="G1098" s="41">
        <v>0</v>
      </c>
      <c r="H1098" s="42"/>
      <c r="I1098" s="42"/>
      <c r="J1098" s="42"/>
    </row>
    <row r="1099" spans="5:10">
      <c r="E1099" s="43">
        <v>45329.503472218028</v>
      </c>
      <c r="F1099" s="41">
        <v>14.79039751230939</v>
      </c>
      <c r="G1099" s="41">
        <v>0</v>
      </c>
      <c r="H1099" s="42"/>
      <c r="I1099" s="42"/>
      <c r="J1099" s="42"/>
    </row>
    <row r="1100" spans="5:10">
      <c r="E1100" s="43">
        <v>45329.506944440247</v>
      </c>
      <c r="F1100" s="41">
        <v>14.79039751230939</v>
      </c>
      <c r="G1100" s="41">
        <v>0</v>
      </c>
      <c r="H1100" s="42"/>
      <c r="I1100" s="42"/>
      <c r="J1100" s="42"/>
    </row>
    <row r="1101" spans="5:10">
      <c r="E1101" s="43">
        <v>45329.510416662466</v>
      </c>
      <c r="F1101" s="41">
        <v>14.79039751230939</v>
      </c>
      <c r="G1101" s="41">
        <v>0</v>
      </c>
      <c r="H1101" s="42"/>
      <c r="I1101" s="42"/>
      <c r="J1101" s="42"/>
    </row>
    <row r="1102" spans="5:10">
      <c r="E1102" s="43">
        <v>45329.513888884685</v>
      </c>
      <c r="F1102" s="41">
        <v>14.79039751230939</v>
      </c>
      <c r="G1102" s="41">
        <v>0</v>
      </c>
      <c r="H1102" s="42"/>
      <c r="I1102" s="42"/>
      <c r="J1102" s="42"/>
    </row>
    <row r="1103" spans="5:10">
      <c r="E1103" s="43">
        <v>45329.517361106904</v>
      </c>
      <c r="F1103" s="41">
        <v>14.79039751230939</v>
      </c>
      <c r="G1103" s="41">
        <v>0</v>
      </c>
      <c r="H1103" s="42"/>
      <c r="I1103" s="42"/>
      <c r="J1103" s="42"/>
    </row>
    <row r="1104" spans="5:10">
      <c r="E1104" s="43">
        <v>45329.520833329123</v>
      </c>
      <c r="F1104" s="41">
        <v>14.79039751230939</v>
      </c>
      <c r="G1104" s="41">
        <v>0</v>
      </c>
      <c r="H1104" s="42"/>
      <c r="I1104" s="42"/>
      <c r="J1104" s="42"/>
    </row>
    <row r="1105" spans="5:10">
      <c r="E1105" s="43">
        <v>45329.524305551342</v>
      </c>
      <c r="F1105" s="41">
        <v>14.79039751230939</v>
      </c>
      <c r="G1105" s="41">
        <v>0</v>
      </c>
      <c r="H1105" s="42"/>
      <c r="I1105" s="42"/>
      <c r="J1105" s="42"/>
    </row>
    <row r="1106" spans="5:10">
      <c r="E1106" s="43">
        <v>45329.527777773561</v>
      </c>
      <c r="F1106" s="41">
        <v>14.79039751230939</v>
      </c>
      <c r="G1106" s="41">
        <v>0</v>
      </c>
      <c r="H1106" s="42"/>
      <c r="I1106" s="42"/>
      <c r="J1106" s="42"/>
    </row>
    <row r="1107" spans="5:10">
      <c r="E1107" s="43">
        <v>45329.53124999578</v>
      </c>
      <c r="F1107" s="41">
        <v>14.79039751230939</v>
      </c>
      <c r="G1107" s="41">
        <v>0</v>
      </c>
      <c r="H1107" s="42"/>
      <c r="I1107" s="42"/>
      <c r="J1107" s="42"/>
    </row>
    <row r="1108" spans="5:10">
      <c r="E1108" s="43">
        <v>45329.534722217999</v>
      </c>
      <c r="F1108" s="41">
        <v>14.79039751230939</v>
      </c>
      <c r="G1108" s="41">
        <v>0</v>
      </c>
      <c r="H1108" s="42"/>
      <c r="I1108" s="42"/>
      <c r="J1108" s="42"/>
    </row>
    <row r="1109" spans="5:10">
      <c r="E1109" s="43">
        <v>45329.538194440218</v>
      </c>
      <c r="F1109" s="41">
        <v>14.79039751230939</v>
      </c>
      <c r="G1109" s="41">
        <v>0</v>
      </c>
      <c r="H1109" s="42"/>
      <c r="I1109" s="42"/>
      <c r="J1109" s="42"/>
    </row>
    <row r="1110" spans="5:10">
      <c r="E1110" s="43">
        <v>45329.541666662437</v>
      </c>
      <c r="F1110" s="41">
        <v>14.79039751230939</v>
      </c>
      <c r="G1110" s="41">
        <v>0</v>
      </c>
      <c r="H1110" s="42"/>
      <c r="I1110" s="42"/>
      <c r="J1110" s="42"/>
    </row>
    <row r="1111" spans="5:10">
      <c r="E1111" s="43">
        <v>45329.545138884656</v>
      </c>
      <c r="F1111" s="41">
        <v>14.79039751230939</v>
      </c>
      <c r="G1111" s="41">
        <v>0</v>
      </c>
      <c r="H1111" s="42"/>
      <c r="I1111" s="42"/>
      <c r="J1111" s="42"/>
    </row>
    <row r="1112" spans="5:10">
      <c r="E1112" s="43">
        <v>45329.548611106875</v>
      </c>
      <c r="F1112" s="41">
        <v>14.79039751230939</v>
      </c>
      <c r="G1112" s="41">
        <v>0</v>
      </c>
      <c r="H1112" s="42"/>
      <c r="I1112" s="42"/>
      <c r="J1112" s="42"/>
    </row>
    <row r="1113" spans="5:10">
      <c r="E1113" s="43">
        <v>45329.552083329094</v>
      </c>
      <c r="F1113" s="41">
        <v>14.79039751230939</v>
      </c>
      <c r="G1113" s="41">
        <v>0</v>
      </c>
      <c r="H1113" s="42"/>
      <c r="I1113" s="42"/>
      <c r="J1113" s="42"/>
    </row>
    <row r="1114" spans="5:10">
      <c r="E1114" s="43">
        <v>45329.555555551313</v>
      </c>
      <c r="F1114" s="41">
        <v>14.79039751230939</v>
      </c>
      <c r="G1114" s="41">
        <v>0</v>
      </c>
      <c r="H1114" s="42"/>
      <c r="I1114" s="42"/>
      <c r="J1114" s="42"/>
    </row>
    <row r="1115" spans="5:10">
      <c r="E1115" s="43">
        <v>45329.559027773532</v>
      </c>
      <c r="F1115" s="41">
        <v>14.79039751230939</v>
      </c>
      <c r="G1115" s="41">
        <v>0</v>
      </c>
      <c r="H1115" s="42"/>
      <c r="I1115" s="42"/>
      <c r="J1115" s="42"/>
    </row>
    <row r="1116" spans="5:10">
      <c r="E1116" s="43">
        <v>45329.562499995751</v>
      </c>
      <c r="F1116" s="41">
        <v>14.79039751230939</v>
      </c>
      <c r="G1116" s="41">
        <v>0</v>
      </c>
      <c r="H1116" s="42"/>
      <c r="I1116" s="42"/>
      <c r="J1116" s="42"/>
    </row>
    <row r="1117" spans="5:10">
      <c r="E1117" s="43">
        <v>45329.56597221797</v>
      </c>
      <c r="F1117" s="41">
        <v>14.79039751230939</v>
      </c>
      <c r="G1117" s="41">
        <v>0</v>
      </c>
      <c r="H1117" s="42"/>
      <c r="I1117" s="42"/>
      <c r="J1117" s="42"/>
    </row>
    <row r="1118" spans="5:10">
      <c r="E1118" s="43">
        <v>45329.569444440189</v>
      </c>
      <c r="F1118" s="41">
        <v>14.79039751230939</v>
      </c>
      <c r="G1118" s="41">
        <v>0</v>
      </c>
      <c r="H1118" s="42"/>
      <c r="I1118" s="42"/>
      <c r="J1118" s="42"/>
    </row>
    <row r="1119" spans="5:10">
      <c r="E1119" s="43">
        <v>45329.572916662408</v>
      </c>
      <c r="F1119" s="41">
        <v>14.79039751230939</v>
      </c>
      <c r="G1119" s="41">
        <v>0</v>
      </c>
      <c r="H1119" s="42"/>
      <c r="I1119" s="42"/>
      <c r="J1119" s="42"/>
    </row>
    <row r="1120" spans="5:10">
      <c r="E1120" s="43">
        <v>45329.576388884627</v>
      </c>
      <c r="F1120" s="41">
        <v>14.79039751230939</v>
      </c>
      <c r="G1120" s="41">
        <v>0</v>
      </c>
      <c r="H1120" s="42"/>
      <c r="I1120" s="42"/>
      <c r="J1120" s="42"/>
    </row>
    <row r="1121" spans="5:10">
      <c r="E1121" s="43">
        <v>45329.579861106846</v>
      </c>
      <c r="F1121" s="41">
        <v>14.79039751230939</v>
      </c>
      <c r="G1121" s="41">
        <v>0</v>
      </c>
      <c r="H1121" s="42"/>
      <c r="I1121" s="42"/>
      <c r="J1121" s="42"/>
    </row>
    <row r="1122" spans="5:10">
      <c r="E1122" s="43">
        <v>45329.583333329065</v>
      </c>
      <c r="F1122" s="41">
        <v>14.79039751230939</v>
      </c>
      <c r="G1122" s="41">
        <v>0</v>
      </c>
      <c r="H1122" s="42"/>
      <c r="I1122" s="42"/>
      <c r="J1122" s="42"/>
    </row>
    <row r="1123" spans="5:10">
      <c r="E1123" s="43">
        <v>45329.586805551284</v>
      </c>
      <c r="F1123" s="41">
        <v>14.79039751230939</v>
      </c>
      <c r="G1123" s="41">
        <v>0</v>
      </c>
      <c r="H1123" s="42"/>
      <c r="I1123" s="42"/>
      <c r="J1123" s="42"/>
    </row>
    <row r="1124" spans="5:10">
      <c r="E1124" s="43">
        <v>45329.590277773503</v>
      </c>
      <c r="F1124" s="41">
        <v>14.79039751230939</v>
      </c>
      <c r="G1124" s="41">
        <v>0</v>
      </c>
      <c r="H1124" s="42"/>
      <c r="I1124" s="42"/>
      <c r="J1124" s="42"/>
    </row>
    <row r="1125" spans="5:10">
      <c r="E1125" s="43">
        <v>45329.593749995722</v>
      </c>
      <c r="F1125" s="41">
        <v>14.79039751230939</v>
      </c>
      <c r="G1125" s="41">
        <v>0</v>
      </c>
      <c r="H1125" s="42"/>
      <c r="I1125" s="42"/>
      <c r="J1125" s="42"/>
    </row>
    <row r="1126" spans="5:10">
      <c r="E1126" s="43">
        <v>45329.597222217941</v>
      </c>
      <c r="F1126" s="41">
        <v>14.79039751230939</v>
      </c>
      <c r="G1126" s="41">
        <v>0</v>
      </c>
      <c r="H1126" s="42"/>
      <c r="I1126" s="42"/>
      <c r="J1126" s="42"/>
    </row>
    <row r="1127" spans="5:10">
      <c r="E1127" s="43">
        <v>45329.60069444016</v>
      </c>
      <c r="F1127" s="41">
        <v>14.79039751230939</v>
      </c>
      <c r="G1127" s="41">
        <v>0</v>
      </c>
      <c r="H1127" s="42"/>
      <c r="I1127" s="42"/>
      <c r="J1127" s="42"/>
    </row>
    <row r="1128" spans="5:10">
      <c r="E1128" s="43">
        <v>45329.604166662379</v>
      </c>
      <c r="F1128" s="41">
        <v>14.79039751230939</v>
      </c>
      <c r="G1128" s="41">
        <v>0</v>
      </c>
      <c r="H1128" s="42"/>
      <c r="I1128" s="42"/>
      <c r="J1128" s="42"/>
    </row>
    <row r="1129" spans="5:10">
      <c r="E1129" s="43">
        <v>45329.607638884598</v>
      </c>
      <c r="F1129" s="41">
        <v>14.79039751230939</v>
      </c>
      <c r="G1129" s="41">
        <v>0</v>
      </c>
      <c r="H1129" s="42"/>
      <c r="I1129" s="42"/>
      <c r="J1129" s="42"/>
    </row>
    <row r="1130" spans="5:10">
      <c r="E1130" s="43">
        <v>45329.611111106817</v>
      </c>
      <c r="F1130" s="41">
        <v>14.79039751230939</v>
      </c>
      <c r="G1130" s="41">
        <v>0</v>
      </c>
      <c r="H1130" s="42"/>
      <c r="I1130" s="42"/>
      <c r="J1130" s="42"/>
    </row>
    <row r="1131" spans="5:10">
      <c r="E1131" s="43">
        <v>45329.614583329036</v>
      </c>
      <c r="F1131" s="41">
        <v>14.79039751230939</v>
      </c>
      <c r="G1131" s="41">
        <v>0</v>
      </c>
      <c r="H1131" s="42"/>
      <c r="I1131" s="42"/>
      <c r="J1131" s="42"/>
    </row>
    <row r="1132" spans="5:10">
      <c r="E1132" s="43">
        <v>45329.618055551255</v>
      </c>
      <c r="F1132" s="41">
        <v>14.79039751230939</v>
      </c>
      <c r="G1132" s="41">
        <v>0</v>
      </c>
      <c r="H1132" s="42"/>
      <c r="I1132" s="42"/>
      <c r="J1132" s="42"/>
    </row>
    <row r="1133" spans="5:10">
      <c r="E1133" s="43">
        <v>45329.621527773474</v>
      </c>
      <c r="F1133" s="41">
        <v>14.79039751230939</v>
      </c>
      <c r="G1133" s="41">
        <v>0</v>
      </c>
      <c r="H1133" s="42"/>
      <c r="I1133" s="42"/>
      <c r="J1133" s="42"/>
    </row>
    <row r="1134" spans="5:10">
      <c r="E1134" s="43">
        <v>45329.624999995693</v>
      </c>
      <c r="F1134" s="41">
        <v>14.79039751230939</v>
      </c>
      <c r="G1134" s="41">
        <v>0</v>
      </c>
      <c r="H1134" s="42"/>
      <c r="I1134" s="42"/>
      <c r="J1134" s="42"/>
    </row>
    <row r="1135" spans="5:10">
      <c r="E1135" s="43">
        <v>45329.628472217912</v>
      </c>
      <c r="F1135" s="41">
        <v>14.79039751230939</v>
      </c>
      <c r="G1135" s="41">
        <v>0</v>
      </c>
      <c r="H1135" s="42"/>
      <c r="I1135" s="42"/>
      <c r="J1135" s="42"/>
    </row>
    <row r="1136" spans="5:10">
      <c r="E1136" s="43">
        <v>45329.631944440131</v>
      </c>
      <c r="F1136" s="41">
        <v>14.79039751230939</v>
      </c>
      <c r="G1136" s="41">
        <v>0</v>
      </c>
      <c r="H1136" s="42"/>
      <c r="I1136" s="42"/>
      <c r="J1136" s="42"/>
    </row>
    <row r="1137" spans="5:10">
      <c r="E1137" s="43">
        <v>45329.63541666235</v>
      </c>
      <c r="F1137" s="41">
        <v>14.79039751230939</v>
      </c>
      <c r="G1137" s="41">
        <v>0</v>
      </c>
      <c r="H1137" s="42"/>
      <c r="I1137" s="42"/>
      <c r="J1137" s="42"/>
    </row>
    <row r="1138" spans="5:10">
      <c r="E1138" s="43">
        <v>45329.638888884569</v>
      </c>
      <c r="F1138" s="41">
        <v>14.79039751230939</v>
      </c>
      <c r="G1138" s="41">
        <v>0</v>
      </c>
      <c r="H1138" s="42"/>
      <c r="I1138" s="42"/>
      <c r="J1138" s="42"/>
    </row>
    <row r="1139" spans="5:10">
      <c r="E1139" s="43">
        <v>45329.642361106788</v>
      </c>
      <c r="F1139" s="41">
        <v>14.79039751230939</v>
      </c>
      <c r="G1139" s="41">
        <v>0</v>
      </c>
      <c r="H1139" s="42"/>
      <c r="I1139" s="42"/>
      <c r="J1139" s="42"/>
    </row>
    <row r="1140" spans="5:10">
      <c r="E1140" s="43">
        <v>45329.645833329007</v>
      </c>
      <c r="F1140" s="41">
        <v>14.79039751230939</v>
      </c>
      <c r="G1140" s="41">
        <v>0</v>
      </c>
      <c r="H1140" s="42"/>
      <c r="I1140" s="42"/>
      <c r="J1140" s="42"/>
    </row>
    <row r="1141" spans="5:10">
      <c r="E1141" s="43">
        <v>45329.649305551226</v>
      </c>
      <c r="F1141" s="41">
        <v>14.79039751230939</v>
      </c>
      <c r="G1141" s="41">
        <v>0</v>
      </c>
      <c r="H1141" s="42"/>
      <c r="I1141" s="42"/>
      <c r="J1141" s="42"/>
    </row>
    <row r="1142" spans="5:10">
      <c r="E1142" s="43">
        <v>45329.652777773445</v>
      </c>
      <c r="F1142" s="41">
        <v>14.79039751230939</v>
      </c>
      <c r="G1142" s="41">
        <v>0</v>
      </c>
      <c r="H1142" s="42"/>
      <c r="I1142" s="42"/>
      <c r="J1142" s="42"/>
    </row>
    <row r="1143" spans="5:10">
      <c r="E1143" s="43">
        <v>45329.656249995664</v>
      </c>
      <c r="F1143" s="41">
        <v>14.79039751230939</v>
      </c>
      <c r="G1143" s="41">
        <v>0</v>
      </c>
      <c r="H1143" s="42"/>
      <c r="I1143" s="42"/>
      <c r="J1143" s="42"/>
    </row>
    <row r="1144" spans="5:10">
      <c r="E1144" s="43">
        <v>45329.659722217883</v>
      </c>
      <c r="F1144" s="41">
        <v>14.79039751230939</v>
      </c>
      <c r="G1144" s="41">
        <v>0</v>
      </c>
      <c r="H1144" s="42"/>
      <c r="I1144" s="42"/>
      <c r="J1144" s="42"/>
    </row>
    <row r="1145" spans="5:10">
      <c r="E1145" s="43">
        <v>45329.663194440102</v>
      </c>
      <c r="F1145" s="41">
        <v>14.79039751230939</v>
      </c>
      <c r="G1145" s="41">
        <v>0</v>
      </c>
      <c r="H1145" s="42"/>
      <c r="I1145" s="42"/>
      <c r="J1145" s="42"/>
    </row>
    <row r="1146" spans="5:10">
      <c r="E1146" s="43">
        <v>45329.66666666232</v>
      </c>
      <c r="F1146" s="41">
        <v>14.79039751230939</v>
      </c>
      <c r="G1146" s="41">
        <v>0</v>
      </c>
      <c r="H1146" s="42"/>
      <c r="I1146" s="42"/>
      <c r="J1146" s="42"/>
    </row>
    <row r="1147" spans="5:10">
      <c r="E1147" s="43">
        <v>45329.670138884539</v>
      </c>
      <c r="F1147" s="41">
        <v>14.79039751230939</v>
      </c>
      <c r="G1147" s="41">
        <v>0</v>
      </c>
      <c r="H1147" s="42"/>
      <c r="I1147" s="42"/>
      <c r="J1147" s="42"/>
    </row>
    <row r="1148" spans="5:10">
      <c r="E1148" s="43">
        <v>45329.673611106758</v>
      </c>
      <c r="F1148" s="41">
        <v>14.79039751230939</v>
      </c>
      <c r="G1148" s="41">
        <v>0</v>
      </c>
      <c r="H1148" s="42"/>
      <c r="I1148" s="42"/>
      <c r="J1148" s="42"/>
    </row>
    <row r="1149" spans="5:10">
      <c r="E1149" s="43">
        <v>45329.677083328977</v>
      </c>
      <c r="F1149" s="41">
        <v>14.79039751230939</v>
      </c>
      <c r="G1149" s="41">
        <v>0</v>
      </c>
      <c r="H1149" s="42"/>
      <c r="I1149" s="42"/>
      <c r="J1149" s="42"/>
    </row>
    <row r="1150" spans="5:10">
      <c r="E1150" s="43">
        <v>45329.680555551196</v>
      </c>
      <c r="F1150" s="41">
        <v>14.79039751230939</v>
      </c>
      <c r="G1150" s="41">
        <v>0</v>
      </c>
      <c r="H1150" s="42"/>
      <c r="I1150" s="42"/>
      <c r="J1150" s="42"/>
    </row>
    <row r="1151" spans="5:10">
      <c r="E1151" s="43">
        <v>45329.684027773415</v>
      </c>
      <c r="F1151" s="41">
        <v>14.79039751230939</v>
      </c>
      <c r="G1151" s="41">
        <v>0</v>
      </c>
      <c r="H1151" s="42"/>
      <c r="I1151" s="42"/>
      <c r="J1151" s="42"/>
    </row>
    <row r="1152" spans="5:10">
      <c r="E1152" s="43">
        <v>45329.687499995634</v>
      </c>
      <c r="F1152" s="41">
        <v>14.79039751230939</v>
      </c>
      <c r="G1152" s="41">
        <v>0</v>
      </c>
      <c r="H1152" s="42"/>
      <c r="I1152" s="42"/>
      <c r="J1152" s="42"/>
    </row>
    <row r="1153" spans="5:10">
      <c r="E1153" s="43">
        <v>45329.690972217853</v>
      </c>
      <c r="F1153" s="41">
        <v>14.79039751230939</v>
      </c>
      <c r="G1153" s="41">
        <v>0</v>
      </c>
      <c r="H1153" s="42"/>
      <c r="I1153" s="42"/>
      <c r="J1153" s="42"/>
    </row>
    <row r="1154" spans="5:10">
      <c r="E1154" s="43">
        <v>45329.694444440072</v>
      </c>
      <c r="F1154" s="41">
        <v>14.79039751230939</v>
      </c>
      <c r="G1154" s="41">
        <v>0</v>
      </c>
      <c r="H1154" s="42"/>
      <c r="I1154" s="42"/>
      <c r="J1154" s="42"/>
    </row>
    <row r="1155" spans="5:10">
      <c r="E1155" s="43">
        <v>45329.697916662291</v>
      </c>
      <c r="F1155" s="41">
        <v>14.79039751230939</v>
      </c>
      <c r="G1155" s="41">
        <v>0</v>
      </c>
      <c r="H1155" s="42"/>
      <c r="I1155" s="42"/>
      <c r="J1155" s="42"/>
    </row>
    <row r="1156" spans="5:10">
      <c r="E1156" s="43">
        <v>45329.70138888451</v>
      </c>
      <c r="F1156" s="41">
        <v>14.79039751230939</v>
      </c>
      <c r="G1156" s="41">
        <v>0</v>
      </c>
      <c r="H1156" s="42"/>
      <c r="I1156" s="42"/>
      <c r="J1156" s="42"/>
    </row>
    <row r="1157" spans="5:10">
      <c r="E1157" s="43">
        <v>45329.704861106729</v>
      </c>
      <c r="F1157" s="41">
        <v>14.79039751230939</v>
      </c>
      <c r="G1157" s="41">
        <v>0</v>
      </c>
      <c r="H1157" s="42"/>
      <c r="I1157" s="42"/>
      <c r="J1157" s="42"/>
    </row>
    <row r="1158" spans="5:10">
      <c r="E1158" s="43">
        <v>45329.708333328948</v>
      </c>
      <c r="F1158" s="41">
        <v>14.79039751230939</v>
      </c>
      <c r="G1158" s="41">
        <v>0</v>
      </c>
      <c r="H1158" s="42"/>
      <c r="I1158" s="42"/>
      <c r="J1158" s="42"/>
    </row>
    <row r="1159" spans="5:10">
      <c r="E1159" s="43">
        <v>45329.711805551167</v>
      </c>
      <c r="F1159" s="41">
        <v>14.79039751230939</v>
      </c>
      <c r="G1159" s="41">
        <v>0</v>
      </c>
      <c r="H1159" s="42"/>
      <c r="I1159" s="42"/>
      <c r="J1159" s="42"/>
    </row>
    <row r="1160" spans="5:10">
      <c r="E1160" s="43">
        <v>45329.715277773386</v>
      </c>
      <c r="F1160" s="41">
        <v>14.79039751230939</v>
      </c>
      <c r="G1160" s="41">
        <v>0</v>
      </c>
      <c r="H1160" s="42"/>
      <c r="I1160" s="42"/>
      <c r="J1160" s="42"/>
    </row>
    <row r="1161" spans="5:10">
      <c r="E1161" s="43">
        <v>45329.718749995605</v>
      </c>
      <c r="F1161" s="41">
        <v>14.79039751230939</v>
      </c>
      <c r="G1161" s="41">
        <v>0</v>
      </c>
      <c r="H1161" s="42"/>
      <c r="I1161" s="42"/>
      <c r="J1161" s="42"/>
    </row>
    <row r="1162" spans="5:10">
      <c r="E1162" s="43">
        <v>45329.722222217824</v>
      </c>
      <c r="F1162" s="41">
        <v>14.79039751230939</v>
      </c>
      <c r="G1162" s="41">
        <v>0</v>
      </c>
      <c r="H1162" s="42"/>
      <c r="I1162" s="42"/>
      <c r="J1162" s="42"/>
    </row>
    <row r="1163" spans="5:10">
      <c r="E1163" s="43">
        <v>45329.725694440043</v>
      </c>
      <c r="F1163" s="41">
        <v>14.79039751230939</v>
      </c>
      <c r="G1163" s="41">
        <v>0</v>
      </c>
      <c r="H1163" s="42"/>
      <c r="I1163" s="42"/>
      <c r="J1163" s="42"/>
    </row>
    <row r="1164" spans="5:10">
      <c r="E1164" s="43">
        <v>45329.729166662262</v>
      </c>
      <c r="F1164" s="41">
        <v>14.79039751230939</v>
      </c>
      <c r="G1164" s="41">
        <v>0</v>
      </c>
      <c r="H1164" s="42"/>
      <c r="I1164" s="42"/>
      <c r="J1164" s="42"/>
    </row>
    <row r="1165" spans="5:10">
      <c r="E1165" s="43">
        <v>45329.732638884481</v>
      </c>
      <c r="F1165" s="41">
        <v>14.79039751230939</v>
      </c>
      <c r="G1165" s="41">
        <v>0</v>
      </c>
      <c r="H1165" s="42"/>
      <c r="I1165" s="42"/>
      <c r="J1165" s="42"/>
    </row>
    <row r="1166" spans="5:10">
      <c r="E1166" s="43">
        <v>45329.7361111067</v>
      </c>
      <c r="F1166" s="41">
        <v>14.79039751230939</v>
      </c>
      <c r="G1166" s="41">
        <v>0</v>
      </c>
      <c r="H1166" s="42"/>
      <c r="I1166" s="42"/>
      <c r="J1166" s="42"/>
    </row>
    <row r="1167" spans="5:10">
      <c r="E1167" s="43">
        <v>45329.739583328919</v>
      </c>
      <c r="F1167" s="41">
        <v>14.79039751230939</v>
      </c>
      <c r="G1167" s="41">
        <v>0</v>
      </c>
      <c r="H1167" s="42"/>
      <c r="I1167" s="42"/>
      <c r="J1167" s="42"/>
    </row>
    <row r="1168" spans="5:10">
      <c r="E1168" s="43">
        <v>45329.743055551138</v>
      </c>
      <c r="F1168" s="41">
        <v>14.79039751230939</v>
      </c>
      <c r="G1168" s="41">
        <v>0</v>
      </c>
      <c r="H1168" s="42"/>
      <c r="I1168" s="42"/>
      <c r="J1168" s="42"/>
    </row>
    <row r="1169" spans="5:10">
      <c r="E1169" s="43">
        <v>45329.746527773357</v>
      </c>
      <c r="F1169" s="41">
        <v>14.79039751230939</v>
      </c>
      <c r="G1169" s="41">
        <v>0</v>
      </c>
      <c r="H1169" s="42"/>
      <c r="I1169" s="42"/>
      <c r="J1169" s="42"/>
    </row>
    <row r="1170" spans="5:10">
      <c r="E1170" s="43">
        <v>45329.749999995576</v>
      </c>
      <c r="F1170" s="41">
        <v>14.79039751230939</v>
      </c>
      <c r="G1170" s="41">
        <v>0</v>
      </c>
      <c r="H1170" s="42"/>
      <c r="I1170" s="42"/>
      <c r="J1170" s="42"/>
    </row>
    <row r="1171" spans="5:10">
      <c r="E1171" s="43">
        <v>45329.753472217795</v>
      </c>
      <c r="F1171" s="41">
        <v>14.79039751230939</v>
      </c>
      <c r="G1171" s="41">
        <v>0</v>
      </c>
      <c r="H1171" s="42"/>
      <c r="I1171" s="42"/>
      <c r="J1171" s="42"/>
    </row>
    <row r="1172" spans="5:10">
      <c r="E1172" s="43">
        <v>45329.756944440014</v>
      </c>
      <c r="F1172" s="41">
        <v>14.79039751230939</v>
      </c>
      <c r="G1172" s="41">
        <v>0</v>
      </c>
      <c r="H1172" s="42"/>
      <c r="I1172" s="42"/>
      <c r="J1172" s="42"/>
    </row>
    <row r="1173" spans="5:10">
      <c r="E1173" s="43">
        <v>45329.760416662233</v>
      </c>
      <c r="F1173" s="41">
        <v>14.79039751230939</v>
      </c>
      <c r="G1173" s="41">
        <v>0</v>
      </c>
      <c r="H1173" s="42"/>
      <c r="I1173" s="42"/>
      <c r="J1173" s="42"/>
    </row>
    <row r="1174" spans="5:10">
      <c r="E1174" s="43">
        <v>45329.763888884452</v>
      </c>
      <c r="F1174" s="41">
        <v>14.79039751230939</v>
      </c>
      <c r="G1174" s="41">
        <v>0</v>
      </c>
      <c r="H1174" s="42"/>
      <c r="I1174" s="42"/>
      <c r="J1174" s="42"/>
    </row>
    <row r="1175" spans="5:10">
      <c r="E1175" s="43">
        <v>45329.767361106671</v>
      </c>
      <c r="F1175" s="41">
        <v>14.79039751230939</v>
      </c>
      <c r="G1175" s="41">
        <v>0</v>
      </c>
      <c r="H1175" s="42"/>
      <c r="I1175" s="42"/>
      <c r="J1175" s="42"/>
    </row>
    <row r="1176" spans="5:10">
      <c r="E1176" s="43">
        <v>45329.77083332889</v>
      </c>
      <c r="F1176" s="41">
        <v>14.79039751230939</v>
      </c>
      <c r="G1176" s="41">
        <v>0</v>
      </c>
      <c r="H1176" s="42"/>
      <c r="I1176" s="42"/>
      <c r="J1176" s="42"/>
    </row>
    <row r="1177" spans="5:10">
      <c r="E1177" s="43">
        <v>45329.774305551109</v>
      </c>
      <c r="F1177" s="41">
        <v>14.79039751230939</v>
      </c>
      <c r="G1177" s="41">
        <v>0</v>
      </c>
      <c r="H1177" s="42"/>
      <c r="I1177" s="42"/>
      <c r="J1177" s="42"/>
    </row>
    <row r="1178" spans="5:10">
      <c r="E1178" s="43">
        <v>45329.777777773328</v>
      </c>
      <c r="F1178" s="41">
        <v>14.79039751230939</v>
      </c>
      <c r="G1178" s="41">
        <v>0</v>
      </c>
      <c r="H1178" s="42"/>
      <c r="I1178" s="42"/>
      <c r="J1178" s="42"/>
    </row>
    <row r="1179" spans="5:10">
      <c r="E1179" s="43">
        <v>45329.781249995547</v>
      </c>
      <c r="F1179" s="41">
        <v>14.79039751230939</v>
      </c>
      <c r="G1179" s="41">
        <v>0</v>
      </c>
      <c r="H1179" s="42"/>
      <c r="I1179" s="42"/>
      <c r="J1179" s="42"/>
    </row>
    <row r="1180" spans="5:10">
      <c r="E1180" s="43">
        <v>45329.784722217766</v>
      </c>
      <c r="F1180" s="41">
        <v>14.79039751230939</v>
      </c>
      <c r="G1180" s="41">
        <v>0</v>
      </c>
      <c r="H1180" s="42"/>
      <c r="I1180" s="42"/>
      <c r="J1180" s="42"/>
    </row>
    <row r="1181" spans="5:10">
      <c r="E1181" s="43">
        <v>45329.788194439985</v>
      </c>
      <c r="F1181" s="41">
        <v>14.79039751230939</v>
      </c>
      <c r="G1181" s="41">
        <v>0</v>
      </c>
      <c r="H1181" s="42"/>
      <c r="I1181" s="42"/>
      <c r="J1181" s="42"/>
    </row>
    <row r="1182" spans="5:10">
      <c r="E1182" s="43">
        <v>45329.791666662204</v>
      </c>
      <c r="F1182" s="41">
        <v>14.79039751230939</v>
      </c>
      <c r="G1182" s="41">
        <v>0</v>
      </c>
      <c r="H1182" s="42"/>
      <c r="I1182" s="42"/>
      <c r="J1182" s="42"/>
    </row>
    <row r="1183" spans="5:10">
      <c r="E1183" s="43">
        <v>45329.795138884423</v>
      </c>
      <c r="F1183" s="41">
        <v>14.79039751230939</v>
      </c>
      <c r="G1183" s="41">
        <v>0</v>
      </c>
      <c r="H1183" s="42"/>
      <c r="I1183" s="42"/>
      <c r="J1183" s="42"/>
    </row>
    <row r="1184" spans="5:10">
      <c r="E1184" s="43">
        <v>45329.798611106642</v>
      </c>
      <c r="F1184" s="41">
        <v>14.79039751230939</v>
      </c>
      <c r="G1184" s="41">
        <v>0</v>
      </c>
      <c r="H1184" s="42"/>
      <c r="I1184" s="42"/>
      <c r="J1184" s="42"/>
    </row>
    <row r="1185" spans="5:10">
      <c r="E1185" s="43">
        <v>45329.802083328861</v>
      </c>
      <c r="F1185" s="41">
        <v>14.79039751230939</v>
      </c>
      <c r="G1185" s="41">
        <v>0</v>
      </c>
      <c r="H1185" s="42"/>
      <c r="I1185" s="42"/>
      <c r="J1185" s="42"/>
    </row>
    <row r="1186" spans="5:10">
      <c r="E1186" s="43">
        <v>45329.80555555108</v>
      </c>
      <c r="F1186" s="41">
        <v>14.79039751230939</v>
      </c>
      <c r="G1186" s="41">
        <v>0</v>
      </c>
      <c r="H1186" s="42"/>
      <c r="I1186" s="42"/>
      <c r="J1186" s="42"/>
    </row>
    <row r="1187" spans="5:10">
      <c r="E1187" s="43">
        <v>45329.809027773299</v>
      </c>
      <c r="F1187" s="41">
        <v>14.79039751230939</v>
      </c>
      <c r="G1187" s="41">
        <v>0</v>
      </c>
      <c r="H1187" s="42"/>
      <c r="I1187" s="42"/>
      <c r="J1187" s="42"/>
    </row>
    <row r="1188" spans="5:10">
      <c r="E1188" s="43">
        <v>45329.812499995518</v>
      </c>
      <c r="F1188" s="41">
        <v>14.79039751230939</v>
      </c>
      <c r="G1188" s="41">
        <v>0</v>
      </c>
      <c r="H1188" s="42"/>
      <c r="I1188" s="42"/>
      <c r="J1188" s="42"/>
    </row>
    <row r="1189" spans="5:10">
      <c r="E1189" s="43">
        <v>45329.815972217737</v>
      </c>
      <c r="F1189" s="41">
        <v>14.79039751230939</v>
      </c>
      <c r="G1189" s="41">
        <v>0</v>
      </c>
      <c r="H1189" s="42"/>
      <c r="I1189" s="42"/>
      <c r="J1189" s="42"/>
    </row>
    <row r="1190" spans="5:10">
      <c r="E1190" s="43">
        <v>45329.819444439956</v>
      </c>
      <c r="F1190" s="41">
        <v>14.79039751230939</v>
      </c>
      <c r="G1190" s="41">
        <v>0</v>
      </c>
      <c r="H1190" s="42"/>
      <c r="I1190" s="42"/>
      <c r="J1190" s="42"/>
    </row>
    <row r="1191" spans="5:10">
      <c r="E1191" s="43">
        <v>45329.822916662175</v>
      </c>
      <c r="F1191" s="41">
        <v>14.79039751230939</v>
      </c>
      <c r="G1191" s="41">
        <v>0</v>
      </c>
      <c r="H1191" s="42"/>
      <c r="I1191" s="42"/>
      <c r="J1191" s="42"/>
    </row>
    <row r="1192" spans="5:10">
      <c r="E1192" s="43">
        <v>45329.826388884394</v>
      </c>
      <c r="F1192" s="41">
        <v>14.79039751230939</v>
      </c>
      <c r="G1192" s="41">
        <v>0</v>
      </c>
      <c r="H1192" s="42"/>
      <c r="I1192" s="42"/>
      <c r="J1192" s="42"/>
    </row>
    <row r="1193" spans="5:10">
      <c r="E1193" s="43">
        <v>45329.829861106613</v>
      </c>
      <c r="F1193" s="41">
        <v>14.79039751230939</v>
      </c>
      <c r="G1193" s="41">
        <v>0</v>
      </c>
      <c r="H1193" s="42"/>
      <c r="I1193" s="42"/>
      <c r="J1193" s="42"/>
    </row>
    <row r="1194" spans="5:10">
      <c r="E1194" s="43">
        <v>45329.833333328832</v>
      </c>
      <c r="F1194" s="41">
        <v>14.79039751230939</v>
      </c>
      <c r="G1194" s="41">
        <v>0</v>
      </c>
      <c r="H1194" s="42"/>
      <c r="I1194" s="42"/>
      <c r="J1194" s="42"/>
    </row>
    <row r="1195" spans="5:10">
      <c r="E1195" s="43">
        <v>45329.836805551051</v>
      </c>
      <c r="F1195" s="41">
        <v>14.79039751230939</v>
      </c>
      <c r="G1195" s="41">
        <v>0</v>
      </c>
      <c r="H1195" s="42"/>
      <c r="I1195" s="42"/>
      <c r="J1195" s="42"/>
    </row>
    <row r="1196" spans="5:10">
      <c r="E1196" s="43">
        <v>45329.84027777327</v>
      </c>
      <c r="F1196" s="41">
        <v>14.79039751230939</v>
      </c>
      <c r="G1196" s="41">
        <v>0</v>
      </c>
      <c r="H1196" s="42"/>
      <c r="I1196" s="42"/>
      <c r="J1196" s="42"/>
    </row>
    <row r="1197" spans="5:10">
      <c r="E1197" s="43">
        <v>45329.843749995489</v>
      </c>
      <c r="F1197" s="41">
        <v>14.79039751230939</v>
      </c>
      <c r="G1197" s="41">
        <v>0</v>
      </c>
      <c r="H1197" s="42"/>
      <c r="I1197" s="42"/>
      <c r="J1197" s="42"/>
    </row>
    <row r="1198" spans="5:10">
      <c r="E1198" s="43">
        <v>45329.847222217708</v>
      </c>
      <c r="F1198" s="41">
        <v>14.79039751230939</v>
      </c>
      <c r="G1198" s="41">
        <v>0</v>
      </c>
      <c r="H1198" s="42"/>
      <c r="I1198" s="42"/>
      <c r="J1198" s="42"/>
    </row>
    <row r="1199" spans="5:10">
      <c r="E1199" s="43">
        <v>45329.850694439927</v>
      </c>
      <c r="F1199" s="41">
        <v>14.79039751230939</v>
      </c>
      <c r="G1199" s="41">
        <v>0</v>
      </c>
      <c r="H1199" s="42"/>
      <c r="I1199" s="42"/>
      <c r="J1199" s="42"/>
    </row>
    <row r="1200" spans="5:10">
      <c r="E1200" s="43">
        <v>45329.854166662146</v>
      </c>
      <c r="F1200" s="41">
        <v>14.79039751230939</v>
      </c>
      <c r="G1200" s="41">
        <v>0</v>
      </c>
      <c r="H1200" s="42"/>
      <c r="I1200" s="42"/>
      <c r="J1200" s="42"/>
    </row>
    <row r="1201" spans="5:10">
      <c r="E1201" s="43">
        <v>45329.857638884365</v>
      </c>
      <c r="F1201" s="41">
        <v>14.79039751230939</v>
      </c>
      <c r="G1201" s="41">
        <v>0</v>
      </c>
      <c r="H1201" s="42"/>
      <c r="I1201" s="42"/>
      <c r="J1201" s="42"/>
    </row>
    <row r="1202" spans="5:10">
      <c r="E1202" s="43">
        <v>45329.861111106584</v>
      </c>
      <c r="F1202" s="41">
        <v>14.79039751230939</v>
      </c>
      <c r="G1202" s="41">
        <v>0</v>
      </c>
      <c r="H1202" s="42"/>
      <c r="I1202" s="42"/>
      <c r="J1202" s="42"/>
    </row>
    <row r="1203" spans="5:10">
      <c r="E1203" s="43">
        <v>45329.864583328803</v>
      </c>
      <c r="F1203" s="41">
        <v>14.79039751230939</v>
      </c>
      <c r="G1203" s="41">
        <v>0</v>
      </c>
      <c r="H1203" s="42"/>
      <c r="I1203" s="42"/>
      <c r="J1203" s="42"/>
    </row>
    <row r="1204" spans="5:10">
      <c r="E1204" s="43">
        <v>45329.868055551022</v>
      </c>
      <c r="F1204" s="41">
        <v>14.79039751230939</v>
      </c>
      <c r="G1204" s="41">
        <v>0</v>
      </c>
      <c r="H1204" s="42"/>
      <c r="I1204" s="42"/>
      <c r="J1204" s="42"/>
    </row>
    <row r="1205" spans="5:10">
      <c r="E1205" s="43">
        <v>45329.871527773241</v>
      </c>
      <c r="F1205" s="41">
        <v>14.79039751230939</v>
      </c>
      <c r="G1205" s="41">
        <v>0</v>
      </c>
      <c r="H1205" s="42"/>
      <c r="I1205" s="42"/>
      <c r="J1205" s="42"/>
    </row>
    <row r="1206" spans="5:10">
      <c r="E1206" s="43">
        <v>45329.87499999546</v>
      </c>
      <c r="F1206" s="41">
        <v>14.79039751230939</v>
      </c>
      <c r="G1206" s="41">
        <v>0</v>
      </c>
      <c r="H1206" s="42"/>
      <c r="I1206" s="42"/>
      <c r="J1206" s="42"/>
    </row>
    <row r="1207" spans="5:10">
      <c r="E1207" s="43">
        <v>45329.878472217679</v>
      </c>
      <c r="F1207" s="41">
        <v>14.79039751230939</v>
      </c>
      <c r="G1207" s="41">
        <v>0</v>
      </c>
      <c r="H1207" s="42"/>
      <c r="I1207" s="42"/>
      <c r="J1207" s="42"/>
    </row>
    <row r="1208" spans="5:10">
      <c r="E1208" s="43">
        <v>45329.881944439898</v>
      </c>
      <c r="F1208" s="41">
        <v>14.79039751230939</v>
      </c>
      <c r="G1208" s="41">
        <v>0</v>
      </c>
      <c r="H1208" s="42"/>
      <c r="I1208" s="42"/>
      <c r="J1208" s="42"/>
    </row>
    <row r="1209" spans="5:10">
      <c r="E1209" s="43">
        <v>45329.885416662117</v>
      </c>
      <c r="F1209" s="41">
        <v>14.79039751230939</v>
      </c>
      <c r="G1209" s="41">
        <v>0</v>
      </c>
      <c r="H1209" s="42"/>
      <c r="I1209" s="42"/>
      <c r="J1209" s="42"/>
    </row>
    <row r="1210" spans="5:10">
      <c r="E1210" s="43">
        <v>45329.888888884336</v>
      </c>
      <c r="F1210" s="41">
        <v>14.79039751230939</v>
      </c>
      <c r="G1210" s="41">
        <v>0</v>
      </c>
      <c r="H1210" s="42"/>
      <c r="I1210" s="42"/>
      <c r="J1210" s="42"/>
    </row>
    <row r="1211" spans="5:10">
      <c r="E1211" s="43">
        <v>45329.892361106555</v>
      </c>
      <c r="F1211" s="41">
        <v>14.79039751230939</v>
      </c>
      <c r="G1211" s="41">
        <v>0</v>
      </c>
      <c r="H1211" s="42"/>
      <c r="I1211" s="42"/>
      <c r="J1211" s="42"/>
    </row>
    <row r="1212" spans="5:10">
      <c r="E1212" s="43">
        <v>45329.895833328774</v>
      </c>
      <c r="F1212" s="41">
        <v>14.79039751230939</v>
      </c>
      <c r="G1212" s="41">
        <v>0</v>
      </c>
      <c r="H1212" s="42"/>
      <c r="I1212" s="42"/>
      <c r="J1212" s="42"/>
    </row>
    <row r="1213" spans="5:10">
      <c r="E1213" s="43">
        <v>45329.899305550993</v>
      </c>
      <c r="F1213" s="41">
        <v>14.79039751230939</v>
      </c>
      <c r="G1213" s="41">
        <v>0</v>
      </c>
      <c r="H1213" s="42"/>
      <c r="I1213" s="42"/>
      <c r="J1213" s="42"/>
    </row>
    <row r="1214" spans="5:10">
      <c r="E1214" s="43">
        <v>45329.902777773212</v>
      </c>
      <c r="F1214" s="41">
        <v>14.79039751230939</v>
      </c>
      <c r="G1214" s="41">
        <v>0</v>
      </c>
      <c r="H1214" s="42"/>
      <c r="I1214" s="42"/>
      <c r="J1214" s="42"/>
    </row>
    <row r="1215" spans="5:10">
      <c r="E1215" s="43">
        <v>45329.906249995431</v>
      </c>
      <c r="F1215" s="41">
        <v>14.79039751230939</v>
      </c>
      <c r="G1215" s="41">
        <v>0</v>
      </c>
      <c r="H1215" s="42"/>
      <c r="I1215" s="42"/>
      <c r="J1215" s="42"/>
    </row>
    <row r="1216" spans="5:10">
      <c r="E1216" s="43">
        <v>45329.90972221765</v>
      </c>
      <c r="F1216" s="41">
        <v>14.79039751230939</v>
      </c>
      <c r="G1216" s="41">
        <v>0</v>
      </c>
      <c r="H1216" s="42"/>
      <c r="I1216" s="42"/>
      <c r="J1216" s="42"/>
    </row>
    <row r="1217" spans="5:10">
      <c r="E1217" s="43">
        <v>45329.913194439869</v>
      </c>
      <c r="F1217" s="41">
        <v>14.79039751230939</v>
      </c>
      <c r="G1217" s="41">
        <v>0</v>
      </c>
      <c r="H1217" s="42"/>
      <c r="I1217" s="42"/>
      <c r="J1217" s="42"/>
    </row>
    <row r="1218" spans="5:10">
      <c r="E1218" s="43">
        <v>45329.916666662088</v>
      </c>
      <c r="F1218" s="41">
        <v>14.79039751230939</v>
      </c>
      <c r="G1218" s="41">
        <v>0</v>
      </c>
      <c r="H1218" s="42"/>
      <c r="I1218" s="42"/>
      <c r="J1218" s="42"/>
    </row>
    <row r="1219" spans="5:10">
      <c r="E1219" s="43">
        <v>45329.920138884307</v>
      </c>
      <c r="F1219" s="41">
        <v>14.79039751230939</v>
      </c>
      <c r="G1219" s="41">
        <v>0</v>
      </c>
      <c r="H1219" s="42"/>
      <c r="I1219" s="42"/>
      <c r="J1219" s="42"/>
    </row>
    <row r="1220" spans="5:10">
      <c r="E1220" s="43">
        <v>45329.923611106526</v>
      </c>
      <c r="F1220" s="41">
        <v>14.79039751230939</v>
      </c>
      <c r="G1220" s="41">
        <v>0</v>
      </c>
      <c r="H1220" s="42"/>
      <c r="I1220" s="42"/>
      <c r="J1220" s="42"/>
    </row>
    <row r="1221" spans="5:10">
      <c r="E1221" s="43">
        <v>45329.927083328745</v>
      </c>
      <c r="F1221" s="41">
        <v>14.79039751230939</v>
      </c>
      <c r="G1221" s="41">
        <v>0</v>
      </c>
      <c r="H1221" s="42"/>
      <c r="I1221" s="42"/>
      <c r="J1221" s="42"/>
    </row>
    <row r="1222" spans="5:10">
      <c r="E1222" s="43">
        <v>45329.930555550964</v>
      </c>
      <c r="F1222" s="41">
        <v>14.79039751230939</v>
      </c>
      <c r="G1222" s="41">
        <v>0</v>
      </c>
      <c r="H1222" s="42"/>
      <c r="I1222" s="42"/>
      <c r="J1222" s="42"/>
    </row>
    <row r="1223" spans="5:10">
      <c r="E1223" s="43">
        <v>45329.934027773183</v>
      </c>
      <c r="F1223" s="41">
        <v>14.79039751230939</v>
      </c>
      <c r="G1223" s="41">
        <v>0</v>
      </c>
      <c r="H1223" s="42"/>
      <c r="I1223" s="42"/>
      <c r="J1223" s="42"/>
    </row>
    <row r="1224" spans="5:10">
      <c r="E1224" s="43">
        <v>45329.937499995402</v>
      </c>
      <c r="F1224" s="41">
        <v>14.79039751230939</v>
      </c>
      <c r="G1224" s="41">
        <v>0</v>
      </c>
      <c r="H1224" s="42"/>
      <c r="I1224" s="42"/>
      <c r="J1224" s="42"/>
    </row>
    <row r="1225" spans="5:10">
      <c r="E1225" s="43">
        <v>45329.940972217621</v>
      </c>
      <c r="F1225" s="41">
        <v>14.79039751230939</v>
      </c>
      <c r="G1225" s="41">
        <v>0</v>
      </c>
      <c r="H1225" s="42"/>
      <c r="I1225" s="42"/>
      <c r="J1225" s="42"/>
    </row>
    <row r="1226" spans="5:10">
      <c r="E1226" s="43">
        <v>45329.94444443984</v>
      </c>
      <c r="F1226" s="41">
        <v>14.79039751230939</v>
      </c>
      <c r="G1226" s="41">
        <v>0</v>
      </c>
      <c r="H1226" s="42"/>
      <c r="I1226" s="42"/>
      <c r="J1226" s="42"/>
    </row>
    <row r="1227" spans="5:10">
      <c r="E1227" s="43">
        <v>45329.947916662059</v>
      </c>
      <c r="F1227" s="41">
        <v>14.79039751230939</v>
      </c>
      <c r="G1227" s="41">
        <v>0</v>
      </c>
      <c r="H1227" s="42"/>
      <c r="I1227" s="42"/>
      <c r="J1227" s="42"/>
    </row>
    <row r="1228" spans="5:10">
      <c r="E1228" s="43">
        <v>45329.951388884278</v>
      </c>
      <c r="F1228" s="41">
        <v>14.79039751230939</v>
      </c>
      <c r="G1228" s="41">
        <v>0</v>
      </c>
      <c r="H1228" s="42"/>
      <c r="I1228" s="42"/>
      <c r="J1228" s="42"/>
    </row>
    <row r="1229" spans="5:10">
      <c r="E1229" s="43">
        <v>45329.954861106497</v>
      </c>
      <c r="F1229" s="41">
        <v>14.79039751230939</v>
      </c>
      <c r="G1229" s="41">
        <v>0</v>
      </c>
      <c r="H1229" s="42"/>
      <c r="I1229" s="42"/>
      <c r="J1229" s="42"/>
    </row>
    <row r="1230" spans="5:10">
      <c r="E1230" s="43">
        <v>45329.958333328716</v>
      </c>
      <c r="F1230" s="41">
        <v>14.79039751230939</v>
      </c>
      <c r="G1230" s="41">
        <v>0</v>
      </c>
      <c r="H1230" s="42"/>
      <c r="I1230" s="42"/>
      <c r="J1230" s="42"/>
    </row>
    <row r="1231" spans="5:10">
      <c r="E1231" s="43">
        <v>45329.961805550935</v>
      </c>
      <c r="F1231" s="41">
        <v>14.79039751230939</v>
      </c>
      <c r="G1231" s="41">
        <v>0</v>
      </c>
      <c r="H1231" s="42"/>
      <c r="I1231" s="42"/>
      <c r="J1231" s="42"/>
    </row>
    <row r="1232" spans="5:10">
      <c r="E1232" s="43">
        <v>45329.965277773154</v>
      </c>
      <c r="F1232" s="41">
        <v>14.79039751230939</v>
      </c>
      <c r="G1232" s="41">
        <v>0</v>
      </c>
      <c r="H1232" s="42"/>
      <c r="I1232" s="42"/>
      <c r="J1232" s="42"/>
    </row>
    <row r="1233" spans="5:10">
      <c r="E1233" s="43">
        <v>45329.968749995372</v>
      </c>
      <c r="F1233" s="41">
        <v>14.79039751230939</v>
      </c>
      <c r="G1233" s="41">
        <v>0</v>
      </c>
      <c r="H1233" s="42"/>
      <c r="I1233" s="42"/>
      <c r="J1233" s="42"/>
    </row>
    <row r="1234" spans="5:10">
      <c r="E1234" s="43">
        <v>45329.972222217591</v>
      </c>
      <c r="F1234" s="41">
        <v>14.79039751230939</v>
      </c>
      <c r="G1234" s="41">
        <v>0</v>
      </c>
      <c r="H1234" s="42"/>
      <c r="I1234" s="42"/>
      <c r="J1234" s="42"/>
    </row>
    <row r="1235" spans="5:10">
      <c r="E1235" s="43">
        <v>45329.97569443981</v>
      </c>
      <c r="F1235" s="41">
        <v>14.79039751230939</v>
      </c>
      <c r="G1235" s="41">
        <v>0</v>
      </c>
      <c r="H1235" s="42"/>
      <c r="I1235" s="42"/>
      <c r="J1235" s="42"/>
    </row>
    <row r="1236" spans="5:10">
      <c r="E1236" s="43">
        <v>45329.979166662029</v>
      </c>
      <c r="F1236" s="41">
        <v>14.79039751230939</v>
      </c>
      <c r="G1236" s="41">
        <v>0</v>
      </c>
      <c r="H1236" s="42"/>
      <c r="I1236" s="42"/>
      <c r="J1236" s="42"/>
    </row>
    <row r="1237" spans="5:10">
      <c r="E1237" s="43">
        <v>45329.982638884248</v>
      </c>
      <c r="F1237" s="41">
        <v>14.79039751230939</v>
      </c>
      <c r="G1237" s="41">
        <v>0</v>
      </c>
      <c r="H1237" s="42"/>
      <c r="I1237" s="42"/>
      <c r="J1237" s="42"/>
    </row>
    <row r="1238" spans="5:10">
      <c r="E1238" s="43">
        <v>45329.986111106467</v>
      </c>
      <c r="F1238" s="41">
        <v>14.79039751230939</v>
      </c>
      <c r="G1238" s="41">
        <v>0</v>
      </c>
      <c r="H1238" s="42"/>
      <c r="I1238" s="42"/>
      <c r="J1238" s="42"/>
    </row>
    <row r="1239" spans="5:10">
      <c r="E1239" s="43">
        <v>45329.989583328686</v>
      </c>
      <c r="F1239" s="41">
        <v>14.79039751230939</v>
      </c>
      <c r="G1239" s="41">
        <v>0</v>
      </c>
      <c r="H1239" s="42"/>
      <c r="I1239" s="42"/>
      <c r="J1239" s="42"/>
    </row>
    <row r="1240" spans="5:10">
      <c r="E1240" s="43">
        <v>45329.993055550905</v>
      </c>
      <c r="F1240" s="41">
        <v>14.79039751230939</v>
      </c>
      <c r="G1240" s="41">
        <v>0</v>
      </c>
      <c r="H1240" s="42"/>
      <c r="I1240" s="42"/>
      <c r="J1240" s="42"/>
    </row>
    <row r="1241" spans="5:10">
      <c r="E1241" s="43">
        <v>45329.996527773124</v>
      </c>
      <c r="F1241" s="41">
        <v>14.79039751230939</v>
      </c>
      <c r="G1241" s="41">
        <v>0</v>
      </c>
      <c r="H1241" s="42"/>
      <c r="I1241" s="42"/>
      <c r="J1241" s="42"/>
    </row>
    <row r="1242" spans="5:10">
      <c r="E1242" s="43">
        <v>45329.999999995343</v>
      </c>
      <c r="F1242" s="41">
        <v>14.79039751230939</v>
      </c>
      <c r="G1242" s="41">
        <v>0</v>
      </c>
      <c r="H1242" s="42"/>
      <c r="I1242" s="42"/>
      <c r="J1242" s="42"/>
    </row>
    <row r="1243" spans="5:10">
      <c r="E1243" s="43">
        <v>45330.003472217562</v>
      </c>
      <c r="F1243" s="41">
        <v>14.79039751230939</v>
      </c>
      <c r="G1243" s="41">
        <v>0</v>
      </c>
      <c r="H1243" s="42"/>
      <c r="I1243" s="42"/>
      <c r="J1243" s="42"/>
    </row>
    <row r="1244" spans="5:10">
      <c r="E1244" s="43">
        <v>45330.006944439781</v>
      </c>
      <c r="F1244" s="41">
        <v>14.79039751230939</v>
      </c>
      <c r="G1244" s="41">
        <v>0</v>
      </c>
      <c r="H1244" s="42"/>
      <c r="I1244" s="42"/>
      <c r="J1244" s="42"/>
    </row>
    <row r="1245" spans="5:10">
      <c r="E1245" s="43">
        <v>45330.010416662</v>
      </c>
      <c r="F1245" s="41">
        <v>14.79039751230939</v>
      </c>
      <c r="G1245" s="41">
        <v>0</v>
      </c>
      <c r="H1245" s="42"/>
      <c r="I1245" s="42"/>
      <c r="J1245" s="42"/>
    </row>
    <row r="1246" spans="5:10">
      <c r="E1246" s="43">
        <v>45330.013888884219</v>
      </c>
      <c r="F1246" s="41">
        <v>14.79039751230939</v>
      </c>
      <c r="G1246" s="41">
        <v>0</v>
      </c>
      <c r="H1246" s="42"/>
      <c r="I1246" s="42"/>
      <c r="J1246" s="42"/>
    </row>
    <row r="1247" spans="5:10">
      <c r="E1247" s="43">
        <v>45330.017361106438</v>
      </c>
      <c r="F1247" s="41">
        <v>14.79039751230939</v>
      </c>
      <c r="G1247" s="41">
        <v>0</v>
      </c>
      <c r="H1247" s="42"/>
      <c r="I1247" s="42"/>
      <c r="J1247" s="42"/>
    </row>
    <row r="1248" spans="5:10">
      <c r="E1248" s="43">
        <v>45330.020833328657</v>
      </c>
      <c r="F1248" s="41">
        <v>14.79039751230939</v>
      </c>
      <c r="G1248" s="41">
        <v>0</v>
      </c>
      <c r="H1248" s="42"/>
      <c r="I1248" s="42"/>
      <c r="J1248" s="42"/>
    </row>
    <row r="1249" spans="5:10">
      <c r="E1249" s="43">
        <v>45330.024305550876</v>
      </c>
      <c r="F1249" s="41">
        <v>14.79039751230939</v>
      </c>
      <c r="G1249" s="41">
        <v>0</v>
      </c>
      <c r="H1249" s="42"/>
      <c r="I1249" s="42"/>
      <c r="J1249" s="42"/>
    </row>
    <row r="1250" spans="5:10">
      <c r="E1250" s="43">
        <v>45330.027777773095</v>
      </c>
      <c r="F1250" s="41">
        <v>14.79039751230939</v>
      </c>
      <c r="G1250" s="41">
        <v>0</v>
      </c>
      <c r="H1250" s="42"/>
      <c r="I1250" s="42"/>
      <c r="J1250" s="42"/>
    </row>
    <row r="1251" spans="5:10">
      <c r="E1251" s="43">
        <v>45330.031249995314</v>
      </c>
      <c r="F1251" s="41">
        <v>14.79039751230939</v>
      </c>
      <c r="G1251" s="41">
        <v>0</v>
      </c>
      <c r="H1251" s="42"/>
      <c r="I1251" s="42"/>
      <c r="J1251" s="42"/>
    </row>
    <row r="1252" spans="5:10">
      <c r="E1252" s="43">
        <v>45330.034722217533</v>
      </c>
      <c r="F1252" s="41">
        <v>14.79039751230939</v>
      </c>
      <c r="G1252" s="41">
        <v>0</v>
      </c>
      <c r="H1252" s="42"/>
      <c r="I1252" s="42"/>
      <c r="J1252" s="42"/>
    </row>
    <row r="1253" spans="5:10">
      <c r="E1253" s="43">
        <v>45330.038194439752</v>
      </c>
      <c r="F1253" s="41">
        <v>14.79039751230939</v>
      </c>
      <c r="G1253" s="41">
        <v>0</v>
      </c>
      <c r="H1253" s="42"/>
      <c r="I1253" s="42"/>
      <c r="J1253" s="42"/>
    </row>
    <row r="1254" spans="5:10">
      <c r="E1254" s="43">
        <v>45330.041666661971</v>
      </c>
      <c r="F1254" s="41">
        <v>14.79039751230939</v>
      </c>
      <c r="G1254" s="41">
        <v>0</v>
      </c>
      <c r="H1254" s="42"/>
      <c r="I1254" s="42"/>
      <c r="J1254" s="42"/>
    </row>
    <row r="1255" spans="5:10">
      <c r="E1255" s="43">
        <v>45330.04513888419</v>
      </c>
      <c r="F1255" s="41">
        <v>14.79039751230939</v>
      </c>
      <c r="G1255" s="41">
        <v>0</v>
      </c>
      <c r="H1255" s="42"/>
      <c r="I1255" s="42"/>
      <c r="J1255" s="42"/>
    </row>
    <row r="1256" spans="5:10">
      <c r="E1256" s="43">
        <v>45330.048611106409</v>
      </c>
      <c r="F1256" s="41">
        <v>14.79039751230939</v>
      </c>
      <c r="G1256" s="41">
        <v>0</v>
      </c>
      <c r="H1256" s="42"/>
      <c r="I1256" s="42"/>
      <c r="J1256" s="42"/>
    </row>
    <row r="1257" spans="5:10">
      <c r="E1257" s="43">
        <v>45330.052083328628</v>
      </c>
      <c r="F1257" s="41">
        <v>14.79039751230939</v>
      </c>
      <c r="G1257" s="41">
        <v>0</v>
      </c>
      <c r="H1257" s="42"/>
      <c r="I1257" s="42"/>
      <c r="J1257" s="42"/>
    </row>
    <row r="1258" spans="5:10">
      <c r="E1258" s="43">
        <v>45330.055555550847</v>
      </c>
      <c r="F1258" s="41">
        <v>14.79039751230939</v>
      </c>
      <c r="G1258" s="41">
        <v>0</v>
      </c>
      <c r="H1258" s="42"/>
      <c r="I1258" s="42"/>
      <c r="J1258" s="42"/>
    </row>
    <row r="1259" spans="5:10">
      <c r="E1259" s="43">
        <v>45330.059027773066</v>
      </c>
      <c r="F1259" s="41">
        <v>14.79039751230939</v>
      </c>
      <c r="G1259" s="41">
        <v>0</v>
      </c>
      <c r="H1259" s="42"/>
      <c r="I1259" s="42"/>
      <c r="J1259" s="42"/>
    </row>
    <row r="1260" spans="5:10">
      <c r="E1260" s="43">
        <v>45330.062499995285</v>
      </c>
      <c r="F1260" s="41">
        <v>14.79039751230939</v>
      </c>
      <c r="G1260" s="41">
        <v>0</v>
      </c>
      <c r="H1260" s="42"/>
      <c r="I1260" s="42"/>
      <c r="J1260" s="42"/>
    </row>
    <row r="1261" spans="5:10">
      <c r="E1261" s="43">
        <v>45330.065972217504</v>
      </c>
      <c r="F1261" s="41">
        <v>14.79039751230939</v>
      </c>
      <c r="G1261" s="41">
        <v>0</v>
      </c>
      <c r="H1261" s="42"/>
      <c r="I1261" s="42"/>
      <c r="J1261" s="42"/>
    </row>
    <row r="1262" spans="5:10">
      <c r="E1262" s="43">
        <v>45330.069444439723</v>
      </c>
      <c r="F1262" s="41">
        <v>14.79039751230939</v>
      </c>
      <c r="G1262" s="41">
        <v>0</v>
      </c>
      <c r="H1262" s="42"/>
      <c r="I1262" s="42"/>
      <c r="J1262" s="42"/>
    </row>
    <row r="1263" spans="5:10">
      <c r="E1263" s="43">
        <v>45330.072916661942</v>
      </c>
      <c r="F1263" s="41">
        <v>14.79039751230939</v>
      </c>
      <c r="G1263" s="41">
        <v>0</v>
      </c>
      <c r="H1263" s="42"/>
      <c r="I1263" s="42"/>
      <c r="J1263" s="42"/>
    </row>
    <row r="1264" spans="5:10">
      <c r="E1264" s="43">
        <v>45330.076388884161</v>
      </c>
      <c r="F1264" s="41">
        <v>14.79039751230939</v>
      </c>
      <c r="G1264" s="41">
        <v>0</v>
      </c>
      <c r="H1264" s="42"/>
      <c r="I1264" s="42"/>
      <c r="J1264" s="42"/>
    </row>
    <row r="1265" spans="5:10">
      <c r="E1265" s="43">
        <v>45330.07986110638</v>
      </c>
      <c r="F1265" s="41">
        <v>14.79039751230939</v>
      </c>
      <c r="G1265" s="41">
        <v>0</v>
      </c>
      <c r="H1265" s="42"/>
      <c r="I1265" s="42"/>
      <c r="J1265" s="42"/>
    </row>
    <row r="1266" spans="5:10">
      <c r="E1266" s="43">
        <v>45330.083333328599</v>
      </c>
      <c r="F1266" s="41">
        <v>14.79039751230939</v>
      </c>
      <c r="G1266" s="41">
        <v>0</v>
      </c>
      <c r="H1266" s="42"/>
      <c r="I1266" s="42"/>
      <c r="J1266" s="42"/>
    </row>
    <row r="1267" spans="5:10">
      <c r="E1267" s="43">
        <v>45330.086805550818</v>
      </c>
      <c r="F1267" s="41">
        <v>14.79039751230939</v>
      </c>
      <c r="G1267" s="41">
        <v>0</v>
      </c>
      <c r="H1267" s="42"/>
      <c r="I1267" s="42"/>
      <c r="J1267" s="42"/>
    </row>
    <row r="1268" spans="5:10">
      <c r="E1268" s="43">
        <v>45330.090277773037</v>
      </c>
      <c r="F1268" s="41">
        <v>14.79039751230939</v>
      </c>
      <c r="G1268" s="41">
        <v>0</v>
      </c>
      <c r="H1268" s="42"/>
      <c r="I1268" s="42"/>
      <c r="J1268" s="42"/>
    </row>
    <row r="1269" spans="5:10">
      <c r="E1269" s="43">
        <v>45330.093749995256</v>
      </c>
      <c r="F1269" s="41">
        <v>14.79039751230939</v>
      </c>
      <c r="G1269" s="41">
        <v>0</v>
      </c>
      <c r="H1269" s="42"/>
      <c r="I1269" s="42"/>
      <c r="J1269" s="42"/>
    </row>
    <row r="1270" spans="5:10">
      <c r="E1270" s="43">
        <v>45330.097222217475</v>
      </c>
      <c r="F1270" s="41">
        <v>14.79039751230939</v>
      </c>
      <c r="G1270" s="41">
        <v>0</v>
      </c>
      <c r="H1270" s="42"/>
      <c r="I1270" s="42"/>
      <c r="J1270" s="42"/>
    </row>
    <row r="1271" spans="5:10">
      <c r="E1271" s="43">
        <v>45330.100694439694</v>
      </c>
      <c r="F1271" s="41">
        <v>14.79039751230939</v>
      </c>
      <c r="G1271" s="41">
        <v>0</v>
      </c>
      <c r="H1271" s="42"/>
      <c r="I1271" s="42"/>
      <c r="J1271" s="42"/>
    </row>
    <row r="1272" spans="5:10">
      <c r="E1272" s="43">
        <v>45330.104166661913</v>
      </c>
      <c r="F1272" s="41">
        <v>14.79039751230939</v>
      </c>
      <c r="G1272" s="41">
        <v>0</v>
      </c>
      <c r="H1272" s="42"/>
      <c r="I1272" s="42"/>
      <c r="J1272" s="42"/>
    </row>
    <row r="1273" spans="5:10">
      <c r="E1273" s="43">
        <v>45330.107638884132</v>
      </c>
      <c r="F1273" s="41">
        <v>14.79039751230939</v>
      </c>
      <c r="G1273" s="41">
        <v>0</v>
      </c>
      <c r="H1273" s="42"/>
      <c r="I1273" s="42"/>
      <c r="J1273" s="42"/>
    </row>
    <row r="1274" spans="5:10">
      <c r="E1274" s="43">
        <v>45330.111111106351</v>
      </c>
      <c r="F1274" s="41">
        <v>14.79039751230939</v>
      </c>
      <c r="G1274" s="41">
        <v>0</v>
      </c>
      <c r="H1274" s="42"/>
      <c r="I1274" s="42"/>
      <c r="J1274" s="42"/>
    </row>
    <row r="1275" spans="5:10">
      <c r="E1275" s="43">
        <v>45330.11458332857</v>
      </c>
      <c r="F1275" s="41">
        <v>14.79039751230939</v>
      </c>
      <c r="G1275" s="41">
        <v>0</v>
      </c>
      <c r="H1275" s="42"/>
      <c r="I1275" s="42"/>
      <c r="J1275" s="42"/>
    </row>
    <row r="1276" spans="5:10">
      <c r="E1276" s="43">
        <v>45330.118055550789</v>
      </c>
      <c r="F1276" s="41">
        <v>14.79039751230939</v>
      </c>
      <c r="G1276" s="41">
        <v>0</v>
      </c>
      <c r="H1276" s="42"/>
      <c r="I1276" s="42"/>
      <c r="J1276" s="42"/>
    </row>
    <row r="1277" spans="5:10">
      <c r="E1277" s="43">
        <v>45330.121527773008</v>
      </c>
      <c r="F1277" s="41">
        <v>14.79039751230939</v>
      </c>
      <c r="G1277" s="41">
        <v>0</v>
      </c>
      <c r="H1277" s="42"/>
      <c r="I1277" s="42"/>
      <c r="J1277" s="42"/>
    </row>
    <row r="1278" spans="5:10">
      <c r="E1278" s="43">
        <v>45330.124999995227</v>
      </c>
      <c r="F1278" s="41">
        <v>14.79039751230939</v>
      </c>
      <c r="G1278" s="41">
        <v>0</v>
      </c>
      <c r="H1278" s="42"/>
      <c r="I1278" s="42"/>
      <c r="J1278" s="42"/>
    </row>
    <row r="1279" spans="5:10">
      <c r="E1279" s="43">
        <v>45330.128472217446</v>
      </c>
      <c r="F1279" s="41">
        <v>14.79039751230939</v>
      </c>
      <c r="G1279" s="41">
        <v>0</v>
      </c>
      <c r="H1279" s="42"/>
      <c r="I1279" s="42"/>
      <c r="J1279" s="42"/>
    </row>
    <row r="1280" spans="5:10">
      <c r="E1280" s="43">
        <v>45330.131944439665</v>
      </c>
      <c r="F1280" s="41">
        <v>14.79039751230939</v>
      </c>
      <c r="G1280" s="41">
        <v>0</v>
      </c>
      <c r="H1280" s="42"/>
      <c r="I1280" s="42"/>
      <c r="J1280" s="42"/>
    </row>
    <row r="1281" spans="5:10">
      <c r="E1281" s="43">
        <v>45330.135416661884</v>
      </c>
      <c r="F1281" s="41">
        <v>14.79039751230939</v>
      </c>
      <c r="G1281" s="41">
        <v>0</v>
      </c>
      <c r="H1281" s="42"/>
      <c r="I1281" s="42"/>
      <c r="J1281" s="42"/>
    </row>
    <row r="1282" spans="5:10">
      <c r="E1282" s="43">
        <v>45330.138888884103</v>
      </c>
      <c r="F1282" s="41">
        <v>14.79039751230939</v>
      </c>
      <c r="G1282" s="41">
        <v>0</v>
      </c>
      <c r="H1282" s="42"/>
      <c r="I1282" s="42"/>
      <c r="J1282" s="42"/>
    </row>
    <row r="1283" spans="5:10">
      <c r="E1283" s="43">
        <v>45330.142361106322</v>
      </c>
      <c r="F1283" s="41">
        <v>14.79039751230939</v>
      </c>
      <c r="G1283" s="41">
        <v>0</v>
      </c>
      <c r="H1283" s="42"/>
      <c r="I1283" s="42"/>
      <c r="J1283" s="42"/>
    </row>
    <row r="1284" spans="5:10">
      <c r="E1284" s="43">
        <v>45330.145833328541</v>
      </c>
      <c r="F1284" s="41">
        <v>14.79039751230939</v>
      </c>
      <c r="G1284" s="41">
        <v>0</v>
      </c>
      <c r="H1284" s="42"/>
      <c r="I1284" s="42"/>
      <c r="J1284" s="42"/>
    </row>
    <row r="1285" spans="5:10">
      <c r="E1285" s="43">
        <v>45330.14930555076</v>
      </c>
      <c r="F1285" s="41">
        <v>14.79039751230939</v>
      </c>
      <c r="G1285" s="41">
        <v>0</v>
      </c>
      <c r="H1285" s="42"/>
      <c r="I1285" s="42"/>
      <c r="J1285" s="42"/>
    </row>
    <row r="1286" spans="5:10">
      <c r="E1286" s="43">
        <v>45330.152777772979</v>
      </c>
      <c r="F1286" s="41">
        <v>14.79039751230939</v>
      </c>
      <c r="G1286" s="41">
        <v>0</v>
      </c>
      <c r="H1286" s="42"/>
      <c r="I1286" s="42"/>
      <c r="J1286" s="42"/>
    </row>
    <row r="1287" spans="5:10">
      <c r="E1287" s="43">
        <v>45330.156249995198</v>
      </c>
      <c r="F1287" s="41">
        <v>14.79039751230939</v>
      </c>
      <c r="G1287" s="41">
        <v>0</v>
      </c>
      <c r="H1287" s="42"/>
      <c r="I1287" s="42"/>
      <c r="J1287" s="42"/>
    </row>
    <row r="1288" spans="5:10">
      <c r="E1288" s="43">
        <v>45330.159722217417</v>
      </c>
      <c r="F1288" s="41">
        <v>14.79039751230939</v>
      </c>
      <c r="G1288" s="41">
        <v>0</v>
      </c>
      <c r="H1288" s="42"/>
      <c r="I1288" s="42"/>
      <c r="J1288" s="42"/>
    </row>
    <row r="1289" spans="5:10">
      <c r="E1289" s="43">
        <v>45330.163194439636</v>
      </c>
      <c r="F1289" s="41">
        <v>14.79039751230939</v>
      </c>
      <c r="G1289" s="41">
        <v>0</v>
      </c>
      <c r="H1289" s="42"/>
      <c r="I1289" s="42"/>
      <c r="J1289" s="42"/>
    </row>
    <row r="1290" spans="5:10">
      <c r="E1290" s="43">
        <v>45330.166666661855</v>
      </c>
      <c r="F1290" s="41">
        <v>14.79039751230939</v>
      </c>
      <c r="G1290" s="41">
        <v>0</v>
      </c>
      <c r="H1290" s="42"/>
      <c r="I1290" s="42"/>
      <c r="J1290" s="42"/>
    </row>
    <row r="1291" spans="5:10">
      <c r="E1291" s="43">
        <v>45330.170138884074</v>
      </c>
      <c r="F1291" s="41">
        <v>14.79039751230939</v>
      </c>
      <c r="G1291" s="41">
        <v>0</v>
      </c>
      <c r="H1291" s="42"/>
      <c r="I1291" s="42"/>
      <c r="J1291" s="42"/>
    </row>
    <row r="1292" spans="5:10">
      <c r="E1292" s="43">
        <v>45330.173611106293</v>
      </c>
      <c r="F1292" s="41">
        <v>14.79039751230939</v>
      </c>
      <c r="G1292" s="41">
        <v>0</v>
      </c>
      <c r="H1292" s="42"/>
      <c r="I1292" s="42"/>
      <c r="J1292" s="42"/>
    </row>
    <row r="1293" spans="5:10">
      <c r="E1293" s="43">
        <v>45330.177083328512</v>
      </c>
      <c r="F1293" s="41">
        <v>14.79039751230939</v>
      </c>
      <c r="G1293" s="41">
        <v>0</v>
      </c>
      <c r="H1293" s="42"/>
      <c r="I1293" s="42"/>
      <c r="J1293" s="42"/>
    </row>
    <row r="1294" spans="5:10">
      <c r="E1294" s="43">
        <v>45330.180555550731</v>
      </c>
      <c r="F1294" s="41">
        <v>14.79039751230939</v>
      </c>
      <c r="G1294" s="41">
        <v>0</v>
      </c>
      <c r="H1294" s="42"/>
      <c r="I1294" s="42"/>
      <c r="J1294" s="42"/>
    </row>
    <row r="1295" spans="5:10">
      <c r="E1295" s="43">
        <v>45330.18402777295</v>
      </c>
      <c r="F1295" s="41">
        <v>14.79039751230939</v>
      </c>
      <c r="G1295" s="41">
        <v>0</v>
      </c>
      <c r="H1295" s="42"/>
      <c r="I1295" s="42"/>
      <c r="J1295" s="42"/>
    </row>
    <row r="1296" spans="5:10">
      <c r="E1296" s="43">
        <v>45330.187499995169</v>
      </c>
      <c r="F1296" s="41">
        <v>14.79039751230939</v>
      </c>
      <c r="G1296" s="41">
        <v>0</v>
      </c>
      <c r="H1296" s="42"/>
      <c r="I1296" s="42"/>
      <c r="J1296" s="42"/>
    </row>
    <row r="1297" spans="5:10">
      <c r="E1297" s="43">
        <v>45330.190972217388</v>
      </c>
      <c r="F1297" s="41">
        <v>14.79039751230939</v>
      </c>
      <c r="G1297" s="41">
        <v>0</v>
      </c>
      <c r="H1297" s="42"/>
      <c r="I1297" s="42"/>
      <c r="J1297" s="42"/>
    </row>
    <row r="1298" spans="5:10">
      <c r="E1298" s="43">
        <v>45330.194444439607</v>
      </c>
      <c r="F1298" s="41">
        <v>14.79039751230939</v>
      </c>
      <c r="G1298" s="41">
        <v>0</v>
      </c>
      <c r="H1298" s="42"/>
      <c r="I1298" s="42"/>
      <c r="J1298" s="42"/>
    </row>
    <row r="1299" spans="5:10">
      <c r="E1299" s="43">
        <v>45330.197916661826</v>
      </c>
      <c r="F1299" s="41">
        <v>14.79039751230939</v>
      </c>
      <c r="G1299" s="41">
        <v>0</v>
      </c>
      <c r="H1299" s="42"/>
      <c r="I1299" s="42"/>
      <c r="J1299" s="42"/>
    </row>
    <row r="1300" spans="5:10">
      <c r="E1300" s="43">
        <v>45330.201388884045</v>
      </c>
      <c r="F1300" s="41">
        <v>14.79039751230939</v>
      </c>
      <c r="G1300" s="41">
        <v>0</v>
      </c>
      <c r="H1300" s="42"/>
      <c r="I1300" s="42"/>
      <c r="J1300" s="42"/>
    </row>
    <row r="1301" spans="5:10">
      <c r="E1301" s="43">
        <v>45330.204861106264</v>
      </c>
      <c r="F1301" s="41">
        <v>14.79039751230939</v>
      </c>
      <c r="G1301" s="41">
        <v>0</v>
      </c>
      <c r="H1301" s="42"/>
      <c r="I1301" s="42"/>
      <c r="J1301" s="42"/>
    </row>
    <row r="1302" spans="5:10">
      <c r="E1302" s="43">
        <v>45330.208333328483</v>
      </c>
      <c r="F1302" s="41">
        <v>14.79039751230939</v>
      </c>
      <c r="G1302" s="41">
        <v>0</v>
      </c>
      <c r="H1302" s="42"/>
      <c r="I1302" s="42"/>
      <c r="J1302" s="42"/>
    </row>
    <row r="1303" spans="5:10">
      <c r="E1303" s="43">
        <v>45330.211805550702</v>
      </c>
      <c r="F1303" s="41">
        <v>14.79039751230939</v>
      </c>
      <c r="G1303" s="41">
        <v>0</v>
      </c>
      <c r="H1303" s="42"/>
      <c r="I1303" s="42"/>
      <c r="J1303" s="42"/>
    </row>
    <row r="1304" spans="5:10">
      <c r="E1304" s="43">
        <v>45330.215277772921</v>
      </c>
      <c r="F1304" s="41">
        <v>14.79039751230939</v>
      </c>
      <c r="G1304" s="41">
        <v>0</v>
      </c>
      <c r="H1304" s="42"/>
      <c r="I1304" s="42"/>
      <c r="J1304" s="42"/>
    </row>
    <row r="1305" spans="5:10">
      <c r="E1305" s="43">
        <v>45330.21874999514</v>
      </c>
      <c r="F1305" s="41">
        <v>14.79039751230939</v>
      </c>
      <c r="G1305" s="41">
        <v>0</v>
      </c>
      <c r="H1305" s="42"/>
      <c r="I1305" s="42"/>
      <c r="J1305" s="42"/>
    </row>
    <row r="1306" spans="5:10">
      <c r="E1306" s="43">
        <v>45330.222222217359</v>
      </c>
      <c r="F1306" s="41">
        <v>14.79039751230939</v>
      </c>
      <c r="G1306" s="41">
        <v>0</v>
      </c>
      <c r="H1306" s="42"/>
      <c r="I1306" s="42"/>
      <c r="J1306" s="42"/>
    </row>
    <row r="1307" spans="5:10">
      <c r="E1307" s="43">
        <v>45330.225694439578</v>
      </c>
      <c r="F1307" s="41">
        <v>14.79039751230939</v>
      </c>
      <c r="G1307" s="41">
        <v>0</v>
      </c>
      <c r="H1307" s="42"/>
      <c r="I1307" s="42"/>
      <c r="J1307" s="42"/>
    </row>
    <row r="1308" spans="5:10">
      <c r="E1308" s="43">
        <v>45330.229166661797</v>
      </c>
      <c r="F1308" s="41">
        <v>14.79039751230939</v>
      </c>
      <c r="G1308" s="41">
        <v>0</v>
      </c>
      <c r="H1308" s="42"/>
      <c r="I1308" s="42"/>
      <c r="J1308" s="42"/>
    </row>
    <row r="1309" spans="5:10">
      <c r="E1309" s="43">
        <v>45330.232638884016</v>
      </c>
      <c r="F1309" s="41">
        <v>14.79039751230939</v>
      </c>
      <c r="G1309" s="41">
        <v>0</v>
      </c>
      <c r="H1309" s="42"/>
      <c r="I1309" s="42"/>
      <c r="J1309" s="42"/>
    </row>
    <row r="1310" spans="5:10">
      <c r="E1310" s="43">
        <v>45330.236111106235</v>
      </c>
      <c r="F1310" s="41">
        <v>14.79039751230939</v>
      </c>
      <c r="G1310" s="41">
        <v>0</v>
      </c>
      <c r="H1310" s="42"/>
      <c r="I1310" s="42"/>
      <c r="J1310" s="42"/>
    </row>
    <row r="1311" spans="5:10">
      <c r="E1311" s="43">
        <v>45330.239583328454</v>
      </c>
      <c r="F1311" s="41">
        <v>14.79039751230939</v>
      </c>
      <c r="G1311" s="41">
        <v>0</v>
      </c>
      <c r="H1311" s="42"/>
      <c r="I1311" s="42"/>
      <c r="J1311" s="42"/>
    </row>
    <row r="1312" spans="5:10">
      <c r="E1312" s="43">
        <v>45330.243055550673</v>
      </c>
      <c r="F1312" s="41">
        <v>14.79039751230939</v>
      </c>
      <c r="G1312" s="41">
        <v>0</v>
      </c>
      <c r="H1312" s="42"/>
      <c r="I1312" s="42"/>
      <c r="J1312" s="42"/>
    </row>
    <row r="1313" spans="5:10">
      <c r="E1313" s="43">
        <v>45330.246527772892</v>
      </c>
      <c r="F1313" s="41">
        <v>14.79039751230939</v>
      </c>
      <c r="G1313" s="41">
        <v>0</v>
      </c>
      <c r="H1313" s="42"/>
      <c r="I1313" s="42"/>
      <c r="J1313" s="42"/>
    </row>
    <row r="1314" spans="5:10">
      <c r="E1314" s="43">
        <v>45330.249999995111</v>
      </c>
      <c r="F1314" s="41">
        <v>14.79039751230939</v>
      </c>
      <c r="G1314" s="41">
        <v>0</v>
      </c>
      <c r="H1314" s="42"/>
      <c r="I1314" s="42"/>
      <c r="J1314" s="42"/>
    </row>
    <row r="1315" spans="5:10">
      <c r="E1315" s="43">
        <v>45330.25347221733</v>
      </c>
      <c r="F1315" s="41">
        <v>14.79039751230939</v>
      </c>
      <c r="G1315" s="41">
        <v>0</v>
      </c>
      <c r="H1315" s="42"/>
      <c r="I1315" s="42"/>
      <c r="J1315" s="42"/>
    </row>
    <row r="1316" spans="5:10">
      <c r="E1316" s="43">
        <v>45330.256944439549</v>
      </c>
      <c r="F1316" s="41">
        <v>14.79039751230939</v>
      </c>
      <c r="G1316" s="41">
        <v>0</v>
      </c>
      <c r="H1316" s="42"/>
      <c r="I1316" s="42"/>
      <c r="J1316" s="42"/>
    </row>
    <row r="1317" spans="5:10">
      <c r="E1317" s="43">
        <v>45330.260416661768</v>
      </c>
      <c r="F1317" s="41">
        <v>14.79039751230939</v>
      </c>
      <c r="G1317" s="41">
        <v>0</v>
      </c>
      <c r="H1317" s="42"/>
      <c r="I1317" s="42"/>
      <c r="J1317" s="42"/>
    </row>
    <row r="1318" spans="5:10">
      <c r="E1318" s="43">
        <v>45330.263888883987</v>
      </c>
      <c r="F1318" s="41">
        <v>14.79039751230939</v>
      </c>
      <c r="G1318" s="41">
        <v>0</v>
      </c>
      <c r="H1318" s="42"/>
      <c r="I1318" s="42"/>
      <c r="J1318" s="42"/>
    </row>
    <row r="1319" spans="5:10">
      <c r="E1319" s="43">
        <v>45330.267361106205</v>
      </c>
      <c r="F1319" s="41">
        <v>14.79039751230939</v>
      </c>
      <c r="G1319" s="41">
        <v>0</v>
      </c>
      <c r="H1319" s="42"/>
      <c r="I1319" s="42"/>
      <c r="J1319" s="42"/>
    </row>
    <row r="1320" spans="5:10">
      <c r="E1320" s="43">
        <v>45330.270833328424</v>
      </c>
      <c r="F1320" s="41">
        <v>14.79039751230939</v>
      </c>
      <c r="G1320" s="41">
        <v>0</v>
      </c>
      <c r="H1320" s="42"/>
      <c r="I1320" s="42"/>
      <c r="J1320" s="42"/>
    </row>
    <row r="1321" spans="5:10">
      <c r="E1321" s="43">
        <v>45330.274305550643</v>
      </c>
      <c r="F1321" s="41">
        <v>14.79039751230939</v>
      </c>
      <c r="G1321" s="41">
        <v>0</v>
      </c>
      <c r="H1321" s="42"/>
      <c r="I1321" s="42"/>
      <c r="J1321" s="42"/>
    </row>
    <row r="1322" spans="5:10">
      <c r="E1322" s="43">
        <v>45330.277777772862</v>
      </c>
      <c r="F1322" s="41">
        <v>14.79039751230939</v>
      </c>
      <c r="G1322" s="41">
        <v>0</v>
      </c>
      <c r="H1322" s="42"/>
      <c r="I1322" s="42"/>
      <c r="J1322" s="42"/>
    </row>
    <row r="1323" spans="5:10">
      <c r="E1323" s="43">
        <v>45330.281249995081</v>
      </c>
      <c r="F1323" s="41">
        <v>14.79039751230939</v>
      </c>
      <c r="G1323" s="41">
        <v>0</v>
      </c>
      <c r="H1323" s="42"/>
      <c r="I1323" s="42"/>
      <c r="J1323" s="42"/>
    </row>
    <row r="1324" spans="5:10">
      <c r="E1324" s="43">
        <v>45330.2847222173</v>
      </c>
      <c r="F1324" s="41">
        <v>14.79039751230939</v>
      </c>
      <c r="G1324" s="41">
        <v>0</v>
      </c>
      <c r="H1324" s="42"/>
      <c r="I1324" s="42"/>
      <c r="J1324" s="42"/>
    </row>
    <row r="1325" spans="5:10">
      <c r="E1325" s="43">
        <v>45330.288194439519</v>
      </c>
      <c r="F1325" s="41">
        <v>14.79039751230939</v>
      </c>
      <c r="G1325" s="41">
        <v>0</v>
      </c>
      <c r="H1325" s="42"/>
      <c r="I1325" s="42"/>
      <c r="J1325" s="42"/>
    </row>
    <row r="1326" spans="5:10">
      <c r="E1326" s="43">
        <v>45330.291666661738</v>
      </c>
      <c r="F1326" s="41">
        <v>14.79039751230939</v>
      </c>
      <c r="G1326" s="41">
        <v>0</v>
      </c>
      <c r="H1326" s="42"/>
      <c r="I1326" s="42"/>
      <c r="J1326" s="42"/>
    </row>
    <row r="1327" spans="5:10">
      <c r="E1327" s="43">
        <v>45330.295138883957</v>
      </c>
      <c r="F1327" s="41">
        <v>14.79039751230939</v>
      </c>
      <c r="G1327" s="41">
        <v>0</v>
      </c>
      <c r="H1327" s="42"/>
      <c r="I1327" s="42"/>
      <c r="J1327" s="42"/>
    </row>
    <row r="1328" spans="5:10">
      <c r="E1328" s="43">
        <v>45330.298611106176</v>
      </c>
      <c r="F1328" s="41">
        <v>14.79039751230939</v>
      </c>
      <c r="G1328" s="41">
        <v>0</v>
      </c>
      <c r="H1328" s="42"/>
      <c r="I1328" s="42"/>
      <c r="J1328" s="42"/>
    </row>
    <row r="1329" spans="5:10">
      <c r="E1329" s="43">
        <v>45330.302083328395</v>
      </c>
      <c r="F1329" s="41">
        <v>14.79039751230939</v>
      </c>
      <c r="G1329" s="41">
        <v>0</v>
      </c>
      <c r="H1329" s="42"/>
      <c r="I1329" s="42"/>
      <c r="J1329" s="42"/>
    </row>
    <row r="1330" spans="5:10">
      <c r="E1330" s="43">
        <v>45330.305555550614</v>
      </c>
      <c r="F1330" s="41">
        <v>14.79039751230939</v>
      </c>
      <c r="G1330" s="41">
        <v>0</v>
      </c>
      <c r="H1330" s="42"/>
      <c r="I1330" s="42"/>
      <c r="J1330" s="42"/>
    </row>
    <row r="1331" spans="5:10">
      <c r="E1331" s="43">
        <v>45330.309027772833</v>
      </c>
      <c r="F1331" s="41">
        <v>14.79039751230939</v>
      </c>
      <c r="G1331" s="41">
        <v>0</v>
      </c>
      <c r="H1331" s="42"/>
      <c r="I1331" s="42"/>
      <c r="J1331" s="42"/>
    </row>
    <row r="1332" spans="5:10">
      <c r="E1332" s="43">
        <v>45330.312499995052</v>
      </c>
      <c r="F1332" s="41">
        <v>14.79039751230939</v>
      </c>
      <c r="G1332" s="41">
        <v>0</v>
      </c>
      <c r="H1332" s="42"/>
      <c r="I1332" s="42"/>
      <c r="J1332" s="42"/>
    </row>
    <row r="1333" spans="5:10">
      <c r="E1333" s="43">
        <v>45330.315972217271</v>
      </c>
      <c r="F1333" s="41">
        <v>14.79039751230939</v>
      </c>
      <c r="G1333" s="41">
        <v>0</v>
      </c>
      <c r="H1333" s="42"/>
      <c r="I1333" s="42"/>
      <c r="J1333" s="42"/>
    </row>
    <row r="1334" spans="5:10">
      <c r="E1334" s="43">
        <v>45330.31944443949</v>
      </c>
      <c r="F1334" s="41">
        <v>14.79039751230939</v>
      </c>
      <c r="G1334" s="41">
        <v>0</v>
      </c>
      <c r="H1334" s="42"/>
      <c r="I1334" s="42"/>
      <c r="J1334" s="42"/>
    </row>
    <row r="1335" spans="5:10">
      <c r="E1335" s="43">
        <v>45330.322916661709</v>
      </c>
      <c r="F1335" s="41">
        <v>14.79039751230939</v>
      </c>
      <c r="G1335" s="41">
        <v>0</v>
      </c>
      <c r="H1335" s="42"/>
      <c r="I1335" s="42"/>
      <c r="J1335" s="42"/>
    </row>
    <row r="1336" spans="5:10">
      <c r="E1336" s="43">
        <v>45330.326388883928</v>
      </c>
      <c r="F1336" s="41">
        <v>14.79039751230939</v>
      </c>
      <c r="G1336" s="41">
        <v>0</v>
      </c>
      <c r="H1336" s="42"/>
      <c r="I1336" s="42"/>
      <c r="J1336" s="42"/>
    </row>
    <row r="1337" spans="5:10">
      <c r="E1337" s="43">
        <v>45330.329861106147</v>
      </c>
      <c r="F1337" s="41">
        <v>14.79039751230939</v>
      </c>
      <c r="G1337" s="41">
        <v>0</v>
      </c>
      <c r="H1337" s="42"/>
      <c r="I1337" s="42"/>
      <c r="J1337" s="42"/>
    </row>
    <row r="1338" spans="5:10">
      <c r="E1338" s="43">
        <v>45330.333333328366</v>
      </c>
      <c r="F1338" s="41">
        <v>14.79039751230939</v>
      </c>
      <c r="G1338" s="41">
        <v>0</v>
      </c>
      <c r="H1338" s="42"/>
      <c r="I1338" s="42"/>
      <c r="J1338" s="42"/>
    </row>
    <row r="1339" spans="5:10">
      <c r="E1339" s="43">
        <v>45330.336805550585</v>
      </c>
      <c r="F1339" s="41">
        <v>14.79039751230939</v>
      </c>
      <c r="G1339" s="41">
        <v>0</v>
      </c>
      <c r="H1339" s="42"/>
      <c r="I1339" s="42"/>
      <c r="J1339" s="42"/>
    </row>
    <row r="1340" spans="5:10">
      <c r="E1340" s="43">
        <v>45330.340277772804</v>
      </c>
      <c r="F1340" s="41">
        <v>14.79039751230939</v>
      </c>
      <c r="G1340" s="41">
        <v>0</v>
      </c>
      <c r="H1340" s="42"/>
      <c r="I1340" s="42"/>
      <c r="J1340" s="42"/>
    </row>
    <row r="1341" spans="5:10">
      <c r="E1341" s="43">
        <v>45330.343749995023</v>
      </c>
      <c r="F1341" s="41">
        <v>14.79039751230939</v>
      </c>
      <c r="G1341" s="41">
        <v>0</v>
      </c>
      <c r="H1341" s="42"/>
      <c r="I1341" s="42"/>
      <c r="J1341" s="42"/>
    </row>
    <row r="1342" spans="5:10">
      <c r="E1342" s="43">
        <v>45330.347222217242</v>
      </c>
      <c r="F1342" s="41">
        <v>14.79039751230939</v>
      </c>
      <c r="G1342" s="41">
        <v>0</v>
      </c>
      <c r="H1342" s="42"/>
      <c r="I1342" s="42"/>
      <c r="J1342" s="42"/>
    </row>
    <row r="1343" spans="5:10">
      <c r="E1343" s="43">
        <v>45330.350694439461</v>
      </c>
      <c r="F1343" s="41">
        <v>14.79039751230939</v>
      </c>
      <c r="G1343" s="41">
        <v>0</v>
      </c>
      <c r="H1343" s="42"/>
      <c r="I1343" s="42"/>
      <c r="J1343" s="42"/>
    </row>
    <row r="1344" spans="5:10">
      <c r="E1344" s="43">
        <v>45330.35416666168</v>
      </c>
      <c r="F1344" s="41">
        <v>14.79039751230939</v>
      </c>
      <c r="G1344" s="41">
        <v>0</v>
      </c>
      <c r="H1344" s="42"/>
      <c r="I1344" s="42"/>
      <c r="J1344" s="42"/>
    </row>
    <row r="1345" spans="5:10">
      <c r="E1345" s="43">
        <v>45330.357638883899</v>
      </c>
      <c r="F1345" s="41">
        <v>14.79039751230939</v>
      </c>
      <c r="G1345" s="41">
        <v>0</v>
      </c>
      <c r="H1345" s="42"/>
      <c r="I1345" s="42"/>
      <c r="J1345" s="42"/>
    </row>
    <row r="1346" spans="5:10">
      <c r="E1346" s="43">
        <v>45330.361111106118</v>
      </c>
      <c r="F1346" s="41">
        <v>14.79039751230939</v>
      </c>
      <c r="G1346" s="41">
        <v>0</v>
      </c>
      <c r="H1346" s="42"/>
      <c r="I1346" s="42"/>
      <c r="J1346" s="42"/>
    </row>
    <row r="1347" spans="5:10">
      <c r="E1347" s="43">
        <v>45330.364583328337</v>
      </c>
      <c r="F1347" s="41">
        <v>14.79039751230939</v>
      </c>
      <c r="G1347" s="41">
        <v>0</v>
      </c>
      <c r="H1347" s="42"/>
      <c r="I1347" s="42"/>
      <c r="J1347" s="42"/>
    </row>
    <row r="1348" spans="5:10">
      <c r="E1348" s="43">
        <v>45330.368055550556</v>
      </c>
      <c r="F1348" s="41">
        <v>14.79039751230939</v>
      </c>
      <c r="G1348" s="41">
        <v>0</v>
      </c>
      <c r="H1348" s="42"/>
      <c r="I1348" s="42"/>
      <c r="J1348" s="42"/>
    </row>
    <row r="1349" spans="5:10">
      <c r="E1349" s="43">
        <v>45330.371527772775</v>
      </c>
      <c r="F1349" s="41">
        <v>14.79039751230939</v>
      </c>
      <c r="G1349" s="41">
        <v>0</v>
      </c>
      <c r="H1349" s="42"/>
      <c r="I1349" s="42"/>
      <c r="J1349" s="42"/>
    </row>
    <row r="1350" spans="5:10">
      <c r="E1350" s="43">
        <v>45330.374999994994</v>
      </c>
      <c r="F1350" s="41">
        <v>14.79039751230939</v>
      </c>
      <c r="G1350" s="41">
        <v>0</v>
      </c>
      <c r="H1350" s="42"/>
      <c r="I1350" s="42"/>
      <c r="J1350" s="42"/>
    </row>
    <row r="1351" spans="5:10">
      <c r="E1351" s="43">
        <v>45330.378472217213</v>
      </c>
      <c r="F1351" s="41">
        <v>14.79039751230939</v>
      </c>
      <c r="G1351" s="41">
        <v>0</v>
      </c>
      <c r="H1351" s="42"/>
      <c r="I1351" s="42"/>
      <c r="J1351" s="42"/>
    </row>
    <row r="1352" spans="5:10">
      <c r="E1352" s="43">
        <v>45330.381944439432</v>
      </c>
      <c r="F1352" s="41">
        <v>14.79039751230939</v>
      </c>
      <c r="G1352" s="41">
        <v>0</v>
      </c>
      <c r="H1352" s="42"/>
      <c r="I1352" s="42"/>
      <c r="J1352" s="42"/>
    </row>
    <row r="1353" spans="5:10">
      <c r="E1353" s="43">
        <v>45330.385416661651</v>
      </c>
      <c r="F1353" s="41">
        <v>14.79039751230939</v>
      </c>
      <c r="G1353" s="41">
        <v>0</v>
      </c>
      <c r="H1353" s="42"/>
      <c r="I1353" s="42"/>
      <c r="J1353" s="42"/>
    </row>
    <row r="1354" spans="5:10">
      <c r="E1354" s="43">
        <v>45330.38888888387</v>
      </c>
      <c r="F1354" s="41">
        <v>14.79039751230939</v>
      </c>
      <c r="G1354" s="41">
        <v>0</v>
      </c>
      <c r="H1354" s="42"/>
      <c r="I1354" s="42"/>
      <c r="J1354" s="42"/>
    </row>
    <row r="1355" spans="5:10">
      <c r="E1355" s="43">
        <v>45330.392361106089</v>
      </c>
      <c r="F1355" s="41">
        <v>14.79039751230939</v>
      </c>
      <c r="G1355" s="41">
        <v>0</v>
      </c>
      <c r="H1355" s="42"/>
      <c r="I1355" s="42"/>
      <c r="J1355" s="42"/>
    </row>
    <row r="1356" spans="5:10">
      <c r="E1356" s="43">
        <v>45330.395833328308</v>
      </c>
      <c r="F1356" s="41">
        <v>14.79039751230939</v>
      </c>
      <c r="G1356" s="41">
        <v>0</v>
      </c>
      <c r="H1356" s="42"/>
      <c r="I1356" s="42"/>
      <c r="J1356" s="42"/>
    </row>
    <row r="1357" spans="5:10">
      <c r="E1357" s="43">
        <v>45330.399305550527</v>
      </c>
      <c r="F1357" s="41">
        <v>14.79039751230939</v>
      </c>
      <c r="G1357" s="41">
        <v>0</v>
      </c>
      <c r="H1357" s="42"/>
      <c r="I1357" s="42"/>
      <c r="J1357" s="42"/>
    </row>
    <row r="1358" spans="5:10">
      <c r="E1358" s="43">
        <v>45330.402777772746</v>
      </c>
      <c r="F1358" s="41">
        <v>14.79039751230939</v>
      </c>
      <c r="G1358" s="41">
        <v>0</v>
      </c>
      <c r="H1358" s="42"/>
      <c r="I1358" s="42"/>
      <c r="J1358" s="42"/>
    </row>
    <row r="1359" spans="5:10">
      <c r="E1359" s="43">
        <v>45330.406249994965</v>
      </c>
      <c r="F1359" s="41">
        <v>14.79039751230939</v>
      </c>
      <c r="G1359" s="41">
        <v>0</v>
      </c>
      <c r="H1359" s="42"/>
      <c r="I1359" s="42"/>
      <c r="J1359" s="42"/>
    </row>
    <row r="1360" spans="5:10">
      <c r="E1360" s="43">
        <v>45330.409722217184</v>
      </c>
      <c r="F1360" s="41">
        <v>14.79039751230939</v>
      </c>
      <c r="G1360" s="41">
        <v>0</v>
      </c>
      <c r="H1360" s="42"/>
      <c r="I1360" s="42"/>
      <c r="J1360" s="42"/>
    </row>
    <row r="1361" spans="5:10">
      <c r="E1361" s="43">
        <v>45330.413194439403</v>
      </c>
      <c r="F1361" s="41">
        <v>14.79039751230939</v>
      </c>
      <c r="G1361" s="41">
        <v>0</v>
      </c>
      <c r="H1361" s="42"/>
      <c r="I1361" s="42"/>
      <c r="J1361" s="42"/>
    </row>
    <row r="1362" spans="5:10">
      <c r="E1362" s="43">
        <v>45330.416666661622</v>
      </c>
      <c r="F1362" s="41">
        <v>14.79039751230939</v>
      </c>
      <c r="G1362" s="41">
        <v>0</v>
      </c>
      <c r="H1362" s="42"/>
      <c r="I1362" s="42"/>
      <c r="J1362" s="42"/>
    </row>
    <row r="1363" spans="5:10">
      <c r="E1363" s="43">
        <v>45330.420138883841</v>
      </c>
      <c r="F1363" s="41">
        <v>14.79039751230939</v>
      </c>
      <c r="G1363" s="41">
        <v>0</v>
      </c>
      <c r="H1363" s="42"/>
      <c r="I1363" s="42"/>
      <c r="J1363" s="42"/>
    </row>
    <row r="1364" spans="5:10">
      <c r="E1364" s="43">
        <v>45330.42361110606</v>
      </c>
      <c r="F1364" s="41">
        <v>14.79039751230939</v>
      </c>
      <c r="G1364" s="41">
        <v>0</v>
      </c>
      <c r="H1364" s="42"/>
      <c r="I1364" s="42"/>
      <c r="J1364" s="42"/>
    </row>
    <row r="1365" spans="5:10">
      <c r="E1365" s="43">
        <v>45330.427083328279</v>
      </c>
      <c r="F1365" s="41">
        <v>14.79039751230939</v>
      </c>
      <c r="G1365" s="41">
        <v>0</v>
      </c>
      <c r="H1365" s="42"/>
      <c r="I1365" s="42"/>
      <c r="J1365" s="42"/>
    </row>
    <row r="1366" spans="5:10">
      <c r="E1366" s="43">
        <v>45330.430555550498</v>
      </c>
      <c r="F1366" s="41">
        <v>14.79039751230939</v>
      </c>
      <c r="G1366" s="41">
        <v>0</v>
      </c>
      <c r="H1366" s="42"/>
      <c r="I1366" s="42"/>
      <c r="J1366" s="42"/>
    </row>
    <row r="1367" spans="5:10">
      <c r="E1367" s="43">
        <v>45330.434027772717</v>
      </c>
      <c r="F1367" s="41">
        <v>14.79039751230939</v>
      </c>
      <c r="G1367" s="41">
        <v>0</v>
      </c>
      <c r="H1367" s="42"/>
      <c r="I1367" s="42"/>
      <c r="J1367" s="42"/>
    </row>
    <row r="1368" spans="5:10">
      <c r="E1368" s="43">
        <v>45330.437499994936</v>
      </c>
      <c r="F1368" s="41">
        <v>14.79039751230939</v>
      </c>
      <c r="G1368" s="41">
        <v>0</v>
      </c>
      <c r="H1368" s="42"/>
      <c r="I1368" s="42"/>
      <c r="J1368" s="42"/>
    </row>
    <row r="1369" spans="5:10">
      <c r="E1369" s="43">
        <v>45330.440972217155</v>
      </c>
      <c r="F1369" s="41">
        <v>14.79039751230939</v>
      </c>
      <c r="G1369" s="41">
        <v>0</v>
      </c>
      <c r="H1369" s="42"/>
      <c r="I1369" s="42"/>
      <c r="J1369" s="42"/>
    </row>
    <row r="1370" spans="5:10">
      <c r="E1370" s="43">
        <v>45330.444444439374</v>
      </c>
      <c r="F1370" s="41">
        <v>14.79039751230939</v>
      </c>
      <c r="G1370" s="41">
        <v>0</v>
      </c>
      <c r="H1370" s="42"/>
      <c r="I1370" s="42"/>
      <c r="J1370" s="42"/>
    </row>
    <row r="1371" spans="5:10">
      <c r="E1371" s="43">
        <v>45330.447916661593</v>
      </c>
      <c r="F1371" s="41">
        <v>14.79039751230939</v>
      </c>
      <c r="G1371" s="41">
        <v>0</v>
      </c>
      <c r="H1371" s="42"/>
      <c r="I1371" s="42"/>
      <c r="J1371" s="42"/>
    </row>
    <row r="1372" spans="5:10">
      <c r="E1372" s="43">
        <v>45330.451388883812</v>
      </c>
      <c r="F1372" s="41">
        <v>14.79039751230939</v>
      </c>
      <c r="G1372" s="41">
        <v>0</v>
      </c>
      <c r="H1372" s="42"/>
      <c r="I1372" s="42"/>
      <c r="J1372" s="42"/>
    </row>
    <row r="1373" spans="5:10">
      <c r="E1373" s="43">
        <v>45330.454861106031</v>
      </c>
      <c r="F1373" s="41">
        <v>14.79039751230939</v>
      </c>
      <c r="G1373" s="41">
        <v>0</v>
      </c>
      <c r="H1373" s="42"/>
      <c r="I1373" s="42"/>
      <c r="J1373" s="42"/>
    </row>
    <row r="1374" spans="5:10">
      <c r="E1374" s="43">
        <v>45330.45833332825</v>
      </c>
      <c r="F1374" s="41">
        <v>14.79039751230939</v>
      </c>
      <c r="G1374" s="41">
        <v>0</v>
      </c>
      <c r="H1374" s="42"/>
      <c r="I1374" s="42"/>
      <c r="J1374" s="42"/>
    </row>
    <row r="1375" spans="5:10">
      <c r="E1375" s="43">
        <v>45330.461805550469</v>
      </c>
      <c r="F1375" s="41">
        <v>14.79039751230939</v>
      </c>
      <c r="G1375" s="41">
        <v>0</v>
      </c>
      <c r="H1375" s="42"/>
      <c r="I1375" s="42"/>
      <c r="J1375" s="42"/>
    </row>
    <row r="1376" spans="5:10">
      <c r="E1376" s="43">
        <v>45330.465277772688</v>
      </c>
      <c r="F1376" s="41">
        <v>14.79039751230939</v>
      </c>
      <c r="G1376" s="41">
        <v>0</v>
      </c>
      <c r="H1376" s="42"/>
      <c r="I1376" s="42"/>
      <c r="J1376" s="42"/>
    </row>
    <row r="1377" spans="5:10">
      <c r="E1377" s="43">
        <v>45330.468749994907</v>
      </c>
      <c r="F1377" s="41">
        <v>14.79039751230939</v>
      </c>
      <c r="G1377" s="41">
        <v>0</v>
      </c>
      <c r="H1377" s="42"/>
      <c r="I1377" s="42"/>
      <c r="J1377" s="42"/>
    </row>
    <row r="1378" spans="5:10">
      <c r="E1378" s="43">
        <v>45330.472222217126</v>
      </c>
      <c r="F1378" s="41">
        <v>14.79039751230939</v>
      </c>
      <c r="G1378" s="41">
        <v>0</v>
      </c>
      <c r="H1378" s="42"/>
      <c r="I1378" s="42"/>
      <c r="J1378" s="42"/>
    </row>
    <row r="1379" spans="5:10">
      <c r="E1379" s="43">
        <v>45330.475694439345</v>
      </c>
      <c r="F1379" s="41">
        <v>14.79039751230939</v>
      </c>
      <c r="G1379" s="41">
        <v>0</v>
      </c>
      <c r="H1379" s="42"/>
      <c r="I1379" s="42"/>
      <c r="J1379" s="42"/>
    </row>
    <row r="1380" spans="5:10">
      <c r="E1380" s="43">
        <v>45330.479166661564</v>
      </c>
      <c r="F1380" s="41">
        <v>14.79039751230939</v>
      </c>
      <c r="G1380" s="41">
        <v>0</v>
      </c>
      <c r="H1380" s="42"/>
      <c r="I1380" s="42"/>
      <c r="J1380" s="42"/>
    </row>
    <row r="1381" spans="5:10">
      <c r="E1381" s="43">
        <v>45330.482638883783</v>
      </c>
      <c r="F1381" s="41">
        <v>14.79039751230939</v>
      </c>
      <c r="G1381" s="41">
        <v>0</v>
      </c>
      <c r="H1381" s="42"/>
      <c r="I1381" s="42"/>
      <c r="J1381" s="42"/>
    </row>
    <row r="1382" spans="5:10">
      <c r="E1382" s="43">
        <v>45330.486111106002</v>
      </c>
      <c r="F1382" s="41">
        <v>14.79039751230939</v>
      </c>
      <c r="G1382" s="41">
        <v>0</v>
      </c>
      <c r="H1382" s="42"/>
      <c r="I1382" s="42"/>
      <c r="J1382" s="42"/>
    </row>
    <row r="1383" spans="5:10">
      <c r="E1383" s="43">
        <v>45330.489583328221</v>
      </c>
      <c r="F1383" s="41">
        <v>14.79039751230939</v>
      </c>
      <c r="G1383" s="41">
        <v>0</v>
      </c>
      <c r="H1383" s="42"/>
      <c r="I1383" s="42"/>
      <c r="J1383" s="42"/>
    </row>
    <row r="1384" spans="5:10">
      <c r="E1384" s="43">
        <v>45330.49305555044</v>
      </c>
      <c r="F1384" s="41">
        <v>14.79039751230939</v>
      </c>
      <c r="G1384" s="41">
        <v>0</v>
      </c>
      <c r="H1384" s="42"/>
      <c r="I1384" s="42"/>
      <c r="J1384" s="42"/>
    </row>
    <row r="1385" spans="5:10">
      <c r="E1385" s="43">
        <v>45330.496527772659</v>
      </c>
      <c r="F1385" s="41">
        <v>14.79039751230939</v>
      </c>
      <c r="G1385" s="41">
        <v>0</v>
      </c>
      <c r="H1385" s="42"/>
      <c r="I1385" s="42"/>
      <c r="J1385" s="42"/>
    </row>
    <row r="1386" spans="5:10">
      <c r="E1386" s="43">
        <v>45330.499999994878</v>
      </c>
      <c r="F1386" s="41">
        <v>14.79039751230939</v>
      </c>
      <c r="G1386" s="41">
        <v>0</v>
      </c>
      <c r="H1386" s="42"/>
      <c r="I1386" s="42"/>
      <c r="J1386" s="42"/>
    </row>
    <row r="1387" spans="5:10">
      <c r="E1387" s="43">
        <v>45330.503472217097</v>
      </c>
      <c r="F1387" s="41">
        <v>14.79039751230939</v>
      </c>
      <c r="G1387" s="41">
        <v>0</v>
      </c>
      <c r="H1387" s="42"/>
      <c r="I1387" s="42"/>
      <c r="J1387" s="42"/>
    </row>
    <row r="1388" spans="5:10">
      <c r="E1388" s="43">
        <v>45330.506944439316</v>
      </c>
      <c r="F1388" s="41">
        <v>14.79039751230939</v>
      </c>
      <c r="G1388" s="41">
        <v>0</v>
      </c>
      <c r="H1388" s="42"/>
      <c r="I1388" s="42"/>
      <c r="J1388" s="42"/>
    </row>
    <row r="1389" spans="5:10">
      <c r="E1389" s="43">
        <v>45330.510416661535</v>
      </c>
      <c r="F1389" s="41">
        <v>14.79039751230939</v>
      </c>
      <c r="G1389" s="41">
        <v>0</v>
      </c>
      <c r="H1389" s="42"/>
      <c r="I1389" s="42"/>
      <c r="J1389" s="42"/>
    </row>
    <row r="1390" spans="5:10">
      <c r="E1390" s="43">
        <v>45330.513888883754</v>
      </c>
      <c r="F1390" s="41">
        <v>14.79039751230939</v>
      </c>
      <c r="G1390" s="41">
        <v>0</v>
      </c>
      <c r="H1390" s="42"/>
      <c r="I1390" s="42"/>
      <c r="J1390" s="42"/>
    </row>
    <row r="1391" spans="5:10">
      <c r="E1391" s="43">
        <v>45330.517361105973</v>
      </c>
      <c r="F1391" s="41">
        <v>14.79039751230939</v>
      </c>
      <c r="G1391" s="41">
        <v>0</v>
      </c>
      <c r="H1391" s="42"/>
      <c r="I1391" s="42"/>
      <c r="J1391" s="42"/>
    </row>
    <row r="1392" spans="5:10">
      <c r="E1392" s="43">
        <v>45330.520833328192</v>
      </c>
      <c r="F1392" s="41">
        <v>14.79039751230939</v>
      </c>
      <c r="G1392" s="41">
        <v>0</v>
      </c>
      <c r="H1392" s="42"/>
      <c r="I1392" s="42"/>
      <c r="J1392" s="42"/>
    </row>
    <row r="1393" spans="5:10">
      <c r="E1393" s="43">
        <v>45330.524305550411</v>
      </c>
      <c r="F1393" s="41">
        <v>14.79039751230939</v>
      </c>
      <c r="G1393" s="41">
        <v>0</v>
      </c>
      <c r="H1393" s="42"/>
      <c r="I1393" s="42"/>
      <c r="J1393" s="42"/>
    </row>
    <row r="1394" spans="5:10">
      <c r="E1394" s="43">
        <v>45330.52777777263</v>
      </c>
      <c r="F1394" s="41">
        <v>14.79039751230939</v>
      </c>
      <c r="G1394" s="41">
        <v>0</v>
      </c>
      <c r="H1394" s="42"/>
      <c r="I1394" s="42"/>
      <c r="J1394" s="42"/>
    </row>
    <row r="1395" spans="5:10">
      <c r="E1395" s="43">
        <v>45330.531249994849</v>
      </c>
      <c r="F1395" s="41">
        <v>14.79039751230939</v>
      </c>
      <c r="G1395" s="41">
        <v>0</v>
      </c>
      <c r="H1395" s="42"/>
      <c r="I1395" s="42"/>
      <c r="J1395" s="42"/>
    </row>
    <row r="1396" spans="5:10">
      <c r="E1396" s="43">
        <v>45330.534722217068</v>
      </c>
      <c r="F1396" s="41">
        <v>14.79039751230939</v>
      </c>
      <c r="G1396" s="41">
        <v>0</v>
      </c>
      <c r="H1396" s="42"/>
      <c r="I1396" s="42"/>
      <c r="J1396" s="42"/>
    </row>
    <row r="1397" spans="5:10">
      <c r="E1397" s="43">
        <v>45330.538194439287</v>
      </c>
      <c r="F1397" s="41">
        <v>14.79039751230939</v>
      </c>
      <c r="G1397" s="41">
        <v>0</v>
      </c>
      <c r="H1397" s="42"/>
      <c r="I1397" s="42"/>
      <c r="J1397" s="42"/>
    </row>
    <row r="1398" spans="5:10">
      <c r="E1398" s="43">
        <v>45330.541666661506</v>
      </c>
      <c r="F1398" s="41">
        <v>14.79039751230939</v>
      </c>
      <c r="G1398" s="41">
        <v>0</v>
      </c>
      <c r="H1398" s="42"/>
      <c r="I1398" s="42"/>
      <c r="J1398" s="42"/>
    </row>
    <row r="1399" spans="5:10">
      <c r="E1399" s="43">
        <v>45330.545138883725</v>
      </c>
      <c r="F1399" s="41">
        <v>14.79039751230939</v>
      </c>
      <c r="G1399" s="41">
        <v>0</v>
      </c>
      <c r="H1399" s="42"/>
      <c r="I1399" s="42"/>
      <c r="J1399" s="42"/>
    </row>
    <row r="1400" spans="5:10">
      <c r="E1400" s="43">
        <v>45330.548611105944</v>
      </c>
      <c r="F1400" s="41">
        <v>14.79039751230939</v>
      </c>
      <c r="G1400" s="41">
        <v>0</v>
      </c>
      <c r="H1400" s="42"/>
      <c r="I1400" s="42"/>
      <c r="J1400" s="42"/>
    </row>
    <row r="1401" spans="5:10">
      <c r="E1401" s="43">
        <v>45330.552083328163</v>
      </c>
      <c r="F1401" s="41">
        <v>14.79039751230939</v>
      </c>
      <c r="G1401" s="41">
        <v>0</v>
      </c>
      <c r="H1401" s="42"/>
      <c r="I1401" s="42"/>
      <c r="J1401" s="42"/>
    </row>
    <row r="1402" spans="5:10">
      <c r="E1402" s="43">
        <v>45330.555555550382</v>
      </c>
      <c r="F1402" s="41">
        <v>14.79039751230939</v>
      </c>
      <c r="G1402" s="41">
        <v>0</v>
      </c>
      <c r="H1402" s="42"/>
      <c r="I1402" s="42"/>
      <c r="J1402" s="42"/>
    </row>
    <row r="1403" spans="5:10">
      <c r="E1403" s="43">
        <v>45330.559027772601</v>
      </c>
      <c r="F1403" s="41">
        <v>14.79039751230939</v>
      </c>
      <c r="G1403" s="41">
        <v>0</v>
      </c>
      <c r="H1403" s="42"/>
      <c r="I1403" s="42"/>
      <c r="J1403" s="42"/>
    </row>
    <row r="1404" spans="5:10">
      <c r="E1404" s="43">
        <v>45330.56249999482</v>
      </c>
      <c r="F1404" s="41">
        <v>14.79039751230939</v>
      </c>
      <c r="G1404" s="41">
        <v>0</v>
      </c>
      <c r="H1404" s="42"/>
      <c r="I1404" s="42"/>
      <c r="J1404" s="42"/>
    </row>
    <row r="1405" spans="5:10">
      <c r="E1405" s="43">
        <v>45330.565972217039</v>
      </c>
      <c r="F1405" s="41">
        <v>14.79039751230939</v>
      </c>
      <c r="G1405" s="41">
        <v>0</v>
      </c>
      <c r="H1405" s="42"/>
      <c r="I1405" s="42"/>
      <c r="J1405" s="42"/>
    </row>
    <row r="1406" spans="5:10">
      <c r="E1406" s="43">
        <v>45330.569444439257</v>
      </c>
      <c r="F1406" s="41">
        <v>14.79039751230939</v>
      </c>
      <c r="G1406" s="41">
        <v>0</v>
      </c>
      <c r="H1406" s="42"/>
      <c r="I1406" s="42"/>
      <c r="J1406" s="42"/>
    </row>
    <row r="1407" spans="5:10">
      <c r="E1407" s="43">
        <v>45330.572916661476</v>
      </c>
      <c r="F1407" s="41">
        <v>14.79039751230939</v>
      </c>
      <c r="G1407" s="41">
        <v>0</v>
      </c>
      <c r="H1407" s="42"/>
      <c r="I1407" s="42"/>
      <c r="J1407" s="42"/>
    </row>
    <row r="1408" spans="5:10">
      <c r="E1408" s="43">
        <v>45330.576388883695</v>
      </c>
      <c r="F1408" s="41">
        <v>14.79039751230939</v>
      </c>
      <c r="G1408" s="41">
        <v>0</v>
      </c>
      <c r="H1408" s="42"/>
      <c r="I1408" s="42"/>
      <c r="J1408" s="42"/>
    </row>
    <row r="1409" spans="5:10">
      <c r="E1409" s="43">
        <v>45330.579861105914</v>
      </c>
      <c r="F1409" s="41">
        <v>14.79039751230939</v>
      </c>
      <c r="G1409" s="41">
        <v>0</v>
      </c>
      <c r="H1409" s="42"/>
      <c r="I1409" s="42"/>
      <c r="J1409" s="42"/>
    </row>
    <row r="1410" spans="5:10">
      <c r="E1410" s="43">
        <v>45330.583333328133</v>
      </c>
      <c r="F1410" s="41">
        <v>14.79039751230939</v>
      </c>
      <c r="G1410" s="41">
        <v>0</v>
      </c>
      <c r="H1410" s="42"/>
      <c r="I1410" s="42"/>
      <c r="J1410" s="42"/>
    </row>
    <row r="1411" spans="5:10">
      <c r="E1411" s="43">
        <v>45330.586805550352</v>
      </c>
      <c r="F1411" s="41">
        <v>14.79039751230939</v>
      </c>
      <c r="G1411" s="41">
        <v>0</v>
      </c>
      <c r="H1411" s="42"/>
      <c r="I1411" s="42"/>
      <c r="J1411" s="42"/>
    </row>
    <row r="1412" spans="5:10">
      <c r="E1412" s="43">
        <v>45330.590277772571</v>
      </c>
      <c r="F1412" s="41">
        <v>14.79039751230939</v>
      </c>
      <c r="G1412" s="41">
        <v>0</v>
      </c>
      <c r="H1412" s="42"/>
      <c r="I1412" s="42"/>
      <c r="J1412" s="42"/>
    </row>
    <row r="1413" spans="5:10">
      <c r="E1413" s="43">
        <v>45330.59374999479</v>
      </c>
      <c r="F1413" s="41">
        <v>14.79039751230939</v>
      </c>
      <c r="G1413" s="41">
        <v>0</v>
      </c>
      <c r="H1413" s="42"/>
      <c r="I1413" s="42"/>
      <c r="J1413" s="42"/>
    </row>
    <row r="1414" spans="5:10">
      <c r="E1414" s="43">
        <v>45330.597222217009</v>
      </c>
      <c r="F1414" s="41">
        <v>14.79039751230939</v>
      </c>
      <c r="G1414" s="41">
        <v>0</v>
      </c>
      <c r="H1414" s="42"/>
      <c r="I1414" s="42"/>
      <c r="J1414" s="42"/>
    </row>
    <row r="1415" spans="5:10">
      <c r="E1415" s="43">
        <v>45330.600694439228</v>
      </c>
      <c r="F1415" s="41">
        <v>14.79039751230939</v>
      </c>
      <c r="G1415" s="41">
        <v>0</v>
      </c>
      <c r="H1415" s="42"/>
      <c r="I1415" s="42"/>
      <c r="J1415" s="42"/>
    </row>
    <row r="1416" spans="5:10">
      <c r="E1416" s="43">
        <v>45330.604166661447</v>
      </c>
      <c r="F1416" s="41">
        <v>14.79039751230939</v>
      </c>
      <c r="G1416" s="41">
        <v>0</v>
      </c>
      <c r="H1416" s="42"/>
      <c r="I1416" s="42"/>
      <c r="J1416" s="42"/>
    </row>
    <row r="1417" spans="5:10">
      <c r="E1417" s="43">
        <v>45330.607638883666</v>
      </c>
      <c r="F1417" s="41">
        <v>14.79039751230939</v>
      </c>
      <c r="G1417" s="41">
        <v>0</v>
      </c>
      <c r="H1417" s="42"/>
      <c r="I1417" s="42"/>
      <c r="J1417" s="42"/>
    </row>
    <row r="1418" spans="5:10">
      <c r="E1418" s="43">
        <v>45330.611111105885</v>
      </c>
      <c r="F1418" s="41">
        <v>14.79039751230939</v>
      </c>
      <c r="G1418" s="41">
        <v>0</v>
      </c>
      <c r="H1418" s="42"/>
      <c r="I1418" s="42"/>
      <c r="J1418" s="42"/>
    </row>
    <row r="1419" spans="5:10">
      <c r="E1419" s="43">
        <v>45330.614583328104</v>
      </c>
      <c r="F1419" s="41">
        <v>14.79039751230939</v>
      </c>
      <c r="G1419" s="41">
        <v>0</v>
      </c>
      <c r="H1419" s="42"/>
      <c r="I1419" s="42"/>
      <c r="J1419" s="42"/>
    </row>
    <row r="1420" spans="5:10">
      <c r="E1420" s="43">
        <v>45330.618055550323</v>
      </c>
      <c r="F1420" s="41">
        <v>14.79039751230939</v>
      </c>
      <c r="G1420" s="41">
        <v>0</v>
      </c>
      <c r="H1420" s="42"/>
      <c r="I1420" s="42"/>
      <c r="J1420" s="42"/>
    </row>
    <row r="1421" spans="5:10">
      <c r="E1421" s="43">
        <v>45330.621527772542</v>
      </c>
      <c r="F1421" s="41">
        <v>14.79039751230939</v>
      </c>
      <c r="G1421" s="41">
        <v>0</v>
      </c>
      <c r="H1421" s="42"/>
      <c r="I1421" s="42"/>
      <c r="J1421" s="42"/>
    </row>
    <row r="1422" spans="5:10">
      <c r="E1422" s="43">
        <v>45330.624999994761</v>
      </c>
      <c r="F1422" s="41">
        <v>14.79039751230939</v>
      </c>
      <c r="G1422" s="41">
        <v>0</v>
      </c>
      <c r="H1422" s="42"/>
      <c r="I1422" s="42"/>
      <c r="J1422" s="42"/>
    </row>
    <row r="1423" spans="5:10">
      <c r="E1423" s="43">
        <v>45330.62847221698</v>
      </c>
      <c r="F1423" s="41">
        <v>14.79039751230939</v>
      </c>
      <c r="G1423" s="41">
        <v>0</v>
      </c>
      <c r="H1423" s="42"/>
      <c r="I1423" s="42"/>
      <c r="J1423" s="42"/>
    </row>
    <row r="1424" spans="5:10">
      <c r="E1424" s="43">
        <v>45330.631944439199</v>
      </c>
      <c r="F1424" s="41">
        <v>14.79039751230939</v>
      </c>
      <c r="G1424" s="41">
        <v>0</v>
      </c>
      <c r="H1424" s="42"/>
      <c r="I1424" s="42"/>
      <c r="J1424" s="42"/>
    </row>
    <row r="1425" spans="5:10">
      <c r="E1425" s="43">
        <v>45330.635416661418</v>
      </c>
      <c r="F1425" s="41">
        <v>14.79039751230939</v>
      </c>
      <c r="G1425" s="41">
        <v>0</v>
      </c>
      <c r="H1425" s="42"/>
      <c r="I1425" s="42"/>
      <c r="J1425" s="42"/>
    </row>
    <row r="1426" spans="5:10">
      <c r="E1426" s="43">
        <v>45330.638888883637</v>
      </c>
      <c r="F1426" s="41">
        <v>14.79039751230939</v>
      </c>
      <c r="G1426" s="41">
        <v>0</v>
      </c>
      <c r="H1426" s="42"/>
      <c r="I1426" s="42"/>
      <c r="J1426" s="42"/>
    </row>
    <row r="1427" spans="5:10">
      <c r="E1427" s="43">
        <v>45330.642361105856</v>
      </c>
      <c r="F1427" s="41">
        <v>14.79039751230939</v>
      </c>
      <c r="G1427" s="41">
        <v>0</v>
      </c>
      <c r="H1427" s="42"/>
      <c r="I1427" s="42"/>
      <c r="J1427" s="42"/>
    </row>
    <row r="1428" spans="5:10">
      <c r="E1428" s="43">
        <v>45330.645833328075</v>
      </c>
      <c r="F1428" s="41">
        <v>14.79039751230939</v>
      </c>
      <c r="G1428" s="41">
        <v>0</v>
      </c>
      <c r="H1428" s="42"/>
      <c r="I1428" s="42"/>
      <c r="J1428" s="42"/>
    </row>
    <row r="1429" spans="5:10">
      <c r="E1429" s="43">
        <v>45330.649305550294</v>
      </c>
      <c r="F1429" s="41">
        <v>14.79039751230939</v>
      </c>
      <c r="G1429" s="41">
        <v>0</v>
      </c>
      <c r="H1429" s="42"/>
      <c r="I1429" s="42"/>
      <c r="J1429" s="42"/>
    </row>
    <row r="1430" spans="5:10">
      <c r="E1430" s="43">
        <v>45330.652777772513</v>
      </c>
      <c r="F1430" s="41">
        <v>14.79039751230939</v>
      </c>
      <c r="G1430" s="41">
        <v>0</v>
      </c>
      <c r="H1430" s="42"/>
      <c r="I1430" s="42"/>
      <c r="J1430" s="42"/>
    </row>
    <row r="1431" spans="5:10">
      <c r="E1431" s="43">
        <v>45330.656249994732</v>
      </c>
      <c r="F1431" s="41">
        <v>14.79039751230939</v>
      </c>
      <c r="G1431" s="41">
        <v>0</v>
      </c>
      <c r="H1431" s="42"/>
      <c r="I1431" s="42"/>
      <c r="J1431" s="42"/>
    </row>
    <row r="1432" spans="5:10">
      <c r="E1432" s="43">
        <v>45330.659722216951</v>
      </c>
      <c r="F1432" s="41">
        <v>14.79039751230939</v>
      </c>
      <c r="G1432" s="41">
        <v>0</v>
      </c>
      <c r="H1432" s="42"/>
      <c r="I1432" s="42"/>
      <c r="J1432" s="42"/>
    </row>
    <row r="1433" spans="5:10">
      <c r="E1433" s="43">
        <v>45330.66319443917</v>
      </c>
      <c r="F1433" s="41">
        <v>14.79039751230939</v>
      </c>
      <c r="G1433" s="41">
        <v>0</v>
      </c>
      <c r="H1433" s="42"/>
      <c r="I1433" s="42"/>
      <c r="J1433" s="42"/>
    </row>
    <row r="1434" spans="5:10">
      <c r="E1434" s="43">
        <v>45330.666666661389</v>
      </c>
      <c r="F1434" s="41">
        <v>14.79039751230939</v>
      </c>
      <c r="G1434" s="41">
        <v>0</v>
      </c>
      <c r="H1434" s="42"/>
      <c r="I1434" s="42"/>
      <c r="J1434" s="42"/>
    </row>
    <row r="1435" spans="5:10">
      <c r="E1435" s="43">
        <v>45330.670138883608</v>
      </c>
      <c r="F1435" s="41">
        <v>14.79039751230939</v>
      </c>
      <c r="G1435" s="41">
        <v>0</v>
      </c>
      <c r="H1435" s="42"/>
      <c r="I1435" s="42"/>
      <c r="J1435" s="42"/>
    </row>
    <row r="1436" spans="5:10">
      <c r="E1436" s="43">
        <v>45330.673611105827</v>
      </c>
      <c r="F1436" s="41">
        <v>14.79039751230939</v>
      </c>
      <c r="G1436" s="41">
        <v>0</v>
      </c>
      <c r="H1436" s="42"/>
      <c r="I1436" s="42"/>
      <c r="J1436" s="42"/>
    </row>
    <row r="1437" spans="5:10">
      <c r="E1437" s="43">
        <v>45330.677083328046</v>
      </c>
      <c r="F1437" s="41">
        <v>14.79039751230939</v>
      </c>
      <c r="G1437" s="41">
        <v>0</v>
      </c>
      <c r="H1437" s="42"/>
      <c r="I1437" s="42"/>
      <c r="J1437" s="42"/>
    </row>
    <row r="1438" spans="5:10">
      <c r="E1438" s="43">
        <v>45330.680555550265</v>
      </c>
      <c r="F1438" s="41">
        <v>14.79039751230939</v>
      </c>
      <c r="G1438" s="41">
        <v>0</v>
      </c>
      <c r="H1438" s="42"/>
      <c r="I1438" s="42"/>
      <c r="J1438" s="42"/>
    </row>
    <row r="1439" spans="5:10">
      <c r="E1439" s="43">
        <v>45330.684027772484</v>
      </c>
      <c r="F1439" s="41">
        <v>14.79039751230939</v>
      </c>
      <c r="G1439" s="41">
        <v>0</v>
      </c>
      <c r="H1439" s="42"/>
      <c r="I1439" s="42"/>
      <c r="J1439" s="42"/>
    </row>
    <row r="1440" spans="5:10">
      <c r="E1440" s="43">
        <v>45330.687499994703</v>
      </c>
      <c r="F1440" s="41">
        <v>14.79039751230939</v>
      </c>
      <c r="G1440" s="41">
        <v>0</v>
      </c>
      <c r="H1440" s="42"/>
      <c r="I1440" s="42"/>
      <c r="J1440" s="42"/>
    </row>
    <row r="1441" spans="5:10">
      <c r="E1441" s="43">
        <v>45330.690972216922</v>
      </c>
      <c r="F1441" s="41">
        <v>14.79039751230939</v>
      </c>
      <c r="G1441" s="41">
        <v>0</v>
      </c>
      <c r="H1441" s="42"/>
      <c r="I1441" s="42"/>
      <c r="J1441" s="42"/>
    </row>
    <row r="1442" spans="5:10">
      <c r="E1442" s="43">
        <v>45330.694444439141</v>
      </c>
      <c r="F1442" s="41">
        <v>14.79039751230939</v>
      </c>
      <c r="G1442" s="41">
        <v>0</v>
      </c>
      <c r="H1442" s="42"/>
      <c r="I1442" s="42"/>
      <c r="J1442" s="42"/>
    </row>
    <row r="1443" spans="5:10">
      <c r="E1443" s="43">
        <v>45330.69791666136</v>
      </c>
      <c r="F1443" s="41">
        <v>14.79039751230939</v>
      </c>
      <c r="G1443" s="41">
        <v>0</v>
      </c>
      <c r="H1443" s="42"/>
      <c r="I1443" s="42"/>
      <c r="J1443" s="42"/>
    </row>
    <row r="1444" spans="5:10">
      <c r="E1444" s="43">
        <v>45330.701388883579</v>
      </c>
      <c r="F1444" s="41">
        <v>14.79039751230939</v>
      </c>
      <c r="G1444" s="41">
        <v>0</v>
      </c>
      <c r="H1444" s="42"/>
      <c r="I1444" s="42"/>
      <c r="J1444" s="42"/>
    </row>
    <row r="1445" spans="5:10">
      <c r="E1445" s="43">
        <v>45330.704861105798</v>
      </c>
      <c r="F1445" s="41">
        <v>14.79039751230939</v>
      </c>
      <c r="G1445" s="41">
        <v>0</v>
      </c>
      <c r="H1445" s="42"/>
      <c r="I1445" s="42"/>
      <c r="J1445" s="42"/>
    </row>
    <row r="1446" spans="5:10">
      <c r="E1446" s="43">
        <v>45330.708333328017</v>
      </c>
      <c r="F1446" s="41">
        <v>14.79039751230939</v>
      </c>
      <c r="G1446" s="41">
        <v>0</v>
      </c>
      <c r="H1446" s="42"/>
      <c r="I1446" s="42"/>
      <c r="J1446" s="42"/>
    </row>
    <row r="1447" spans="5:10">
      <c r="E1447" s="43">
        <v>45330.711805550236</v>
      </c>
      <c r="F1447" s="41">
        <v>14.79039751230939</v>
      </c>
      <c r="G1447" s="41">
        <v>0</v>
      </c>
      <c r="H1447" s="42"/>
      <c r="I1447" s="42"/>
      <c r="J1447" s="42"/>
    </row>
    <row r="1448" spans="5:10">
      <c r="E1448" s="43">
        <v>45330.715277772455</v>
      </c>
      <c r="F1448" s="41">
        <v>14.79039751230939</v>
      </c>
      <c r="G1448" s="41">
        <v>0</v>
      </c>
      <c r="H1448" s="42"/>
      <c r="I1448" s="42"/>
      <c r="J1448" s="42"/>
    </row>
    <row r="1449" spans="5:10">
      <c r="E1449" s="43">
        <v>45330.718749994674</v>
      </c>
      <c r="F1449" s="41">
        <v>14.79039751230939</v>
      </c>
      <c r="G1449" s="41">
        <v>0</v>
      </c>
      <c r="H1449" s="42"/>
      <c r="I1449" s="42"/>
      <c r="J1449" s="42"/>
    </row>
    <row r="1450" spans="5:10">
      <c r="E1450" s="43">
        <v>45330.722222216893</v>
      </c>
      <c r="F1450" s="41">
        <v>14.79039751230939</v>
      </c>
      <c r="G1450" s="41">
        <v>0</v>
      </c>
      <c r="H1450" s="42"/>
      <c r="I1450" s="42"/>
      <c r="J1450" s="42"/>
    </row>
    <row r="1451" spans="5:10">
      <c r="E1451" s="43">
        <v>45330.725694439112</v>
      </c>
      <c r="F1451" s="41">
        <v>14.79039751230939</v>
      </c>
      <c r="G1451" s="41">
        <v>0</v>
      </c>
      <c r="H1451" s="42"/>
      <c r="I1451" s="42"/>
      <c r="J1451" s="42"/>
    </row>
    <row r="1452" spans="5:10">
      <c r="E1452" s="43">
        <v>45330.729166661331</v>
      </c>
      <c r="F1452" s="41">
        <v>14.79039751230939</v>
      </c>
      <c r="G1452" s="41">
        <v>0</v>
      </c>
      <c r="H1452" s="42"/>
      <c r="I1452" s="42"/>
      <c r="J1452" s="42"/>
    </row>
    <row r="1453" spans="5:10">
      <c r="E1453" s="43">
        <v>45330.73263888355</v>
      </c>
      <c r="F1453" s="41">
        <v>14.79039751230939</v>
      </c>
      <c r="G1453" s="41">
        <v>0</v>
      </c>
      <c r="H1453" s="42"/>
      <c r="I1453" s="42"/>
      <c r="J1453" s="42"/>
    </row>
    <row r="1454" spans="5:10">
      <c r="E1454" s="43">
        <v>45330.736111105769</v>
      </c>
      <c r="F1454" s="41">
        <v>14.79039751230939</v>
      </c>
      <c r="G1454" s="41">
        <v>0</v>
      </c>
      <c r="H1454" s="42"/>
      <c r="I1454" s="42"/>
      <c r="J1454" s="42"/>
    </row>
    <row r="1455" spans="5:10">
      <c r="E1455" s="43">
        <v>45330.739583327988</v>
      </c>
      <c r="F1455" s="41">
        <v>14.79039751230939</v>
      </c>
      <c r="G1455" s="41">
        <v>0</v>
      </c>
      <c r="H1455" s="42"/>
      <c r="I1455" s="42"/>
      <c r="J1455" s="42"/>
    </row>
    <row r="1456" spans="5:10">
      <c r="E1456" s="43">
        <v>45330.743055550207</v>
      </c>
      <c r="F1456" s="41">
        <v>14.79039751230939</v>
      </c>
      <c r="G1456" s="41">
        <v>0</v>
      </c>
      <c r="H1456" s="42"/>
      <c r="I1456" s="42"/>
      <c r="J1456" s="42"/>
    </row>
    <row r="1457" spans="5:10">
      <c r="E1457" s="43">
        <v>45330.746527772426</v>
      </c>
      <c r="F1457" s="41">
        <v>14.79039751230939</v>
      </c>
      <c r="G1457" s="41">
        <v>0</v>
      </c>
      <c r="H1457" s="42"/>
      <c r="I1457" s="42"/>
      <c r="J1457" s="42"/>
    </row>
    <row r="1458" spans="5:10">
      <c r="E1458" s="43">
        <v>45330.749999994645</v>
      </c>
      <c r="F1458" s="41">
        <v>14.79039751230939</v>
      </c>
      <c r="G1458" s="41">
        <v>0</v>
      </c>
      <c r="H1458" s="42"/>
      <c r="I1458" s="42"/>
      <c r="J1458" s="42"/>
    </row>
    <row r="1459" spans="5:10">
      <c r="E1459" s="43">
        <v>45330.753472216864</v>
      </c>
      <c r="F1459" s="41">
        <v>14.79039751230939</v>
      </c>
      <c r="G1459" s="41">
        <v>0</v>
      </c>
      <c r="H1459" s="42"/>
      <c r="I1459" s="42"/>
      <c r="J1459" s="42"/>
    </row>
    <row r="1460" spans="5:10">
      <c r="E1460" s="43">
        <v>45330.756944439083</v>
      </c>
      <c r="F1460" s="41">
        <v>14.79039751230939</v>
      </c>
      <c r="G1460" s="41">
        <v>0</v>
      </c>
      <c r="H1460" s="42"/>
      <c r="I1460" s="42"/>
      <c r="J1460" s="42"/>
    </row>
    <row r="1461" spans="5:10">
      <c r="E1461" s="43">
        <v>45330.760416661302</v>
      </c>
      <c r="F1461" s="41">
        <v>14.79039751230939</v>
      </c>
      <c r="G1461" s="41">
        <v>0</v>
      </c>
      <c r="H1461" s="42"/>
      <c r="I1461" s="42"/>
      <c r="J1461" s="42"/>
    </row>
    <row r="1462" spans="5:10">
      <c r="E1462" s="43">
        <v>45330.763888883521</v>
      </c>
      <c r="F1462" s="41">
        <v>14.79039751230939</v>
      </c>
      <c r="G1462" s="41">
        <v>0</v>
      </c>
      <c r="H1462" s="42"/>
      <c r="I1462" s="42"/>
      <c r="J1462" s="42"/>
    </row>
    <row r="1463" spans="5:10">
      <c r="E1463" s="43">
        <v>45330.76736110574</v>
      </c>
      <c r="F1463" s="41">
        <v>14.79039751230939</v>
      </c>
      <c r="G1463" s="41">
        <v>0</v>
      </c>
      <c r="H1463" s="42"/>
      <c r="I1463" s="42"/>
      <c r="J1463" s="42"/>
    </row>
    <row r="1464" spans="5:10">
      <c r="E1464" s="43">
        <v>45330.770833327959</v>
      </c>
      <c r="F1464" s="41">
        <v>14.79039751230939</v>
      </c>
      <c r="G1464" s="41">
        <v>0</v>
      </c>
      <c r="H1464" s="42"/>
      <c r="I1464" s="42"/>
      <c r="J1464" s="42"/>
    </row>
    <row r="1465" spans="5:10">
      <c r="E1465" s="43">
        <v>45330.774305550178</v>
      </c>
      <c r="F1465" s="41">
        <v>14.79039751230939</v>
      </c>
      <c r="G1465" s="41">
        <v>0</v>
      </c>
      <c r="H1465" s="42"/>
      <c r="I1465" s="42"/>
      <c r="J1465" s="42"/>
    </row>
    <row r="1466" spans="5:10">
      <c r="E1466" s="43">
        <v>45330.777777772397</v>
      </c>
      <c r="F1466" s="41">
        <v>14.79039751230939</v>
      </c>
      <c r="G1466" s="41">
        <v>0</v>
      </c>
      <c r="H1466" s="42"/>
      <c r="I1466" s="42"/>
      <c r="J1466" s="42"/>
    </row>
    <row r="1467" spans="5:10">
      <c r="E1467" s="43">
        <v>45330.781249994616</v>
      </c>
      <c r="F1467" s="41">
        <v>14.79039751230939</v>
      </c>
      <c r="G1467" s="41">
        <v>0</v>
      </c>
      <c r="H1467" s="42"/>
      <c r="I1467" s="42"/>
      <c r="J1467" s="42"/>
    </row>
    <row r="1468" spans="5:10">
      <c r="E1468" s="43">
        <v>45330.784722216835</v>
      </c>
      <c r="F1468" s="41">
        <v>14.79039751230939</v>
      </c>
      <c r="G1468" s="41">
        <v>0</v>
      </c>
      <c r="H1468" s="42"/>
      <c r="I1468" s="42"/>
      <c r="J1468" s="42"/>
    </row>
    <row r="1469" spans="5:10">
      <c r="E1469" s="43">
        <v>45330.788194439054</v>
      </c>
      <c r="F1469" s="41">
        <v>14.79039751230939</v>
      </c>
      <c r="G1469" s="41">
        <v>0</v>
      </c>
      <c r="H1469" s="42"/>
      <c r="I1469" s="42"/>
      <c r="J1469" s="42"/>
    </row>
    <row r="1470" spans="5:10">
      <c r="E1470" s="43">
        <v>45330.791666661273</v>
      </c>
      <c r="F1470" s="41">
        <v>14.79039751230939</v>
      </c>
      <c r="G1470" s="41">
        <v>0</v>
      </c>
      <c r="H1470" s="42"/>
      <c r="I1470" s="42"/>
      <c r="J1470" s="42"/>
    </row>
    <row r="1471" spans="5:10">
      <c r="E1471" s="43">
        <v>45330.795138883492</v>
      </c>
      <c r="F1471" s="41">
        <v>14.79039751230939</v>
      </c>
      <c r="G1471" s="41">
        <v>0</v>
      </c>
      <c r="H1471" s="42"/>
      <c r="I1471" s="42"/>
      <c r="J1471" s="42"/>
    </row>
    <row r="1472" spans="5:10">
      <c r="E1472" s="43">
        <v>45330.798611105711</v>
      </c>
      <c r="F1472" s="41">
        <v>14.79039751230939</v>
      </c>
      <c r="G1472" s="41">
        <v>0</v>
      </c>
      <c r="H1472" s="42"/>
      <c r="I1472" s="42"/>
      <c r="J1472" s="42"/>
    </row>
    <row r="1473" spans="5:10">
      <c r="E1473" s="43">
        <v>45330.80208332793</v>
      </c>
      <c r="F1473" s="41">
        <v>14.79039751230939</v>
      </c>
      <c r="G1473" s="41">
        <v>0</v>
      </c>
      <c r="H1473" s="42"/>
      <c r="I1473" s="42"/>
      <c r="J1473" s="42"/>
    </row>
    <row r="1474" spans="5:10">
      <c r="E1474" s="43">
        <v>45330.805555550149</v>
      </c>
      <c r="F1474" s="41">
        <v>14.79039751230939</v>
      </c>
      <c r="G1474" s="41">
        <v>0</v>
      </c>
      <c r="H1474" s="42"/>
      <c r="I1474" s="42"/>
      <c r="J1474" s="42"/>
    </row>
    <row r="1475" spans="5:10">
      <c r="E1475" s="43">
        <v>45330.809027772368</v>
      </c>
      <c r="F1475" s="41">
        <v>14.79039751230939</v>
      </c>
      <c r="G1475" s="41">
        <v>0</v>
      </c>
      <c r="H1475" s="42"/>
      <c r="I1475" s="42"/>
      <c r="J1475" s="42"/>
    </row>
    <row r="1476" spans="5:10">
      <c r="E1476" s="43">
        <v>45330.812499994587</v>
      </c>
      <c r="F1476" s="41">
        <v>14.79039751230939</v>
      </c>
      <c r="G1476" s="41">
        <v>0</v>
      </c>
      <c r="H1476" s="42"/>
      <c r="I1476" s="42"/>
      <c r="J1476" s="42"/>
    </row>
    <row r="1477" spans="5:10">
      <c r="E1477" s="43">
        <v>45330.815972216806</v>
      </c>
      <c r="F1477" s="41">
        <v>14.79039751230939</v>
      </c>
      <c r="G1477" s="41">
        <v>0</v>
      </c>
      <c r="H1477" s="42"/>
      <c r="I1477" s="42"/>
      <c r="J1477" s="42"/>
    </row>
    <row r="1478" spans="5:10">
      <c r="E1478" s="43">
        <v>45330.819444439025</v>
      </c>
      <c r="F1478" s="41">
        <v>14.79039751230939</v>
      </c>
      <c r="G1478" s="41">
        <v>0</v>
      </c>
      <c r="H1478" s="42"/>
      <c r="I1478" s="42"/>
      <c r="J1478" s="42"/>
    </row>
    <row r="1479" spans="5:10">
      <c r="E1479" s="43">
        <v>45330.822916661244</v>
      </c>
      <c r="F1479" s="41">
        <v>14.79039751230939</v>
      </c>
      <c r="G1479" s="41">
        <v>0</v>
      </c>
      <c r="H1479" s="42"/>
      <c r="I1479" s="42"/>
      <c r="J1479" s="42"/>
    </row>
    <row r="1480" spans="5:10">
      <c r="E1480" s="43">
        <v>45330.826388883463</v>
      </c>
      <c r="F1480" s="41">
        <v>14.79039751230939</v>
      </c>
      <c r="G1480" s="41">
        <v>0</v>
      </c>
      <c r="H1480" s="42"/>
      <c r="I1480" s="42"/>
      <c r="J1480" s="42"/>
    </row>
    <row r="1481" spans="5:10">
      <c r="E1481" s="43">
        <v>45330.829861105682</v>
      </c>
      <c r="F1481" s="41">
        <v>14.79039751230939</v>
      </c>
      <c r="G1481" s="41">
        <v>0</v>
      </c>
      <c r="H1481" s="42"/>
      <c r="I1481" s="42"/>
      <c r="J1481" s="42"/>
    </row>
    <row r="1482" spans="5:10">
      <c r="E1482" s="43">
        <v>45330.833333327901</v>
      </c>
      <c r="F1482" s="41">
        <v>14.79039751230939</v>
      </c>
      <c r="G1482" s="41">
        <v>0</v>
      </c>
      <c r="H1482" s="42"/>
      <c r="I1482" s="42"/>
      <c r="J1482" s="42"/>
    </row>
    <row r="1483" spans="5:10">
      <c r="E1483" s="43">
        <v>45330.83680555012</v>
      </c>
      <c r="F1483" s="41">
        <v>14.79039751230939</v>
      </c>
      <c r="G1483" s="41">
        <v>0</v>
      </c>
      <c r="H1483" s="42"/>
      <c r="I1483" s="42"/>
      <c r="J1483" s="42"/>
    </row>
    <row r="1484" spans="5:10">
      <c r="E1484" s="43">
        <v>45330.840277772339</v>
      </c>
      <c r="F1484" s="41">
        <v>14.79039751230939</v>
      </c>
      <c r="G1484" s="41">
        <v>0</v>
      </c>
      <c r="H1484" s="42"/>
      <c r="I1484" s="42"/>
      <c r="J1484" s="42"/>
    </row>
    <row r="1485" spans="5:10">
      <c r="E1485" s="43">
        <v>45330.843749994558</v>
      </c>
      <c r="F1485" s="41">
        <v>14.79039751230939</v>
      </c>
      <c r="G1485" s="41">
        <v>0</v>
      </c>
      <c r="H1485" s="42"/>
      <c r="I1485" s="42"/>
      <c r="J1485" s="42"/>
    </row>
    <row r="1486" spans="5:10">
      <c r="E1486" s="43">
        <v>45330.847222216777</v>
      </c>
      <c r="F1486" s="41">
        <v>14.79039751230939</v>
      </c>
      <c r="G1486" s="41">
        <v>0</v>
      </c>
      <c r="H1486" s="42"/>
      <c r="I1486" s="42"/>
      <c r="J1486" s="42"/>
    </row>
    <row r="1487" spans="5:10">
      <c r="E1487" s="43">
        <v>45330.850694438996</v>
      </c>
      <c r="F1487" s="41">
        <v>14.79039751230939</v>
      </c>
      <c r="G1487" s="41">
        <v>0</v>
      </c>
      <c r="H1487" s="42"/>
      <c r="I1487" s="42"/>
      <c r="J1487" s="42"/>
    </row>
    <row r="1488" spans="5:10">
      <c r="E1488" s="43">
        <v>45330.854166661215</v>
      </c>
      <c r="F1488" s="41">
        <v>14.79039751230939</v>
      </c>
      <c r="G1488" s="41">
        <v>0</v>
      </c>
      <c r="H1488" s="42"/>
      <c r="I1488" s="42"/>
      <c r="J1488" s="42"/>
    </row>
    <row r="1489" spans="5:10">
      <c r="E1489" s="43">
        <v>45330.857638883434</v>
      </c>
      <c r="F1489" s="41">
        <v>14.79039751230939</v>
      </c>
      <c r="G1489" s="41">
        <v>0</v>
      </c>
      <c r="H1489" s="42"/>
      <c r="I1489" s="42"/>
      <c r="J1489" s="42"/>
    </row>
    <row r="1490" spans="5:10">
      <c r="E1490" s="43">
        <v>45330.861111105653</v>
      </c>
      <c r="F1490" s="41">
        <v>14.79039751230939</v>
      </c>
      <c r="G1490" s="41">
        <v>0</v>
      </c>
      <c r="H1490" s="42"/>
      <c r="I1490" s="42"/>
      <c r="J1490" s="42"/>
    </row>
    <row r="1491" spans="5:10">
      <c r="E1491" s="43">
        <v>45330.864583327872</v>
      </c>
      <c r="F1491" s="41">
        <v>14.79039751230939</v>
      </c>
      <c r="G1491" s="41">
        <v>0</v>
      </c>
      <c r="H1491" s="42"/>
      <c r="I1491" s="42"/>
      <c r="J1491" s="42"/>
    </row>
    <row r="1492" spans="5:10">
      <c r="E1492" s="43">
        <v>45330.868055550091</v>
      </c>
      <c r="F1492" s="41">
        <v>14.79039751230939</v>
      </c>
      <c r="G1492" s="41">
        <v>0</v>
      </c>
      <c r="H1492" s="42"/>
      <c r="I1492" s="42"/>
      <c r="J1492" s="42"/>
    </row>
    <row r="1493" spans="5:10">
      <c r="E1493" s="43">
        <v>45330.871527772309</v>
      </c>
      <c r="F1493" s="41">
        <v>14.79039751230939</v>
      </c>
      <c r="G1493" s="41">
        <v>0</v>
      </c>
      <c r="H1493" s="42"/>
      <c r="I1493" s="42"/>
      <c r="J1493" s="42"/>
    </row>
    <row r="1494" spans="5:10">
      <c r="E1494" s="43">
        <v>45330.874999994528</v>
      </c>
      <c r="F1494" s="41">
        <v>14.79039751230939</v>
      </c>
      <c r="G1494" s="41">
        <v>0</v>
      </c>
      <c r="H1494" s="42"/>
      <c r="I1494" s="42"/>
      <c r="J1494" s="42"/>
    </row>
    <row r="1495" spans="5:10">
      <c r="E1495" s="43">
        <v>45330.878472216747</v>
      </c>
      <c r="F1495" s="41">
        <v>14.79039751230939</v>
      </c>
      <c r="G1495" s="41">
        <v>0</v>
      </c>
      <c r="H1495" s="42"/>
      <c r="I1495" s="42"/>
      <c r="J1495" s="42"/>
    </row>
    <row r="1496" spans="5:10">
      <c r="E1496" s="43">
        <v>45330.881944438966</v>
      </c>
      <c r="F1496" s="41">
        <v>14.79039751230939</v>
      </c>
      <c r="G1496" s="41">
        <v>0</v>
      </c>
      <c r="H1496" s="42"/>
      <c r="I1496" s="42"/>
      <c r="J1496" s="42"/>
    </row>
    <row r="1497" spans="5:10">
      <c r="E1497" s="43">
        <v>45330.885416661185</v>
      </c>
      <c r="F1497" s="41">
        <v>14.79039751230939</v>
      </c>
      <c r="G1497" s="41">
        <v>0</v>
      </c>
      <c r="H1497" s="42"/>
      <c r="I1497" s="42"/>
      <c r="J1497" s="42"/>
    </row>
    <row r="1498" spans="5:10">
      <c r="E1498" s="43">
        <v>45330.888888883404</v>
      </c>
      <c r="F1498" s="41">
        <v>14.79039751230939</v>
      </c>
      <c r="G1498" s="41">
        <v>0</v>
      </c>
      <c r="H1498" s="42"/>
      <c r="I1498" s="42"/>
      <c r="J1498" s="42"/>
    </row>
    <row r="1499" spans="5:10">
      <c r="E1499" s="43">
        <v>45330.892361105623</v>
      </c>
      <c r="F1499" s="41">
        <v>14.79039751230939</v>
      </c>
      <c r="G1499" s="41">
        <v>0</v>
      </c>
      <c r="H1499" s="42"/>
      <c r="I1499" s="42"/>
      <c r="J1499" s="42"/>
    </row>
    <row r="1500" spans="5:10">
      <c r="E1500" s="43">
        <v>45330.895833327842</v>
      </c>
      <c r="F1500" s="41">
        <v>14.79039751230939</v>
      </c>
      <c r="G1500" s="41">
        <v>0</v>
      </c>
      <c r="H1500" s="42"/>
      <c r="I1500" s="42"/>
      <c r="J1500" s="42"/>
    </row>
    <row r="1501" spans="5:10">
      <c r="E1501" s="43">
        <v>45330.899305550061</v>
      </c>
      <c r="F1501" s="41">
        <v>14.79039751230939</v>
      </c>
      <c r="G1501" s="41">
        <v>0</v>
      </c>
      <c r="H1501" s="42"/>
      <c r="I1501" s="42"/>
      <c r="J1501" s="42"/>
    </row>
    <row r="1502" spans="5:10">
      <c r="E1502" s="43">
        <v>45330.90277777228</v>
      </c>
      <c r="F1502" s="41">
        <v>14.79039751230939</v>
      </c>
      <c r="G1502" s="41">
        <v>0</v>
      </c>
      <c r="H1502" s="42"/>
      <c r="I1502" s="42"/>
      <c r="J1502" s="42"/>
    </row>
    <row r="1503" spans="5:10">
      <c r="E1503" s="43">
        <v>45330.906249994499</v>
      </c>
      <c r="F1503" s="41">
        <v>14.79039751230939</v>
      </c>
      <c r="G1503" s="41">
        <v>0</v>
      </c>
      <c r="H1503" s="42"/>
      <c r="I1503" s="42"/>
      <c r="J1503" s="42"/>
    </row>
    <row r="1504" spans="5:10">
      <c r="E1504" s="43">
        <v>45330.909722216718</v>
      </c>
      <c r="F1504" s="41">
        <v>14.79039751230939</v>
      </c>
      <c r="G1504" s="41">
        <v>0</v>
      </c>
      <c r="H1504" s="42"/>
      <c r="I1504" s="42"/>
      <c r="J1504" s="42"/>
    </row>
    <row r="1505" spans="5:10">
      <c r="E1505" s="43">
        <v>45330.913194438937</v>
      </c>
      <c r="F1505" s="41">
        <v>14.79039751230939</v>
      </c>
      <c r="G1505" s="41">
        <v>0</v>
      </c>
      <c r="H1505" s="42"/>
      <c r="I1505" s="42"/>
      <c r="J1505" s="42"/>
    </row>
    <row r="1506" spans="5:10">
      <c r="E1506" s="43">
        <v>45330.916666661156</v>
      </c>
      <c r="F1506" s="41">
        <v>14.79039751230939</v>
      </c>
      <c r="G1506" s="41">
        <v>0</v>
      </c>
      <c r="H1506" s="42"/>
      <c r="I1506" s="42"/>
      <c r="J1506" s="42"/>
    </row>
    <row r="1507" spans="5:10">
      <c r="E1507" s="43">
        <v>45330.920138883375</v>
      </c>
      <c r="F1507" s="41">
        <v>14.79039751230939</v>
      </c>
      <c r="G1507" s="41">
        <v>0</v>
      </c>
      <c r="H1507" s="42"/>
      <c r="I1507" s="42"/>
      <c r="J1507" s="42"/>
    </row>
    <row r="1508" spans="5:10">
      <c r="E1508" s="43">
        <v>45330.923611105594</v>
      </c>
      <c r="F1508" s="41">
        <v>14.79039751230939</v>
      </c>
      <c r="G1508" s="41">
        <v>0</v>
      </c>
      <c r="H1508" s="42"/>
      <c r="I1508" s="42"/>
      <c r="J1508" s="42"/>
    </row>
    <row r="1509" spans="5:10">
      <c r="E1509" s="43">
        <v>45330.927083327813</v>
      </c>
      <c r="F1509" s="41">
        <v>14.79039751230939</v>
      </c>
      <c r="G1509" s="41">
        <v>0</v>
      </c>
      <c r="H1509" s="42"/>
      <c r="I1509" s="42"/>
      <c r="J1509" s="42"/>
    </row>
    <row r="1510" spans="5:10">
      <c r="E1510" s="43">
        <v>45330.930555550032</v>
      </c>
      <c r="F1510" s="41">
        <v>14.79039751230939</v>
      </c>
      <c r="G1510" s="41">
        <v>0</v>
      </c>
      <c r="H1510" s="42"/>
      <c r="I1510" s="42"/>
      <c r="J1510" s="42"/>
    </row>
    <row r="1511" spans="5:10">
      <c r="E1511" s="43">
        <v>45330.934027772251</v>
      </c>
      <c r="F1511" s="41">
        <v>14.79039751230939</v>
      </c>
      <c r="G1511" s="41">
        <v>0</v>
      </c>
      <c r="H1511" s="42"/>
      <c r="I1511" s="42"/>
      <c r="J1511" s="42"/>
    </row>
    <row r="1512" spans="5:10">
      <c r="E1512" s="43">
        <v>45330.93749999447</v>
      </c>
      <c r="F1512" s="41">
        <v>14.79039751230939</v>
      </c>
      <c r="G1512" s="41">
        <v>0</v>
      </c>
      <c r="H1512" s="42"/>
      <c r="I1512" s="42"/>
      <c r="J1512" s="42"/>
    </row>
    <row r="1513" spans="5:10">
      <c r="E1513" s="43">
        <v>45330.940972216689</v>
      </c>
      <c r="F1513" s="41">
        <v>14.79039751230939</v>
      </c>
      <c r="G1513" s="41">
        <v>0</v>
      </c>
      <c r="H1513" s="42"/>
      <c r="I1513" s="42"/>
      <c r="J1513" s="42"/>
    </row>
    <row r="1514" spans="5:10">
      <c r="E1514" s="43">
        <v>45330.944444438908</v>
      </c>
      <c r="F1514" s="41">
        <v>14.79039751230939</v>
      </c>
      <c r="G1514" s="41">
        <v>0</v>
      </c>
      <c r="H1514" s="42"/>
      <c r="I1514" s="42"/>
      <c r="J1514" s="42"/>
    </row>
    <row r="1515" spans="5:10">
      <c r="E1515" s="43">
        <v>45330.947916661127</v>
      </c>
      <c r="F1515" s="41">
        <v>14.79039751230939</v>
      </c>
      <c r="G1515" s="41">
        <v>0</v>
      </c>
      <c r="H1515" s="42"/>
      <c r="I1515" s="42"/>
      <c r="J1515" s="42"/>
    </row>
    <row r="1516" spans="5:10">
      <c r="E1516" s="43">
        <v>45330.951388883346</v>
      </c>
      <c r="F1516" s="41">
        <v>14.79039751230939</v>
      </c>
      <c r="G1516" s="41">
        <v>0</v>
      </c>
      <c r="H1516" s="42"/>
      <c r="I1516" s="42"/>
      <c r="J1516" s="42"/>
    </row>
    <row r="1517" spans="5:10">
      <c r="E1517" s="43">
        <v>45330.954861105565</v>
      </c>
      <c r="F1517" s="41">
        <v>14.79039751230939</v>
      </c>
      <c r="G1517" s="41">
        <v>0</v>
      </c>
      <c r="H1517" s="42"/>
      <c r="I1517" s="42"/>
      <c r="J1517" s="42"/>
    </row>
    <row r="1518" spans="5:10">
      <c r="E1518" s="43">
        <v>45330.958333327784</v>
      </c>
      <c r="F1518" s="41">
        <v>14.79039751230939</v>
      </c>
      <c r="G1518" s="41">
        <v>0</v>
      </c>
      <c r="H1518" s="42"/>
      <c r="I1518" s="42"/>
      <c r="J1518" s="42"/>
    </row>
    <row r="1519" spans="5:10">
      <c r="E1519" s="43">
        <v>45330.961805550003</v>
      </c>
      <c r="F1519" s="41">
        <v>14.79039751230939</v>
      </c>
      <c r="G1519" s="41">
        <v>0</v>
      </c>
      <c r="H1519" s="42"/>
      <c r="I1519" s="42"/>
      <c r="J1519" s="42"/>
    </row>
    <row r="1520" spans="5:10">
      <c r="E1520" s="43">
        <v>45330.965277772222</v>
      </c>
      <c r="F1520" s="41">
        <v>14.79039751230939</v>
      </c>
      <c r="G1520" s="41">
        <v>0</v>
      </c>
      <c r="H1520" s="42"/>
      <c r="I1520" s="42"/>
      <c r="J1520" s="42"/>
    </row>
    <row r="1521" spans="5:10">
      <c r="E1521" s="43">
        <v>45330.968749994441</v>
      </c>
      <c r="F1521" s="41">
        <v>14.79039751230939</v>
      </c>
      <c r="G1521" s="41">
        <v>0</v>
      </c>
      <c r="H1521" s="42"/>
      <c r="I1521" s="42"/>
      <c r="J1521" s="42"/>
    </row>
    <row r="1522" spans="5:10">
      <c r="E1522" s="43">
        <v>45330.97222221666</v>
      </c>
      <c r="F1522" s="41">
        <v>14.79039751230939</v>
      </c>
      <c r="G1522" s="41">
        <v>0</v>
      </c>
      <c r="H1522" s="42"/>
      <c r="I1522" s="42"/>
      <c r="J1522" s="42"/>
    </row>
    <row r="1523" spans="5:10">
      <c r="E1523" s="43">
        <v>45330.975694438879</v>
      </c>
      <c r="F1523" s="41">
        <v>14.79039751230939</v>
      </c>
      <c r="G1523" s="41">
        <v>0</v>
      </c>
      <c r="H1523" s="42"/>
      <c r="I1523" s="42"/>
      <c r="J1523" s="42"/>
    </row>
    <row r="1524" spans="5:10">
      <c r="E1524" s="43">
        <v>45330.979166661098</v>
      </c>
      <c r="F1524" s="41">
        <v>14.79039751230939</v>
      </c>
      <c r="G1524" s="41">
        <v>0</v>
      </c>
      <c r="H1524" s="42"/>
      <c r="I1524" s="42"/>
      <c r="J1524" s="42"/>
    </row>
    <row r="1525" spans="5:10">
      <c r="E1525" s="43">
        <v>45330.982638883317</v>
      </c>
      <c r="F1525" s="41">
        <v>14.79039751230939</v>
      </c>
      <c r="G1525" s="41">
        <v>0</v>
      </c>
      <c r="H1525" s="42"/>
      <c r="I1525" s="42"/>
      <c r="J1525" s="42"/>
    </row>
    <row r="1526" spans="5:10">
      <c r="E1526" s="43">
        <v>45330.986111105536</v>
      </c>
      <c r="F1526" s="41">
        <v>14.79039751230939</v>
      </c>
      <c r="G1526" s="41">
        <v>0</v>
      </c>
      <c r="H1526" s="42"/>
      <c r="I1526" s="42"/>
      <c r="J1526" s="42"/>
    </row>
    <row r="1527" spans="5:10">
      <c r="E1527" s="43">
        <v>45330.989583327755</v>
      </c>
      <c r="F1527" s="41">
        <v>14.79039751230939</v>
      </c>
      <c r="G1527" s="41">
        <v>0</v>
      </c>
      <c r="H1527" s="42"/>
      <c r="I1527" s="42"/>
      <c r="J1527" s="42"/>
    </row>
    <row r="1528" spans="5:10">
      <c r="E1528" s="43">
        <v>45330.993055549974</v>
      </c>
      <c r="F1528" s="41">
        <v>14.79039751230939</v>
      </c>
      <c r="G1528" s="41">
        <v>0</v>
      </c>
      <c r="H1528" s="42"/>
      <c r="I1528" s="42"/>
      <c r="J1528" s="42"/>
    </row>
    <row r="1529" spans="5:10">
      <c r="E1529" s="43">
        <v>45330.996527772193</v>
      </c>
      <c r="F1529" s="41">
        <v>14.79039751230939</v>
      </c>
      <c r="G1529" s="41">
        <v>0</v>
      </c>
      <c r="H1529" s="42"/>
      <c r="I1529" s="42"/>
      <c r="J1529" s="42"/>
    </row>
    <row r="1530" spans="5:10">
      <c r="E1530" s="43">
        <v>45330.999999994412</v>
      </c>
      <c r="F1530" s="41">
        <v>14.79039751230939</v>
      </c>
      <c r="G1530" s="41">
        <v>0</v>
      </c>
      <c r="H1530" s="42"/>
      <c r="I1530" s="42"/>
      <c r="J1530" s="42"/>
    </row>
    <row r="1531" spans="5:10">
      <c r="E1531" s="43">
        <v>45331.003472216631</v>
      </c>
      <c r="F1531" s="41">
        <v>14.79039751230939</v>
      </c>
      <c r="G1531" s="41">
        <v>0</v>
      </c>
      <c r="H1531" s="42"/>
      <c r="I1531" s="42"/>
      <c r="J1531" s="42"/>
    </row>
    <row r="1532" spans="5:10">
      <c r="E1532" s="43">
        <v>45331.00694443885</v>
      </c>
      <c r="F1532" s="41">
        <v>14.79039751230939</v>
      </c>
      <c r="G1532" s="41">
        <v>0</v>
      </c>
      <c r="H1532" s="42"/>
      <c r="I1532" s="42"/>
      <c r="J1532" s="42"/>
    </row>
    <row r="1533" spans="5:10">
      <c r="E1533" s="43">
        <v>45331.010416661069</v>
      </c>
      <c r="F1533" s="41">
        <v>14.79039751230939</v>
      </c>
      <c r="G1533" s="41">
        <v>0</v>
      </c>
      <c r="H1533" s="42"/>
      <c r="I1533" s="42"/>
      <c r="J1533" s="42"/>
    </row>
    <row r="1534" spans="5:10">
      <c r="E1534" s="43">
        <v>45331.013888883288</v>
      </c>
      <c r="F1534" s="41">
        <v>14.79039751230939</v>
      </c>
      <c r="G1534" s="41">
        <v>0</v>
      </c>
      <c r="H1534" s="42"/>
      <c r="I1534" s="42"/>
      <c r="J1534" s="42"/>
    </row>
    <row r="1535" spans="5:10">
      <c r="E1535" s="43">
        <v>45331.017361105507</v>
      </c>
      <c r="F1535" s="41">
        <v>14.79039751230939</v>
      </c>
      <c r="G1535" s="41">
        <v>0</v>
      </c>
      <c r="H1535" s="42"/>
      <c r="I1535" s="42"/>
      <c r="J1535" s="42"/>
    </row>
    <row r="1536" spans="5:10">
      <c r="E1536" s="43">
        <v>45331.020833327726</v>
      </c>
      <c r="F1536" s="41">
        <v>14.79039751230939</v>
      </c>
      <c r="G1536" s="41">
        <v>0</v>
      </c>
      <c r="H1536" s="42"/>
      <c r="I1536" s="42"/>
      <c r="J1536" s="42"/>
    </row>
    <row r="1537" spans="5:10">
      <c r="E1537" s="43">
        <v>45331.024305549945</v>
      </c>
      <c r="F1537" s="41">
        <v>14.79039751230939</v>
      </c>
      <c r="G1537" s="41">
        <v>0</v>
      </c>
      <c r="H1537" s="42"/>
      <c r="I1537" s="42"/>
      <c r="J1537" s="42"/>
    </row>
    <row r="1538" spans="5:10">
      <c r="E1538" s="43">
        <v>45331.027777772164</v>
      </c>
      <c r="F1538" s="41">
        <v>14.79039751230939</v>
      </c>
      <c r="G1538" s="41">
        <v>0</v>
      </c>
      <c r="H1538" s="42"/>
      <c r="I1538" s="42"/>
      <c r="J1538" s="42"/>
    </row>
    <row r="1539" spans="5:10">
      <c r="E1539" s="43">
        <v>45331.031249994383</v>
      </c>
      <c r="F1539" s="41">
        <v>14.79039751230939</v>
      </c>
      <c r="G1539" s="41">
        <v>0</v>
      </c>
      <c r="H1539" s="42"/>
      <c r="I1539" s="42"/>
      <c r="J1539" s="42"/>
    </row>
    <row r="1540" spans="5:10">
      <c r="E1540" s="43">
        <v>45331.034722216602</v>
      </c>
      <c r="F1540" s="41">
        <v>14.79039751230939</v>
      </c>
      <c r="G1540" s="41">
        <v>0</v>
      </c>
      <c r="H1540" s="42"/>
      <c r="I1540" s="42"/>
      <c r="J1540" s="42"/>
    </row>
    <row r="1541" spans="5:10">
      <c r="E1541" s="43">
        <v>45331.038194438821</v>
      </c>
      <c r="F1541" s="41">
        <v>14.79039751230939</v>
      </c>
      <c r="G1541" s="41">
        <v>0</v>
      </c>
      <c r="H1541" s="42"/>
      <c r="I1541" s="42"/>
      <c r="J1541" s="42"/>
    </row>
    <row r="1542" spans="5:10">
      <c r="E1542" s="43">
        <v>45331.04166666104</v>
      </c>
      <c r="F1542" s="41">
        <v>14.79039751230939</v>
      </c>
      <c r="G1542" s="41">
        <v>0</v>
      </c>
      <c r="H1542" s="42"/>
      <c r="I1542" s="42"/>
      <c r="J1542" s="42"/>
    </row>
    <row r="1543" spans="5:10">
      <c r="E1543" s="43">
        <v>45331.045138883259</v>
      </c>
      <c r="F1543" s="41">
        <v>14.79039751230939</v>
      </c>
      <c r="G1543" s="41">
        <v>0</v>
      </c>
      <c r="H1543" s="42"/>
      <c r="I1543" s="42"/>
      <c r="J1543" s="42"/>
    </row>
    <row r="1544" spans="5:10">
      <c r="E1544" s="43">
        <v>45331.048611105478</v>
      </c>
      <c r="F1544" s="41">
        <v>14.79039751230939</v>
      </c>
      <c r="G1544" s="41">
        <v>0</v>
      </c>
      <c r="H1544" s="42"/>
      <c r="I1544" s="42"/>
      <c r="J1544" s="42"/>
    </row>
    <row r="1545" spans="5:10">
      <c r="E1545" s="43">
        <v>45331.052083327697</v>
      </c>
      <c r="F1545" s="41">
        <v>14.79039751230939</v>
      </c>
      <c r="G1545" s="41">
        <v>0</v>
      </c>
      <c r="H1545" s="42"/>
      <c r="I1545" s="42"/>
      <c r="J1545" s="42"/>
    </row>
    <row r="1546" spans="5:10">
      <c r="E1546" s="43">
        <v>45331.055555549916</v>
      </c>
      <c r="F1546" s="41">
        <v>14.79039751230939</v>
      </c>
      <c r="G1546" s="41">
        <v>0</v>
      </c>
      <c r="H1546" s="42"/>
      <c r="I1546" s="42"/>
      <c r="J1546" s="42"/>
    </row>
    <row r="1547" spans="5:10">
      <c r="E1547" s="43">
        <v>45331.059027772135</v>
      </c>
      <c r="F1547" s="41">
        <v>14.79039751230939</v>
      </c>
      <c r="G1547" s="41">
        <v>0</v>
      </c>
      <c r="H1547" s="42"/>
      <c r="I1547" s="42"/>
      <c r="J1547" s="42"/>
    </row>
    <row r="1548" spans="5:10">
      <c r="E1548" s="43">
        <v>45331.062499994354</v>
      </c>
      <c r="F1548" s="41">
        <v>14.79039751230939</v>
      </c>
      <c r="G1548" s="41">
        <v>0</v>
      </c>
      <c r="H1548" s="42"/>
      <c r="I1548" s="42"/>
      <c r="J1548" s="42"/>
    </row>
    <row r="1549" spans="5:10">
      <c r="E1549" s="43">
        <v>45331.065972216573</v>
      </c>
      <c r="F1549" s="41">
        <v>14.79039751230939</v>
      </c>
      <c r="G1549" s="41">
        <v>0</v>
      </c>
      <c r="H1549" s="42"/>
      <c r="I1549" s="42"/>
      <c r="J1549" s="42"/>
    </row>
    <row r="1550" spans="5:10">
      <c r="E1550" s="43">
        <v>45331.069444438792</v>
      </c>
      <c r="F1550" s="41">
        <v>14.79039751230939</v>
      </c>
      <c r="G1550" s="41">
        <v>0</v>
      </c>
      <c r="H1550" s="42"/>
      <c r="I1550" s="42"/>
      <c r="J1550" s="42"/>
    </row>
    <row r="1551" spans="5:10">
      <c r="E1551" s="43">
        <v>45331.072916661011</v>
      </c>
      <c r="F1551" s="41">
        <v>14.79039751230939</v>
      </c>
      <c r="G1551" s="41">
        <v>0</v>
      </c>
      <c r="H1551" s="42"/>
      <c r="I1551" s="42"/>
      <c r="J1551" s="42"/>
    </row>
    <row r="1552" spans="5:10">
      <c r="E1552" s="43">
        <v>45331.07638888323</v>
      </c>
      <c r="F1552" s="41">
        <v>14.79039751230939</v>
      </c>
      <c r="G1552" s="41">
        <v>0</v>
      </c>
      <c r="H1552" s="42"/>
      <c r="I1552" s="42"/>
      <c r="J1552" s="42"/>
    </row>
    <row r="1553" spans="5:10">
      <c r="E1553" s="43">
        <v>45331.079861105449</v>
      </c>
      <c r="F1553" s="41">
        <v>14.79039751230939</v>
      </c>
      <c r="G1553" s="41">
        <v>0</v>
      </c>
      <c r="H1553" s="42"/>
      <c r="I1553" s="42"/>
      <c r="J1553" s="42"/>
    </row>
    <row r="1554" spans="5:10">
      <c r="E1554" s="43">
        <v>45331.083333327668</v>
      </c>
      <c r="F1554" s="41">
        <v>14.79039751230939</v>
      </c>
      <c r="G1554" s="41">
        <v>0</v>
      </c>
      <c r="H1554" s="42"/>
      <c r="I1554" s="42"/>
      <c r="J1554" s="42"/>
    </row>
    <row r="1555" spans="5:10">
      <c r="E1555" s="43">
        <v>45331.086805549887</v>
      </c>
      <c r="F1555" s="41">
        <v>14.79039751230939</v>
      </c>
      <c r="G1555" s="41">
        <v>0</v>
      </c>
      <c r="H1555" s="42"/>
      <c r="I1555" s="42"/>
      <c r="J1555" s="42"/>
    </row>
    <row r="1556" spans="5:10">
      <c r="E1556" s="43">
        <v>45331.090277772106</v>
      </c>
      <c r="F1556" s="41">
        <v>14.79039751230939</v>
      </c>
      <c r="G1556" s="41">
        <v>0</v>
      </c>
      <c r="H1556" s="42"/>
      <c r="I1556" s="42"/>
      <c r="J1556" s="42"/>
    </row>
    <row r="1557" spans="5:10">
      <c r="E1557" s="43">
        <v>45331.093749994325</v>
      </c>
      <c r="F1557" s="41">
        <v>14.79039751230939</v>
      </c>
      <c r="G1557" s="41">
        <v>0</v>
      </c>
      <c r="H1557" s="42"/>
      <c r="I1557" s="42"/>
      <c r="J1557" s="42"/>
    </row>
    <row r="1558" spans="5:10">
      <c r="E1558" s="43">
        <v>45331.097222216544</v>
      </c>
      <c r="F1558" s="41">
        <v>14.79039751230939</v>
      </c>
      <c r="G1558" s="41">
        <v>0</v>
      </c>
      <c r="H1558" s="42"/>
      <c r="I1558" s="42"/>
      <c r="J1558" s="42"/>
    </row>
    <row r="1559" spans="5:10">
      <c r="E1559" s="43">
        <v>45331.100694438763</v>
      </c>
      <c r="F1559" s="41">
        <v>14.79039751230939</v>
      </c>
      <c r="G1559" s="41">
        <v>0</v>
      </c>
      <c r="H1559" s="42"/>
      <c r="I1559" s="42"/>
      <c r="J1559" s="42"/>
    </row>
    <row r="1560" spans="5:10">
      <c r="E1560" s="43">
        <v>45331.104166660982</v>
      </c>
      <c r="F1560" s="41">
        <v>14.79039751230939</v>
      </c>
      <c r="G1560" s="41">
        <v>0</v>
      </c>
      <c r="H1560" s="42"/>
      <c r="I1560" s="42"/>
      <c r="J1560" s="42"/>
    </row>
    <row r="1561" spans="5:10">
      <c r="E1561" s="43">
        <v>45331.107638883201</v>
      </c>
      <c r="F1561" s="41">
        <v>14.79039751230939</v>
      </c>
      <c r="G1561" s="41">
        <v>0</v>
      </c>
      <c r="H1561" s="42"/>
      <c r="I1561" s="42"/>
      <c r="J1561" s="42"/>
    </row>
    <row r="1562" spans="5:10">
      <c r="E1562" s="43">
        <v>45331.11111110542</v>
      </c>
      <c r="F1562" s="41">
        <v>14.79039751230939</v>
      </c>
      <c r="G1562" s="41">
        <v>0</v>
      </c>
      <c r="H1562" s="42"/>
      <c r="I1562" s="42"/>
      <c r="J1562" s="42"/>
    </row>
    <row r="1563" spans="5:10">
      <c r="E1563" s="43">
        <v>45331.114583327639</v>
      </c>
      <c r="F1563" s="41">
        <v>14.79039751230939</v>
      </c>
      <c r="G1563" s="41">
        <v>0</v>
      </c>
      <c r="H1563" s="42"/>
      <c r="I1563" s="42"/>
      <c r="J1563" s="42"/>
    </row>
    <row r="1564" spans="5:10">
      <c r="E1564" s="43">
        <v>45331.118055549858</v>
      </c>
      <c r="F1564" s="41">
        <v>14.79039751230939</v>
      </c>
      <c r="G1564" s="41">
        <v>0</v>
      </c>
      <c r="H1564" s="42"/>
      <c r="I1564" s="42"/>
      <c r="J1564" s="42"/>
    </row>
    <row r="1565" spans="5:10">
      <c r="E1565" s="43">
        <v>45331.121527772077</v>
      </c>
      <c r="F1565" s="41">
        <v>14.79039751230939</v>
      </c>
      <c r="G1565" s="41">
        <v>0</v>
      </c>
      <c r="H1565" s="42"/>
      <c r="I1565" s="42"/>
      <c r="J1565" s="42"/>
    </row>
    <row r="1566" spans="5:10">
      <c r="E1566" s="43">
        <v>45331.124999994296</v>
      </c>
      <c r="F1566" s="41">
        <v>14.79039751230939</v>
      </c>
      <c r="G1566" s="41">
        <v>0</v>
      </c>
      <c r="H1566" s="42"/>
      <c r="I1566" s="42"/>
      <c r="J1566" s="42"/>
    </row>
    <row r="1567" spans="5:10">
      <c r="E1567" s="43">
        <v>45331.128472216515</v>
      </c>
      <c r="F1567" s="41">
        <v>14.79039751230939</v>
      </c>
      <c r="G1567" s="41">
        <v>0</v>
      </c>
      <c r="H1567" s="42"/>
      <c r="I1567" s="42"/>
      <c r="J1567" s="42"/>
    </row>
    <row r="1568" spans="5:10">
      <c r="E1568" s="43">
        <v>45331.131944438734</v>
      </c>
      <c r="F1568" s="41">
        <v>14.79039751230939</v>
      </c>
      <c r="G1568" s="41">
        <v>0</v>
      </c>
      <c r="H1568" s="42"/>
      <c r="I1568" s="42"/>
      <c r="J1568" s="42"/>
    </row>
    <row r="1569" spans="5:10">
      <c r="E1569" s="43">
        <v>45331.135416660953</v>
      </c>
      <c r="F1569" s="41">
        <v>14.79039751230939</v>
      </c>
      <c r="G1569" s="41">
        <v>0</v>
      </c>
      <c r="H1569" s="42"/>
      <c r="I1569" s="42"/>
      <c r="J1569" s="42"/>
    </row>
    <row r="1570" spans="5:10">
      <c r="E1570" s="43">
        <v>45331.138888883172</v>
      </c>
      <c r="F1570" s="41">
        <v>14.79039751230939</v>
      </c>
      <c r="G1570" s="41">
        <v>0</v>
      </c>
      <c r="H1570" s="42"/>
      <c r="I1570" s="42"/>
      <c r="J1570" s="42"/>
    </row>
    <row r="1571" spans="5:10">
      <c r="E1571" s="43">
        <v>45331.142361105391</v>
      </c>
      <c r="F1571" s="41">
        <v>14.79039751230939</v>
      </c>
      <c r="G1571" s="41">
        <v>0</v>
      </c>
      <c r="H1571" s="42"/>
      <c r="I1571" s="42"/>
      <c r="J1571" s="42"/>
    </row>
    <row r="1572" spans="5:10">
      <c r="E1572" s="43">
        <v>45331.14583332761</v>
      </c>
      <c r="F1572" s="41">
        <v>14.79039751230939</v>
      </c>
      <c r="G1572" s="41">
        <v>0</v>
      </c>
      <c r="H1572" s="42"/>
      <c r="I1572" s="42"/>
      <c r="J1572" s="42"/>
    </row>
    <row r="1573" spans="5:10">
      <c r="E1573" s="43">
        <v>45331.149305549829</v>
      </c>
      <c r="F1573" s="41">
        <v>14.79039751230939</v>
      </c>
      <c r="G1573" s="41">
        <v>0</v>
      </c>
      <c r="H1573" s="42"/>
      <c r="I1573" s="42"/>
      <c r="J1573" s="42"/>
    </row>
    <row r="1574" spans="5:10">
      <c r="E1574" s="43">
        <v>45331.152777772048</v>
      </c>
      <c r="F1574" s="41">
        <v>14.79039751230939</v>
      </c>
      <c r="G1574" s="41">
        <v>0</v>
      </c>
      <c r="H1574" s="42"/>
      <c r="I1574" s="42"/>
      <c r="J1574" s="42"/>
    </row>
    <row r="1575" spans="5:10">
      <c r="E1575" s="43">
        <v>45331.156249994267</v>
      </c>
      <c r="F1575" s="41">
        <v>14.79039751230939</v>
      </c>
      <c r="G1575" s="41">
        <v>0</v>
      </c>
      <c r="H1575" s="42"/>
      <c r="I1575" s="42"/>
      <c r="J1575" s="42"/>
    </row>
    <row r="1576" spans="5:10">
      <c r="E1576" s="43">
        <v>45331.159722216486</v>
      </c>
      <c r="F1576" s="41">
        <v>14.79039751230939</v>
      </c>
      <c r="G1576" s="41">
        <v>0</v>
      </c>
      <c r="H1576" s="42"/>
      <c r="I1576" s="42"/>
      <c r="J1576" s="42"/>
    </row>
    <row r="1577" spans="5:10">
      <c r="E1577" s="43">
        <v>45331.163194438705</v>
      </c>
      <c r="F1577" s="41">
        <v>14.79039751230939</v>
      </c>
      <c r="G1577" s="41">
        <v>0</v>
      </c>
      <c r="H1577" s="42"/>
      <c r="I1577" s="42"/>
      <c r="J1577" s="42"/>
    </row>
    <row r="1578" spans="5:10">
      <c r="E1578" s="43">
        <v>45331.166666660924</v>
      </c>
      <c r="F1578" s="41">
        <v>14.79039751230939</v>
      </c>
      <c r="G1578" s="41">
        <v>0</v>
      </c>
      <c r="H1578" s="42"/>
      <c r="I1578" s="42"/>
      <c r="J1578" s="42"/>
    </row>
    <row r="1579" spans="5:10">
      <c r="E1579" s="43">
        <v>45331.170138883142</v>
      </c>
      <c r="F1579" s="41">
        <v>14.79039751230939</v>
      </c>
      <c r="G1579" s="41">
        <v>0</v>
      </c>
      <c r="H1579" s="42"/>
      <c r="I1579" s="42"/>
      <c r="J1579" s="42"/>
    </row>
    <row r="1580" spans="5:10">
      <c r="E1580" s="43">
        <v>45331.173611105361</v>
      </c>
      <c r="F1580" s="41">
        <v>14.79039751230939</v>
      </c>
      <c r="G1580" s="41">
        <v>0</v>
      </c>
      <c r="H1580" s="42"/>
      <c r="I1580" s="42"/>
      <c r="J1580" s="42"/>
    </row>
    <row r="1581" spans="5:10">
      <c r="E1581" s="43">
        <v>45331.17708332758</v>
      </c>
      <c r="F1581" s="41">
        <v>14.79039751230939</v>
      </c>
      <c r="G1581" s="41">
        <v>0</v>
      </c>
      <c r="H1581" s="42"/>
      <c r="I1581" s="42"/>
      <c r="J1581" s="42"/>
    </row>
    <row r="1582" spans="5:10">
      <c r="E1582" s="43">
        <v>45331.180555549799</v>
      </c>
      <c r="F1582" s="41">
        <v>14.79039751230939</v>
      </c>
      <c r="G1582" s="41">
        <v>0</v>
      </c>
      <c r="H1582" s="42"/>
      <c r="I1582" s="42"/>
      <c r="J1582" s="42"/>
    </row>
    <row r="1583" spans="5:10">
      <c r="E1583" s="43">
        <v>45331.184027772018</v>
      </c>
      <c r="F1583" s="41">
        <v>14.79039751230939</v>
      </c>
      <c r="G1583" s="41">
        <v>0</v>
      </c>
      <c r="H1583" s="42"/>
      <c r="I1583" s="42"/>
      <c r="J1583" s="42"/>
    </row>
    <row r="1584" spans="5:10">
      <c r="E1584" s="43">
        <v>45331.187499994237</v>
      </c>
      <c r="F1584" s="41">
        <v>14.79039751230939</v>
      </c>
      <c r="G1584" s="41">
        <v>0</v>
      </c>
      <c r="H1584" s="42"/>
      <c r="I1584" s="42"/>
      <c r="J1584" s="42"/>
    </row>
    <row r="1585" spans="5:10">
      <c r="E1585" s="43">
        <v>45331.190972216456</v>
      </c>
      <c r="F1585" s="41">
        <v>14.79039751230939</v>
      </c>
      <c r="G1585" s="41">
        <v>0</v>
      </c>
      <c r="H1585" s="42"/>
      <c r="I1585" s="42"/>
      <c r="J1585" s="42"/>
    </row>
    <row r="1586" spans="5:10">
      <c r="E1586" s="43">
        <v>45331.194444438675</v>
      </c>
      <c r="F1586" s="41">
        <v>14.79039751230939</v>
      </c>
      <c r="G1586" s="41">
        <v>0</v>
      </c>
      <c r="H1586" s="42"/>
      <c r="I1586" s="42"/>
      <c r="J1586" s="42"/>
    </row>
    <row r="1587" spans="5:10">
      <c r="E1587" s="43">
        <v>45331.197916660894</v>
      </c>
      <c r="F1587" s="41">
        <v>14.79039751230939</v>
      </c>
      <c r="G1587" s="41">
        <v>0</v>
      </c>
      <c r="H1587" s="42"/>
      <c r="I1587" s="42"/>
      <c r="J1587" s="42"/>
    </row>
    <row r="1588" spans="5:10">
      <c r="E1588" s="43">
        <v>45331.201388883113</v>
      </c>
      <c r="F1588" s="41">
        <v>14.79039751230939</v>
      </c>
      <c r="G1588" s="41">
        <v>0</v>
      </c>
      <c r="H1588" s="42"/>
      <c r="I1588" s="42"/>
      <c r="J1588" s="42"/>
    </row>
    <row r="1589" spans="5:10">
      <c r="E1589" s="43">
        <v>45331.204861105332</v>
      </c>
      <c r="F1589" s="41">
        <v>14.79039751230939</v>
      </c>
      <c r="G1589" s="41">
        <v>0</v>
      </c>
      <c r="H1589" s="42"/>
      <c r="I1589" s="42"/>
      <c r="J1589" s="42"/>
    </row>
    <row r="1590" spans="5:10">
      <c r="E1590" s="43">
        <v>45331.208333327551</v>
      </c>
      <c r="F1590" s="41">
        <v>14.79039751230939</v>
      </c>
      <c r="G1590" s="41">
        <v>0</v>
      </c>
      <c r="H1590" s="42"/>
      <c r="I1590" s="42"/>
      <c r="J1590" s="42"/>
    </row>
    <row r="1591" spans="5:10">
      <c r="E1591" s="43">
        <v>45331.21180554977</v>
      </c>
      <c r="F1591" s="41">
        <v>14.79039751230939</v>
      </c>
      <c r="G1591" s="41">
        <v>0</v>
      </c>
      <c r="H1591" s="42"/>
      <c r="I1591" s="42"/>
      <c r="J1591" s="42"/>
    </row>
    <row r="1592" spans="5:10">
      <c r="E1592" s="43">
        <v>45331.215277771989</v>
      </c>
      <c r="F1592" s="41">
        <v>14.79039751230939</v>
      </c>
      <c r="G1592" s="41">
        <v>0</v>
      </c>
      <c r="H1592" s="42"/>
      <c r="I1592" s="42"/>
      <c r="J1592" s="42"/>
    </row>
    <row r="1593" spans="5:10">
      <c r="E1593" s="43">
        <v>45331.218749994208</v>
      </c>
      <c r="F1593" s="41">
        <v>14.79039751230939</v>
      </c>
      <c r="G1593" s="41">
        <v>0</v>
      </c>
      <c r="H1593" s="42"/>
      <c r="I1593" s="42"/>
      <c r="J1593" s="42"/>
    </row>
    <row r="1594" spans="5:10">
      <c r="E1594" s="43">
        <v>45331.222222216427</v>
      </c>
      <c r="F1594" s="41">
        <v>14.79039751230939</v>
      </c>
      <c r="G1594" s="41">
        <v>0</v>
      </c>
      <c r="H1594" s="42"/>
      <c r="I1594" s="42"/>
      <c r="J1594" s="42"/>
    </row>
    <row r="1595" spans="5:10">
      <c r="E1595" s="43">
        <v>45331.225694438646</v>
      </c>
      <c r="F1595" s="41">
        <v>14.79039751230939</v>
      </c>
      <c r="G1595" s="41">
        <v>0</v>
      </c>
      <c r="H1595" s="42"/>
      <c r="I1595" s="42"/>
      <c r="J1595" s="42"/>
    </row>
    <row r="1596" spans="5:10">
      <c r="E1596" s="43">
        <v>45331.229166660865</v>
      </c>
      <c r="F1596" s="41">
        <v>14.79039751230939</v>
      </c>
      <c r="G1596" s="41">
        <v>0</v>
      </c>
      <c r="H1596" s="42"/>
      <c r="I1596" s="42"/>
      <c r="J1596" s="42"/>
    </row>
    <row r="1597" spans="5:10">
      <c r="E1597" s="43">
        <v>45331.232638883084</v>
      </c>
      <c r="F1597" s="41">
        <v>14.79039751230939</v>
      </c>
      <c r="G1597" s="41">
        <v>0</v>
      </c>
      <c r="H1597" s="42"/>
      <c r="I1597" s="42"/>
      <c r="J1597" s="42"/>
    </row>
    <row r="1598" spans="5:10">
      <c r="E1598" s="43">
        <v>45331.236111105303</v>
      </c>
      <c r="F1598" s="41">
        <v>14.79039751230939</v>
      </c>
      <c r="G1598" s="41">
        <v>0</v>
      </c>
      <c r="H1598" s="42"/>
      <c r="I1598" s="42"/>
      <c r="J1598" s="42"/>
    </row>
    <row r="1599" spans="5:10">
      <c r="E1599" s="43">
        <v>45331.239583327522</v>
      </c>
      <c r="F1599" s="41">
        <v>14.79039751230939</v>
      </c>
      <c r="G1599" s="41">
        <v>0</v>
      </c>
      <c r="H1599" s="42"/>
      <c r="I1599" s="42"/>
      <c r="J1599" s="42"/>
    </row>
    <row r="1600" spans="5:10">
      <c r="E1600" s="43">
        <v>45331.243055549741</v>
      </c>
      <c r="F1600" s="41">
        <v>14.79039751230939</v>
      </c>
      <c r="G1600" s="41">
        <v>0</v>
      </c>
      <c r="H1600" s="42"/>
      <c r="I1600" s="42"/>
      <c r="J1600" s="42"/>
    </row>
    <row r="1601" spans="5:10">
      <c r="E1601" s="43">
        <v>45331.24652777196</v>
      </c>
      <c r="F1601" s="41">
        <v>14.79039751230939</v>
      </c>
      <c r="G1601" s="41">
        <v>0</v>
      </c>
      <c r="H1601" s="42"/>
      <c r="I1601" s="42"/>
      <c r="J1601" s="42"/>
    </row>
    <row r="1602" spans="5:10">
      <c r="E1602" s="43">
        <v>45331.249999994179</v>
      </c>
      <c r="F1602" s="41">
        <v>14.79039751230939</v>
      </c>
      <c r="G1602" s="41">
        <v>0</v>
      </c>
      <c r="H1602" s="42"/>
      <c r="I1602" s="42"/>
      <c r="J1602" s="42"/>
    </row>
    <row r="1603" spans="5:10">
      <c r="E1603" s="43">
        <v>45331.253472216398</v>
      </c>
      <c r="F1603" s="41">
        <v>14.79039751230939</v>
      </c>
      <c r="G1603" s="41">
        <v>0</v>
      </c>
      <c r="H1603" s="42"/>
      <c r="I1603" s="42"/>
      <c r="J1603" s="42"/>
    </row>
    <row r="1604" spans="5:10">
      <c r="E1604" s="43">
        <v>45331.256944438617</v>
      </c>
      <c r="F1604" s="41">
        <v>14.79039751230939</v>
      </c>
      <c r="G1604" s="41">
        <v>0</v>
      </c>
      <c r="H1604" s="42"/>
      <c r="I1604" s="42"/>
      <c r="J1604" s="42"/>
    </row>
    <row r="1605" spans="5:10">
      <c r="E1605" s="43">
        <v>45331.260416660836</v>
      </c>
      <c r="F1605" s="41">
        <v>14.79039751230939</v>
      </c>
      <c r="G1605" s="41">
        <v>0</v>
      </c>
      <c r="H1605" s="42"/>
      <c r="I1605" s="42"/>
      <c r="J1605" s="42"/>
    </row>
    <row r="1606" spans="5:10">
      <c r="E1606" s="43">
        <v>45331.263888883055</v>
      </c>
      <c r="F1606" s="41">
        <v>14.79039751230939</v>
      </c>
      <c r="G1606" s="41">
        <v>0</v>
      </c>
      <c r="H1606" s="42"/>
      <c r="I1606" s="42"/>
      <c r="J1606" s="42"/>
    </row>
    <row r="1607" spans="5:10">
      <c r="E1607" s="43">
        <v>45331.267361105274</v>
      </c>
      <c r="F1607" s="41">
        <v>14.79039751230939</v>
      </c>
      <c r="G1607" s="41">
        <v>0</v>
      </c>
      <c r="H1607" s="42"/>
      <c r="I1607" s="42"/>
      <c r="J1607" s="42"/>
    </row>
    <row r="1608" spans="5:10">
      <c r="E1608" s="43">
        <v>45331.270833327493</v>
      </c>
      <c r="F1608" s="41">
        <v>14.79039751230939</v>
      </c>
      <c r="G1608" s="41">
        <v>0</v>
      </c>
      <c r="H1608" s="42"/>
      <c r="I1608" s="42"/>
      <c r="J1608" s="42"/>
    </row>
    <row r="1609" spans="5:10">
      <c r="E1609" s="43">
        <v>45331.274305549712</v>
      </c>
      <c r="F1609" s="41">
        <v>14.79039751230939</v>
      </c>
      <c r="G1609" s="41">
        <v>0</v>
      </c>
      <c r="H1609" s="42"/>
      <c r="I1609" s="42"/>
      <c r="J1609" s="42"/>
    </row>
    <row r="1610" spans="5:10">
      <c r="E1610" s="43">
        <v>45331.277777771931</v>
      </c>
      <c r="F1610" s="41">
        <v>14.79039751230939</v>
      </c>
      <c r="G1610" s="41">
        <v>0</v>
      </c>
      <c r="H1610" s="42"/>
      <c r="I1610" s="42"/>
      <c r="J1610" s="42"/>
    </row>
    <row r="1611" spans="5:10">
      <c r="E1611" s="43">
        <v>45331.28124999415</v>
      </c>
      <c r="F1611" s="41">
        <v>14.79039751230939</v>
      </c>
      <c r="G1611" s="41">
        <v>0</v>
      </c>
      <c r="H1611" s="42"/>
      <c r="I1611" s="42"/>
      <c r="J1611" s="42"/>
    </row>
    <row r="1612" spans="5:10">
      <c r="E1612" s="43">
        <v>45331.284722216369</v>
      </c>
      <c r="F1612" s="41">
        <v>14.79039751230939</v>
      </c>
      <c r="G1612" s="41">
        <v>0</v>
      </c>
      <c r="H1612" s="42"/>
      <c r="I1612" s="42"/>
      <c r="J1612" s="42"/>
    </row>
    <row r="1613" spans="5:10">
      <c r="E1613" s="43">
        <v>45331.288194438588</v>
      </c>
      <c r="F1613" s="41">
        <v>14.79039751230939</v>
      </c>
      <c r="G1613" s="41">
        <v>0</v>
      </c>
      <c r="H1613" s="42"/>
      <c r="I1613" s="42"/>
      <c r="J1613" s="42"/>
    </row>
    <row r="1614" spans="5:10">
      <c r="E1614" s="43">
        <v>45331.291666660807</v>
      </c>
      <c r="F1614" s="41">
        <v>14.79039751230939</v>
      </c>
      <c r="G1614" s="41">
        <v>0</v>
      </c>
      <c r="H1614" s="42"/>
      <c r="I1614" s="42"/>
      <c r="J1614" s="42"/>
    </row>
    <row r="1615" spans="5:10">
      <c r="E1615" s="43">
        <v>45331.295138883026</v>
      </c>
      <c r="F1615" s="41">
        <v>14.79039751230939</v>
      </c>
      <c r="G1615" s="41">
        <v>0</v>
      </c>
      <c r="H1615" s="42"/>
      <c r="I1615" s="42"/>
      <c r="J1615" s="42"/>
    </row>
    <row r="1616" spans="5:10">
      <c r="E1616" s="43">
        <v>45331.298611105245</v>
      </c>
      <c r="F1616" s="41">
        <v>14.79039751230939</v>
      </c>
      <c r="G1616" s="41">
        <v>0</v>
      </c>
      <c r="H1616" s="42"/>
      <c r="I1616" s="42"/>
      <c r="J1616" s="42"/>
    </row>
    <row r="1617" spans="5:10">
      <c r="E1617" s="43">
        <v>45331.302083327464</v>
      </c>
      <c r="F1617" s="41">
        <v>14.79039751230939</v>
      </c>
      <c r="G1617" s="41">
        <v>0</v>
      </c>
      <c r="H1617" s="42"/>
      <c r="I1617" s="42"/>
      <c r="J1617" s="42"/>
    </row>
    <row r="1618" spans="5:10">
      <c r="E1618" s="43">
        <v>45331.305555549683</v>
      </c>
      <c r="F1618" s="41">
        <v>14.79039751230939</v>
      </c>
      <c r="G1618" s="41">
        <v>0</v>
      </c>
      <c r="H1618" s="42"/>
      <c r="I1618" s="42"/>
      <c r="J1618" s="42"/>
    </row>
    <row r="1619" spans="5:10">
      <c r="E1619" s="43">
        <v>45331.309027771902</v>
      </c>
      <c r="F1619" s="41">
        <v>14.79039751230939</v>
      </c>
      <c r="G1619" s="41">
        <v>0</v>
      </c>
      <c r="H1619" s="42"/>
      <c r="I1619" s="42"/>
      <c r="J1619" s="42"/>
    </row>
    <row r="1620" spans="5:10">
      <c r="E1620" s="43">
        <v>45331.312499994121</v>
      </c>
      <c r="F1620" s="41">
        <v>14.79039751230939</v>
      </c>
      <c r="G1620" s="41">
        <v>0</v>
      </c>
      <c r="H1620" s="42"/>
      <c r="I1620" s="42"/>
      <c r="J1620" s="42"/>
    </row>
    <row r="1621" spans="5:10">
      <c r="E1621" s="43">
        <v>45331.31597221634</v>
      </c>
      <c r="F1621" s="41">
        <v>14.79039751230939</v>
      </c>
      <c r="G1621" s="41">
        <v>0</v>
      </c>
      <c r="H1621" s="42"/>
      <c r="I1621" s="42"/>
      <c r="J1621" s="42"/>
    </row>
    <row r="1622" spans="5:10">
      <c r="E1622" s="43">
        <v>45331.319444438559</v>
      </c>
      <c r="F1622" s="41">
        <v>14.79039751230939</v>
      </c>
      <c r="G1622" s="41">
        <v>0</v>
      </c>
      <c r="H1622" s="42"/>
      <c r="I1622" s="42"/>
      <c r="J1622" s="42"/>
    </row>
    <row r="1623" spans="5:10">
      <c r="E1623" s="43">
        <v>45331.322916660778</v>
      </c>
      <c r="F1623" s="41">
        <v>14.79039751230939</v>
      </c>
      <c r="G1623" s="41">
        <v>0</v>
      </c>
      <c r="H1623" s="42"/>
      <c r="I1623" s="42"/>
      <c r="J1623" s="42"/>
    </row>
    <row r="1624" spans="5:10">
      <c r="E1624" s="43">
        <v>45331.326388882997</v>
      </c>
      <c r="F1624" s="41">
        <v>14.79039751230939</v>
      </c>
      <c r="G1624" s="41">
        <v>0</v>
      </c>
      <c r="H1624" s="42"/>
      <c r="I1624" s="42"/>
      <c r="J1624" s="42"/>
    </row>
    <row r="1625" spans="5:10">
      <c r="E1625" s="43">
        <v>45331.329861105216</v>
      </c>
      <c r="F1625" s="41">
        <v>14.79039751230939</v>
      </c>
      <c r="G1625" s="41">
        <v>0</v>
      </c>
      <c r="H1625" s="42"/>
      <c r="I1625" s="42"/>
      <c r="J1625" s="42"/>
    </row>
    <row r="1626" spans="5:10">
      <c r="E1626" s="43">
        <v>45331.333333327435</v>
      </c>
      <c r="F1626" s="41">
        <v>14.79039751230939</v>
      </c>
      <c r="G1626" s="41">
        <v>0</v>
      </c>
      <c r="H1626" s="42"/>
      <c r="I1626" s="42"/>
      <c r="J1626" s="42"/>
    </row>
    <row r="1627" spans="5:10">
      <c r="E1627" s="43">
        <v>45331.336805549654</v>
      </c>
      <c r="F1627" s="41">
        <v>14.79039751230939</v>
      </c>
      <c r="G1627" s="41">
        <v>0</v>
      </c>
      <c r="H1627" s="42"/>
      <c r="I1627" s="42"/>
      <c r="J1627" s="42"/>
    </row>
    <row r="1628" spans="5:10">
      <c r="E1628" s="43">
        <v>45331.340277771873</v>
      </c>
      <c r="F1628" s="41">
        <v>14.79039751230939</v>
      </c>
      <c r="G1628" s="41">
        <v>0</v>
      </c>
      <c r="H1628" s="42"/>
      <c r="I1628" s="42"/>
      <c r="J1628" s="42"/>
    </row>
    <row r="1629" spans="5:10">
      <c r="E1629" s="43">
        <v>45331.343749994092</v>
      </c>
      <c r="F1629" s="41">
        <v>14.79039751230939</v>
      </c>
      <c r="G1629" s="41">
        <v>0</v>
      </c>
      <c r="H1629" s="42"/>
      <c r="I1629" s="42"/>
      <c r="J1629" s="42"/>
    </row>
    <row r="1630" spans="5:10">
      <c r="E1630" s="43">
        <v>45331.347222216311</v>
      </c>
      <c r="F1630" s="41">
        <v>14.79039751230939</v>
      </c>
      <c r="G1630" s="41">
        <v>0</v>
      </c>
      <c r="H1630" s="42"/>
      <c r="I1630" s="42"/>
      <c r="J1630" s="42"/>
    </row>
    <row r="1631" spans="5:10">
      <c r="E1631" s="43">
        <v>45331.35069443853</v>
      </c>
      <c r="F1631" s="41">
        <v>14.79039751230939</v>
      </c>
      <c r="G1631" s="41">
        <v>0</v>
      </c>
      <c r="H1631" s="42"/>
      <c r="I1631" s="42"/>
      <c r="J1631" s="42"/>
    </row>
    <row r="1632" spans="5:10">
      <c r="E1632" s="43">
        <v>45331.354166660749</v>
      </c>
      <c r="F1632" s="41">
        <v>14.79039751230939</v>
      </c>
      <c r="G1632" s="41">
        <v>0</v>
      </c>
      <c r="H1632" s="42"/>
      <c r="I1632" s="42"/>
      <c r="J1632" s="42"/>
    </row>
    <row r="1633" spans="5:10">
      <c r="E1633" s="43">
        <v>45331.357638882968</v>
      </c>
      <c r="F1633" s="41">
        <v>14.79039751230939</v>
      </c>
      <c r="G1633" s="41">
        <v>0</v>
      </c>
      <c r="H1633" s="42"/>
      <c r="I1633" s="42"/>
      <c r="J1633" s="42"/>
    </row>
    <row r="1634" spans="5:10">
      <c r="E1634" s="43">
        <v>45331.361111105187</v>
      </c>
      <c r="F1634" s="41">
        <v>14.79039751230939</v>
      </c>
      <c r="G1634" s="41">
        <v>0</v>
      </c>
      <c r="H1634" s="42"/>
      <c r="I1634" s="42"/>
      <c r="J1634" s="42"/>
    </row>
    <row r="1635" spans="5:10">
      <c r="E1635" s="43">
        <v>45331.364583327406</v>
      </c>
      <c r="F1635" s="41">
        <v>14.79039751230939</v>
      </c>
      <c r="G1635" s="41">
        <v>0</v>
      </c>
      <c r="H1635" s="42"/>
      <c r="I1635" s="42"/>
      <c r="J1635" s="42"/>
    </row>
    <row r="1636" spans="5:10">
      <c r="E1636" s="43">
        <v>45331.368055549625</v>
      </c>
      <c r="F1636" s="41">
        <v>14.79039751230939</v>
      </c>
      <c r="G1636" s="41">
        <v>0</v>
      </c>
      <c r="H1636" s="42"/>
      <c r="I1636" s="42"/>
      <c r="J1636" s="42"/>
    </row>
    <row r="1637" spans="5:10">
      <c r="E1637" s="43">
        <v>45331.371527771844</v>
      </c>
      <c r="F1637" s="41">
        <v>14.79039751230939</v>
      </c>
      <c r="G1637" s="41">
        <v>0</v>
      </c>
      <c r="H1637" s="42"/>
      <c r="I1637" s="42"/>
      <c r="J1637" s="42"/>
    </row>
    <row r="1638" spans="5:10">
      <c r="E1638" s="43">
        <v>45331.374999994063</v>
      </c>
      <c r="F1638" s="41">
        <v>14.79039751230939</v>
      </c>
      <c r="G1638" s="41">
        <v>0</v>
      </c>
      <c r="H1638" s="42"/>
      <c r="I1638" s="42"/>
      <c r="J1638" s="42"/>
    </row>
    <row r="1639" spans="5:10">
      <c r="E1639" s="43">
        <v>45331.378472216282</v>
      </c>
      <c r="F1639" s="41">
        <v>14.79039751230939</v>
      </c>
      <c r="G1639" s="41">
        <v>0</v>
      </c>
      <c r="H1639" s="42"/>
      <c r="I1639" s="42"/>
      <c r="J1639" s="42"/>
    </row>
    <row r="1640" spans="5:10">
      <c r="E1640" s="43">
        <v>45331.381944438501</v>
      </c>
      <c r="F1640" s="41">
        <v>14.79039751230939</v>
      </c>
      <c r="G1640" s="41">
        <v>0</v>
      </c>
      <c r="H1640" s="42"/>
      <c r="I1640" s="42"/>
      <c r="J1640" s="42"/>
    </row>
    <row r="1641" spans="5:10">
      <c r="E1641" s="43">
        <v>45331.38541666072</v>
      </c>
      <c r="F1641" s="41">
        <v>14.79039751230939</v>
      </c>
      <c r="G1641" s="41">
        <v>0</v>
      </c>
      <c r="H1641" s="42"/>
      <c r="I1641" s="42"/>
      <c r="J1641" s="42"/>
    </row>
    <row r="1642" spans="5:10">
      <c r="E1642" s="43">
        <v>45331.388888882939</v>
      </c>
      <c r="F1642" s="41">
        <v>14.79039751230939</v>
      </c>
      <c r="G1642" s="41">
        <v>0</v>
      </c>
      <c r="H1642" s="42"/>
      <c r="I1642" s="42"/>
      <c r="J1642" s="42"/>
    </row>
    <row r="1643" spans="5:10">
      <c r="E1643" s="43">
        <v>45331.392361105158</v>
      </c>
      <c r="F1643" s="41">
        <v>14.79039751230939</v>
      </c>
      <c r="G1643" s="41">
        <v>0</v>
      </c>
      <c r="H1643" s="42"/>
      <c r="I1643" s="42"/>
      <c r="J1643" s="42"/>
    </row>
    <row r="1644" spans="5:10">
      <c r="E1644" s="43">
        <v>45331.395833327377</v>
      </c>
      <c r="F1644" s="41">
        <v>14.79039751230939</v>
      </c>
      <c r="G1644" s="41">
        <v>0</v>
      </c>
      <c r="H1644" s="42"/>
      <c r="I1644" s="42"/>
      <c r="J1644" s="42"/>
    </row>
    <row r="1645" spans="5:10">
      <c r="E1645" s="43">
        <v>45331.399305549596</v>
      </c>
      <c r="F1645" s="41">
        <v>14.79039751230939</v>
      </c>
      <c r="G1645" s="41">
        <v>0</v>
      </c>
      <c r="H1645" s="42"/>
      <c r="I1645" s="42"/>
      <c r="J1645" s="42"/>
    </row>
    <row r="1646" spans="5:10">
      <c r="E1646" s="43">
        <v>45331.402777771815</v>
      </c>
      <c r="F1646" s="41">
        <v>14.79039751230939</v>
      </c>
      <c r="G1646" s="41">
        <v>0</v>
      </c>
      <c r="H1646" s="42"/>
      <c r="I1646" s="42"/>
      <c r="J1646" s="42"/>
    </row>
    <row r="1647" spans="5:10">
      <c r="E1647" s="43">
        <v>45331.406249994034</v>
      </c>
      <c r="F1647" s="41">
        <v>14.79039751230939</v>
      </c>
      <c r="G1647" s="41">
        <v>0</v>
      </c>
      <c r="H1647" s="42"/>
      <c r="I1647" s="42"/>
      <c r="J1647" s="42"/>
    </row>
    <row r="1648" spans="5:10">
      <c r="E1648" s="43">
        <v>45331.409722216253</v>
      </c>
      <c r="F1648" s="41">
        <v>14.79039751230939</v>
      </c>
      <c r="G1648" s="41">
        <v>0</v>
      </c>
      <c r="H1648" s="42"/>
      <c r="I1648" s="42"/>
      <c r="J1648" s="42"/>
    </row>
    <row r="1649" spans="5:10">
      <c r="E1649" s="43">
        <v>45331.413194438472</v>
      </c>
      <c r="F1649" s="41">
        <v>14.79039751230939</v>
      </c>
      <c r="G1649" s="41">
        <v>0</v>
      </c>
      <c r="H1649" s="42"/>
      <c r="I1649" s="42"/>
      <c r="J1649" s="42"/>
    </row>
    <row r="1650" spans="5:10">
      <c r="E1650" s="43">
        <v>45331.416666660691</v>
      </c>
      <c r="F1650" s="41">
        <v>14.79039751230939</v>
      </c>
      <c r="G1650" s="41">
        <v>0</v>
      </c>
      <c r="H1650" s="42"/>
      <c r="I1650" s="42"/>
      <c r="J1650" s="42"/>
    </row>
    <row r="1651" spans="5:10">
      <c r="E1651" s="43">
        <v>45331.42013888291</v>
      </c>
      <c r="F1651" s="41">
        <v>14.79039751230939</v>
      </c>
      <c r="G1651" s="41">
        <v>0</v>
      </c>
      <c r="H1651" s="42"/>
      <c r="I1651" s="42"/>
      <c r="J1651" s="42"/>
    </row>
    <row r="1652" spans="5:10">
      <c r="E1652" s="43">
        <v>45331.423611105129</v>
      </c>
      <c r="F1652" s="41">
        <v>14.79039751230939</v>
      </c>
      <c r="G1652" s="41">
        <v>0</v>
      </c>
      <c r="H1652" s="42"/>
      <c r="I1652" s="42"/>
      <c r="J1652" s="42"/>
    </row>
    <row r="1653" spans="5:10">
      <c r="E1653" s="43">
        <v>45331.427083327348</v>
      </c>
      <c r="F1653" s="41">
        <v>14.79039751230939</v>
      </c>
      <c r="G1653" s="41">
        <v>0</v>
      </c>
      <c r="H1653" s="42"/>
      <c r="I1653" s="42"/>
      <c r="J1653" s="42"/>
    </row>
    <row r="1654" spans="5:10">
      <c r="E1654" s="43">
        <v>45331.430555549567</v>
      </c>
      <c r="F1654" s="41">
        <v>14.79039751230939</v>
      </c>
      <c r="G1654" s="41">
        <v>0</v>
      </c>
      <c r="H1654" s="42"/>
      <c r="I1654" s="42"/>
      <c r="J1654" s="42"/>
    </row>
    <row r="1655" spans="5:10">
      <c r="E1655" s="43">
        <v>45331.434027771786</v>
      </c>
      <c r="F1655" s="41">
        <v>14.79039751230939</v>
      </c>
      <c r="G1655" s="41">
        <v>0</v>
      </c>
      <c r="H1655" s="42"/>
      <c r="I1655" s="42"/>
      <c r="J1655" s="42"/>
    </row>
    <row r="1656" spans="5:10">
      <c r="E1656" s="43">
        <v>45331.437499994005</v>
      </c>
      <c r="F1656" s="41">
        <v>14.79039751230939</v>
      </c>
      <c r="G1656" s="41">
        <v>0</v>
      </c>
      <c r="H1656" s="42"/>
      <c r="I1656" s="42"/>
      <c r="J1656" s="42"/>
    </row>
    <row r="1657" spans="5:10">
      <c r="E1657" s="43">
        <v>45331.440972216224</v>
      </c>
      <c r="F1657" s="41">
        <v>14.79039751230939</v>
      </c>
      <c r="G1657" s="41">
        <v>0</v>
      </c>
      <c r="H1657" s="42"/>
      <c r="I1657" s="42"/>
      <c r="J1657" s="42"/>
    </row>
    <row r="1658" spans="5:10">
      <c r="E1658" s="43">
        <v>45331.444444438443</v>
      </c>
      <c r="F1658" s="41">
        <v>14.79039751230939</v>
      </c>
      <c r="G1658" s="41">
        <v>0</v>
      </c>
      <c r="H1658" s="42"/>
      <c r="I1658" s="42"/>
      <c r="J1658" s="42"/>
    </row>
    <row r="1659" spans="5:10">
      <c r="E1659" s="43">
        <v>45331.447916660662</v>
      </c>
      <c r="F1659" s="41">
        <v>14.79039751230939</v>
      </c>
      <c r="G1659" s="41">
        <v>0</v>
      </c>
      <c r="H1659" s="42"/>
      <c r="I1659" s="42"/>
      <c r="J1659" s="42"/>
    </row>
    <row r="1660" spans="5:10">
      <c r="E1660" s="43">
        <v>45331.451388882881</v>
      </c>
      <c r="F1660" s="41">
        <v>14.79039751230939</v>
      </c>
      <c r="G1660" s="41">
        <v>0</v>
      </c>
      <c r="H1660" s="42"/>
      <c r="I1660" s="42"/>
      <c r="J1660" s="42"/>
    </row>
    <row r="1661" spans="5:10">
      <c r="E1661" s="43">
        <v>45331.4548611051</v>
      </c>
      <c r="F1661" s="41">
        <v>14.79039751230939</v>
      </c>
      <c r="G1661" s="41">
        <v>0</v>
      </c>
      <c r="H1661" s="42"/>
      <c r="I1661" s="42"/>
      <c r="J1661" s="42"/>
    </row>
    <row r="1662" spans="5:10">
      <c r="E1662" s="43">
        <v>45331.458333327319</v>
      </c>
      <c r="F1662" s="41">
        <v>14.79039751230939</v>
      </c>
      <c r="G1662" s="41">
        <v>0</v>
      </c>
      <c r="H1662" s="42"/>
      <c r="I1662" s="42"/>
      <c r="J1662" s="42"/>
    </row>
    <row r="1663" spans="5:10">
      <c r="E1663" s="43">
        <v>45331.461805549538</v>
      </c>
      <c r="F1663" s="41">
        <v>14.79039751230939</v>
      </c>
      <c r="G1663" s="41">
        <v>0</v>
      </c>
      <c r="H1663" s="42"/>
      <c r="I1663" s="42"/>
      <c r="J1663" s="42"/>
    </row>
    <row r="1664" spans="5:10">
      <c r="E1664" s="43">
        <v>45331.465277771757</v>
      </c>
      <c r="F1664" s="41">
        <v>14.79039751230939</v>
      </c>
      <c r="G1664" s="41">
        <v>0</v>
      </c>
      <c r="H1664" s="42"/>
      <c r="I1664" s="42"/>
      <c r="J1664" s="42"/>
    </row>
    <row r="1665" spans="5:10">
      <c r="E1665" s="43">
        <v>45331.468749993976</v>
      </c>
      <c r="F1665" s="41">
        <v>14.79039751230939</v>
      </c>
      <c r="G1665" s="41">
        <v>0</v>
      </c>
      <c r="H1665" s="42"/>
      <c r="I1665" s="42"/>
      <c r="J1665" s="42"/>
    </row>
    <row r="1666" spans="5:10">
      <c r="E1666" s="43">
        <v>45331.472222216194</v>
      </c>
      <c r="F1666" s="41">
        <v>14.79039751230939</v>
      </c>
      <c r="G1666" s="41">
        <v>0</v>
      </c>
      <c r="H1666" s="42"/>
      <c r="I1666" s="42"/>
      <c r="J1666" s="42"/>
    </row>
    <row r="1667" spans="5:10">
      <c r="E1667" s="43">
        <v>45331.475694438413</v>
      </c>
      <c r="F1667" s="41">
        <v>14.79039751230939</v>
      </c>
      <c r="G1667" s="41">
        <v>0</v>
      </c>
      <c r="H1667" s="42"/>
      <c r="I1667" s="42"/>
      <c r="J1667" s="42"/>
    </row>
    <row r="1668" spans="5:10">
      <c r="E1668" s="43">
        <v>45331.479166660632</v>
      </c>
      <c r="F1668" s="41">
        <v>14.79039751230939</v>
      </c>
      <c r="G1668" s="41">
        <v>0</v>
      </c>
      <c r="H1668" s="42"/>
      <c r="I1668" s="42"/>
      <c r="J1668" s="42"/>
    </row>
    <row r="1669" spans="5:10">
      <c r="E1669" s="43">
        <v>45331.482638882851</v>
      </c>
      <c r="F1669" s="41">
        <v>14.79039751230939</v>
      </c>
      <c r="G1669" s="41">
        <v>0</v>
      </c>
      <c r="H1669" s="42"/>
      <c r="I1669" s="42"/>
      <c r="J1669" s="42"/>
    </row>
    <row r="1670" spans="5:10">
      <c r="E1670" s="43">
        <v>45331.48611110507</v>
      </c>
      <c r="F1670" s="41">
        <v>14.79039751230939</v>
      </c>
      <c r="G1670" s="41">
        <v>0</v>
      </c>
      <c r="H1670" s="42"/>
      <c r="I1670" s="42"/>
      <c r="J1670" s="42"/>
    </row>
    <row r="1671" spans="5:10">
      <c r="E1671" s="43">
        <v>45331.489583327289</v>
      </c>
      <c r="F1671" s="41">
        <v>14.79039751230939</v>
      </c>
      <c r="G1671" s="41">
        <v>0</v>
      </c>
      <c r="H1671" s="42"/>
      <c r="I1671" s="42"/>
      <c r="J1671" s="42"/>
    </row>
    <row r="1672" spans="5:10">
      <c r="E1672" s="43">
        <v>45331.493055549508</v>
      </c>
      <c r="F1672" s="41">
        <v>14.79039751230939</v>
      </c>
      <c r="G1672" s="41">
        <v>0</v>
      </c>
      <c r="H1672" s="42"/>
      <c r="I1672" s="42"/>
      <c r="J1672" s="42"/>
    </row>
    <row r="1673" spans="5:10">
      <c r="E1673" s="43">
        <v>45331.496527771727</v>
      </c>
      <c r="F1673" s="41">
        <v>14.79039751230939</v>
      </c>
      <c r="G1673" s="41">
        <v>0</v>
      </c>
      <c r="H1673" s="42"/>
      <c r="I1673" s="42"/>
      <c r="J1673" s="42"/>
    </row>
    <row r="1674" spans="5:10">
      <c r="E1674" s="43">
        <v>45331.499999993946</v>
      </c>
      <c r="F1674" s="41">
        <v>14.79039751230939</v>
      </c>
      <c r="G1674" s="41">
        <v>0</v>
      </c>
      <c r="H1674" s="42"/>
      <c r="I1674" s="42"/>
      <c r="J1674" s="42"/>
    </row>
    <row r="1675" spans="5:10">
      <c r="E1675" s="43">
        <v>45331.503472216165</v>
      </c>
      <c r="F1675" s="41">
        <v>14.79039751230939</v>
      </c>
      <c r="G1675" s="41">
        <v>0</v>
      </c>
      <c r="H1675" s="42"/>
      <c r="I1675" s="42"/>
      <c r="J1675" s="42"/>
    </row>
    <row r="1676" spans="5:10">
      <c r="E1676" s="43">
        <v>45331.506944438384</v>
      </c>
      <c r="F1676" s="41">
        <v>14.79039751230939</v>
      </c>
      <c r="G1676" s="41">
        <v>0</v>
      </c>
      <c r="H1676" s="42"/>
      <c r="I1676" s="42"/>
      <c r="J1676" s="42"/>
    </row>
    <row r="1677" spans="5:10">
      <c r="E1677" s="43">
        <v>45331.510416660603</v>
      </c>
      <c r="F1677" s="41">
        <v>14.79039751230939</v>
      </c>
      <c r="G1677" s="41">
        <v>0</v>
      </c>
      <c r="H1677" s="42"/>
      <c r="I1677" s="42"/>
      <c r="J1677" s="42"/>
    </row>
    <row r="1678" spans="5:10">
      <c r="E1678" s="43">
        <v>45331.513888882822</v>
      </c>
      <c r="F1678" s="41">
        <v>14.79039751230939</v>
      </c>
      <c r="G1678" s="41">
        <v>0</v>
      </c>
      <c r="H1678" s="42"/>
      <c r="I1678" s="42"/>
      <c r="J1678" s="42"/>
    </row>
    <row r="1679" spans="5:10">
      <c r="E1679" s="43">
        <v>45331.517361105041</v>
      </c>
      <c r="F1679" s="41">
        <v>14.79039751230939</v>
      </c>
      <c r="G1679" s="41">
        <v>0</v>
      </c>
      <c r="H1679" s="42"/>
      <c r="I1679" s="42"/>
      <c r="J1679" s="42"/>
    </row>
    <row r="1680" spans="5:10">
      <c r="E1680" s="43">
        <v>45331.52083332726</v>
      </c>
      <c r="F1680" s="41">
        <v>14.79039751230939</v>
      </c>
      <c r="G1680" s="41">
        <v>0</v>
      </c>
      <c r="H1680" s="42"/>
      <c r="I1680" s="42"/>
      <c r="J1680" s="42"/>
    </row>
    <row r="1681" spans="5:10">
      <c r="E1681" s="43">
        <v>45331.524305549479</v>
      </c>
      <c r="F1681" s="41">
        <v>14.79039751230939</v>
      </c>
      <c r="G1681" s="41">
        <v>0</v>
      </c>
      <c r="H1681" s="42"/>
      <c r="I1681" s="42"/>
      <c r="J1681" s="42"/>
    </row>
    <row r="1682" spans="5:10">
      <c r="E1682" s="43">
        <v>45331.527777771698</v>
      </c>
      <c r="F1682" s="41">
        <v>14.79039751230939</v>
      </c>
      <c r="G1682" s="41">
        <v>0</v>
      </c>
      <c r="H1682" s="42"/>
      <c r="I1682" s="42"/>
      <c r="J1682" s="42"/>
    </row>
    <row r="1683" spans="5:10">
      <c r="E1683" s="43">
        <v>45331.531249993917</v>
      </c>
      <c r="F1683" s="41">
        <v>14.79039751230939</v>
      </c>
      <c r="G1683" s="41">
        <v>0</v>
      </c>
      <c r="H1683" s="42"/>
      <c r="I1683" s="42"/>
      <c r="J1683" s="42"/>
    </row>
    <row r="1684" spans="5:10">
      <c r="E1684" s="43">
        <v>45331.534722216136</v>
      </c>
      <c r="F1684" s="41">
        <v>14.79039751230939</v>
      </c>
      <c r="G1684" s="41">
        <v>0</v>
      </c>
      <c r="H1684" s="42"/>
      <c r="I1684" s="42"/>
      <c r="J1684" s="42"/>
    </row>
    <row r="1685" spans="5:10">
      <c r="E1685" s="43">
        <v>45331.538194438355</v>
      </c>
      <c r="F1685" s="41">
        <v>14.79039751230939</v>
      </c>
      <c r="G1685" s="41">
        <v>0</v>
      </c>
      <c r="H1685" s="42"/>
      <c r="I1685" s="42"/>
      <c r="J1685" s="42"/>
    </row>
    <row r="1686" spans="5:10">
      <c r="E1686" s="43">
        <v>45331.541666660574</v>
      </c>
      <c r="F1686" s="41">
        <v>14.79039751230939</v>
      </c>
      <c r="G1686" s="41">
        <v>0</v>
      </c>
      <c r="H1686" s="42"/>
      <c r="I1686" s="42"/>
      <c r="J1686" s="42"/>
    </row>
    <row r="1687" spans="5:10">
      <c r="E1687" s="43">
        <v>45331.545138882793</v>
      </c>
      <c r="F1687" s="41">
        <v>14.79039751230939</v>
      </c>
      <c r="G1687" s="41">
        <v>0</v>
      </c>
      <c r="H1687" s="42"/>
      <c r="I1687" s="42"/>
      <c r="J1687" s="42"/>
    </row>
    <row r="1688" spans="5:10">
      <c r="E1688" s="43">
        <v>45331.548611105012</v>
      </c>
      <c r="F1688" s="41">
        <v>14.79039751230939</v>
      </c>
      <c r="G1688" s="41">
        <v>0</v>
      </c>
      <c r="H1688" s="42"/>
      <c r="I1688" s="42"/>
      <c r="J1688" s="42"/>
    </row>
    <row r="1689" spans="5:10">
      <c r="E1689" s="43">
        <v>45331.552083327231</v>
      </c>
      <c r="F1689" s="41">
        <v>14.79039751230939</v>
      </c>
      <c r="G1689" s="41">
        <v>0</v>
      </c>
      <c r="H1689" s="42"/>
      <c r="I1689" s="42"/>
      <c r="J1689" s="42"/>
    </row>
    <row r="1690" spans="5:10">
      <c r="E1690" s="43">
        <v>45331.55555554945</v>
      </c>
      <c r="F1690" s="41">
        <v>14.79039751230939</v>
      </c>
      <c r="G1690" s="41">
        <v>0</v>
      </c>
      <c r="H1690" s="42"/>
      <c r="I1690" s="42"/>
      <c r="J1690" s="42"/>
    </row>
    <row r="1691" spans="5:10">
      <c r="E1691" s="43">
        <v>45331.559027771669</v>
      </c>
      <c r="F1691" s="41">
        <v>14.79039751230939</v>
      </c>
      <c r="G1691" s="41">
        <v>0</v>
      </c>
      <c r="H1691" s="42"/>
      <c r="I1691" s="42"/>
      <c r="J1691" s="42"/>
    </row>
    <row r="1692" spans="5:10">
      <c r="E1692" s="43">
        <v>45331.562499993888</v>
      </c>
      <c r="F1692" s="41">
        <v>14.79039751230939</v>
      </c>
      <c r="G1692" s="41">
        <v>0</v>
      </c>
      <c r="H1692" s="42"/>
      <c r="I1692" s="42"/>
      <c r="J1692" s="42"/>
    </row>
    <row r="1693" spans="5:10">
      <c r="E1693" s="43">
        <v>45331.565972216107</v>
      </c>
      <c r="F1693" s="41">
        <v>14.79039751230939</v>
      </c>
      <c r="G1693" s="41">
        <v>0</v>
      </c>
      <c r="H1693" s="42"/>
      <c r="I1693" s="42"/>
      <c r="J1693" s="42"/>
    </row>
    <row r="1694" spans="5:10">
      <c r="E1694" s="43">
        <v>45331.569444438326</v>
      </c>
      <c r="F1694" s="41">
        <v>14.79039751230939</v>
      </c>
      <c r="G1694" s="41">
        <v>0</v>
      </c>
      <c r="H1694" s="42"/>
      <c r="I1694" s="42"/>
      <c r="J1694" s="42"/>
    </row>
    <row r="1695" spans="5:10">
      <c r="E1695" s="43">
        <v>45331.572916660545</v>
      </c>
      <c r="F1695" s="41">
        <v>14.79039751230939</v>
      </c>
      <c r="G1695" s="41">
        <v>0</v>
      </c>
      <c r="H1695" s="42"/>
      <c r="I1695" s="42"/>
      <c r="J1695" s="42"/>
    </row>
    <row r="1696" spans="5:10">
      <c r="E1696" s="43">
        <v>45331.576388882764</v>
      </c>
      <c r="F1696" s="41">
        <v>14.79039751230939</v>
      </c>
      <c r="G1696" s="41">
        <v>0</v>
      </c>
      <c r="H1696" s="42"/>
      <c r="I1696" s="42"/>
      <c r="J1696" s="42"/>
    </row>
    <row r="1697" spans="5:10">
      <c r="E1697" s="43">
        <v>45331.579861104983</v>
      </c>
      <c r="F1697" s="41">
        <v>14.79039751230939</v>
      </c>
      <c r="G1697" s="41">
        <v>0</v>
      </c>
      <c r="H1697" s="42"/>
      <c r="I1697" s="42"/>
      <c r="J1697" s="42"/>
    </row>
    <row r="1698" spans="5:10">
      <c r="E1698" s="43">
        <v>45331.583333327202</v>
      </c>
      <c r="F1698" s="41">
        <v>14.79039751230939</v>
      </c>
      <c r="G1698" s="41">
        <v>0</v>
      </c>
      <c r="H1698" s="42"/>
      <c r="I1698" s="42"/>
      <c r="J1698" s="42"/>
    </row>
    <row r="1699" spans="5:10">
      <c r="E1699" s="43">
        <v>45331.586805549421</v>
      </c>
      <c r="F1699" s="41">
        <v>14.79039751230939</v>
      </c>
      <c r="G1699" s="41">
        <v>0</v>
      </c>
      <c r="H1699" s="42"/>
      <c r="I1699" s="42"/>
      <c r="J1699" s="42"/>
    </row>
    <row r="1700" spans="5:10">
      <c r="E1700" s="43">
        <v>45331.59027777164</v>
      </c>
      <c r="F1700" s="41">
        <v>14.79039751230939</v>
      </c>
      <c r="G1700" s="41">
        <v>0</v>
      </c>
      <c r="H1700" s="42"/>
      <c r="I1700" s="42"/>
      <c r="J1700" s="42"/>
    </row>
    <row r="1701" spans="5:10">
      <c r="E1701" s="43">
        <v>45331.593749993859</v>
      </c>
      <c r="F1701" s="41">
        <v>14.79039751230939</v>
      </c>
      <c r="G1701" s="41">
        <v>0</v>
      </c>
      <c r="H1701" s="42"/>
      <c r="I1701" s="42"/>
      <c r="J1701" s="42"/>
    </row>
    <row r="1702" spans="5:10">
      <c r="E1702" s="43">
        <v>45331.597222216078</v>
      </c>
      <c r="F1702" s="41">
        <v>14.79039751230939</v>
      </c>
      <c r="G1702" s="41">
        <v>0</v>
      </c>
      <c r="H1702" s="42"/>
      <c r="I1702" s="42"/>
      <c r="J1702" s="42"/>
    </row>
    <row r="1703" spans="5:10">
      <c r="E1703" s="43">
        <v>45331.600694438297</v>
      </c>
      <c r="F1703" s="41">
        <v>14.79039751230939</v>
      </c>
      <c r="G1703" s="41">
        <v>0</v>
      </c>
      <c r="H1703" s="42"/>
      <c r="I1703" s="42"/>
      <c r="J1703" s="42"/>
    </row>
    <row r="1704" spans="5:10">
      <c r="E1704" s="43">
        <v>45331.604166660516</v>
      </c>
      <c r="F1704" s="41">
        <v>14.79039751230939</v>
      </c>
      <c r="G1704" s="41">
        <v>0</v>
      </c>
      <c r="H1704" s="42"/>
      <c r="I1704" s="42"/>
      <c r="J1704" s="42"/>
    </row>
    <row r="1705" spans="5:10">
      <c r="E1705" s="43">
        <v>45331.607638882735</v>
      </c>
      <c r="F1705" s="41">
        <v>14.79039751230939</v>
      </c>
      <c r="G1705" s="41">
        <v>0</v>
      </c>
      <c r="H1705" s="42"/>
      <c r="I1705" s="42"/>
      <c r="J1705" s="42"/>
    </row>
    <row r="1706" spans="5:10">
      <c r="E1706" s="43">
        <v>45331.611111104954</v>
      </c>
      <c r="F1706" s="41">
        <v>14.79039751230939</v>
      </c>
      <c r="G1706" s="41">
        <v>0</v>
      </c>
      <c r="H1706" s="42"/>
      <c r="I1706" s="42"/>
      <c r="J1706" s="42"/>
    </row>
    <row r="1707" spans="5:10">
      <c r="E1707" s="43">
        <v>45331.614583327173</v>
      </c>
      <c r="F1707" s="41">
        <v>14.79039751230939</v>
      </c>
      <c r="G1707" s="41">
        <v>0</v>
      </c>
      <c r="H1707" s="42"/>
      <c r="I1707" s="42"/>
      <c r="J1707" s="42"/>
    </row>
    <row r="1708" spans="5:10">
      <c r="E1708" s="43">
        <v>45331.618055549392</v>
      </c>
      <c r="F1708" s="41">
        <v>14.79039751230939</v>
      </c>
      <c r="G1708" s="41">
        <v>0</v>
      </c>
      <c r="H1708" s="42"/>
      <c r="I1708" s="42"/>
      <c r="J1708" s="42"/>
    </row>
    <row r="1709" spans="5:10">
      <c r="E1709" s="43">
        <v>45331.621527771611</v>
      </c>
      <c r="F1709" s="41">
        <v>14.79039751230939</v>
      </c>
      <c r="G1709" s="41">
        <v>0</v>
      </c>
      <c r="H1709" s="42"/>
      <c r="I1709" s="42"/>
      <c r="J1709" s="42"/>
    </row>
    <row r="1710" spans="5:10">
      <c r="E1710" s="43">
        <v>45331.62499999383</v>
      </c>
      <c r="F1710" s="41">
        <v>14.79039751230939</v>
      </c>
      <c r="G1710" s="41">
        <v>0</v>
      </c>
      <c r="H1710" s="42"/>
      <c r="I1710" s="42"/>
      <c r="J1710" s="42"/>
    </row>
    <row r="1711" spans="5:10">
      <c r="E1711" s="43">
        <v>45331.628472216049</v>
      </c>
      <c r="F1711" s="41">
        <v>14.79039751230939</v>
      </c>
      <c r="G1711" s="41">
        <v>0</v>
      </c>
      <c r="H1711" s="42"/>
      <c r="I1711" s="42"/>
      <c r="J1711" s="42"/>
    </row>
    <row r="1712" spans="5:10">
      <c r="E1712" s="43">
        <v>45331.631944438268</v>
      </c>
      <c r="F1712" s="41">
        <v>14.79039751230939</v>
      </c>
      <c r="G1712" s="41">
        <v>0</v>
      </c>
      <c r="H1712" s="42"/>
      <c r="I1712" s="42"/>
      <c r="J1712" s="42"/>
    </row>
    <row r="1713" spans="5:10">
      <c r="E1713" s="43">
        <v>45331.635416660487</v>
      </c>
      <c r="F1713" s="41">
        <v>14.79039751230939</v>
      </c>
      <c r="G1713" s="41">
        <v>0</v>
      </c>
      <c r="H1713" s="42"/>
      <c r="I1713" s="42"/>
      <c r="J1713" s="42"/>
    </row>
    <row r="1714" spans="5:10">
      <c r="E1714" s="43">
        <v>45331.638888882706</v>
      </c>
      <c r="F1714" s="41">
        <v>14.79039751230939</v>
      </c>
      <c r="G1714" s="41">
        <v>0</v>
      </c>
      <c r="H1714" s="42"/>
      <c r="I1714" s="42"/>
      <c r="J1714" s="42"/>
    </row>
    <row r="1715" spans="5:10">
      <c r="E1715" s="43">
        <v>45331.642361104925</v>
      </c>
      <c r="F1715" s="41">
        <v>14.79039751230939</v>
      </c>
      <c r="G1715" s="41">
        <v>0</v>
      </c>
      <c r="H1715" s="42"/>
      <c r="I1715" s="42"/>
      <c r="J1715" s="42"/>
    </row>
    <row r="1716" spans="5:10">
      <c r="E1716" s="43">
        <v>45331.645833327144</v>
      </c>
      <c r="F1716" s="41">
        <v>14.79039751230939</v>
      </c>
      <c r="G1716" s="41">
        <v>0</v>
      </c>
      <c r="H1716" s="42"/>
      <c r="I1716" s="42"/>
      <c r="J1716" s="42"/>
    </row>
    <row r="1717" spans="5:10">
      <c r="E1717" s="43">
        <v>45331.649305549363</v>
      </c>
      <c r="F1717" s="41">
        <v>14.79039751230939</v>
      </c>
      <c r="G1717" s="41">
        <v>0</v>
      </c>
      <c r="H1717" s="42"/>
      <c r="I1717" s="42"/>
      <c r="J1717" s="42"/>
    </row>
    <row r="1718" spans="5:10">
      <c r="E1718" s="43">
        <v>45331.652777771582</v>
      </c>
      <c r="F1718" s="41">
        <v>14.79039751230939</v>
      </c>
      <c r="G1718" s="41">
        <v>0</v>
      </c>
      <c r="H1718" s="42"/>
      <c r="I1718" s="42"/>
      <c r="J1718" s="42"/>
    </row>
    <row r="1719" spans="5:10">
      <c r="E1719" s="43">
        <v>45331.656249993801</v>
      </c>
      <c r="F1719" s="41">
        <v>14.79039751230939</v>
      </c>
      <c r="G1719" s="41">
        <v>0</v>
      </c>
      <c r="H1719" s="42"/>
      <c r="I1719" s="42"/>
      <c r="J1719" s="42"/>
    </row>
    <row r="1720" spans="5:10">
      <c r="E1720" s="43">
        <v>45331.65972221602</v>
      </c>
      <c r="F1720" s="41">
        <v>14.79039751230939</v>
      </c>
      <c r="G1720" s="41">
        <v>0</v>
      </c>
      <c r="H1720" s="42"/>
      <c r="I1720" s="42"/>
      <c r="J1720" s="42"/>
    </row>
    <row r="1721" spans="5:10">
      <c r="E1721" s="43">
        <v>45331.663194438239</v>
      </c>
      <c r="F1721" s="41">
        <v>14.79039751230939</v>
      </c>
      <c r="G1721" s="41">
        <v>0</v>
      </c>
      <c r="H1721" s="42"/>
      <c r="I1721" s="42"/>
      <c r="J1721" s="42"/>
    </row>
    <row r="1722" spans="5:10">
      <c r="E1722" s="43">
        <v>45331.666666660458</v>
      </c>
      <c r="F1722" s="41">
        <v>14.79039751230939</v>
      </c>
      <c r="G1722" s="41">
        <v>0</v>
      </c>
      <c r="H1722" s="42"/>
      <c r="I1722" s="42"/>
      <c r="J1722" s="42"/>
    </row>
    <row r="1723" spans="5:10">
      <c r="E1723" s="43">
        <v>45331.670138882677</v>
      </c>
      <c r="F1723" s="41">
        <v>14.79039751230939</v>
      </c>
      <c r="G1723" s="41">
        <v>0</v>
      </c>
      <c r="H1723" s="42"/>
      <c r="I1723" s="42"/>
      <c r="J1723" s="42"/>
    </row>
    <row r="1724" spans="5:10">
      <c r="E1724" s="43">
        <v>45331.673611104896</v>
      </c>
      <c r="F1724" s="41">
        <v>14.79039751230939</v>
      </c>
      <c r="G1724" s="41">
        <v>0</v>
      </c>
      <c r="H1724" s="42"/>
      <c r="I1724" s="42"/>
      <c r="J1724" s="42"/>
    </row>
    <row r="1725" spans="5:10">
      <c r="E1725" s="43">
        <v>45331.677083327115</v>
      </c>
      <c r="F1725" s="41">
        <v>14.79039751230939</v>
      </c>
      <c r="G1725" s="41">
        <v>0</v>
      </c>
      <c r="H1725" s="42"/>
      <c r="I1725" s="42"/>
      <c r="J1725" s="42"/>
    </row>
    <row r="1726" spans="5:10">
      <c r="E1726" s="43">
        <v>45331.680555549334</v>
      </c>
      <c r="F1726" s="41">
        <v>14.79039751230939</v>
      </c>
      <c r="G1726" s="41">
        <v>0</v>
      </c>
      <c r="H1726" s="42"/>
      <c r="I1726" s="42"/>
      <c r="J1726" s="42"/>
    </row>
    <row r="1727" spans="5:10">
      <c r="E1727" s="43">
        <v>45331.684027771553</v>
      </c>
      <c r="F1727" s="41">
        <v>14.79039751230939</v>
      </c>
      <c r="G1727" s="41">
        <v>0</v>
      </c>
      <c r="H1727" s="42"/>
      <c r="I1727" s="42"/>
      <c r="J1727" s="42"/>
    </row>
    <row r="1728" spans="5:10">
      <c r="E1728" s="43">
        <v>45331.687499993772</v>
      </c>
      <c r="F1728" s="41">
        <v>14.79039751230939</v>
      </c>
      <c r="G1728" s="41">
        <v>0</v>
      </c>
      <c r="H1728" s="42"/>
      <c r="I1728" s="42"/>
      <c r="J1728" s="42"/>
    </row>
    <row r="1729" spans="5:10">
      <c r="E1729" s="43">
        <v>45331.690972215991</v>
      </c>
      <c r="F1729" s="41">
        <v>14.79039751230939</v>
      </c>
      <c r="G1729" s="41">
        <v>0</v>
      </c>
      <c r="H1729" s="42"/>
      <c r="I1729" s="42"/>
      <c r="J1729" s="42"/>
    </row>
    <row r="1730" spans="5:10">
      <c r="E1730" s="43">
        <v>45331.69444443821</v>
      </c>
      <c r="F1730" s="41">
        <v>14.79039751230939</v>
      </c>
      <c r="G1730" s="41">
        <v>0</v>
      </c>
      <c r="H1730" s="42"/>
      <c r="I1730" s="42"/>
      <c r="J1730" s="42"/>
    </row>
    <row r="1731" spans="5:10">
      <c r="E1731" s="43">
        <v>45331.697916660429</v>
      </c>
      <c r="F1731" s="41">
        <v>14.79039751230939</v>
      </c>
      <c r="G1731" s="41">
        <v>0</v>
      </c>
      <c r="H1731" s="42"/>
      <c r="I1731" s="42"/>
      <c r="J1731" s="42"/>
    </row>
    <row r="1732" spans="5:10">
      <c r="E1732" s="43">
        <v>45331.701388882648</v>
      </c>
      <c r="F1732" s="41">
        <v>14.79039751230939</v>
      </c>
      <c r="G1732" s="41">
        <v>0</v>
      </c>
      <c r="H1732" s="42"/>
      <c r="I1732" s="42"/>
      <c r="J1732" s="42"/>
    </row>
    <row r="1733" spans="5:10">
      <c r="E1733" s="43">
        <v>45331.704861104867</v>
      </c>
      <c r="F1733" s="41">
        <v>14.79039751230939</v>
      </c>
      <c r="G1733" s="41">
        <v>0</v>
      </c>
      <c r="H1733" s="42"/>
      <c r="I1733" s="42"/>
      <c r="J1733" s="42"/>
    </row>
    <row r="1734" spans="5:10">
      <c r="E1734" s="43">
        <v>45331.708333327086</v>
      </c>
      <c r="F1734" s="41">
        <v>14.79039751230939</v>
      </c>
      <c r="G1734" s="41">
        <v>0</v>
      </c>
      <c r="H1734" s="42"/>
      <c r="I1734" s="42"/>
      <c r="J1734" s="42"/>
    </row>
    <row r="1735" spans="5:10">
      <c r="E1735" s="43">
        <v>45331.711805549305</v>
      </c>
      <c r="F1735" s="41">
        <v>14.79039751230939</v>
      </c>
      <c r="G1735" s="41">
        <v>0</v>
      </c>
      <c r="H1735" s="42"/>
      <c r="I1735" s="42"/>
      <c r="J1735" s="42"/>
    </row>
    <row r="1736" spans="5:10">
      <c r="E1736" s="43">
        <v>45331.715277771524</v>
      </c>
      <c r="F1736" s="41">
        <v>14.79039751230939</v>
      </c>
      <c r="G1736" s="41">
        <v>0</v>
      </c>
      <c r="H1736" s="42"/>
      <c r="I1736" s="42"/>
      <c r="J1736" s="42"/>
    </row>
    <row r="1737" spans="5:10">
      <c r="E1737" s="43">
        <v>45331.718749993743</v>
      </c>
      <c r="F1737" s="41">
        <v>14.79039751230939</v>
      </c>
      <c r="G1737" s="41">
        <v>0</v>
      </c>
      <c r="H1737" s="42"/>
      <c r="I1737" s="42"/>
      <c r="J1737" s="42"/>
    </row>
    <row r="1738" spans="5:10">
      <c r="E1738" s="43">
        <v>45331.722222215962</v>
      </c>
      <c r="F1738" s="41">
        <v>14.79039751230939</v>
      </c>
      <c r="G1738" s="41">
        <v>0</v>
      </c>
      <c r="H1738" s="42"/>
      <c r="I1738" s="42"/>
      <c r="J1738" s="42"/>
    </row>
    <row r="1739" spans="5:10">
      <c r="E1739" s="43">
        <v>45331.725694438181</v>
      </c>
      <c r="F1739" s="41">
        <v>14.79039751230939</v>
      </c>
      <c r="G1739" s="41">
        <v>0</v>
      </c>
      <c r="H1739" s="42"/>
      <c r="I1739" s="42"/>
      <c r="J1739" s="42"/>
    </row>
    <row r="1740" spans="5:10">
      <c r="E1740" s="43">
        <v>45331.7291666604</v>
      </c>
      <c r="F1740" s="41">
        <v>14.79039751230939</v>
      </c>
      <c r="G1740" s="41">
        <v>0</v>
      </c>
      <c r="H1740" s="42"/>
      <c r="I1740" s="42"/>
      <c r="J1740" s="42"/>
    </row>
    <row r="1741" spans="5:10">
      <c r="E1741" s="43">
        <v>45331.732638882619</v>
      </c>
      <c r="F1741" s="41">
        <v>14.79039751230939</v>
      </c>
      <c r="G1741" s="41">
        <v>0</v>
      </c>
      <c r="H1741" s="42"/>
      <c r="I1741" s="42"/>
      <c r="J1741" s="42"/>
    </row>
    <row r="1742" spans="5:10">
      <c r="E1742" s="43">
        <v>45331.736111104838</v>
      </c>
      <c r="F1742" s="41">
        <v>14.79039751230939</v>
      </c>
      <c r="G1742" s="41">
        <v>0</v>
      </c>
      <c r="H1742" s="42"/>
      <c r="I1742" s="42"/>
      <c r="J1742" s="42"/>
    </row>
    <row r="1743" spans="5:10">
      <c r="E1743" s="43">
        <v>45331.739583327057</v>
      </c>
      <c r="F1743" s="41">
        <v>14.79039751230939</v>
      </c>
      <c r="G1743" s="41">
        <v>0</v>
      </c>
      <c r="H1743" s="42"/>
      <c r="I1743" s="42"/>
      <c r="J1743" s="42"/>
    </row>
    <row r="1744" spans="5:10">
      <c r="E1744" s="43">
        <v>45331.743055549276</v>
      </c>
      <c r="F1744" s="41">
        <v>14.79039751230939</v>
      </c>
      <c r="G1744" s="41">
        <v>0</v>
      </c>
      <c r="H1744" s="42"/>
      <c r="I1744" s="42"/>
      <c r="J1744" s="42"/>
    </row>
    <row r="1745" spans="5:10">
      <c r="E1745" s="43">
        <v>45331.746527771495</v>
      </c>
      <c r="F1745" s="41">
        <v>14.79039751230939</v>
      </c>
      <c r="G1745" s="41">
        <v>0</v>
      </c>
      <c r="H1745" s="42"/>
      <c r="I1745" s="42"/>
      <c r="J1745" s="42"/>
    </row>
    <row r="1746" spans="5:10">
      <c r="E1746" s="43">
        <v>45331.749999993714</v>
      </c>
      <c r="F1746" s="41">
        <v>14.79039751230939</v>
      </c>
      <c r="G1746" s="41">
        <v>0</v>
      </c>
      <c r="H1746" s="42"/>
      <c r="I1746" s="42"/>
      <c r="J1746" s="42"/>
    </row>
    <row r="1747" spans="5:10">
      <c r="E1747" s="43">
        <v>45331.753472215933</v>
      </c>
      <c r="F1747" s="41">
        <v>14.79039751230939</v>
      </c>
      <c r="G1747" s="41">
        <v>0</v>
      </c>
      <c r="H1747" s="42"/>
      <c r="I1747" s="42"/>
      <c r="J1747" s="42"/>
    </row>
    <row r="1748" spans="5:10">
      <c r="E1748" s="43">
        <v>45331.756944438152</v>
      </c>
      <c r="F1748" s="41">
        <v>14.79039751230939</v>
      </c>
      <c r="G1748" s="41">
        <v>0</v>
      </c>
      <c r="H1748" s="42"/>
      <c r="I1748" s="42"/>
      <c r="J1748" s="42"/>
    </row>
    <row r="1749" spans="5:10">
      <c r="E1749" s="43">
        <v>45331.760416660371</v>
      </c>
      <c r="F1749" s="41">
        <v>14.79039751230939</v>
      </c>
      <c r="G1749" s="41">
        <v>0</v>
      </c>
      <c r="H1749" s="42"/>
      <c r="I1749" s="42"/>
      <c r="J1749" s="42"/>
    </row>
    <row r="1750" spans="5:10">
      <c r="E1750" s="43">
        <v>45331.76388888259</v>
      </c>
      <c r="F1750" s="41">
        <v>14.79039751230939</v>
      </c>
      <c r="G1750" s="41">
        <v>0</v>
      </c>
      <c r="H1750" s="42"/>
      <c r="I1750" s="42"/>
      <c r="J1750" s="42"/>
    </row>
    <row r="1751" spans="5:10">
      <c r="E1751" s="43">
        <v>45331.767361104809</v>
      </c>
      <c r="F1751" s="41">
        <v>14.79039751230939</v>
      </c>
      <c r="G1751" s="41">
        <v>0</v>
      </c>
      <c r="H1751" s="42"/>
      <c r="I1751" s="42"/>
      <c r="J1751" s="42"/>
    </row>
    <row r="1752" spans="5:10">
      <c r="E1752" s="43">
        <v>45331.770833327028</v>
      </c>
      <c r="F1752" s="41">
        <v>14.79039751230939</v>
      </c>
      <c r="G1752" s="41">
        <v>0</v>
      </c>
      <c r="H1752" s="42"/>
      <c r="I1752" s="42"/>
      <c r="J1752" s="42"/>
    </row>
    <row r="1753" spans="5:10">
      <c r="E1753" s="43">
        <v>45331.774305549246</v>
      </c>
      <c r="F1753" s="41">
        <v>14.79039751230939</v>
      </c>
      <c r="G1753" s="41">
        <v>0</v>
      </c>
      <c r="H1753" s="42"/>
      <c r="I1753" s="42"/>
      <c r="J1753" s="42"/>
    </row>
    <row r="1754" spans="5:10">
      <c r="E1754" s="43">
        <v>45331.777777771465</v>
      </c>
      <c r="F1754" s="41">
        <v>14.79039751230939</v>
      </c>
      <c r="G1754" s="41">
        <v>0</v>
      </c>
      <c r="H1754" s="42"/>
      <c r="I1754" s="42"/>
      <c r="J1754" s="42"/>
    </row>
    <row r="1755" spans="5:10">
      <c r="E1755" s="43">
        <v>45331.781249993684</v>
      </c>
      <c r="F1755" s="41">
        <v>14.79039751230939</v>
      </c>
      <c r="G1755" s="41">
        <v>0</v>
      </c>
      <c r="H1755" s="42"/>
      <c r="I1755" s="42"/>
      <c r="J1755" s="42"/>
    </row>
    <row r="1756" spans="5:10">
      <c r="E1756" s="43">
        <v>45331.784722215903</v>
      </c>
      <c r="F1756" s="41">
        <v>14.79039751230939</v>
      </c>
      <c r="G1756" s="41">
        <v>0</v>
      </c>
      <c r="H1756" s="42"/>
      <c r="I1756" s="42"/>
      <c r="J1756" s="42"/>
    </row>
    <row r="1757" spans="5:10">
      <c r="E1757" s="43">
        <v>45331.788194438122</v>
      </c>
      <c r="F1757" s="41">
        <v>14.79039751230939</v>
      </c>
      <c r="G1757" s="41">
        <v>0</v>
      </c>
      <c r="H1757" s="42"/>
      <c r="I1757" s="42"/>
      <c r="J1757" s="42"/>
    </row>
    <row r="1758" spans="5:10">
      <c r="E1758" s="43">
        <v>45331.791666660341</v>
      </c>
      <c r="F1758" s="41">
        <v>14.79039751230939</v>
      </c>
      <c r="G1758" s="41">
        <v>0</v>
      </c>
      <c r="H1758" s="42"/>
      <c r="I1758" s="42"/>
      <c r="J1758" s="42"/>
    </row>
    <row r="1759" spans="5:10">
      <c r="E1759" s="43">
        <v>45331.79513888256</v>
      </c>
      <c r="F1759" s="41">
        <v>14.79039751230939</v>
      </c>
      <c r="G1759" s="41">
        <v>0</v>
      </c>
      <c r="H1759" s="42"/>
      <c r="I1759" s="42"/>
      <c r="J1759" s="42"/>
    </row>
    <row r="1760" spans="5:10">
      <c r="E1760" s="43">
        <v>45331.798611104779</v>
      </c>
      <c r="F1760" s="41">
        <v>14.79039751230939</v>
      </c>
      <c r="G1760" s="41">
        <v>0</v>
      </c>
      <c r="H1760" s="42"/>
      <c r="I1760" s="42"/>
      <c r="J1760" s="42"/>
    </row>
    <row r="1761" spans="5:10">
      <c r="E1761" s="43">
        <v>45331.802083326998</v>
      </c>
      <c r="F1761" s="41">
        <v>14.79039751230939</v>
      </c>
      <c r="G1761" s="41">
        <v>0</v>
      </c>
      <c r="H1761" s="42"/>
      <c r="I1761" s="42"/>
      <c r="J1761" s="42"/>
    </row>
    <row r="1762" spans="5:10">
      <c r="E1762" s="43">
        <v>45331.805555549217</v>
      </c>
      <c r="F1762" s="41">
        <v>14.79039751230939</v>
      </c>
      <c r="G1762" s="41">
        <v>0</v>
      </c>
      <c r="H1762" s="42"/>
      <c r="I1762" s="42"/>
      <c r="J1762" s="42"/>
    </row>
    <row r="1763" spans="5:10">
      <c r="E1763" s="43">
        <v>45331.809027771436</v>
      </c>
      <c r="F1763" s="41">
        <v>14.79039751230939</v>
      </c>
      <c r="G1763" s="41">
        <v>0</v>
      </c>
      <c r="H1763" s="42"/>
      <c r="I1763" s="42"/>
      <c r="J1763" s="42"/>
    </row>
    <row r="1764" spans="5:10">
      <c r="E1764" s="43">
        <v>45331.812499993655</v>
      </c>
      <c r="F1764" s="41">
        <v>14.79039751230939</v>
      </c>
      <c r="G1764" s="41">
        <v>0</v>
      </c>
      <c r="H1764" s="42"/>
      <c r="I1764" s="42"/>
      <c r="J1764" s="42"/>
    </row>
    <row r="1765" spans="5:10">
      <c r="E1765" s="43">
        <v>45331.815972215874</v>
      </c>
      <c r="F1765" s="41">
        <v>14.79039751230939</v>
      </c>
      <c r="G1765" s="41">
        <v>0</v>
      </c>
      <c r="H1765" s="42"/>
      <c r="I1765" s="42"/>
      <c r="J1765" s="42"/>
    </row>
    <row r="1766" spans="5:10">
      <c r="E1766" s="43">
        <v>45331.819444438093</v>
      </c>
      <c r="F1766" s="41">
        <v>14.79039751230939</v>
      </c>
      <c r="G1766" s="41">
        <v>0</v>
      </c>
      <c r="H1766" s="42"/>
      <c r="I1766" s="42"/>
      <c r="J1766" s="42"/>
    </row>
    <row r="1767" spans="5:10">
      <c r="E1767" s="43">
        <v>45331.822916660312</v>
      </c>
      <c r="F1767" s="41">
        <v>14.79039751230939</v>
      </c>
      <c r="G1767" s="41">
        <v>0</v>
      </c>
      <c r="H1767" s="42"/>
      <c r="I1767" s="42"/>
      <c r="J1767" s="42"/>
    </row>
    <row r="1768" spans="5:10">
      <c r="E1768" s="43">
        <v>45331.826388882531</v>
      </c>
      <c r="F1768" s="41">
        <v>14.79039751230939</v>
      </c>
      <c r="G1768" s="41">
        <v>0</v>
      </c>
      <c r="H1768" s="42"/>
      <c r="I1768" s="42"/>
      <c r="J1768" s="42"/>
    </row>
    <row r="1769" spans="5:10">
      <c r="E1769" s="43">
        <v>45331.82986110475</v>
      </c>
      <c r="F1769" s="41">
        <v>14.79039751230939</v>
      </c>
      <c r="G1769" s="41">
        <v>0</v>
      </c>
      <c r="H1769" s="42"/>
      <c r="I1769" s="42"/>
      <c r="J1769" s="42"/>
    </row>
    <row r="1770" spans="5:10">
      <c r="E1770" s="43">
        <v>45331.833333326969</v>
      </c>
      <c r="F1770" s="41">
        <v>14.79039751230939</v>
      </c>
      <c r="G1770" s="41">
        <v>0</v>
      </c>
      <c r="H1770" s="42"/>
      <c r="I1770" s="42"/>
      <c r="J1770" s="42"/>
    </row>
    <row r="1771" spans="5:10">
      <c r="E1771" s="43">
        <v>45331.836805549188</v>
      </c>
      <c r="F1771" s="41">
        <v>14.79039751230939</v>
      </c>
      <c r="G1771" s="41">
        <v>0</v>
      </c>
      <c r="H1771" s="42"/>
      <c r="I1771" s="42"/>
      <c r="J1771" s="42"/>
    </row>
    <row r="1772" spans="5:10">
      <c r="E1772" s="43">
        <v>45331.840277771407</v>
      </c>
      <c r="F1772" s="41">
        <v>14.79039751230939</v>
      </c>
      <c r="G1772" s="41">
        <v>0</v>
      </c>
      <c r="H1772" s="42"/>
      <c r="I1772" s="42"/>
      <c r="J1772" s="42"/>
    </row>
    <row r="1773" spans="5:10">
      <c r="E1773" s="43">
        <v>45331.843749993626</v>
      </c>
      <c r="F1773" s="41">
        <v>14.79039751230939</v>
      </c>
      <c r="G1773" s="41">
        <v>0</v>
      </c>
      <c r="H1773" s="42"/>
      <c r="I1773" s="42"/>
      <c r="J1773" s="42"/>
    </row>
    <row r="1774" spans="5:10">
      <c r="E1774" s="43">
        <v>45331.847222215845</v>
      </c>
      <c r="F1774" s="41">
        <v>14.79039751230939</v>
      </c>
      <c r="G1774" s="41">
        <v>0</v>
      </c>
      <c r="H1774" s="42"/>
      <c r="I1774" s="42"/>
      <c r="J1774" s="42"/>
    </row>
    <row r="1775" spans="5:10">
      <c r="E1775" s="43">
        <v>45331.850694438064</v>
      </c>
      <c r="F1775" s="41">
        <v>14.79039751230939</v>
      </c>
      <c r="G1775" s="41">
        <v>0</v>
      </c>
      <c r="H1775" s="42"/>
      <c r="I1775" s="42"/>
      <c r="J1775" s="42"/>
    </row>
    <row r="1776" spans="5:10">
      <c r="E1776" s="43">
        <v>45331.854166660283</v>
      </c>
      <c r="F1776" s="41">
        <v>14.79039751230939</v>
      </c>
      <c r="G1776" s="41">
        <v>0</v>
      </c>
      <c r="H1776" s="42"/>
      <c r="I1776" s="42"/>
      <c r="J1776" s="42"/>
    </row>
    <row r="1777" spans="5:10">
      <c r="E1777" s="43">
        <v>45331.857638882502</v>
      </c>
      <c r="F1777" s="41">
        <v>14.79039751230939</v>
      </c>
      <c r="G1777" s="41">
        <v>0</v>
      </c>
      <c r="H1777" s="42"/>
      <c r="I1777" s="42"/>
      <c r="J1777" s="42"/>
    </row>
    <row r="1778" spans="5:10">
      <c r="E1778" s="43">
        <v>45331.861111104721</v>
      </c>
      <c r="F1778" s="41">
        <v>14.79039751230939</v>
      </c>
      <c r="G1778" s="41">
        <v>0</v>
      </c>
      <c r="H1778" s="42"/>
      <c r="I1778" s="42"/>
      <c r="J1778" s="42"/>
    </row>
    <row r="1779" spans="5:10">
      <c r="E1779" s="43">
        <v>45331.86458332694</v>
      </c>
      <c r="F1779" s="41">
        <v>14.79039751230939</v>
      </c>
      <c r="G1779" s="41">
        <v>0</v>
      </c>
      <c r="H1779" s="42"/>
      <c r="I1779" s="42"/>
      <c r="J1779" s="42"/>
    </row>
    <row r="1780" spans="5:10">
      <c r="E1780" s="43">
        <v>45331.868055549159</v>
      </c>
      <c r="F1780" s="41">
        <v>14.79039751230939</v>
      </c>
      <c r="G1780" s="41">
        <v>0</v>
      </c>
      <c r="H1780" s="42"/>
      <c r="I1780" s="42"/>
      <c r="J1780" s="42"/>
    </row>
    <row r="1781" spans="5:10">
      <c r="E1781" s="43">
        <v>45331.871527771378</v>
      </c>
      <c r="F1781" s="41">
        <v>14.79039751230939</v>
      </c>
      <c r="G1781" s="41">
        <v>0</v>
      </c>
      <c r="H1781" s="42"/>
      <c r="I1781" s="42"/>
      <c r="J1781" s="42"/>
    </row>
    <row r="1782" spans="5:10">
      <c r="E1782" s="43">
        <v>45331.874999993597</v>
      </c>
      <c r="F1782" s="41">
        <v>14.79039751230939</v>
      </c>
      <c r="G1782" s="41">
        <v>0</v>
      </c>
      <c r="H1782" s="42"/>
      <c r="I1782" s="42"/>
      <c r="J1782" s="42"/>
    </row>
    <row r="1783" spans="5:10">
      <c r="E1783" s="43">
        <v>45331.878472215816</v>
      </c>
      <c r="F1783" s="41">
        <v>14.79039751230939</v>
      </c>
      <c r="G1783" s="41">
        <v>0</v>
      </c>
      <c r="H1783" s="42"/>
      <c r="I1783" s="42"/>
      <c r="J1783" s="42"/>
    </row>
    <row r="1784" spans="5:10">
      <c r="E1784" s="43">
        <v>45331.881944438035</v>
      </c>
      <c r="F1784" s="41">
        <v>14.79039751230939</v>
      </c>
      <c r="G1784" s="41">
        <v>0</v>
      </c>
      <c r="H1784" s="42"/>
      <c r="I1784" s="42"/>
      <c r="J1784" s="42"/>
    </row>
    <row r="1785" spans="5:10">
      <c r="E1785" s="43">
        <v>45331.885416660254</v>
      </c>
      <c r="F1785" s="41">
        <v>14.79039751230939</v>
      </c>
      <c r="G1785" s="41">
        <v>0</v>
      </c>
      <c r="H1785" s="42"/>
      <c r="I1785" s="42"/>
      <c r="J1785" s="42"/>
    </row>
    <row r="1786" spans="5:10">
      <c r="E1786" s="43">
        <v>45331.888888882473</v>
      </c>
      <c r="F1786" s="41">
        <v>14.79039751230939</v>
      </c>
      <c r="G1786" s="41">
        <v>0</v>
      </c>
      <c r="H1786" s="42"/>
      <c r="I1786" s="42"/>
      <c r="J1786" s="42"/>
    </row>
    <row r="1787" spans="5:10">
      <c r="E1787" s="43">
        <v>45331.892361104692</v>
      </c>
      <c r="F1787" s="41">
        <v>14.79039751230939</v>
      </c>
      <c r="G1787" s="41">
        <v>0</v>
      </c>
      <c r="H1787" s="42"/>
      <c r="I1787" s="42"/>
      <c r="J1787" s="42"/>
    </row>
    <row r="1788" spans="5:10">
      <c r="E1788" s="43">
        <v>45331.895833326911</v>
      </c>
      <c r="F1788" s="41">
        <v>14.79039751230939</v>
      </c>
      <c r="G1788" s="41">
        <v>0</v>
      </c>
      <c r="H1788" s="42"/>
      <c r="I1788" s="42"/>
      <c r="J1788" s="42"/>
    </row>
    <row r="1789" spans="5:10">
      <c r="E1789" s="43">
        <v>45331.89930554913</v>
      </c>
      <c r="F1789" s="41">
        <v>14.79039751230939</v>
      </c>
      <c r="G1789" s="41">
        <v>0</v>
      </c>
      <c r="H1789" s="42"/>
      <c r="I1789" s="42"/>
      <c r="J1789" s="42"/>
    </row>
    <row r="1790" spans="5:10">
      <c r="E1790" s="43">
        <v>45331.902777771349</v>
      </c>
      <c r="F1790" s="41">
        <v>14.79039751230939</v>
      </c>
      <c r="G1790" s="41">
        <v>0</v>
      </c>
      <c r="H1790" s="42"/>
      <c r="I1790" s="42"/>
      <c r="J1790" s="42"/>
    </row>
    <row r="1791" spans="5:10">
      <c r="E1791" s="43">
        <v>45331.906249993568</v>
      </c>
      <c r="F1791" s="41">
        <v>14.79039751230939</v>
      </c>
      <c r="G1791" s="41">
        <v>0</v>
      </c>
      <c r="H1791" s="42"/>
      <c r="I1791" s="42"/>
      <c r="J1791" s="42"/>
    </row>
    <row r="1792" spans="5:10">
      <c r="E1792" s="43">
        <v>45331.909722215787</v>
      </c>
      <c r="F1792" s="41">
        <v>14.79039751230939</v>
      </c>
      <c r="G1792" s="41">
        <v>0</v>
      </c>
      <c r="H1792" s="42"/>
      <c r="I1792" s="42"/>
      <c r="J1792" s="42"/>
    </row>
    <row r="1793" spans="5:10">
      <c r="E1793" s="43">
        <v>45331.913194438006</v>
      </c>
      <c r="F1793" s="41">
        <v>14.79039751230939</v>
      </c>
      <c r="G1793" s="41">
        <v>0</v>
      </c>
      <c r="H1793" s="42"/>
      <c r="I1793" s="42"/>
      <c r="J1793" s="42"/>
    </row>
    <row r="1794" spans="5:10">
      <c r="E1794" s="43">
        <v>45331.916666660225</v>
      </c>
      <c r="F1794" s="41">
        <v>14.79039751230939</v>
      </c>
      <c r="G1794" s="41">
        <v>0</v>
      </c>
      <c r="H1794" s="42"/>
      <c r="I1794" s="42"/>
      <c r="J1794" s="42"/>
    </row>
    <row r="1795" spans="5:10">
      <c r="E1795" s="43">
        <v>45331.920138882444</v>
      </c>
      <c r="F1795" s="41">
        <v>14.79039751230939</v>
      </c>
      <c r="G1795" s="41">
        <v>0</v>
      </c>
      <c r="H1795" s="42"/>
      <c r="I1795" s="42"/>
      <c r="J1795" s="42"/>
    </row>
    <row r="1796" spans="5:10">
      <c r="E1796" s="43">
        <v>45331.923611104663</v>
      </c>
      <c r="F1796" s="41">
        <v>14.79039751230939</v>
      </c>
      <c r="G1796" s="41">
        <v>0</v>
      </c>
      <c r="H1796" s="42"/>
      <c r="I1796" s="42"/>
      <c r="J1796" s="42"/>
    </row>
    <row r="1797" spans="5:10">
      <c r="E1797" s="43">
        <v>45331.927083326882</v>
      </c>
      <c r="F1797" s="41">
        <v>14.79039751230939</v>
      </c>
      <c r="G1797" s="41">
        <v>0</v>
      </c>
      <c r="H1797" s="42"/>
      <c r="I1797" s="42"/>
      <c r="J1797" s="42"/>
    </row>
    <row r="1798" spans="5:10">
      <c r="E1798" s="43">
        <v>45331.930555549101</v>
      </c>
      <c r="F1798" s="41">
        <v>14.79039751230939</v>
      </c>
      <c r="G1798" s="41">
        <v>0</v>
      </c>
      <c r="H1798" s="42"/>
      <c r="I1798" s="42"/>
      <c r="J1798" s="42"/>
    </row>
    <row r="1799" spans="5:10">
      <c r="E1799" s="43">
        <v>45331.93402777132</v>
      </c>
      <c r="F1799" s="41">
        <v>14.79039751230939</v>
      </c>
      <c r="G1799" s="41">
        <v>0</v>
      </c>
      <c r="H1799" s="42"/>
      <c r="I1799" s="42"/>
      <c r="J1799" s="42"/>
    </row>
    <row r="1800" spans="5:10">
      <c r="E1800" s="43">
        <v>45331.937499993539</v>
      </c>
      <c r="F1800" s="41">
        <v>14.79039751230939</v>
      </c>
      <c r="G1800" s="41">
        <v>0</v>
      </c>
      <c r="H1800" s="42"/>
      <c r="I1800" s="42"/>
      <c r="J1800" s="42"/>
    </row>
    <row r="1801" spans="5:10">
      <c r="E1801" s="43">
        <v>45331.940972215758</v>
      </c>
      <c r="F1801" s="41">
        <v>14.79039751230939</v>
      </c>
      <c r="G1801" s="41">
        <v>0</v>
      </c>
      <c r="H1801" s="42"/>
      <c r="I1801" s="42"/>
      <c r="J1801" s="42"/>
    </row>
    <row r="1802" spans="5:10">
      <c r="E1802" s="43">
        <v>45331.944444437977</v>
      </c>
      <c r="F1802" s="41">
        <v>14.79039751230939</v>
      </c>
      <c r="G1802" s="41">
        <v>0</v>
      </c>
      <c r="H1802" s="42"/>
      <c r="I1802" s="42"/>
      <c r="J1802" s="42"/>
    </row>
    <row r="1803" spans="5:10">
      <c r="E1803" s="43">
        <v>45331.947916660196</v>
      </c>
      <c r="F1803" s="41">
        <v>14.79039751230939</v>
      </c>
      <c r="G1803" s="41">
        <v>0</v>
      </c>
      <c r="H1803" s="42"/>
      <c r="I1803" s="42"/>
      <c r="J1803" s="42"/>
    </row>
    <row r="1804" spans="5:10">
      <c r="E1804" s="43">
        <v>45331.951388882415</v>
      </c>
      <c r="F1804" s="41">
        <v>14.79039751230939</v>
      </c>
      <c r="G1804" s="41">
        <v>0</v>
      </c>
      <c r="H1804" s="42"/>
      <c r="I1804" s="42"/>
      <c r="J1804" s="42"/>
    </row>
    <row r="1805" spans="5:10">
      <c r="E1805" s="43">
        <v>45331.954861104634</v>
      </c>
      <c r="F1805" s="41">
        <v>14.79039751230939</v>
      </c>
      <c r="G1805" s="41">
        <v>0</v>
      </c>
      <c r="H1805" s="42"/>
      <c r="I1805" s="42"/>
      <c r="J1805" s="42"/>
    </row>
    <row r="1806" spans="5:10">
      <c r="E1806" s="43">
        <v>45331.958333326853</v>
      </c>
      <c r="F1806" s="41">
        <v>14.79039751230939</v>
      </c>
      <c r="G1806" s="41">
        <v>0</v>
      </c>
      <c r="H1806" s="42"/>
      <c r="I1806" s="42"/>
      <c r="J1806" s="42"/>
    </row>
    <row r="1807" spans="5:10">
      <c r="E1807" s="43">
        <v>45331.961805549072</v>
      </c>
      <c r="F1807" s="41">
        <v>14.79039751230939</v>
      </c>
      <c r="G1807" s="41">
        <v>0</v>
      </c>
      <c r="H1807" s="42"/>
      <c r="I1807" s="42"/>
      <c r="J1807" s="42"/>
    </row>
    <row r="1808" spans="5:10">
      <c r="E1808" s="43">
        <v>45331.965277771291</v>
      </c>
      <c r="F1808" s="41">
        <v>14.79039751230939</v>
      </c>
      <c r="G1808" s="41">
        <v>0</v>
      </c>
      <c r="H1808" s="42"/>
      <c r="I1808" s="42"/>
      <c r="J1808" s="42"/>
    </row>
    <row r="1809" spans="5:10">
      <c r="E1809" s="43">
        <v>45331.96874999351</v>
      </c>
      <c r="F1809" s="41">
        <v>14.79039751230939</v>
      </c>
      <c r="G1809" s="41">
        <v>0</v>
      </c>
      <c r="H1809" s="42"/>
      <c r="I1809" s="42"/>
      <c r="J1809" s="42"/>
    </row>
    <row r="1810" spans="5:10">
      <c r="E1810" s="43">
        <v>45331.972222215729</v>
      </c>
      <c r="F1810" s="41">
        <v>14.79039751230939</v>
      </c>
      <c r="G1810" s="41">
        <v>0</v>
      </c>
      <c r="H1810" s="42"/>
      <c r="I1810" s="42"/>
      <c r="J1810" s="42"/>
    </row>
    <row r="1811" spans="5:10">
      <c r="E1811" s="43">
        <v>45331.975694437948</v>
      </c>
      <c r="F1811" s="41">
        <v>14.79039751230939</v>
      </c>
      <c r="G1811" s="41">
        <v>0</v>
      </c>
      <c r="H1811" s="42"/>
      <c r="I1811" s="42"/>
      <c r="J1811" s="42"/>
    </row>
    <row r="1812" spans="5:10">
      <c r="E1812" s="43">
        <v>45331.979166660167</v>
      </c>
      <c r="F1812" s="41">
        <v>14.79039751230939</v>
      </c>
      <c r="G1812" s="41">
        <v>0</v>
      </c>
      <c r="H1812" s="42"/>
      <c r="I1812" s="42"/>
      <c r="J1812" s="42"/>
    </row>
    <row r="1813" spans="5:10">
      <c r="E1813" s="43">
        <v>45331.982638882386</v>
      </c>
      <c r="F1813" s="41">
        <v>14.79039751230939</v>
      </c>
      <c r="G1813" s="41">
        <v>0</v>
      </c>
      <c r="H1813" s="42"/>
      <c r="I1813" s="42"/>
      <c r="J1813" s="42"/>
    </row>
    <row r="1814" spans="5:10">
      <c r="E1814" s="43">
        <v>45331.986111104605</v>
      </c>
      <c r="F1814" s="41">
        <v>14.79039751230939</v>
      </c>
      <c r="G1814" s="41">
        <v>0</v>
      </c>
      <c r="H1814" s="42"/>
      <c r="I1814" s="42"/>
      <c r="J1814" s="42"/>
    </row>
    <row r="1815" spans="5:10">
      <c r="E1815" s="43">
        <v>45331.989583326824</v>
      </c>
      <c r="F1815" s="41">
        <v>14.79039751230939</v>
      </c>
      <c r="G1815" s="41">
        <v>0</v>
      </c>
      <c r="H1815" s="42"/>
      <c r="I1815" s="42"/>
      <c r="J1815" s="42"/>
    </row>
    <row r="1816" spans="5:10">
      <c r="E1816" s="43">
        <v>45331.993055549043</v>
      </c>
      <c r="F1816" s="41">
        <v>14.79039751230939</v>
      </c>
      <c r="G1816" s="41">
        <v>0</v>
      </c>
      <c r="H1816" s="42"/>
      <c r="I1816" s="42"/>
      <c r="J1816" s="42"/>
    </row>
    <row r="1817" spans="5:10">
      <c r="E1817" s="43">
        <v>45331.996527771262</v>
      </c>
      <c r="F1817" s="41">
        <v>14.79039751230939</v>
      </c>
      <c r="G1817" s="41">
        <v>0</v>
      </c>
      <c r="H1817" s="42"/>
      <c r="I1817" s="42"/>
      <c r="J1817" s="42"/>
    </row>
    <row r="1818" spans="5:10">
      <c r="E1818" s="43">
        <v>45331.999999993481</v>
      </c>
      <c r="F1818" s="41">
        <v>14.79039751230939</v>
      </c>
      <c r="G1818" s="41">
        <v>0</v>
      </c>
      <c r="H1818" s="42"/>
      <c r="I1818" s="42"/>
      <c r="J1818" s="42"/>
    </row>
    <row r="1819" spans="5:10">
      <c r="E1819" s="43">
        <v>45332.0034722157</v>
      </c>
      <c r="F1819" s="41">
        <v>14.79039751230939</v>
      </c>
      <c r="G1819" s="41">
        <v>0</v>
      </c>
      <c r="H1819" s="42"/>
      <c r="I1819" s="42"/>
      <c r="J1819" s="42"/>
    </row>
    <row r="1820" spans="5:10">
      <c r="E1820" s="43">
        <v>45332.006944437919</v>
      </c>
      <c r="F1820" s="41">
        <v>14.79039751230939</v>
      </c>
      <c r="G1820" s="41">
        <v>0</v>
      </c>
      <c r="H1820" s="42"/>
      <c r="I1820" s="42"/>
      <c r="J1820" s="42"/>
    </row>
    <row r="1821" spans="5:10">
      <c r="E1821" s="43">
        <v>45332.010416660138</v>
      </c>
      <c r="F1821" s="41">
        <v>14.79039751230939</v>
      </c>
      <c r="G1821" s="41">
        <v>0</v>
      </c>
      <c r="H1821" s="42"/>
      <c r="I1821" s="42"/>
      <c r="J1821" s="42"/>
    </row>
    <row r="1822" spans="5:10">
      <c r="E1822" s="43">
        <v>45332.013888882357</v>
      </c>
      <c r="F1822" s="41">
        <v>14.79039751230939</v>
      </c>
      <c r="G1822" s="41">
        <v>0</v>
      </c>
      <c r="H1822" s="42"/>
      <c r="I1822" s="42"/>
      <c r="J1822" s="42"/>
    </row>
    <row r="1823" spans="5:10">
      <c r="E1823" s="43">
        <v>45332.017361104576</v>
      </c>
      <c r="F1823" s="41">
        <v>14.79039751230939</v>
      </c>
      <c r="G1823" s="41">
        <v>0</v>
      </c>
      <c r="H1823" s="42"/>
      <c r="I1823" s="42"/>
      <c r="J1823" s="42"/>
    </row>
    <row r="1824" spans="5:10">
      <c r="E1824" s="43">
        <v>45332.020833326795</v>
      </c>
      <c r="F1824" s="41">
        <v>14.79039751230939</v>
      </c>
      <c r="G1824" s="41">
        <v>0</v>
      </c>
      <c r="H1824" s="42"/>
      <c r="I1824" s="42"/>
      <c r="J1824" s="42"/>
    </row>
    <row r="1825" spans="5:10">
      <c r="E1825" s="43">
        <v>45332.024305549014</v>
      </c>
      <c r="F1825" s="41">
        <v>14.79039751230939</v>
      </c>
      <c r="G1825" s="41">
        <v>0</v>
      </c>
      <c r="H1825" s="42"/>
      <c r="I1825" s="42"/>
      <c r="J1825" s="42"/>
    </row>
    <row r="1826" spans="5:10">
      <c r="E1826" s="43">
        <v>45332.027777771233</v>
      </c>
      <c r="F1826" s="41">
        <v>14.79039751230939</v>
      </c>
      <c r="G1826" s="41">
        <v>0</v>
      </c>
      <c r="H1826" s="42"/>
      <c r="I1826" s="42"/>
      <c r="J1826" s="42"/>
    </row>
    <row r="1827" spans="5:10">
      <c r="E1827" s="43">
        <v>45332.031249993452</v>
      </c>
      <c r="F1827" s="41">
        <v>14.79039751230939</v>
      </c>
      <c r="G1827" s="41">
        <v>0</v>
      </c>
      <c r="H1827" s="42"/>
      <c r="I1827" s="42"/>
      <c r="J1827" s="42"/>
    </row>
    <row r="1828" spans="5:10">
      <c r="E1828" s="43">
        <v>45332.034722215671</v>
      </c>
      <c r="F1828" s="41">
        <v>14.79039751230939</v>
      </c>
      <c r="G1828" s="41">
        <v>0</v>
      </c>
      <c r="H1828" s="42"/>
      <c r="I1828" s="42"/>
      <c r="J1828" s="42"/>
    </row>
    <row r="1829" spans="5:10">
      <c r="E1829" s="43">
        <v>45332.03819443789</v>
      </c>
      <c r="F1829" s="41">
        <v>14.79039751230939</v>
      </c>
      <c r="G1829" s="41">
        <v>0</v>
      </c>
      <c r="H1829" s="42"/>
      <c r="I1829" s="42"/>
      <c r="J1829" s="42"/>
    </row>
    <row r="1830" spans="5:10">
      <c r="E1830" s="43">
        <v>45332.041666660109</v>
      </c>
      <c r="F1830" s="41">
        <v>14.79039751230939</v>
      </c>
      <c r="G1830" s="41">
        <v>0</v>
      </c>
      <c r="H1830" s="42"/>
      <c r="I1830" s="42"/>
      <c r="J1830" s="42"/>
    </row>
    <row r="1831" spans="5:10">
      <c r="E1831" s="43">
        <v>45332.045138882328</v>
      </c>
      <c r="F1831" s="41">
        <v>14.79039751230939</v>
      </c>
      <c r="G1831" s="41">
        <v>0</v>
      </c>
      <c r="H1831" s="42"/>
      <c r="I1831" s="42"/>
      <c r="J1831" s="42"/>
    </row>
    <row r="1832" spans="5:10">
      <c r="E1832" s="43">
        <v>45332.048611104547</v>
      </c>
      <c r="F1832" s="41">
        <v>14.79039751230939</v>
      </c>
      <c r="G1832" s="41">
        <v>0</v>
      </c>
      <c r="H1832" s="42"/>
      <c r="I1832" s="42"/>
      <c r="J1832" s="42"/>
    </row>
    <row r="1833" spans="5:10">
      <c r="E1833" s="43">
        <v>45332.052083326766</v>
      </c>
      <c r="F1833" s="41">
        <v>14.79039751230939</v>
      </c>
      <c r="G1833" s="41">
        <v>0</v>
      </c>
      <c r="H1833" s="42"/>
      <c r="I1833" s="42"/>
      <c r="J1833" s="42"/>
    </row>
    <row r="1834" spans="5:10">
      <c r="E1834" s="43">
        <v>45332.055555548985</v>
      </c>
      <c r="F1834" s="41">
        <v>14.79039751230939</v>
      </c>
      <c r="G1834" s="41">
        <v>0</v>
      </c>
      <c r="H1834" s="42"/>
      <c r="I1834" s="42"/>
      <c r="J1834" s="42"/>
    </row>
    <row r="1835" spans="5:10">
      <c r="E1835" s="43">
        <v>45332.059027771204</v>
      </c>
      <c r="F1835" s="41">
        <v>14.79039751230939</v>
      </c>
      <c r="G1835" s="41">
        <v>0</v>
      </c>
      <c r="H1835" s="42"/>
      <c r="I1835" s="42"/>
      <c r="J1835" s="42"/>
    </row>
    <row r="1836" spans="5:10">
      <c r="E1836" s="43">
        <v>45332.062499993423</v>
      </c>
      <c r="F1836" s="41">
        <v>14.79039751230939</v>
      </c>
      <c r="G1836" s="41">
        <v>0</v>
      </c>
      <c r="H1836" s="42"/>
      <c r="I1836" s="42"/>
      <c r="J1836" s="42"/>
    </row>
    <row r="1837" spans="5:10">
      <c r="E1837" s="43">
        <v>45332.065972215642</v>
      </c>
      <c r="F1837" s="41">
        <v>14.79039751230939</v>
      </c>
      <c r="G1837" s="41">
        <v>0</v>
      </c>
      <c r="H1837" s="42"/>
      <c r="I1837" s="42"/>
      <c r="J1837" s="42"/>
    </row>
    <row r="1838" spans="5:10">
      <c r="E1838" s="43">
        <v>45332.069444437861</v>
      </c>
      <c r="F1838" s="41">
        <v>14.79039751230939</v>
      </c>
      <c r="G1838" s="41">
        <v>0</v>
      </c>
      <c r="H1838" s="42"/>
      <c r="I1838" s="42"/>
      <c r="J1838" s="42"/>
    </row>
    <row r="1839" spans="5:10">
      <c r="E1839" s="43">
        <v>45332.072916660079</v>
      </c>
      <c r="F1839" s="41">
        <v>14.79039751230939</v>
      </c>
      <c r="G1839" s="41">
        <v>0</v>
      </c>
      <c r="H1839" s="42"/>
      <c r="I1839" s="42"/>
      <c r="J1839" s="42"/>
    </row>
    <row r="1840" spans="5:10">
      <c r="E1840" s="43">
        <v>45332.076388882298</v>
      </c>
      <c r="F1840" s="41">
        <v>14.79039751230939</v>
      </c>
      <c r="G1840" s="41">
        <v>0</v>
      </c>
      <c r="H1840" s="42"/>
      <c r="I1840" s="42"/>
      <c r="J1840" s="42"/>
    </row>
    <row r="1841" spans="5:10">
      <c r="E1841" s="43">
        <v>45332.079861104517</v>
      </c>
      <c r="F1841" s="41">
        <v>14.79039751230939</v>
      </c>
      <c r="G1841" s="41">
        <v>0</v>
      </c>
      <c r="H1841" s="42"/>
      <c r="I1841" s="42"/>
      <c r="J1841" s="42"/>
    </row>
    <row r="1842" spans="5:10">
      <c r="E1842" s="43">
        <v>45332.083333326736</v>
      </c>
      <c r="F1842" s="41">
        <v>14.79039751230939</v>
      </c>
      <c r="G1842" s="41">
        <v>0</v>
      </c>
      <c r="H1842" s="42"/>
      <c r="I1842" s="42"/>
      <c r="J1842" s="42"/>
    </row>
    <row r="1843" spans="5:10">
      <c r="E1843" s="43">
        <v>45332.086805548955</v>
      </c>
      <c r="F1843" s="41">
        <v>14.79039751230939</v>
      </c>
      <c r="G1843" s="41">
        <v>0</v>
      </c>
      <c r="H1843" s="42"/>
      <c r="I1843" s="42"/>
      <c r="J1843" s="42"/>
    </row>
    <row r="1844" spans="5:10">
      <c r="E1844" s="43">
        <v>45332.090277771174</v>
      </c>
      <c r="F1844" s="41">
        <v>14.79039751230939</v>
      </c>
      <c r="G1844" s="41">
        <v>0</v>
      </c>
      <c r="H1844" s="42"/>
      <c r="I1844" s="42"/>
      <c r="J1844" s="42"/>
    </row>
    <row r="1845" spans="5:10">
      <c r="E1845" s="43">
        <v>45332.093749993393</v>
      </c>
      <c r="F1845" s="41">
        <v>14.79039751230939</v>
      </c>
      <c r="G1845" s="41">
        <v>0</v>
      </c>
      <c r="H1845" s="42"/>
      <c r="I1845" s="42"/>
      <c r="J1845" s="42"/>
    </row>
    <row r="1846" spans="5:10">
      <c r="E1846" s="43">
        <v>45332.097222215612</v>
      </c>
      <c r="F1846" s="41">
        <v>14.79039751230939</v>
      </c>
      <c r="G1846" s="41">
        <v>0</v>
      </c>
      <c r="H1846" s="42"/>
      <c r="I1846" s="42"/>
      <c r="J1846" s="42"/>
    </row>
    <row r="1847" spans="5:10">
      <c r="E1847" s="43">
        <v>45332.100694437831</v>
      </c>
      <c r="F1847" s="41">
        <v>14.79039751230939</v>
      </c>
      <c r="G1847" s="41">
        <v>0</v>
      </c>
      <c r="H1847" s="42"/>
      <c r="I1847" s="42"/>
      <c r="J1847" s="42"/>
    </row>
    <row r="1848" spans="5:10">
      <c r="E1848" s="43">
        <v>45332.10416666005</v>
      </c>
      <c r="F1848" s="41">
        <v>14.79039751230939</v>
      </c>
      <c r="G1848" s="41">
        <v>0</v>
      </c>
      <c r="H1848" s="42"/>
      <c r="I1848" s="42"/>
      <c r="J1848" s="42"/>
    </row>
    <row r="1849" spans="5:10">
      <c r="E1849" s="43">
        <v>45332.107638882269</v>
      </c>
      <c r="F1849" s="41">
        <v>14.79039751230939</v>
      </c>
      <c r="G1849" s="41">
        <v>0</v>
      </c>
      <c r="H1849" s="42"/>
      <c r="I1849" s="42"/>
      <c r="J1849" s="42"/>
    </row>
    <row r="1850" spans="5:10">
      <c r="E1850" s="43">
        <v>45332.111111104488</v>
      </c>
      <c r="F1850" s="41">
        <v>14.79039751230939</v>
      </c>
      <c r="G1850" s="41">
        <v>0</v>
      </c>
      <c r="H1850" s="42"/>
      <c r="I1850" s="42"/>
      <c r="J1850" s="42"/>
    </row>
    <row r="1851" spans="5:10">
      <c r="E1851" s="43">
        <v>45332.114583326707</v>
      </c>
      <c r="F1851" s="41">
        <v>14.79039751230939</v>
      </c>
      <c r="G1851" s="41">
        <v>0</v>
      </c>
      <c r="H1851" s="42"/>
      <c r="I1851" s="42"/>
      <c r="J1851" s="42"/>
    </row>
    <row r="1852" spans="5:10">
      <c r="E1852" s="43">
        <v>45332.118055548926</v>
      </c>
      <c r="F1852" s="41">
        <v>14.79039751230939</v>
      </c>
      <c r="G1852" s="41">
        <v>0</v>
      </c>
      <c r="H1852" s="42"/>
      <c r="I1852" s="42"/>
      <c r="J1852" s="42"/>
    </row>
    <row r="1853" spans="5:10">
      <c r="E1853" s="43">
        <v>45332.121527771145</v>
      </c>
      <c r="F1853" s="41">
        <v>14.79039751230939</v>
      </c>
      <c r="G1853" s="41">
        <v>0</v>
      </c>
      <c r="H1853" s="42"/>
      <c r="I1853" s="42"/>
      <c r="J1853" s="42"/>
    </row>
    <row r="1854" spans="5:10">
      <c r="E1854" s="43">
        <v>45332.124999993364</v>
      </c>
      <c r="F1854" s="41">
        <v>14.79039751230939</v>
      </c>
      <c r="G1854" s="41">
        <v>0</v>
      </c>
      <c r="H1854" s="42"/>
      <c r="I1854" s="42"/>
      <c r="J1854" s="42"/>
    </row>
    <row r="1855" spans="5:10">
      <c r="E1855" s="43">
        <v>45332.128472215583</v>
      </c>
      <c r="F1855" s="41">
        <v>14.79039751230939</v>
      </c>
      <c r="G1855" s="41">
        <v>0</v>
      </c>
      <c r="H1855" s="42"/>
      <c r="I1855" s="42"/>
      <c r="J1855" s="42"/>
    </row>
    <row r="1856" spans="5:10">
      <c r="E1856" s="43">
        <v>45332.131944437802</v>
      </c>
      <c r="F1856" s="41">
        <v>14.79039751230939</v>
      </c>
      <c r="G1856" s="41">
        <v>0</v>
      </c>
      <c r="H1856" s="42"/>
      <c r="I1856" s="42"/>
      <c r="J1856" s="42"/>
    </row>
    <row r="1857" spans="5:10">
      <c r="E1857" s="43">
        <v>45332.135416660021</v>
      </c>
      <c r="F1857" s="41">
        <v>14.79039751230939</v>
      </c>
      <c r="G1857" s="41">
        <v>0</v>
      </c>
      <c r="H1857" s="42"/>
      <c r="I1857" s="42"/>
      <c r="J1857" s="42"/>
    </row>
    <row r="1858" spans="5:10">
      <c r="E1858" s="43">
        <v>45332.13888888224</v>
      </c>
      <c r="F1858" s="41">
        <v>14.79039751230939</v>
      </c>
      <c r="G1858" s="41">
        <v>0</v>
      </c>
      <c r="H1858" s="42"/>
      <c r="I1858" s="42"/>
      <c r="J1858" s="42"/>
    </row>
    <row r="1859" spans="5:10">
      <c r="E1859" s="43">
        <v>45332.142361104459</v>
      </c>
      <c r="F1859" s="41">
        <v>14.79039751230939</v>
      </c>
      <c r="G1859" s="41">
        <v>0</v>
      </c>
      <c r="H1859" s="42"/>
      <c r="I1859" s="42"/>
      <c r="J1859" s="42"/>
    </row>
    <row r="1860" spans="5:10">
      <c r="E1860" s="43">
        <v>45332.145833326678</v>
      </c>
      <c r="F1860" s="41">
        <v>14.79039751230939</v>
      </c>
      <c r="G1860" s="41">
        <v>0</v>
      </c>
      <c r="H1860" s="42"/>
      <c r="I1860" s="42"/>
      <c r="J1860" s="42"/>
    </row>
    <row r="1861" spans="5:10">
      <c r="E1861" s="43">
        <v>45332.149305548897</v>
      </c>
      <c r="F1861" s="41">
        <v>14.79039751230939</v>
      </c>
      <c r="G1861" s="41">
        <v>0</v>
      </c>
      <c r="H1861" s="42"/>
      <c r="I1861" s="42"/>
      <c r="J1861" s="42"/>
    </row>
    <row r="1862" spans="5:10">
      <c r="E1862" s="43">
        <v>45332.152777771116</v>
      </c>
      <c r="F1862" s="41">
        <v>14.79039751230939</v>
      </c>
      <c r="G1862" s="41">
        <v>0</v>
      </c>
      <c r="H1862" s="42"/>
      <c r="I1862" s="42"/>
      <c r="J1862" s="42"/>
    </row>
    <row r="1863" spans="5:10">
      <c r="E1863" s="43">
        <v>45332.156249993335</v>
      </c>
      <c r="F1863" s="41">
        <v>14.79039751230939</v>
      </c>
      <c r="G1863" s="41">
        <v>0</v>
      </c>
      <c r="H1863" s="42"/>
      <c r="I1863" s="42"/>
      <c r="J1863" s="42"/>
    </row>
    <row r="1864" spans="5:10">
      <c r="E1864" s="43">
        <v>45332.159722215554</v>
      </c>
      <c r="F1864" s="41">
        <v>14.79039751230939</v>
      </c>
      <c r="G1864" s="41">
        <v>0</v>
      </c>
      <c r="H1864" s="42"/>
      <c r="I1864" s="42"/>
      <c r="J1864" s="42"/>
    </row>
    <row r="1865" spans="5:10">
      <c r="E1865" s="43">
        <v>45332.163194437773</v>
      </c>
      <c r="F1865" s="41">
        <v>14.79039751230939</v>
      </c>
      <c r="G1865" s="41">
        <v>0</v>
      </c>
      <c r="H1865" s="42"/>
      <c r="I1865" s="42"/>
      <c r="J1865" s="42"/>
    </row>
    <row r="1866" spans="5:10">
      <c r="E1866" s="43">
        <v>45332.166666659992</v>
      </c>
      <c r="F1866" s="41">
        <v>14.79039751230939</v>
      </c>
      <c r="G1866" s="41">
        <v>0</v>
      </c>
      <c r="H1866" s="42"/>
      <c r="I1866" s="42"/>
      <c r="J1866" s="42"/>
    </row>
    <row r="1867" spans="5:10">
      <c r="E1867" s="43">
        <v>45332.170138882211</v>
      </c>
      <c r="F1867" s="41">
        <v>14.79039751230939</v>
      </c>
      <c r="G1867" s="41">
        <v>0</v>
      </c>
      <c r="H1867" s="42"/>
      <c r="I1867" s="42"/>
      <c r="J1867" s="42"/>
    </row>
    <row r="1868" spans="5:10">
      <c r="E1868" s="43">
        <v>45332.17361110443</v>
      </c>
      <c r="F1868" s="41">
        <v>14.79039751230939</v>
      </c>
      <c r="G1868" s="41">
        <v>0</v>
      </c>
      <c r="H1868" s="42"/>
      <c r="I1868" s="42"/>
      <c r="J1868" s="42"/>
    </row>
    <row r="1869" spans="5:10">
      <c r="E1869" s="43">
        <v>45332.177083326649</v>
      </c>
      <c r="F1869" s="41">
        <v>14.79039751230939</v>
      </c>
      <c r="G1869" s="41">
        <v>0</v>
      </c>
      <c r="H1869" s="42"/>
      <c r="I1869" s="42"/>
      <c r="J1869" s="42"/>
    </row>
    <row r="1870" spans="5:10">
      <c r="E1870" s="43">
        <v>45332.180555548868</v>
      </c>
      <c r="F1870" s="41">
        <v>14.79039751230939</v>
      </c>
      <c r="G1870" s="41">
        <v>0</v>
      </c>
      <c r="H1870" s="42"/>
      <c r="I1870" s="42"/>
      <c r="J1870" s="42"/>
    </row>
    <row r="1871" spans="5:10">
      <c r="E1871" s="43">
        <v>45332.184027771087</v>
      </c>
      <c r="F1871" s="41">
        <v>14.79039751230939</v>
      </c>
      <c r="G1871" s="41">
        <v>0</v>
      </c>
      <c r="H1871" s="42"/>
      <c r="I1871" s="42"/>
      <c r="J1871" s="42"/>
    </row>
    <row r="1872" spans="5:10">
      <c r="E1872" s="43">
        <v>45332.187499993306</v>
      </c>
      <c r="F1872" s="41">
        <v>14.79039751230939</v>
      </c>
      <c r="G1872" s="41">
        <v>0</v>
      </c>
      <c r="H1872" s="42"/>
      <c r="I1872" s="42"/>
      <c r="J1872" s="42"/>
    </row>
    <row r="1873" spans="5:10">
      <c r="E1873" s="43">
        <v>45332.190972215525</v>
      </c>
      <c r="F1873" s="41">
        <v>14.79039751230939</v>
      </c>
      <c r="G1873" s="41">
        <v>0</v>
      </c>
      <c r="H1873" s="42"/>
      <c r="I1873" s="42"/>
      <c r="J1873" s="42"/>
    </row>
    <row r="1874" spans="5:10">
      <c r="E1874" s="43">
        <v>45332.194444437744</v>
      </c>
      <c r="F1874" s="41">
        <v>14.79039751230939</v>
      </c>
      <c r="G1874" s="41">
        <v>0</v>
      </c>
      <c r="H1874" s="42"/>
      <c r="I1874" s="42"/>
      <c r="J1874" s="42"/>
    </row>
    <row r="1875" spans="5:10">
      <c r="E1875" s="43">
        <v>45332.197916659963</v>
      </c>
      <c r="F1875" s="41">
        <v>14.79039751230939</v>
      </c>
      <c r="G1875" s="41">
        <v>0</v>
      </c>
      <c r="H1875" s="42"/>
      <c r="I1875" s="42"/>
      <c r="J1875" s="42"/>
    </row>
    <row r="1876" spans="5:10">
      <c r="E1876" s="43">
        <v>45332.201388882182</v>
      </c>
      <c r="F1876" s="41">
        <v>14.79039751230939</v>
      </c>
      <c r="G1876" s="41">
        <v>0</v>
      </c>
      <c r="H1876" s="42"/>
      <c r="I1876" s="42"/>
      <c r="J1876" s="42"/>
    </row>
    <row r="1877" spans="5:10">
      <c r="E1877" s="43">
        <v>45332.204861104401</v>
      </c>
      <c r="F1877" s="41">
        <v>14.79039751230939</v>
      </c>
      <c r="G1877" s="41">
        <v>0</v>
      </c>
      <c r="H1877" s="42"/>
      <c r="I1877" s="42"/>
      <c r="J1877" s="42"/>
    </row>
    <row r="1878" spans="5:10">
      <c r="E1878" s="43">
        <v>45332.20833332662</v>
      </c>
      <c r="F1878" s="41">
        <v>14.79039751230939</v>
      </c>
      <c r="G1878" s="41">
        <v>0</v>
      </c>
      <c r="H1878" s="42"/>
      <c r="I1878" s="42"/>
      <c r="J1878" s="42"/>
    </row>
    <row r="1879" spans="5:10">
      <c r="E1879" s="43">
        <v>45332.211805548839</v>
      </c>
      <c r="F1879" s="41">
        <v>14.79039751230939</v>
      </c>
      <c r="G1879" s="41">
        <v>0</v>
      </c>
      <c r="H1879" s="42"/>
      <c r="I1879" s="42"/>
      <c r="J1879" s="42"/>
    </row>
    <row r="1880" spans="5:10">
      <c r="E1880" s="43">
        <v>45332.215277771058</v>
      </c>
      <c r="F1880" s="41">
        <v>14.79039751230939</v>
      </c>
      <c r="G1880" s="41">
        <v>0</v>
      </c>
      <c r="H1880" s="42"/>
      <c r="I1880" s="42"/>
      <c r="J1880" s="42"/>
    </row>
    <row r="1881" spans="5:10">
      <c r="E1881" s="43">
        <v>45332.218749993277</v>
      </c>
      <c r="F1881" s="41">
        <v>14.79039751230939</v>
      </c>
      <c r="G1881" s="41">
        <v>0</v>
      </c>
      <c r="H1881" s="42"/>
      <c r="I1881" s="42"/>
      <c r="J1881" s="42"/>
    </row>
    <row r="1882" spans="5:10">
      <c r="E1882" s="43">
        <v>45332.222222215496</v>
      </c>
      <c r="F1882" s="41">
        <v>14.79039751230939</v>
      </c>
      <c r="G1882" s="41">
        <v>0</v>
      </c>
      <c r="H1882" s="42"/>
      <c r="I1882" s="42"/>
      <c r="J1882" s="42"/>
    </row>
    <row r="1883" spans="5:10">
      <c r="E1883" s="43">
        <v>45332.225694437715</v>
      </c>
      <c r="F1883" s="41">
        <v>14.79039751230939</v>
      </c>
      <c r="G1883" s="41">
        <v>0</v>
      </c>
      <c r="H1883" s="42"/>
      <c r="I1883" s="42"/>
      <c r="J1883" s="42"/>
    </row>
    <row r="1884" spans="5:10">
      <c r="E1884" s="43">
        <v>45332.229166659934</v>
      </c>
      <c r="F1884" s="41">
        <v>14.79039751230939</v>
      </c>
      <c r="G1884" s="41">
        <v>0</v>
      </c>
      <c r="H1884" s="42"/>
      <c r="I1884" s="42"/>
      <c r="J1884" s="42"/>
    </row>
    <row r="1885" spans="5:10">
      <c r="E1885" s="43">
        <v>45332.232638882153</v>
      </c>
      <c r="F1885" s="41">
        <v>14.79039751230939</v>
      </c>
      <c r="G1885" s="41">
        <v>0</v>
      </c>
      <c r="H1885" s="42"/>
      <c r="I1885" s="42"/>
      <c r="J1885" s="42"/>
    </row>
    <row r="1886" spans="5:10">
      <c r="E1886" s="43">
        <v>45332.236111104372</v>
      </c>
      <c r="F1886" s="41">
        <v>14.79039751230939</v>
      </c>
      <c r="G1886" s="41">
        <v>0</v>
      </c>
      <c r="H1886" s="42"/>
      <c r="I1886" s="42"/>
      <c r="J1886" s="42"/>
    </row>
    <row r="1887" spans="5:10">
      <c r="E1887" s="43">
        <v>45332.239583326591</v>
      </c>
      <c r="F1887" s="41">
        <v>14.79039751230939</v>
      </c>
      <c r="G1887" s="41">
        <v>0</v>
      </c>
      <c r="H1887" s="42"/>
      <c r="I1887" s="42"/>
      <c r="J1887" s="42"/>
    </row>
    <row r="1888" spans="5:10">
      <c r="E1888" s="43">
        <v>45332.24305554881</v>
      </c>
      <c r="F1888" s="41">
        <v>14.79039751230939</v>
      </c>
      <c r="G1888" s="41">
        <v>0</v>
      </c>
      <c r="H1888" s="42"/>
      <c r="I1888" s="42"/>
      <c r="J1888" s="42"/>
    </row>
    <row r="1889" spans="5:10">
      <c r="E1889" s="43">
        <v>45332.246527771029</v>
      </c>
      <c r="F1889" s="41">
        <v>14.79039751230939</v>
      </c>
      <c r="G1889" s="41">
        <v>0</v>
      </c>
      <c r="H1889" s="42"/>
      <c r="I1889" s="42"/>
      <c r="J1889" s="42"/>
    </row>
    <row r="1890" spans="5:10">
      <c r="E1890" s="43">
        <v>45332.249999993248</v>
      </c>
      <c r="F1890" s="41">
        <v>14.79039751230939</v>
      </c>
      <c r="G1890" s="41">
        <v>0</v>
      </c>
      <c r="H1890" s="42"/>
      <c r="I1890" s="42"/>
      <c r="J1890" s="42"/>
    </row>
    <row r="1891" spans="5:10">
      <c r="E1891" s="43">
        <v>45332.253472215467</v>
      </c>
      <c r="F1891" s="41">
        <v>14.79039751230939</v>
      </c>
      <c r="G1891" s="41">
        <v>0</v>
      </c>
      <c r="H1891" s="42"/>
      <c r="I1891" s="42"/>
      <c r="J1891" s="42"/>
    </row>
    <row r="1892" spans="5:10">
      <c r="E1892" s="43">
        <v>45332.256944437686</v>
      </c>
      <c r="F1892" s="41">
        <v>14.79039751230939</v>
      </c>
      <c r="G1892" s="41">
        <v>0</v>
      </c>
      <c r="H1892" s="42"/>
      <c r="I1892" s="42"/>
      <c r="J1892" s="42"/>
    </row>
    <row r="1893" spans="5:10">
      <c r="E1893" s="43">
        <v>45332.260416659905</v>
      </c>
      <c r="F1893" s="41">
        <v>14.79039751230939</v>
      </c>
      <c r="G1893" s="41">
        <v>0</v>
      </c>
      <c r="H1893" s="42"/>
      <c r="I1893" s="42"/>
      <c r="J1893" s="42"/>
    </row>
    <row r="1894" spans="5:10">
      <c r="E1894" s="43">
        <v>45332.263888882124</v>
      </c>
      <c r="F1894" s="41">
        <v>14.79039751230939</v>
      </c>
      <c r="G1894" s="41">
        <v>0</v>
      </c>
      <c r="H1894" s="42"/>
      <c r="I1894" s="42"/>
      <c r="J1894" s="42"/>
    </row>
    <row r="1895" spans="5:10">
      <c r="E1895" s="43">
        <v>45332.267361104343</v>
      </c>
      <c r="F1895" s="41">
        <v>14.79039751230939</v>
      </c>
      <c r="G1895" s="41">
        <v>0</v>
      </c>
      <c r="H1895" s="42"/>
      <c r="I1895" s="42"/>
      <c r="J1895" s="42"/>
    </row>
    <row r="1896" spans="5:10">
      <c r="E1896" s="43">
        <v>45332.270833326562</v>
      </c>
      <c r="F1896" s="41">
        <v>14.79039751230939</v>
      </c>
      <c r="G1896" s="41">
        <v>0</v>
      </c>
      <c r="H1896" s="42"/>
      <c r="I1896" s="42"/>
      <c r="J1896" s="42"/>
    </row>
    <row r="1897" spans="5:10">
      <c r="E1897" s="43">
        <v>45332.274305548781</v>
      </c>
      <c r="F1897" s="41">
        <v>14.79039751230939</v>
      </c>
      <c r="G1897" s="41">
        <v>0</v>
      </c>
      <c r="H1897" s="42"/>
      <c r="I1897" s="42"/>
      <c r="J1897" s="42"/>
    </row>
    <row r="1898" spans="5:10">
      <c r="E1898" s="43">
        <v>45332.277777771</v>
      </c>
      <c r="F1898" s="41">
        <v>14.79039751230939</v>
      </c>
      <c r="G1898" s="41">
        <v>0</v>
      </c>
      <c r="H1898" s="42"/>
      <c r="I1898" s="42"/>
      <c r="J1898" s="42"/>
    </row>
    <row r="1899" spans="5:10">
      <c r="E1899" s="43">
        <v>45332.281249993219</v>
      </c>
      <c r="F1899" s="41">
        <v>14.79039751230939</v>
      </c>
      <c r="G1899" s="41">
        <v>0</v>
      </c>
      <c r="H1899" s="42"/>
      <c r="I1899" s="42"/>
      <c r="J1899" s="42"/>
    </row>
    <row r="1900" spans="5:10">
      <c r="E1900" s="43">
        <v>45332.284722215438</v>
      </c>
      <c r="F1900" s="41">
        <v>14.79039751230939</v>
      </c>
      <c r="G1900" s="41">
        <v>0</v>
      </c>
      <c r="H1900" s="42"/>
      <c r="I1900" s="42"/>
      <c r="J1900" s="42"/>
    </row>
    <row r="1901" spans="5:10">
      <c r="E1901" s="43">
        <v>45332.288194437657</v>
      </c>
      <c r="F1901" s="41">
        <v>14.79039751230939</v>
      </c>
      <c r="G1901" s="41">
        <v>0</v>
      </c>
      <c r="H1901" s="42"/>
      <c r="I1901" s="42"/>
      <c r="J1901" s="42"/>
    </row>
    <row r="1902" spans="5:10">
      <c r="E1902" s="43">
        <v>45332.291666659876</v>
      </c>
      <c r="F1902" s="41">
        <v>14.79039751230939</v>
      </c>
      <c r="G1902" s="41">
        <v>0</v>
      </c>
      <c r="H1902" s="42"/>
      <c r="I1902" s="42"/>
      <c r="J1902" s="42"/>
    </row>
    <row r="1903" spans="5:10">
      <c r="E1903" s="43">
        <v>45332.295138882095</v>
      </c>
      <c r="F1903" s="41">
        <v>14.79039751230939</v>
      </c>
      <c r="G1903" s="41">
        <v>0</v>
      </c>
      <c r="H1903" s="42"/>
      <c r="I1903" s="42"/>
      <c r="J1903" s="42"/>
    </row>
    <row r="1904" spans="5:10">
      <c r="E1904" s="43">
        <v>45332.298611104314</v>
      </c>
      <c r="F1904" s="41">
        <v>14.79039751230939</v>
      </c>
      <c r="G1904" s="41">
        <v>0</v>
      </c>
      <c r="H1904" s="42"/>
      <c r="I1904" s="42"/>
      <c r="J1904" s="42"/>
    </row>
    <row r="1905" spans="5:10">
      <c r="E1905" s="43">
        <v>45332.302083326533</v>
      </c>
      <c r="F1905" s="41">
        <v>14.79039751230939</v>
      </c>
      <c r="G1905" s="41">
        <v>0</v>
      </c>
      <c r="H1905" s="42"/>
      <c r="I1905" s="42"/>
      <c r="J1905" s="42"/>
    </row>
    <row r="1906" spans="5:10">
      <c r="E1906" s="43">
        <v>45332.305555548752</v>
      </c>
      <c r="F1906" s="41">
        <v>14.79039751230939</v>
      </c>
      <c r="G1906" s="41">
        <v>0</v>
      </c>
      <c r="H1906" s="42"/>
      <c r="I1906" s="42"/>
      <c r="J1906" s="42"/>
    </row>
    <row r="1907" spans="5:10">
      <c r="E1907" s="43">
        <v>45332.309027770971</v>
      </c>
      <c r="F1907" s="41">
        <v>14.79039751230939</v>
      </c>
      <c r="G1907" s="41">
        <v>0</v>
      </c>
      <c r="H1907" s="42"/>
      <c r="I1907" s="42"/>
      <c r="J1907" s="42"/>
    </row>
    <row r="1908" spans="5:10">
      <c r="E1908" s="43">
        <v>45332.31249999319</v>
      </c>
      <c r="F1908" s="41">
        <v>14.79039751230939</v>
      </c>
      <c r="G1908" s="41">
        <v>0</v>
      </c>
      <c r="H1908" s="42"/>
      <c r="I1908" s="42"/>
      <c r="J1908" s="42"/>
    </row>
    <row r="1909" spans="5:10">
      <c r="E1909" s="43">
        <v>45332.315972215409</v>
      </c>
      <c r="F1909" s="41">
        <v>14.79039751230939</v>
      </c>
      <c r="G1909" s="41">
        <v>0</v>
      </c>
      <c r="H1909" s="42"/>
      <c r="I1909" s="42"/>
      <c r="J1909" s="42"/>
    </row>
    <row r="1910" spans="5:10">
      <c r="E1910" s="43">
        <v>45332.319444437628</v>
      </c>
      <c r="F1910" s="41">
        <v>14.79039751230939</v>
      </c>
      <c r="G1910" s="41">
        <v>0</v>
      </c>
      <c r="H1910" s="42"/>
      <c r="I1910" s="42"/>
      <c r="J1910" s="42"/>
    </row>
    <row r="1911" spans="5:10">
      <c r="E1911" s="43">
        <v>45332.322916659847</v>
      </c>
      <c r="F1911" s="41">
        <v>14.79039751230939</v>
      </c>
      <c r="G1911" s="41">
        <v>0</v>
      </c>
      <c r="H1911" s="42"/>
      <c r="I1911" s="42"/>
      <c r="J1911" s="42"/>
    </row>
    <row r="1912" spans="5:10">
      <c r="E1912" s="43">
        <v>45332.326388882066</v>
      </c>
      <c r="F1912" s="41">
        <v>14.79039751230939</v>
      </c>
      <c r="G1912" s="41">
        <v>0</v>
      </c>
      <c r="H1912" s="42"/>
      <c r="I1912" s="42"/>
      <c r="J1912" s="42"/>
    </row>
    <row r="1913" spans="5:10">
      <c r="E1913" s="43">
        <v>45332.329861104285</v>
      </c>
      <c r="F1913" s="41">
        <v>14.79039751230939</v>
      </c>
      <c r="G1913" s="41">
        <v>0</v>
      </c>
      <c r="H1913" s="42"/>
      <c r="I1913" s="42"/>
      <c r="J1913" s="42"/>
    </row>
    <row r="1914" spans="5:10">
      <c r="E1914" s="43">
        <v>45332.333333326504</v>
      </c>
      <c r="F1914" s="41">
        <v>14.79039751230939</v>
      </c>
      <c r="G1914" s="41">
        <v>0</v>
      </c>
      <c r="H1914" s="42"/>
      <c r="I1914" s="42"/>
      <c r="J1914" s="42"/>
    </row>
    <row r="1915" spans="5:10">
      <c r="E1915" s="43">
        <v>45332.336805548723</v>
      </c>
      <c r="F1915" s="41">
        <v>14.79039751230939</v>
      </c>
      <c r="G1915" s="41">
        <v>0</v>
      </c>
      <c r="H1915" s="42"/>
      <c r="I1915" s="42"/>
      <c r="J1915" s="42"/>
    </row>
    <row r="1916" spans="5:10">
      <c r="E1916" s="43">
        <v>45332.340277770942</v>
      </c>
      <c r="F1916" s="41">
        <v>14.79039751230939</v>
      </c>
      <c r="G1916" s="41">
        <v>0</v>
      </c>
      <c r="H1916" s="42"/>
      <c r="I1916" s="42"/>
      <c r="J1916" s="42"/>
    </row>
    <row r="1917" spans="5:10">
      <c r="E1917" s="43">
        <v>45332.343749993161</v>
      </c>
      <c r="F1917" s="41">
        <v>14.79039751230939</v>
      </c>
      <c r="G1917" s="41">
        <v>0</v>
      </c>
      <c r="H1917" s="42"/>
      <c r="I1917" s="42"/>
      <c r="J1917" s="42"/>
    </row>
    <row r="1918" spans="5:10">
      <c r="E1918" s="43">
        <v>45332.34722221538</v>
      </c>
      <c r="F1918" s="41">
        <v>14.79039751230939</v>
      </c>
      <c r="G1918" s="41">
        <v>0</v>
      </c>
      <c r="H1918" s="42"/>
      <c r="I1918" s="42"/>
      <c r="J1918" s="42"/>
    </row>
    <row r="1919" spans="5:10">
      <c r="E1919" s="43">
        <v>45332.350694437599</v>
      </c>
      <c r="F1919" s="41">
        <v>14.79039751230939</v>
      </c>
      <c r="G1919" s="41">
        <v>0</v>
      </c>
      <c r="H1919" s="42"/>
      <c r="I1919" s="42"/>
      <c r="J1919" s="42"/>
    </row>
    <row r="1920" spans="5:10">
      <c r="E1920" s="43">
        <v>45332.354166659818</v>
      </c>
      <c r="F1920" s="41">
        <v>14.79039751230939</v>
      </c>
      <c r="G1920" s="41">
        <v>0</v>
      </c>
      <c r="H1920" s="42"/>
      <c r="I1920" s="42"/>
      <c r="J1920" s="42"/>
    </row>
    <row r="1921" spans="5:10">
      <c r="E1921" s="43">
        <v>45332.357638882037</v>
      </c>
      <c r="F1921" s="41">
        <v>14.79039751230939</v>
      </c>
      <c r="G1921" s="41">
        <v>0</v>
      </c>
      <c r="H1921" s="42"/>
      <c r="I1921" s="42"/>
      <c r="J1921" s="42"/>
    </row>
    <row r="1922" spans="5:10">
      <c r="E1922" s="43">
        <v>45332.361111104256</v>
      </c>
      <c r="F1922" s="41">
        <v>14.79039751230939</v>
      </c>
      <c r="G1922" s="41">
        <v>0</v>
      </c>
      <c r="H1922" s="42"/>
      <c r="I1922" s="42"/>
      <c r="J1922" s="42"/>
    </row>
    <row r="1923" spans="5:10">
      <c r="E1923" s="43">
        <v>45332.364583326475</v>
      </c>
      <c r="F1923" s="41">
        <v>14.79039751230939</v>
      </c>
      <c r="G1923" s="41">
        <v>0</v>
      </c>
      <c r="H1923" s="42"/>
      <c r="I1923" s="42"/>
      <c r="J1923" s="42"/>
    </row>
    <row r="1924" spans="5:10">
      <c r="E1924" s="43">
        <v>45332.368055548694</v>
      </c>
      <c r="F1924" s="41">
        <v>14.79039751230939</v>
      </c>
      <c r="G1924" s="41">
        <v>0</v>
      </c>
      <c r="H1924" s="42"/>
      <c r="I1924" s="42"/>
      <c r="J1924" s="42"/>
    </row>
    <row r="1925" spans="5:10">
      <c r="E1925" s="43">
        <v>45332.371527770913</v>
      </c>
      <c r="F1925" s="41">
        <v>14.79039751230939</v>
      </c>
      <c r="G1925" s="41">
        <v>0</v>
      </c>
      <c r="H1925" s="42"/>
      <c r="I1925" s="42"/>
      <c r="J1925" s="42"/>
    </row>
    <row r="1926" spans="5:10">
      <c r="E1926" s="43">
        <v>45332.374999993131</v>
      </c>
      <c r="F1926" s="41">
        <v>14.79039751230939</v>
      </c>
      <c r="G1926" s="41">
        <v>0</v>
      </c>
      <c r="H1926" s="42"/>
      <c r="I1926" s="42"/>
      <c r="J1926" s="42"/>
    </row>
    <row r="1927" spans="5:10">
      <c r="E1927" s="43">
        <v>45332.37847221535</v>
      </c>
      <c r="F1927" s="41">
        <v>14.79039751230939</v>
      </c>
      <c r="G1927" s="41">
        <v>0</v>
      </c>
      <c r="H1927" s="42"/>
      <c r="I1927" s="42"/>
      <c r="J1927" s="42"/>
    </row>
    <row r="1928" spans="5:10">
      <c r="E1928" s="43">
        <v>45332.381944437569</v>
      </c>
      <c r="F1928" s="41">
        <v>14.79039751230939</v>
      </c>
      <c r="G1928" s="41">
        <v>0</v>
      </c>
      <c r="H1928" s="42"/>
      <c r="I1928" s="42"/>
      <c r="J1928" s="42"/>
    </row>
    <row r="1929" spans="5:10">
      <c r="E1929" s="43">
        <v>45332.385416659788</v>
      </c>
      <c r="F1929" s="41">
        <v>14.79039751230939</v>
      </c>
      <c r="G1929" s="41">
        <v>0</v>
      </c>
      <c r="H1929" s="42"/>
      <c r="I1929" s="42"/>
      <c r="J1929" s="42"/>
    </row>
    <row r="1930" spans="5:10">
      <c r="E1930" s="43">
        <v>45332.388888882007</v>
      </c>
      <c r="F1930" s="41">
        <v>14.79039751230939</v>
      </c>
      <c r="G1930" s="41">
        <v>0</v>
      </c>
      <c r="H1930" s="42"/>
      <c r="I1930" s="42"/>
      <c r="J1930" s="42"/>
    </row>
    <row r="1931" spans="5:10">
      <c r="E1931" s="43">
        <v>45332.392361104226</v>
      </c>
      <c r="F1931" s="41">
        <v>14.79039751230939</v>
      </c>
      <c r="G1931" s="41">
        <v>0</v>
      </c>
      <c r="H1931" s="42"/>
      <c r="I1931" s="42"/>
      <c r="J1931" s="42"/>
    </row>
    <row r="1932" spans="5:10">
      <c r="E1932" s="43">
        <v>45332.395833326445</v>
      </c>
      <c r="F1932" s="41">
        <v>14.79039751230939</v>
      </c>
      <c r="G1932" s="41">
        <v>0</v>
      </c>
      <c r="H1932" s="42"/>
      <c r="I1932" s="42"/>
      <c r="J1932" s="42"/>
    </row>
    <row r="1933" spans="5:10">
      <c r="E1933" s="43">
        <v>45332.399305548664</v>
      </c>
      <c r="F1933" s="41">
        <v>14.79039751230939</v>
      </c>
      <c r="G1933" s="41">
        <v>0</v>
      </c>
      <c r="H1933" s="42"/>
      <c r="I1933" s="42"/>
      <c r="J1933" s="42"/>
    </row>
    <row r="1934" spans="5:10">
      <c r="E1934" s="43">
        <v>45332.402777770883</v>
      </c>
      <c r="F1934" s="41">
        <v>14.79039751230939</v>
      </c>
      <c r="G1934" s="41">
        <v>0</v>
      </c>
      <c r="H1934" s="42"/>
      <c r="I1934" s="42"/>
      <c r="J1934" s="42"/>
    </row>
    <row r="1935" spans="5:10">
      <c r="E1935" s="43">
        <v>45332.406249993102</v>
      </c>
      <c r="F1935" s="41">
        <v>14.79039751230939</v>
      </c>
      <c r="G1935" s="41">
        <v>0</v>
      </c>
      <c r="H1935" s="42"/>
      <c r="I1935" s="42"/>
      <c r="J1935" s="42"/>
    </row>
    <row r="1936" spans="5:10">
      <c r="E1936" s="43">
        <v>45332.409722215321</v>
      </c>
      <c r="F1936" s="41">
        <v>14.79039751230939</v>
      </c>
      <c r="G1936" s="41">
        <v>0</v>
      </c>
      <c r="H1936" s="42"/>
      <c r="I1936" s="42"/>
      <c r="J1936" s="42"/>
    </row>
    <row r="1937" spans="5:10">
      <c r="E1937" s="43">
        <v>45332.41319443754</v>
      </c>
      <c r="F1937" s="41">
        <v>14.79039751230939</v>
      </c>
      <c r="G1937" s="41">
        <v>0</v>
      </c>
      <c r="H1937" s="42"/>
      <c r="I1937" s="42"/>
      <c r="J1937" s="42"/>
    </row>
    <row r="1938" spans="5:10">
      <c r="E1938" s="43">
        <v>45332.416666659759</v>
      </c>
      <c r="F1938" s="41">
        <v>14.79039751230939</v>
      </c>
      <c r="G1938" s="41">
        <v>0</v>
      </c>
      <c r="H1938" s="42"/>
      <c r="I1938" s="42"/>
      <c r="J1938" s="42"/>
    </row>
    <row r="1939" spans="5:10">
      <c r="E1939" s="43">
        <v>45332.420138881978</v>
      </c>
      <c r="F1939" s="41">
        <v>14.79039751230939</v>
      </c>
      <c r="G1939" s="41">
        <v>0</v>
      </c>
      <c r="H1939" s="42"/>
      <c r="I1939" s="42"/>
      <c r="J1939" s="42"/>
    </row>
    <row r="1940" spans="5:10">
      <c r="E1940" s="43">
        <v>45332.423611104197</v>
      </c>
      <c r="F1940" s="41">
        <v>14.79039751230939</v>
      </c>
      <c r="G1940" s="41">
        <v>0</v>
      </c>
      <c r="H1940" s="42"/>
      <c r="I1940" s="42"/>
      <c r="J1940" s="42"/>
    </row>
    <row r="1941" spans="5:10">
      <c r="E1941" s="43">
        <v>45332.427083326416</v>
      </c>
      <c r="F1941" s="41">
        <v>14.79039751230939</v>
      </c>
      <c r="G1941" s="41">
        <v>0</v>
      </c>
      <c r="H1941" s="42"/>
      <c r="I1941" s="42"/>
      <c r="J1941" s="42"/>
    </row>
    <row r="1942" spans="5:10">
      <c r="E1942" s="43">
        <v>45332.430555548635</v>
      </c>
      <c r="F1942" s="41">
        <v>14.79039751230939</v>
      </c>
      <c r="G1942" s="41">
        <v>0</v>
      </c>
      <c r="H1942" s="42"/>
      <c r="I1942" s="42"/>
      <c r="J1942" s="42"/>
    </row>
    <row r="1943" spans="5:10">
      <c r="E1943" s="43">
        <v>45332.434027770854</v>
      </c>
      <c r="F1943" s="41">
        <v>14.79039751230939</v>
      </c>
      <c r="G1943" s="41">
        <v>0</v>
      </c>
      <c r="H1943" s="42"/>
      <c r="I1943" s="42"/>
      <c r="J1943" s="42"/>
    </row>
    <row r="1944" spans="5:10">
      <c r="E1944" s="43">
        <v>45332.437499993073</v>
      </c>
      <c r="F1944" s="41">
        <v>14.79039751230939</v>
      </c>
      <c r="G1944" s="41">
        <v>0</v>
      </c>
      <c r="H1944" s="42"/>
      <c r="I1944" s="42"/>
      <c r="J1944" s="42"/>
    </row>
    <row r="1945" spans="5:10">
      <c r="E1945" s="43">
        <v>45332.440972215292</v>
      </c>
      <c r="F1945" s="41">
        <v>14.79039751230939</v>
      </c>
      <c r="G1945" s="41">
        <v>0</v>
      </c>
      <c r="H1945" s="42"/>
      <c r="I1945" s="42"/>
      <c r="J1945" s="42"/>
    </row>
    <row r="1946" spans="5:10">
      <c r="E1946" s="43">
        <v>45332.444444437511</v>
      </c>
      <c r="F1946" s="41">
        <v>14.79039751230939</v>
      </c>
      <c r="G1946" s="41">
        <v>0</v>
      </c>
      <c r="H1946" s="42"/>
      <c r="I1946" s="42"/>
      <c r="J1946" s="42"/>
    </row>
    <row r="1947" spans="5:10">
      <c r="E1947" s="43">
        <v>45332.44791665973</v>
      </c>
      <c r="F1947" s="41">
        <v>14.79039751230939</v>
      </c>
      <c r="G1947" s="41">
        <v>0</v>
      </c>
      <c r="H1947" s="42"/>
      <c r="I1947" s="42"/>
      <c r="J1947" s="42"/>
    </row>
    <row r="1948" spans="5:10">
      <c r="E1948" s="43">
        <v>45332.451388881949</v>
      </c>
      <c r="F1948" s="41">
        <v>14.79039751230939</v>
      </c>
      <c r="G1948" s="41">
        <v>0</v>
      </c>
      <c r="H1948" s="42"/>
      <c r="I1948" s="42"/>
      <c r="J1948" s="42"/>
    </row>
    <row r="1949" spans="5:10">
      <c r="E1949" s="43">
        <v>45332.454861104168</v>
      </c>
      <c r="F1949" s="41">
        <v>14.79039751230939</v>
      </c>
      <c r="G1949" s="41">
        <v>0</v>
      </c>
      <c r="H1949" s="42"/>
      <c r="I1949" s="42"/>
      <c r="J1949" s="42"/>
    </row>
    <row r="1950" spans="5:10">
      <c r="E1950" s="43">
        <v>45332.458333326387</v>
      </c>
      <c r="F1950" s="41">
        <v>14.79039751230939</v>
      </c>
      <c r="G1950" s="41">
        <v>0</v>
      </c>
      <c r="H1950" s="42"/>
      <c r="I1950" s="42"/>
      <c r="J1950" s="42"/>
    </row>
    <row r="1951" spans="5:10">
      <c r="E1951" s="43">
        <v>45332.461805548606</v>
      </c>
      <c r="F1951" s="41">
        <v>14.79039751230939</v>
      </c>
      <c r="G1951" s="41">
        <v>0</v>
      </c>
      <c r="H1951" s="42"/>
      <c r="I1951" s="42"/>
      <c r="J1951" s="42"/>
    </row>
    <row r="1952" spans="5:10">
      <c r="E1952" s="43">
        <v>45332.465277770825</v>
      </c>
      <c r="F1952" s="41">
        <v>14.79039751230939</v>
      </c>
      <c r="G1952" s="41">
        <v>0</v>
      </c>
      <c r="H1952" s="42"/>
      <c r="I1952" s="42"/>
      <c r="J1952" s="42"/>
    </row>
    <row r="1953" spans="5:10">
      <c r="E1953" s="43">
        <v>45332.468749993044</v>
      </c>
      <c r="F1953" s="41">
        <v>14.79039751230939</v>
      </c>
      <c r="G1953" s="41">
        <v>0</v>
      </c>
      <c r="H1953" s="42"/>
      <c r="I1953" s="42"/>
      <c r="J1953" s="42"/>
    </row>
    <row r="1954" spans="5:10">
      <c r="E1954" s="43">
        <v>45332.472222215263</v>
      </c>
      <c r="F1954" s="41">
        <v>14.79039751230939</v>
      </c>
      <c r="G1954" s="41">
        <v>0</v>
      </c>
      <c r="H1954" s="42"/>
      <c r="I1954" s="42"/>
      <c r="J1954" s="42"/>
    </row>
    <row r="1955" spans="5:10">
      <c r="E1955" s="43">
        <v>45332.475694437482</v>
      </c>
      <c r="F1955" s="41">
        <v>14.79039751230939</v>
      </c>
      <c r="G1955" s="41">
        <v>0</v>
      </c>
      <c r="H1955" s="42"/>
      <c r="I1955" s="42"/>
      <c r="J1955" s="42"/>
    </row>
    <row r="1956" spans="5:10">
      <c r="E1956" s="43">
        <v>45332.479166659701</v>
      </c>
      <c r="F1956" s="41">
        <v>14.79039751230939</v>
      </c>
      <c r="G1956" s="41">
        <v>0</v>
      </c>
      <c r="H1956" s="42"/>
      <c r="I1956" s="42"/>
      <c r="J1956" s="42"/>
    </row>
    <row r="1957" spans="5:10">
      <c r="E1957" s="43">
        <v>45332.48263888192</v>
      </c>
      <c r="F1957" s="41">
        <v>14.79039751230939</v>
      </c>
      <c r="G1957" s="41">
        <v>0</v>
      </c>
      <c r="H1957" s="42"/>
      <c r="I1957" s="42"/>
      <c r="J1957" s="42"/>
    </row>
    <row r="1958" spans="5:10">
      <c r="E1958" s="43">
        <v>45332.486111104139</v>
      </c>
      <c r="F1958" s="41">
        <v>14.79039751230939</v>
      </c>
      <c r="G1958" s="41">
        <v>0</v>
      </c>
      <c r="H1958" s="42"/>
      <c r="I1958" s="42"/>
      <c r="J1958" s="42"/>
    </row>
    <row r="1959" spans="5:10">
      <c r="E1959" s="43">
        <v>45332.489583326358</v>
      </c>
      <c r="F1959" s="41">
        <v>14.79039751230939</v>
      </c>
      <c r="G1959" s="41">
        <v>0</v>
      </c>
      <c r="H1959" s="42"/>
      <c r="I1959" s="42"/>
      <c r="J1959" s="42"/>
    </row>
    <row r="1960" spans="5:10">
      <c r="E1960" s="43">
        <v>45332.493055548577</v>
      </c>
      <c r="F1960" s="41">
        <v>14.79039751230939</v>
      </c>
      <c r="G1960" s="41">
        <v>0</v>
      </c>
      <c r="H1960" s="42"/>
      <c r="I1960" s="42"/>
      <c r="J1960" s="42"/>
    </row>
    <row r="1961" spans="5:10">
      <c r="E1961" s="43">
        <v>45332.496527770796</v>
      </c>
      <c r="F1961" s="41">
        <v>14.79039751230939</v>
      </c>
      <c r="G1961" s="41">
        <v>0</v>
      </c>
      <c r="H1961" s="42"/>
      <c r="I1961" s="42"/>
      <c r="J1961" s="42"/>
    </row>
    <row r="1962" spans="5:10">
      <c r="E1962" s="43">
        <v>45332.499999993015</v>
      </c>
      <c r="F1962" s="41">
        <v>14.79039751230939</v>
      </c>
      <c r="G1962" s="41">
        <v>0</v>
      </c>
      <c r="H1962" s="42"/>
      <c r="I1962" s="42"/>
      <c r="J1962" s="42"/>
    </row>
    <row r="1963" spans="5:10">
      <c r="E1963" s="43">
        <v>45332.503472215234</v>
      </c>
      <c r="F1963" s="41">
        <v>14.79039751230939</v>
      </c>
      <c r="G1963" s="41">
        <v>0</v>
      </c>
      <c r="H1963" s="42"/>
      <c r="I1963" s="42"/>
      <c r="J1963" s="42"/>
    </row>
    <row r="1964" spans="5:10">
      <c r="E1964" s="43">
        <v>45332.506944437453</v>
      </c>
      <c r="F1964" s="41">
        <v>14.79039751230939</v>
      </c>
      <c r="G1964" s="41">
        <v>0</v>
      </c>
      <c r="H1964" s="42"/>
      <c r="I1964" s="42"/>
      <c r="J1964" s="42"/>
    </row>
    <row r="1965" spans="5:10">
      <c r="E1965" s="43">
        <v>45332.510416659672</v>
      </c>
      <c r="F1965" s="41">
        <v>14.79039751230939</v>
      </c>
      <c r="G1965" s="41">
        <v>0</v>
      </c>
      <c r="H1965" s="42"/>
      <c r="I1965" s="42"/>
      <c r="J1965" s="42"/>
    </row>
    <row r="1966" spans="5:10">
      <c r="E1966" s="43">
        <v>45332.513888881891</v>
      </c>
      <c r="F1966" s="41">
        <v>14.79039751230939</v>
      </c>
      <c r="G1966" s="41">
        <v>0</v>
      </c>
      <c r="H1966" s="42"/>
      <c r="I1966" s="42"/>
      <c r="J1966" s="42"/>
    </row>
    <row r="1967" spans="5:10">
      <c r="E1967" s="43">
        <v>45332.51736110411</v>
      </c>
      <c r="F1967" s="41">
        <v>14.79039751230939</v>
      </c>
      <c r="G1967" s="41">
        <v>0</v>
      </c>
      <c r="H1967" s="42"/>
      <c r="I1967" s="42"/>
      <c r="J1967" s="42"/>
    </row>
    <row r="1968" spans="5:10">
      <c r="E1968" s="43">
        <v>45332.520833326329</v>
      </c>
      <c r="F1968" s="41">
        <v>14.79039751230939</v>
      </c>
      <c r="G1968" s="41">
        <v>0</v>
      </c>
      <c r="H1968" s="42"/>
      <c r="I1968" s="42"/>
      <c r="J1968" s="42"/>
    </row>
    <row r="1969" spans="5:10">
      <c r="E1969" s="43">
        <v>45332.524305548548</v>
      </c>
      <c r="F1969" s="41">
        <v>14.79039751230939</v>
      </c>
      <c r="G1969" s="41">
        <v>0</v>
      </c>
      <c r="H1969" s="42"/>
      <c r="I1969" s="42"/>
      <c r="J1969" s="42"/>
    </row>
    <row r="1970" spans="5:10">
      <c r="E1970" s="43">
        <v>45332.527777770767</v>
      </c>
      <c r="F1970" s="41">
        <v>14.79039751230939</v>
      </c>
      <c r="G1970" s="41">
        <v>0</v>
      </c>
      <c r="H1970" s="42"/>
      <c r="I1970" s="42"/>
      <c r="J1970" s="42"/>
    </row>
    <row r="1971" spans="5:10">
      <c r="E1971" s="43">
        <v>45332.531249992986</v>
      </c>
      <c r="F1971" s="41">
        <v>14.79039751230939</v>
      </c>
      <c r="G1971" s="41">
        <v>0</v>
      </c>
      <c r="H1971" s="42"/>
      <c r="I1971" s="42"/>
      <c r="J1971" s="42"/>
    </row>
    <row r="1972" spans="5:10">
      <c r="E1972" s="43">
        <v>45332.534722215205</v>
      </c>
      <c r="F1972" s="41">
        <v>14.79039751230939</v>
      </c>
      <c r="G1972" s="41">
        <v>0</v>
      </c>
      <c r="H1972" s="42"/>
      <c r="I1972" s="42"/>
      <c r="J1972" s="42"/>
    </row>
    <row r="1973" spans="5:10">
      <c r="E1973" s="43">
        <v>45332.538194437424</v>
      </c>
      <c r="F1973" s="41">
        <v>14.79039751230939</v>
      </c>
      <c r="G1973" s="41">
        <v>0</v>
      </c>
      <c r="H1973" s="42"/>
      <c r="I1973" s="42"/>
      <c r="J1973" s="42"/>
    </row>
    <row r="1974" spans="5:10">
      <c r="E1974" s="43">
        <v>45332.541666659643</v>
      </c>
      <c r="F1974" s="41">
        <v>14.79039751230939</v>
      </c>
      <c r="G1974" s="41">
        <v>0</v>
      </c>
      <c r="H1974" s="42"/>
      <c r="I1974" s="42"/>
      <c r="J1974" s="42"/>
    </row>
    <row r="1975" spans="5:10">
      <c r="E1975" s="43">
        <v>45332.545138881862</v>
      </c>
      <c r="F1975" s="41">
        <v>14.79039751230939</v>
      </c>
      <c r="G1975" s="41">
        <v>0</v>
      </c>
      <c r="H1975" s="42"/>
      <c r="I1975" s="42"/>
      <c r="J1975" s="42"/>
    </row>
    <row r="1976" spans="5:10">
      <c r="E1976" s="43">
        <v>45332.548611104081</v>
      </c>
      <c r="F1976" s="41">
        <v>14.79039751230939</v>
      </c>
      <c r="G1976" s="41">
        <v>0</v>
      </c>
      <c r="H1976" s="42"/>
      <c r="I1976" s="42"/>
      <c r="J1976" s="42"/>
    </row>
    <row r="1977" spans="5:10">
      <c r="E1977" s="43">
        <v>45332.5520833263</v>
      </c>
      <c r="F1977" s="41">
        <v>14.79039751230939</v>
      </c>
      <c r="G1977" s="41">
        <v>0</v>
      </c>
      <c r="H1977" s="42"/>
      <c r="I1977" s="42"/>
      <c r="J1977" s="42"/>
    </row>
    <row r="1978" spans="5:10">
      <c r="E1978" s="43">
        <v>45332.555555548519</v>
      </c>
      <c r="F1978" s="41">
        <v>14.79039751230939</v>
      </c>
      <c r="G1978" s="41">
        <v>0</v>
      </c>
      <c r="H1978" s="42"/>
      <c r="I1978" s="42"/>
      <c r="J1978" s="42"/>
    </row>
    <row r="1979" spans="5:10">
      <c r="E1979" s="43">
        <v>45332.559027770738</v>
      </c>
      <c r="F1979" s="41">
        <v>14.79039751230939</v>
      </c>
      <c r="G1979" s="41">
        <v>0</v>
      </c>
      <c r="H1979" s="42"/>
      <c r="I1979" s="42"/>
      <c r="J1979" s="42"/>
    </row>
    <row r="1980" spans="5:10">
      <c r="E1980" s="43">
        <v>45332.562499992957</v>
      </c>
      <c r="F1980" s="41">
        <v>14.79039751230939</v>
      </c>
      <c r="G1980" s="41">
        <v>0</v>
      </c>
      <c r="H1980" s="42"/>
      <c r="I1980" s="42"/>
      <c r="J1980" s="42"/>
    </row>
    <row r="1981" spans="5:10">
      <c r="E1981" s="43">
        <v>45332.565972215176</v>
      </c>
      <c r="F1981" s="41">
        <v>14.79039751230939</v>
      </c>
      <c r="G1981" s="41">
        <v>0</v>
      </c>
      <c r="H1981" s="42"/>
      <c r="I1981" s="42"/>
      <c r="J1981" s="42"/>
    </row>
    <row r="1982" spans="5:10">
      <c r="E1982" s="43">
        <v>45332.569444437395</v>
      </c>
      <c r="F1982" s="41">
        <v>14.79039751230939</v>
      </c>
      <c r="G1982" s="41">
        <v>0</v>
      </c>
      <c r="H1982" s="42"/>
      <c r="I1982" s="42"/>
      <c r="J1982" s="42"/>
    </row>
    <row r="1983" spans="5:10">
      <c r="E1983" s="43">
        <v>45332.572916659614</v>
      </c>
      <c r="F1983" s="41">
        <v>14.79039751230939</v>
      </c>
      <c r="G1983" s="41">
        <v>0</v>
      </c>
      <c r="H1983" s="42"/>
      <c r="I1983" s="42"/>
      <c r="J1983" s="42"/>
    </row>
    <row r="1984" spans="5:10">
      <c r="E1984" s="43">
        <v>45332.576388881833</v>
      </c>
      <c r="F1984" s="41">
        <v>14.79039751230939</v>
      </c>
      <c r="G1984" s="41">
        <v>0</v>
      </c>
      <c r="H1984" s="42"/>
      <c r="I1984" s="42"/>
      <c r="J1984" s="42"/>
    </row>
    <row r="1985" spans="5:10">
      <c r="E1985" s="43">
        <v>45332.579861104052</v>
      </c>
      <c r="F1985" s="41">
        <v>14.79039751230939</v>
      </c>
      <c r="G1985" s="41">
        <v>0</v>
      </c>
      <c r="H1985" s="42"/>
      <c r="I1985" s="42"/>
      <c r="J1985" s="42"/>
    </row>
    <row r="1986" spans="5:10">
      <c r="E1986" s="43">
        <v>45332.583333326271</v>
      </c>
      <c r="F1986" s="41">
        <v>14.79039751230939</v>
      </c>
      <c r="G1986" s="41">
        <v>0</v>
      </c>
      <c r="H1986" s="42"/>
      <c r="I1986" s="42"/>
      <c r="J1986" s="42"/>
    </row>
    <row r="1987" spans="5:10">
      <c r="E1987" s="43">
        <v>45332.58680554849</v>
      </c>
      <c r="F1987" s="41">
        <v>14.79039751230939</v>
      </c>
      <c r="G1987" s="41">
        <v>0</v>
      </c>
      <c r="H1987" s="42"/>
      <c r="I1987" s="42"/>
      <c r="J1987" s="42"/>
    </row>
    <row r="1988" spans="5:10">
      <c r="E1988" s="43">
        <v>45332.590277770709</v>
      </c>
      <c r="F1988" s="41">
        <v>14.79039751230939</v>
      </c>
      <c r="G1988" s="41">
        <v>0</v>
      </c>
      <c r="H1988" s="42"/>
      <c r="I1988" s="42"/>
      <c r="J1988" s="42"/>
    </row>
    <row r="1989" spans="5:10">
      <c r="E1989" s="43">
        <v>45332.593749992928</v>
      </c>
      <c r="F1989" s="41">
        <v>14.79039751230939</v>
      </c>
      <c r="G1989" s="41">
        <v>0</v>
      </c>
      <c r="H1989" s="42"/>
      <c r="I1989" s="42"/>
      <c r="J1989" s="42"/>
    </row>
    <row r="1990" spans="5:10">
      <c r="E1990" s="43">
        <v>45332.597222215147</v>
      </c>
      <c r="F1990" s="41">
        <v>14.79039751230939</v>
      </c>
      <c r="G1990" s="41">
        <v>0</v>
      </c>
      <c r="H1990" s="42"/>
      <c r="I1990" s="42"/>
      <c r="J1990" s="42"/>
    </row>
    <row r="1991" spans="5:10">
      <c r="E1991" s="43">
        <v>45332.600694437366</v>
      </c>
      <c r="F1991" s="41">
        <v>14.79039751230939</v>
      </c>
      <c r="G1991" s="41">
        <v>0</v>
      </c>
      <c r="H1991" s="42"/>
      <c r="I1991" s="42"/>
      <c r="J1991" s="42"/>
    </row>
    <row r="1992" spans="5:10">
      <c r="E1992" s="43">
        <v>45332.604166659585</v>
      </c>
      <c r="F1992" s="41">
        <v>14.79039751230939</v>
      </c>
      <c r="G1992" s="41">
        <v>0</v>
      </c>
      <c r="H1992" s="42"/>
      <c r="I1992" s="42"/>
      <c r="J1992" s="42"/>
    </row>
    <row r="1993" spans="5:10">
      <c r="E1993" s="43">
        <v>45332.607638881804</v>
      </c>
      <c r="F1993" s="41">
        <v>14.79039751230939</v>
      </c>
      <c r="G1993" s="41">
        <v>0</v>
      </c>
      <c r="H1993" s="42"/>
      <c r="I1993" s="42"/>
      <c r="J1993" s="42"/>
    </row>
    <row r="1994" spans="5:10">
      <c r="E1994" s="43">
        <v>45332.611111104023</v>
      </c>
      <c r="F1994" s="41">
        <v>14.79039751230939</v>
      </c>
      <c r="G1994" s="41">
        <v>0</v>
      </c>
      <c r="H1994" s="42"/>
      <c r="I1994" s="42"/>
      <c r="J1994" s="42"/>
    </row>
    <row r="1995" spans="5:10">
      <c r="E1995" s="43">
        <v>45332.614583326242</v>
      </c>
      <c r="F1995" s="41">
        <v>14.79039751230939</v>
      </c>
      <c r="G1995" s="41">
        <v>0</v>
      </c>
      <c r="H1995" s="42"/>
      <c r="I1995" s="42"/>
      <c r="J1995" s="42"/>
    </row>
    <row r="1996" spans="5:10">
      <c r="E1996" s="43">
        <v>45332.618055548461</v>
      </c>
      <c r="F1996" s="41">
        <v>14.79039751230939</v>
      </c>
      <c r="G1996" s="41">
        <v>0</v>
      </c>
      <c r="H1996" s="42"/>
      <c r="I1996" s="42"/>
      <c r="J1996" s="42"/>
    </row>
    <row r="1997" spans="5:10">
      <c r="E1997" s="43">
        <v>45332.62152777068</v>
      </c>
      <c r="F1997" s="41">
        <v>14.79039751230939</v>
      </c>
      <c r="G1997" s="41">
        <v>0</v>
      </c>
      <c r="H1997" s="42"/>
      <c r="I1997" s="42"/>
      <c r="J1997" s="42"/>
    </row>
    <row r="1998" spans="5:10">
      <c r="E1998" s="43">
        <v>45332.624999992899</v>
      </c>
      <c r="F1998" s="41">
        <v>14.79039751230939</v>
      </c>
      <c r="G1998" s="41">
        <v>0</v>
      </c>
      <c r="H1998" s="42"/>
      <c r="I1998" s="42"/>
      <c r="J1998" s="42"/>
    </row>
    <row r="1999" spans="5:10">
      <c r="E1999" s="43">
        <v>45332.628472215118</v>
      </c>
      <c r="F1999" s="41">
        <v>14.79039751230939</v>
      </c>
      <c r="G1999" s="41">
        <v>0</v>
      </c>
      <c r="H1999" s="42"/>
      <c r="I1999" s="42"/>
      <c r="J1999" s="42"/>
    </row>
    <row r="2000" spans="5:10">
      <c r="E2000" s="43">
        <v>45332.631944437337</v>
      </c>
      <c r="F2000" s="41">
        <v>14.79039751230939</v>
      </c>
      <c r="G2000" s="41">
        <v>0</v>
      </c>
      <c r="H2000" s="42"/>
      <c r="I2000" s="42"/>
      <c r="J2000" s="42"/>
    </row>
    <row r="2001" spans="5:10">
      <c r="E2001" s="43">
        <v>45332.635416659556</v>
      </c>
      <c r="F2001" s="41">
        <v>14.79039751230939</v>
      </c>
      <c r="G2001" s="41">
        <v>0</v>
      </c>
      <c r="H2001" s="42"/>
      <c r="I2001" s="42"/>
      <c r="J2001" s="42"/>
    </row>
    <row r="2002" spans="5:10">
      <c r="E2002" s="43">
        <v>45332.638888881775</v>
      </c>
      <c r="F2002" s="41">
        <v>14.79039751230939</v>
      </c>
      <c r="G2002" s="41">
        <v>0</v>
      </c>
      <c r="H2002" s="42"/>
      <c r="I2002" s="42"/>
      <c r="J2002" s="42"/>
    </row>
    <row r="2003" spans="5:10">
      <c r="E2003" s="43">
        <v>45332.642361103994</v>
      </c>
      <c r="F2003" s="41">
        <v>14.79039751230939</v>
      </c>
      <c r="G2003" s="41">
        <v>0</v>
      </c>
      <c r="H2003" s="42"/>
      <c r="I2003" s="42"/>
      <c r="J2003" s="42"/>
    </row>
    <row r="2004" spans="5:10">
      <c r="E2004" s="43">
        <v>45332.645833326213</v>
      </c>
      <c r="F2004" s="41">
        <v>14.79039751230939</v>
      </c>
      <c r="G2004" s="41">
        <v>0</v>
      </c>
      <c r="H2004" s="42"/>
      <c r="I2004" s="42"/>
      <c r="J2004" s="42"/>
    </row>
    <row r="2005" spans="5:10">
      <c r="E2005" s="43">
        <v>45332.649305548432</v>
      </c>
      <c r="F2005" s="41">
        <v>14.79039751230939</v>
      </c>
      <c r="G2005" s="41">
        <v>0</v>
      </c>
      <c r="H2005" s="42"/>
      <c r="I2005" s="42"/>
      <c r="J2005" s="42"/>
    </row>
    <row r="2006" spans="5:10">
      <c r="E2006" s="43">
        <v>45332.652777770651</v>
      </c>
      <c r="F2006" s="41">
        <v>14.79039751230939</v>
      </c>
      <c r="G2006" s="41">
        <v>0</v>
      </c>
      <c r="H2006" s="42"/>
      <c r="I2006" s="42"/>
      <c r="J2006" s="42"/>
    </row>
    <row r="2007" spans="5:10">
      <c r="E2007" s="43">
        <v>45332.65624999287</v>
      </c>
      <c r="F2007" s="41">
        <v>14.79039751230939</v>
      </c>
      <c r="G2007" s="41">
        <v>0</v>
      </c>
      <c r="H2007" s="42"/>
      <c r="I2007" s="42"/>
      <c r="J2007" s="42"/>
    </row>
    <row r="2008" spans="5:10">
      <c r="E2008" s="43">
        <v>45332.659722215089</v>
      </c>
      <c r="F2008" s="41">
        <v>14.79039751230939</v>
      </c>
      <c r="G2008" s="41">
        <v>0</v>
      </c>
      <c r="H2008" s="42"/>
      <c r="I2008" s="42"/>
      <c r="J2008" s="42"/>
    </row>
    <row r="2009" spans="5:10">
      <c r="E2009" s="43">
        <v>45332.663194437308</v>
      </c>
      <c r="F2009" s="41">
        <v>14.79039751230939</v>
      </c>
      <c r="G2009" s="41">
        <v>0</v>
      </c>
      <c r="H2009" s="42"/>
      <c r="I2009" s="42"/>
      <c r="J2009" s="42"/>
    </row>
    <row r="2010" spans="5:10">
      <c r="E2010" s="43">
        <v>45332.666666659527</v>
      </c>
      <c r="F2010" s="41">
        <v>14.79039751230939</v>
      </c>
      <c r="G2010" s="41">
        <v>0</v>
      </c>
      <c r="H2010" s="42"/>
      <c r="I2010" s="42"/>
      <c r="J2010" s="42"/>
    </row>
    <row r="2011" spans="5:10">
      <c r="E2011" s="43">
        <v>45332.670138881746</v>
      </c>
      <c r="F2011" s="41">
        <v>14.79039751230939</v>
      </c>
      <c r="G2011" s="41">
        <v>0</v>
      </c>
      <c r="H2011" s="42"/>
      <c r="I2011" s="42"/>
      <c r="J2011" s="42"/>
    </row>
    <row r="2012" spans="5:10">
      <c r="E2012" s="43">
        <v>45332.673611103965</v>
      </c>
      <c r="F2012" s="41">
        <v>14.79039751230939</v>
      </c>
      <c r="G2012" s="41">
        <v>0</v>
      </c>
      <c r="H2012" s="42"/>
      <c r="I2012" s="42"/>
      <c r="J2012" s="42"/>
    </row>
    <row r="2013" spans="5:10">
      <c r="E2013" s="43">
        <v>45332.677083326183</v>
      </c>
      <c r="F2013" s="41">
        <v>14.79039751230939</v>
      </c>
      <c r="G2013" s="41">
        <v>0</v>
      </c>
      <c r="H2013" s="42"/>
      <c r="I2013" s="42"/>
      <c r="J2013" s="42"/>
    </row>
    <row r="2014" spans="5:10">
      <c r="E2014" s="43">
        <v>45332.680555548402</v>
      </c>
      <c r="F2014" s="41">
        <v>14.79039751230939</v>
      </c>
      <c r="G2014" s="41">
        <v>0</v>
      </c>
      <c r="H2014" s="42"/>
      <c r="I2014" s="42"/>
      <c r="J2014" s="42"/>
    </row>
    <row r="2015" spans="5:10">
      <c r="E2015" s="43">
        <v>45332.684027770621</v>
      </c>
      <c r="F2015" s="41">
        <v>14.79039751230939</v>
      </c>
      <c r="G2015" s="41">
        <v>0</v>
      </c>
      <c r="H2015" s="42"/>
      <c r="I2015" s="42"/>
      <c r="J2015" s="42"/>
    </row>
    <row r="2016" spans="5:10">
      <c r="E2016" s="43">
        <v>45332.68749999284</v>
      </c>
      <c r="F2016" s="41">
        <v>14.79039751230939</v>
      </c>
      <c r="G2016" s="41">
        <v>0</v>
      </c>
      <c r="H2016" s="42"/>
      <c r="I2016" s="42"/>
      <c r="J2016" s="42"/>
    </row>
    <row r="2017" spans="5:10">
      <c r="E2017" s="43">
        <v>45332.690972215059</v>
      </c>
      <c r="F2017" s="41">
        <v>14.79039751230939</v>
      </c>
      <c r="G2017" s="41">
        <v>0</v>
      </c>
      <c r="H2017" s="42"/>
      <c r="I2017" s="42"/>
      <c r="J2017" s="42"/>
    </row>
    <row r="2018" spans="5:10">
      <c r="E2018" s="43">
        <v>45332.694444437278</v>
      </c>
      <c r="F2018" s="41">
        <v>14.79039751230939</v>
      </c>
      <c r="G2018" s="41">
        <v>0</v>
      </c>
      <c r="H2018" s="42"/>
      <c r="I2018" s="42"/>
      <c r="J2018" s="42"/>
    </row>
    <row r="2019" spans="5:10">
      <c r="E2019" s="43">
        <v>45332.697916659497</v>
      </c>
      <c r="F2019" s="41">
        <v>14.79039751230939</v>
      </c>
      <c r="G2019" s="41">
        <v>0</v>
      </c>
      <c r="H2019" s="42"/>
      <c r="I2019" s="42"/>
      <c r="J2019" s="42"/>
    </row>
    <row r="2020" spans="5:10">
      <c r="E2020" s="43">
        <v>45332.701388881716</v>
      </c>
      <c r="F2020" s="41">
        <v>14.79039751230939</v>
      </c>
      <c r="G2020" s="41">
        <v>0</v>
      </c>
      <c r="H2020" s="42"/>
      <c r="I2020" s="42"/>
      <c r="J2020" s="42"/>
    </row>
    <row r="2021" spans="5:10">
      <c r="E2021" s="43">
        <v>45332.704861103935</v>
      </c>
      <c r="F2021" s="41">
        <v>14.79039751230939</v>
      </c>
      <c r="G2021" s="41">
        <v>0</v>
      </c>
      <c r="H2021" s="42"/>
      <c r="I2021" s="42"/>
      <c r="J2021" s="42"/>
    </row>
    <row r="2022" spans="5:10">
      <c r="E2022" s="43">
        <v>45332.708333326154</v>
      </c>
      <c r="F2022" s="41">
        <v>14.79039751230939</v>
      </c>
      <c r="G2022" s="41">
        <v>0</v>
      </c>
      <c r="H2022" s="42"/>
      <c r="I2022" s="42"/>
      <c r="J2022" s="42"/>
    </row>
    <row r="2023" spans="5:10">
      <c r="E2023" s="43">
        <v>45332.711805548373</v>
      </c>
      <c r="F2023" s="41">
        <v>14.79039751230939</v>
      </c>
      <c r="G2023" s="41">
        <v>0</v>
      </c>
      <c r="H2023" s="42"/>
      <c r="I2023" s="42"/>
      <c r="J2023" s="42"/>
    </row>
    <row r="2024" spans="5:10">
      <c r="E2024" s="43">
        <v>45332.715277770592</v>
      </c>
      <c r="F2024" s="41">
        <v>14.79039751230939</v>
      </c>
      <c r="G2024" s="41">
        <v>0</v>
      </c>
      <c r="H2024" s="42"/>
      <c r="I2024" s="42"/>
      <c r="J2024" s="42"/>
    </row>
    <row r="2025" spans="5:10">
      <c r="E2025" s="43">
        <v>45332.718749992811</v>
      </c>
      <c r="F2025" s="41">
        <v>14.79039751230939</v>
      </c>
      <c r="G2025" s="41">
        <v>0</v>
      </c>
      <c r="H2025" s="42"/>
      <c r="I2025" s="42"/>
      <c r="J2025" s="42"/>
    </row>
    <row r="2026" spans="5:10">
      <c r="E2026" s="43">
        <v>45332.72222221503</v>
      </c>
      <c r="F2026" s="41">
        <v>14.79039751230939</v>
      </c>
      <c r="G2026" s="41">
        <v>0</v>
      </c>
      <c r="H2026" s="42"/>
      <c r="I2026" s="42"/>
      <c r="J2026" s="42"/>
    </row>
    <row r="2027" spans="5:10">
      <c r="E2027" s="43">
        <v>45332.725694437249</v>
      </c>
      <c r="F2027" s="41">
        <v>14.79039751230939</v>
      </c>
      <c r="G2027" s="41">
        <v>0</v>
      </c>
      <c r="H2027" s="42"/>
      <c r="I2027" s="42"/>
      <c r="J2027" s="42"/>
    </row>
    <row r="2028" spans="5:10">
      <c r="E2028" s="43">
        <v>45332.729166659468</v>
      </c>
      <c r="F2028" s="41">
        <v>14.79039751230939</v>
      </c>
      <c r="G2028" s="41">
        <v>0</v>
      </c>
      <c r="H2028" s="42"/>
      <c r="I2028" s="42"/>
      <c r="J2028" s="42"/>
    </row>
    <row r="2029" spans="5:10">
      <c r="E2029" s="43">
        <v>45332.732638881687</v>
      </c>
      <c r="F2029" s="41">
        <v>14.79039751230939</v>
      </c>
      <c r="G2029" s="41">
        <v>0</v>
      </c>
      <c r="H2029" s="42"/>
      <c r="I2029" s="42"/>
      <c r="J2029" s="42"/>
    </row>
    <row r="2030" spans="5:10">
      <c r="E2030" s="43">
        <v>45332.736111103906</v>
      </c>
      <c r="F2030" s="41">
        <v>14.79039751230939</v>
      </c>
      <c r="G2030" s="41">
        <v>0</v>
      </c>
      <c r="H2030" s="42"/>
      <c r="I2030" s="42"/>
      <c r="J2030" s="42"/>
    </row>
    <row r="2031" spans="5:10">
      <c r="E2031" s="43">
        <v>45332.739583326125</v>
      </c>
      <c r="F2031" s="41">
        <v>14.79039751230939</v>
      </c>
      <c r="G2031" s="41">
        <v>0</v>
      </c>
      <c r="H2031" s="42"/>
      <c r="I2031" s="42"/>
      <c r="J2031" s="42"/>
    </row>
    <row r="2032" spans="5:10">
      <c r="E2032" s="43">
        <v>45332.743055548344</v>
      </c>
      <c r="F2032" s="41">
        <v>14.79039751230939</v>
      </c>
      <c r="G2032" s="41">
        <v>0</v>
      </c>
      <c r="H2032" s="42"/>
      <c r="I2032" s="42"/>
      <c r="J2032" s="42"/>
    </row>
    <row r="2033" spans="5:10">
      <c r="E2033" s="43">
        <v>45332.746527770563</v>
      </c>
      <c r="F2033" s="41">
        <v>14.79039751230939</v>
      </c>
      <c r="G2033" s="41">
        <v>0</v>
      </c>
      <c r="H2033" s="42"/>
      <c r="I2033" s="42"/>
      <c r="J2033" s="42"/>
    </row>
    <row r="2034" spans="5:10">
      <c r="E2034" s="43">
        <v>45332.749999992782</v>
      </c>
      <c r="F2034" s="41">
        <v>14.79039751230939</v>
      </c>
      <c r="G2034" s="41">
        <v>0</v>
      </c>
      <c r="H2034" s="42"/>
      <c r="I2034" s="42"/>
      <c r="J2034" s="42"/>
    </row>
    <row r="2035" spans="5:10">
      <c r="E2035" s="43">
        <v>45332.753472215001</v>
      </c>
      <c r="F2035" s="41">
        <v>14.79039751230939</v>
      </c>
      <c r="G2035" s="41">
        <v>0</v>
      </c>
      <c r="H2035" s="42"/>
      <c r="I2035" s="42"/>
      <c r="J2035" s="42"/>
    </row>
    <row r="2036" spans="5:10">
      <c r="E2036" s="43">
        <v>45332.75694443722</v>
      </c>
      <c r="F2036" s="41">
        <v>14.79039751230939</v>
      </c>
      <c r="G2036" s="41">
        <v>0</v>
      </c>
      <c r="H2036" s="42"/>
      <c r="I2036" s="42"/>
      <c r="J2036" s="42"/>
    </row>
    <row r="2037" spans="5:10">
      <c r="E2037" s="43">
        <v>45332.760416659439</v>
      </c>
      <c r="F2037" s="41">
        <v>14.79039751230939</v>
      </c>
      <c r="G2037" s="41">
        <v>0</v>
      </c>
      <c r="H2037" s="42"/>
      <c r="I2037" s="42"/>
      <c r="J2037" s="42"/>
    </row>
    <row r="2038" spans="5:10">
      <c r="E2038" s="43">
        <v>45332.763888881658</v>
      </c>
      <c r="F2038" s="41">
        <v>14.79039751230939</v>
      </c>
      <c r="G2038" s="41">
        <v>0</v>
      </c>
      <c r="H2038" s="42"/>
      <c r="I2038" s="42"/>
      <c r="J2038" s="42"/>
    </row>
    <row r="2039" spans="5:10">
      <c r="E2039" s="43">
        <v>45332.767361103877</v>
      </c>
      <c r="F2039" s="41">
        <v>14.79039751230939</v>
      </c>
      <c r="G2039" s="41">
        <v>0</v>
      </c>
      <c r="H2039" s="42"/>
      <c r="I2039" s="42"/>
      <c r="J2039" s="42"/>
    </row>
    <row r="2040" spans="5:10">
      <c r="E2040" s="43">
        <v>45332.770833326096</v>
      </c>
      <c r="F2040" s="41">
        <v>14.79039751230939</v>
      </c>
      <c r="G2040" s="41">
        <v>0</v>
      </c>
      <c r="H2040" s="42"/>
      <c r="I2040" s="42"/>
      <c r="J2040" s="42"/>
    </row>
    <row r="2041" spans="5:10">
      <c r="E2041" s="43">
        <v>45332.774305548315</v>
      </c>
      <c r="F2041" s="41">
        <v>14.79039751230939</v>
      </c>
      <c r="G2041" s="41">
        <v>0</v>
      </c>
      <c r="H2041" s="42"/>
      <c r="I2041" s="42"/>
      <c r="J2041" s="42"/>
    </row>
    <row r="2042" spans="5:10">
      <c r="E2042" s="43">
        <v>45332.777777770534</v>
      </c>
      <c r="F2042" s="41">
        <v>14.79039751230939</v>
      </c>
      <c r="G2042" s="41">
        <v>0</v>
      </c>
      <c r="H2042" s="42"/>
      <c r="I2042" s="42"/>
      <c r="J2042" s="42"/>
    </row>
    <row r="2043" spans="5:10">
      <c r="E2043" s="43">
        <v>45332.781249992753</v>
      </c>
      <c r="F2043" s="41">
        <v>14.79039751230939</v>
      </c>
      <c r="G2043" s="41">
        <v>0</v>
      </c>
      <c r="H2043" s="42"/>
      <c r="I2043" s="42"/>
      <c r="J2043" s="42"/>
    </row>
    <row r="2044" spans="5:10">
      <c r="E2044" s="43">
        <v>45332.784722214972</v>
      </c>
      <c r="F2044" s="41">
        <v>14.79039751230939</v>
      </c>
      <c r="G2044" s="41">
        <v>0</v>
      </c>
      <c r="H2044" s="42"/>
      <c r="I2044" s="42"/>
      <c r="J2044" s="42"/>
    </row>
    <row r="2045" spans="5:10">
      <c r="E2045" s="43">
        <v>45332.788194437191</v>
      </c>
      <c r="F2045" s="41">
        <v>14.79039751230939</v>
      </c>
      <c r="G2045" s="41">
        <v>0</v>
      </c>
      <c r="H2045" s="42"/>
      <c r="I2045" s="42"/>
      <c r="J2045" s="42"/>
    </row>
    <row r="2046" spans="5:10">
      <c r="E2046" s="43">
        <v>45332.79166665941</v>
      </c>
      <c r="F2046" s="41">
        <v>14.79039751230939</v>
      </c>
      <c r="G2046" s="41">
        <v>0</v>
      </c>
      <c r="H2046" s="42"/>
      <c r="I2046" s="42"/>
      <c r="J2046" s="42"/>
    </row>
    <row r="2047" spans="5:10">
      <c r="E2047" s="43">
        <v>45332.795138881629</v>
      </c>
      <c r="F2047" s="41">
        <v>14.79039751230939</v>
      </c>
      <c r="G2047" s="41">
        <v>0</v>
      </c>
      <c r="H2047" s="42"/>
      <c r="I2047" s="42"/>
      <c r="J2047" s="42"/>
    </row>
    <row r="2048" spans="5:10">
      <c r="E2048" s="43">
        <v>45332.798611103848</v>
      </c>
      <c r="F2048" s="41">
        <v>14.79039751230939</v>
      </c>
      <c r="G2048" s="41">
        <v>0</v>
      </c>
      <c r="H2048" s="42"/>
      <c r="I2048" s="42"/>
      <c r="J2048" s="42"/>
    </row>
    <row r="2049" spans="5:10">
      <c r="E2049" s="43">
        <v>45332.802083326067</v>
      </c>
      <c r="F2049" s="41">
        <v>14.79039751230939</v>
      </c>
      <c r="G2049" s="41">
        <v>0</v>
      </c>
      <c r="H2049" s="42"/>
      <c r="I2049" s="42"/>
      <c r="J2049" s="42"/>
    </row>
    <row r="2050" spans="5:10">
      <c r="E2050" s="43">
        <v>45332.805555548286</v>
      </c>
      <c r="F2050" s="41">
        <v>14.79039751230939</v>
      </c>
      <c r="G2050" s="41">
        <v>0</v>
      </c>
      <c r="H2050" s="42"/>
      <c r="I2050" s="42"/>
      <c r="J2050" s="42"/>
    </row>
    <row r="2051" spans="5:10">
      <c r="E2051" s="43">
        <v>45332.809027770505</v>
      </c>
      <c r="F2051" s="41">
        <v>14.79039751230939</v>
      </c>
      <c r="G2051" s="41">
        <v>0</v>
      </c>
      <c r="H2051" s="42"/>
      <c r="I2051" s="42"/>
      <c r="J2051" s="42"/>
    </row>
    <row r="2052" spans="5:10">
      <c r="E2052" s="43">
        <v>45332.812499992724</v>
      </c>
      <c r="F2052" s="41">
        <v>14.79039751230939</v>
      </c>
      <c r="G2052" s="41">
        <v>0</v>
      </c>
      <c r="H2052" s="42"/>
      <c r="I2052" s="42"/>
      <c r="J2052" s="42"/>
    </row>
    <row r="2053" spans="5:10">
      <c r="E2053" s="43">
        <v>45332.815972214943</v>
      </c>
      <c r="F2053" s="41">
        <v>14.79039751230939</v>
      </c>
      <c r="G2053" s="41">
        <v>0</v>
      </c>
      <c r="H2053" s="42"/>
      <c r="I2053" s="42"/>
      <c r="J2053" s="42"/>
    </row>
    <row r="2054" spans="5:10">
      <c r="E2054" s="43">
        <v>45332.819444437162</v>
      </c>
      <c r="F2054" s="41">
        <v>14.79039751230939</v>
      </c>
      <c r="G2054" s="41">
        <v>0</v>
      </c>
      <c r="H2054" s="42"/>
      <c r="I2054" s="42"/>
      <c r="J2054" s="42"/>
    </row>
    <row r="2055" spans="5:10">
      <c r="E2055" s="43">
        <v>45332.822916659381</v>
      </c>
      <c r="F2055" s="41">
        <v>14.79039751230939</v>
      </c>
      <c r="G2055" s="41">
        <v>0</v>
      </c>
      <c r="H2055" s="42"/>
      <c r="I2055" s="42"/>
      <c r="J2055" s="42"/>
    </row>
    <row r="2056" spans="5:10">
      <c r="E2056" s="43">
        <v>45332.8263888816</v>
      </c>
      <c r="F2056" s="41">
        <v>14.79039751230939</v>
      </c>
      <c r="G2056" s="41">
        <v>0</v>
      </c>
      <c r="H2056" s="42"/>
      <c r="I2056" s="42"/>
      <c r="J2056" s="42"/>
    </row>
    <row r="2057" spans="5:10">
      <c r="E2057" s="43">
        <v>45332.829861103819</v>
      </c>
      <c r="F2057" s="41">
        <v>14.79039751230939</v>
      </c>
      <c r="G2057" s="41">
        <v>0</v>
      </c>
      <c r="H2057" s="42"/>
      <c r="I2057" s="42"/>
      <c r="J2057" s="42"/>
    </row>
    <row r="2058" spans="5:10">
      <c r="E2058" s="43">
        <v>45332.833333326038</v>
      </c>
      <c r="F2058" s="41">
        <v>14.79039751230939</v>
      </c>
      <c r="G2058" s="41">
        <v>0</v>
      </c>
      <c r="H2058" s="42"/>
      <c r="I2058" s="42"/>
      <c r="J2058" s="42"/>
    </row>
    <row r="2059" spans="5:10">
      <c r="E2059" s="43">
        <v>45332.836805548257</v>
      </c>
      <c r="F2059" s="41">
        <v>14.79039751230939</v>
      </c>
      <c r="G2059" s="41">
        <v>0</v>
      </c>
      <c r="H2059" s="42"/>
      <c r="I2059" s="42"/>
      <c r="J2059" s="42"/>
    </row>
    <row r="2060" spans="5:10">
      <c r="E2060" s="43">
        <v>45332.840277770476</v>
      </c>
      <c r="F2060" s="41">
        <v>14.79039751230939</v>
      </c>
      <c r="G2060" s="41">
        <v>0</v>
      </c>
      <c r="H2060" s="42"/>
      <c r="I2060" s="42"/>
      <c r="J2060" s="42"/>
    </row>
    <row r="2061" spans="5:10">
      <c r="E2061" s="43">
        <v>45332.843749992695</v>
      </c>
      <c r="F2061" s="41">
        <v>14.79039751230939</v>
      </c>
      <c r="G2061" s="41">
        <v>0</v>
      </c>
      <c r="H2061" s="42"/>
      <c r="I2061" s="42"/>
      <c r="J2061" s="42"/>
    </row>
    <row r="2062" spans="5:10">
      <c r="E2062" s="43">
        <v>45332.847222214914</v>
      </c>
      <c r="F2062" s="41">
        <v>14.79039751230939</v>
      </c>
      <c r="G2062" s="41">
        <v>0</v>
      </c>
      <c r="H2062" s="42"/>
      <c r="I2062" s="42"/>
      <c r="J2062" s="42"/>
    </row>
    <row r="2063" spans="5:10">
      <c r="E2063" s="43">
        <v>45332.850694437133</v>
      </c>
      <c r="F2063" s="41">
        <v>14.79039751230939</v>
      </c>
      <c r="G2063" s="41">
        <v>0</v>
      </c>
      <c r="H2063" s="42"/>
      <c r="I2063" s="42"/>
      <c r="J2063" s="42"/>
    </row>
    <row r="2064" spans="5:10">
      <c r="E2064" s="43">
        <v>45332.854166659352</v>
      </c>
      <c r="F2064" s="41">
        <v>14.79039751230939</v>
      </c>
      <c r="G2064" s="41">
        <v>0</v>
      </c>
      <c r="H2064" s="42"/>
      <c r="I2064" s="42"/>
      <c r="J2064" s="42"/>
    </row>
    <row r="2065" spans="5:10">
      <c r="E2065" s="43">
        <v>45332.857638881571</v>
      </c>
      <c r="F2065" s="41">
        <v>14.79039751230939</v>
      </c>
      <c r="G2065" s="41">
        <v>0</v>
      </c>
      <c r="H2065" s="42"/>
      <c r="I2065" s="42"/>
      <c r="J2065" s="42"/>
    </row>
    <row r="2066" spans="5:10">
      <c r="E2066" s="43">
        <v>45332.86111110379</v>
      </c>
      <c r="F2066" s="41">
        <v>14.79039751230939</v>
      </c>
      <c r="G2066" s="41">
        <v>0</v>
      </c>
      <c r="H2066" s="42"/>
      <c r="I2066" s="42"/>
      <c r="J2066" s="42"/>
    </row>
    <row r="2067" spans="5:10">
      <c r="E2067" s="43">
        <v>45332.864583326009</v>
      </c>
      <c r="F2067" s="41">
        <v>14.79039751230939</v>
      </c>
      <c r="G2067" s="41">
        <v>0</v>
      </c>
      <c r="H2067" s="42"/>
      <c r="I2067" s="42"/>
      <c r="J2067" s="42"/>
    </row>
    <row r="2068" spans="5:10">
      <c r="E2068" s="43">
        <v>45332.868055548228</v>
      </c>
      <c r="F2068" s="41">
        <v>14.79039751230939</v>
      </c>
      <c r="G2068" s="41">
        <v>0</v>
      </c>
      <c r="H2068" s="42"/>
      <c r="I2068" s="42"/>
      <c r="J2068" s="42"/>
    </row>
    <row r="2069" spans="5:10">
      <c r="E2069" s="43">
        <v>45332.871527770447</v>
      </c>
      <c r="F2069" s="41">
        <v>14.79039751230939</v>
      </c>
      <c r="G2069" s="41">
        <v>0</v>
      </c>
      <c r="H2069" s="42"/>
      <c r="I2069" s="42"/>
      <c r="J2069" s="42"/>
    </row>
    <row r="2070" spans="5:10">
      <c r="E2070" s="43">
        <v>45332.874999992666</v>
      </c>
      <c r="F2070" s="41">
        <v>14.79039751230939</v>
      </c>
      <c r="G2070" s="41">
        <v>0</v>
      </c>
      <c r="H2070" s="42"/>
      <c r="I2070" s="42"/>
      <c r="J2070" s="42"/>
    </row>
    <row r="2071" spans="5:10">
      <c r="E2071" s="43">
        <v>45332.878472214885</v>
      </c>
      <c r="F2071" s="41">
        <v>14.79039751230939</v>
      </c>
      <c r="G2071" s="41">
        <v>0</v>
      </c>
      <c r="H2071" s="42"/>
      <c r="I2071" s="42"/>
      <c r="J2071" s="42"/>
    </row>
    <row r="2072" spans="5:10">
      <c r="E2072" s="43">
        <v>45332.881944437104</v>
      </c>
      <c r="F2072" s="41">
        <v>14.79039751230939</v>
      </c>
      <c r="G2072" s="41">
        <v>0</v>
      </c>
      <c r="H2072" s="42"/>
      <c r="I2072" s="42"/>
      <c r="J2072" s="42"/>
    </row>
    <row r="2073" spans="5:10">
      <c r="E2073" s="43">
        <v>45332.885416659323</v>
      </c>
      <c r="F2073" s="41">
        <v>14.79039751230939</v>
      </c>
      <c r="G2073" s="41">
        <v>0</v>
      </c>
      <c r="H2073" s="42"/>
      <c r="I2073" s="42"/>
      <c r="J2073" s="42"/>
    </row>
    <row r="2074" spans="5:10">
      <c r="E2074" s="43">
        <v>45332.888888881542</v>
      </c>
      <c r="F2074" s="41">
        <v>14.79039751230939</v>
      </c>
      <c r="G2074" s="41">
        <v>0</v>
      </c>
      <c r="H2074" s="42"/>
      <c r="I2074" s="42"/>
      <c r="J2074" s="42"/>
    </row>
    <row r="2075" spans="5:10">
      <c r="E2075" s="43">
        <v>45332.892361103761</v>
      </c>
      <c r="F2075" s="41">
        <v>14.79039751230939</v>
      </c>
      <c r="G2075" s="41">
        <v>0</v>
      </c>
      <c r="H2075" s="42"/>
      <c r="I2075" s="42"/>
      <c r="J2075" s="42"/>
    </row>
    <row r="2076" spans="5:10">
      <c r="E2076" s="43">
        <v>45332.89583332598</v>
      </c>
      <c r="F2076" s="41">
        <v>14.79039751230939</v>
      </c>
      <c r="G2076" s="41">
        <v>0</v>
      </c>
      <c r="H2076" s="42"/>
      <c r="I2076" s="42"/>
      <c r="J2076" s="42"/>
    </row>
    <row r="2077" spans="5:10">
      <c r="E2077" s="43">
        <v>45332.899305548199</v>
      </c>
      <c r="F2077" s="41">
        <v>14.79039751230939</v>
      </c>
      <c r="G2077" s="41">
        <v>0</v>
      </c>
      <c r="H2077" s="42"/>
      <c r="I2077" s="42"/>
      <c r="J2077" s="42"/>
    </row>
    <row r="2078" spans="5:10">
      <c r="E2078" s="43">
        <v>45332.902777770418</v>
      </c>
      <c r="F2078" s="41">
        <v>14.79039751230939</v>
      </c>
      <c r="G2078" s="41">
        <v>0</v>
      </c>
      <c r="H2078" s="42"/>
      <c r="I2078" s="42"/>
      <c r="J2078" s="42"/>
    </row>
    <row r="2079" spans="5:10">
      <c r="E2079" s="43">
        <v>45332.906249992637</v>
      </c>
      <c r="F2079" s="41">
        <v>14.79039751230939</v>
      </c>
      <c r="G2079" s="41">
        <v>0</v>
      </c>
      <c r="H2079" s="42"/>
      <c r="I2079" s="42"/>
      <c r="J2079" s="42"/>
    </row>
    <row r="2080" spans="5:10">
      <c r="E2080" s="43">
        <v>45332.909722214856</v>
      </c>
      <c r="F2080" s="41">
        <v>14.79039751230939</v>
      </c>
      <c r="G2080" s="41">
        <v>0</v>
      </c>
      <c r="H2080" s="42"/>
      <c r="I2080" s="42"/>
      <c r="J2080" s="42"/>
    </row>
    <row r="2081" spans="5:10">
      <c r="E2081" s="43">
        <v>45332.913194437075</v>
      </c>
      <c r="F2081" s="41">
        <v>14.79039751230939</v>
      </c>
      <c r="G2081" s="41">
        <v>0</v>
      </c>
      <c r="H2081" s="42"/>
      <c r="I2081" s="42"/>
      <c r="J2081" s="42"/>
    </row>
    <row r="2082" spans="5:10">
      <c r="E2082" s="43">
        <v>45332.916666659294</v>
      </c>
      <c r="F2082" s="41">
        <v>14.79039751230939</v>
      </c>
      <c r="G2082" s="41">
        <v>0</v>
      </c>
      <c r="H2082" s="42"/>
      <c r="I2082" s="42"/>
      <c r="J2082" s="42"/>
    </row>
    <row r="2083" spans="5:10">
      <c r="E2083" s="43">
        <v>45332.920138881513</v>
      </c>
      <c r="F2083" s="41">
        <v>14.79039751230939</v>
      </c>
      <c r="G2083" s="41">
        <v>0</v>
      </c>
      <c r="H2083" s="42"/>
      <c r="I2083" s="42"/>
      <c r="J2083" s="42"/>
    </row>
    <row r="2084" spans="5:10">
      <c r="E2084" s="43">
        <v>45332.923611103732</v>
      </c>
      <c r="F2084" s="41">
        <v>14.79039751230939</v>
      </c>
      <c r="G2084" s="41">
        <v>0</v>
      </c>
      <c r="H2084" s="42"/>
      <c r="I2084" s="42"/>
      <c r="J2084" s="42"/>
    </row>
    <row r="2085" spans="5:10">
      <c r="E2085" s="43">
        <v>45332.927083325951</v>
      </c>
      <c r="F2085" s="41">
        <v>14.79039751230939</v>
      </c>
      <c r="G2085" s="41">
        <v>0</v>
      </c>
      <c r="H2085" s="42"/>
      <c r="I2085" s="42"/>
      <c r="J2085" s="42"/>
    </row>
    <row r="2086" spans="5:10">
      <c r="E2086" s="43">
        <v>45332.93055554817</v>
      </c>
      <c r="F2086" s="41">
        <v>14.79039751230939</v>
      </c>
      <c r="G2086" s="41">
        <v>0</v>
      </c>
      <c r="H2086" s="42"/>
      <c r="I2086" s="42"/>
      <c r="J2086" s="42"/>
    </row>
    <row r="2087" spans="5:10">
      <c r="E2087" s="43">
        <v>45332.934027770389</v>
      </c>
      <c r="F2087" s="41">
        <v>14.79039751230939</v>
      </c>
      <c r="G2087" s="41">
        <v>0</v>
      </c>
      <c r="H2087" s="42"/>
      <c r="I2087" s="42"/>
      <c r="J2087" s="42"/>
    </row>
    <row r="2088" spans="5:10">
      <c r="E2088" s="43">
        <v>45332.937499992608</v>
      </c>
      <c r="F2088" s="41">
        <v>14.79039751230939</v>
      </c>
      <c r="G2088" s="41">
        <v>0</v>
      </c>
      <c r="H2088" s="42"/>
      <c r="I2088" s="42"/>
      <c r="J2088" s="42"/>
    </row>
    <row r="2089" spans="5:10">
      <c r="E2089" s="43">
        <v>45332.940972214827</v>
      </c>
      <c r="F2089" s="41">
        <v>14.79039751230939</v>
      </c>
      <c r="G2089" s="41">
        <v>0</v>
      </c>
      <c r="H2089" s="42"/>
      <c r="I2089" s="42"/>
      <c r="J2089" s="42"/>
    </row>
    <row r="2090" spans="5:10">
      <c r="E2090" s="43">
        <v>45332.944444437046</v>
      </c>
      <c r="F2090" s="41">
        <v>14.79039751230939</v>
      </c>
      <c r="G2090" s="41">
        <v>0</v>
      </c>
      <c r="H2090" s="42"/>
      <c r="I2090" s="42"/>
      <c r="J2090" s="42"/>
    </row>
    <row r="2091" spans="5:10">
      <c r="E2091" s="43">
        <v>45332.947916659265</v>
      </c>
      <c r="F2091" s="41">
        <v>14.79039751230939</v>
      </c>
      <c r="G2091" s="41">
        <v>0</v>
      </c>
      <c r="H2091" s="42"/>
      <c r="I2091" s="42"/>
      <c r="J2091" s="42"/>
    </row>
    <row r="2092" spans="5:10">
      <c r="E2092" s="43">
        <v>45332.951388881484</v>
      </c>
      <c r="F2092" s="41">
        <v>14.79039751230939</v>
      </c>
      <c r="G2092" s="41">
        <v>0</v>
      </c>
      <c r="H2092" s="42"/>
      <c r="I2092" s="42"/>
      <c r="J2092" s="42"/>
    </row>
    <row r="2093" spans="5:10">
      <c r="E2093" s="43">
        <v>45332.954861103703</v>
      </c>
      <c r="F2093" s="41">
        <v>14.79039751230939</v>
      </c>
      <c r="G2093" s="41">
        <v>0</v>
      </c>
      <c r="H2093" s="42"/>
      <c r="I2093" s="42"/>
      <c r="J2093" s="42"/>
    </row>
    <row r="2094" spans="5:10">
      <c r="E2094" s="43">
        <v>45332.958333325922</v>
      </c>
      <c r="F2094" s="41">
        <v>14.79039751230939</v>
      </c>
      <c r="G2094" s="41">
        <v>0</v>
      </c>
      <c r="H2094" s="42"/>
      <c r="I2094" s="42"/>
      <c r="J2094" s="42"/>
    </row>
    <row r="2095" spans="5:10">
      <c r="E2095" s="43">
        <v>45332.961805548141</v>
      </c>
      <c r="F2095" s="41">
        <v>14.79039751230939</v>
      </c>
      <c r="G2095" s="41">
        <v>0</v>
      </c>
      <c r="H2095" s="42"/>
      <c r="I2095" s="42"/>
      <c r="J2095" s="42"/>
    </row>
    <row r="2096" spans="5:10">
      <c r="E2096" s="43">
        <v>45332.96527777036</v>
      </c>
      <c r="F2096" s="41">
        <v>14.79039751230939</v>
      </c>
      <c r="G2096" s="41">
        <v>0</v>
      </c>
      <c r="H2096" s="42"/>
      <c r="I2096" s="42"/>
      <c r="J2096" s="42"/>
    </row>
    <row r="2097" spans="5:10">
      <c r="E2097" s="43">
        <v>45332.968749992579</v>
      </c>
      <c r="F2097" s="41">
        <v>14.79039751230939</v>
      </c>
      <c r="G2097" s="41">
        <v>0</v>
      </c>
      <c r="H2097" s="42"/>
      <c r="I2097" s="42"/>
      <c r="J2097" s="42"/>
    </row>
    <row r="2098" spans="5:10">
      <c r="E2098" s="43">
        <v>45332.972222214798</v>
      </c>
      <c r="F2098" s="41">
        <v>14.79039751230939</v>
      </c>
      <c r="G2098" s="41">
        <v>0</v>
      </c>
      <c r="H2098" s="42"/>
      <c r="I2098" s="42"/>
      <c r="J2098" s="42"/>
    </row>
    <row r="2099" spans="5:10">
      <c r="E2099" s="43">
        <v>45332.975694437017</v>
      </c>
      <c r="F2099" s="41">
        <v>14.79039751230939</v>
      </c>
      <c r="G2099" s="41">
        <v>0</v>
      </c>
      <c r="H2099" s="42"/>
      <c r="I2099" s="42"/>
      <c r="J2099" s="42"/>
    </row>
    <row r="2100" spans="5:10">
      <c r="E2100" s="43">
        <v>45332.979166659235</v>
      </c>
      <c r="F2100" s="41">
        <v>14.79039751230939</v>
      </c>
      <c r="G2100" s="41">
        <v>0</v>
      </c>
      <c r="H2100" s="42"/>
      <c r="I2100" s="42"/>
      <c r="J2100" s="42"/>
    </row>
    <row r="2101" spans="5:10">
      <c r="E2101" s="43">
        <v>45332.982638881454</v>
      </c>
      <c r="F2101" s="41">
        <v>14.79039751230939</v>
      </c>
      <c r="G2101" s="41">
        <v>0</v>
      </c>
      <c r="H2101" s="42"/>
      <c r="I2101" s="42"/>
      <c r="J2101" s="42"/>
    </row>
    <row r="2102" spans="5:10">
      <c r="E2102" s="43">
        <v>45332.986111103673</v>
      </c>
      <c r="F2102" s="41">
        <v>14.79039751230939</v>
      </c>
      <c r="G2102" s="41">
        <v>0</v>
      </c>
      <c r="H2102" s="42"/>
      <c r="I2102" s="42"/>
      <c r="J2102" s="42"/>
    </row>
    <row r="2103" spans="5:10">
      <c r="E2103" s="43">
        <v>45332.989583325892</v>
      </c>
      <c r="F2103" s="41">
        <v>14.79039751230939</v>
      </c>
      <c r="G2103" s="41">
        <v>0</v>
      </c>
      <c r="H2103" s="42"/>
      <c r="I2103" s="42"/>
      <c r="J2103" s="42"/>
    </row>
    <row r="2104" spans="5:10">
      <c r="E2104" s="43">
        <v>45332.993055548111</v>
      </c>
      <c r="F2104" s="41">
        <v>14.79039751230939</v>
      </c>
      <c r="G2104" s="41">
        <v>0</v>
      </c>
      <c r="H2104" s="42"/>
      <c r="I2104" s="42"/>
      <c r="J2104" s="42"/>
    </row>
    <row r="2105" spans="5:10">
      <c r="E2105" s="43">
        <v>45332.99652777033</v>
      </c>
      <c r="F2105" s="41">
        <v>14.79039751230939</v>
      </c>
      <c r="G2105" s="41">
        <v>0</v>
      </c>
      <c r="H2105" s="42"/>
      <c r="I2105" s="42"/>
      <c r="J2105" s="42"/>
    </row>
    <row r="2106" spans="5:10">
      <c r="E2106" s="43">
        <v>45332.999999992549</v>
      </c>
      <c r="F2106" s="41">
        <v>14.79039751230939</v>
      </c>
      <c r="G2106" s="41">
        <v>0</v>
      </c>
      <c r="H2106" s="42"/>
      <c r="I2106" s="42"/>
      <c r="J2106" s="42"/>
    </row>
    <row r="2107" spans="5:10">
      <c r="E2107" s="43">
        <v>45333.003472214768</v>
      </c>
      <c r="F2107" s="41">
        <v>14.79039751230939</v>
      </c>
      <c r="G2107" s="41">
        <v>0</v>
      </c>
      <c r="H2107" s="42"/>
      <c r="I2107" s="42"/>
      <c r="J2107" s="42"/>
    </row>
    <row r="2108" spans="5:10">
      <c r="E2108" s="43">
        <v>45333.006944436987</v>
      </c>
      <c r="F2108" s="41">
        <v>14.79039751230939</v>
      </c>
      <c r="G2108" s="41">
        <v>0</v>
      </c>
      <c r="H2108" s="42"/>
      <c r="I2108" s="42"/>
      <c r="J2108" s="42"/>
    </row>
    <row r="2109" spans="5:10">
      <c r="E2109" s="43">
        <v>45333.010416659206</v>
      </c>
      <c r="F2109" s="41">
        <v>14.79039751230939</v>
      </c>
      <c r="G2109" s="41">
        <v>0</v>
      </c>
      <c r="H2109" s="42"/>
      <c r="I2109" s="42"/>
      <c r="J2109" s="42"/>
    </row>
    <row r="2110" spans="5:10">
      <c r="E2110" s="43">
        <v>45333.013888881425</v>
      </c>
      <c r="F2110" s="41">
        <v>14.79039751230939</v>
      </c>
      <c r="G2110" s="41">
        <v>0</v>
      </c>
      <c r="H2110" s="42"/>
      <c r="I2110" s="42"/>
      <c r="J2110" s="42"/>
    </row>
    <row r="2111" spans="5:10">
      <c r="E2111" s="43">
        <v>45333.017361103644</v>
      </c>
      <c r="F2111" s="41">
        <v>14.79039751230939</v>
      </c>
      <c r="G2111" s="41">
        <v>0</v>
      </c>
      <c r="H2111" s="42"/>
      <c r="I2111" s="42"/>
      <c r="J2111" s="42"/>
    </row>
    <row r="2112" spans="5:10">
      <c r="E2112" s="43">
        <v>45333.020833325863</v>
      </c>
      <c r="F2112" s="41">
        <v>14.79039751230939</v>
      </c>
      <c r="G2112" s="41">
        <v>0</v>
      </c>
      <c r="H2112" s="42"/>
      <c r="I2112" s="42"/>
      <c r="J2112" s="42"/>
    </row>
    <row r="2113" spans="5:10">
      <c r="E2113" s="43">
        <v>45333.024305548082</v>
      </c>
      <c r="F2113" s="41">
        <v>14.79039751230939</v>
      </c>
      <c r="G2113" s="41">
        <v>0</v>
      </c>
      <c r="H2113" s="42"/>
      <c r="I2113" s="42"/>
      <c r="J2113" s="42"/>
    </row>
    <row r="2114" spans="5:10">
      <c r="E2114" s="43">
        <v>45333.027777770301</v>
      </c>
      <c r="F2114" s="41">
        <v>14.79039751230939</v>
      </c>
      <c r="G2114" s="41">
        <v>0</v>
      </c>
      <c r="H2114" s="42"/>
      <c r="I2114" s="42"/>
      <c r="J2114" s="42"/>
    </row>
    <row r="2115" spans="5:10">
      <c r="E2115" s="43">
        <v>45333.03124999252</v>
      </c>
      <c r="F2115" s="41">
        <v>14.79039751230939</v>
      </c>
      <c r="G2115" s="41">
        <v>0</v>
      </c>
      <c r="H2115" s="42"/>
      <c r="I2115" s="42"/>
      <c r="J2115" s="42"/>
    </row>
    <row r="2116" spans="5:10">
      <c r="E2116" s="43">
        <v>45333.034722214739</v>
      </c>
      <c r="F2116" s="41">
        <v>14.79039751230939</v>
      </c>
      <c r="G2116" s="41">
        <v>0</v>
      </c>
      <c r="H2116" s="42"/>
      <c r="I2116" s="42"/>
      <c r="J2116" s="42"/>
    </row>
    <row r="2117" spans="5:10">
      <c r="E2117" s="43">
        <v>45333.038194436958</v>
      </c>
      <c r="F2117" s="41">
        <v>14.79039751230939</v>
      </c>
      <c r="G2117" s="41">
        <v>0</v>
      </c>
      <c r="H2117" s="42"/>
      <c r="I2117" s="42"/>
      <c r="J2117" s="42"/>
    </row>
    <row r="2118" spans="5:10">
      <c r="E2118" s="43">
        <v>45333.041666659177</v>
      </c>
      <c r="F2118" s="41">
        <v>14.79039751230939</v>
      </c>
      <c r="G2118" s="41">
        <v>0</v>
      </c>
      <c r="H2118" s="42"/>
      <c r="I2118" s="42"/>
      <c r="J2118" s="42"/>
    </row>
    <row r="2119" spans="5:10">
      <c r="E2119" s="43">
        <v>45333.045138881396</v>
      </c>
      <c r="F2119" s="41">
        <v>14.79039751230939</v>
      </c>
      <c r="G2119" s="41">
        <v>0</v>
      </c>
      <c r="H2119" s="42"/>
      <c r="I2119" s="42"/>
      <c r="J2119" s="42"/>
    </row>
    <row r="2120" spans="5:10">
      <c r="E2120" s="43">
        <v>45333.048611103615</v>
      </c>
      <c r="F2120" s="41">
        <v>14.79039751230939</v>
      </c>
      <c r="G2120" s="41">
        <v>0</v>
      </c>
      <c r="H2120" s="42"/>
      <c r="I2120" s="42"/>
      <c r="J2120" s="42"/>
    </row>
    <row r="2121" spans="5:10">
      <c r="E2121" s="43">
        <v>45333.052083325834</v>
      </c>
      <c r="F2121" s="41">
        <v>14.79039751230939</v>
      </c>
      <c r="G2121" s="41">
        <v>0</v>
      </c>
      <c r="H2121" s="42"/>
      <c r="I2121" s="42"/>
      <c r="J2121" s="42"/>
    </row>
    <row r="2122" spans="5:10">
      <c r="E2122" s="43">
        <v>45333.055555548053</v>
      </c>
      <c r="F2122" s="41">
        <v>14.79039751230939</v>
      </c>
      <c r="G2122" s="41">
        <v>0</v>
      </c>
      <c r="H2122" s="42"/>
      <c r="I2122" s="42"/>
      <c r="J2122" s="42"/>
    </row>
    <row r="2123" spans="5:10">
      <c r="E2123" s="43">
        <v>45333.059027770272</v>
      </c>
      <c r="F2123" s="41">
        <v>14.79039751230939</v>
      </c>
      <c r="G2123" s="41">
        <v>0</v>
      </c>
      <c r="H2123" s="42"/>
      <c r="I2123" s="42"/>
      <c r="J2123" s="42"/>
    </row>
    <row r="2124" spans="5:10">
      <c r="E2124" s="43">
        <v>45333.062499992491</v>
      </c>
      <c r="F2124" s="41">
        <v>14.79039751230939</v>
      </c>
      <c r="G2124" s="41">
        <v>0</v>
      </c>
      <c r="H2124" s="42"/>
      <c r="I2124" s="42"/>
      <c r="J2124" s="42"/>
    </row>
    <row r="2125" spans="5:10">
      <c r="E2125" s="43">
        <v>45333.06597221471</v>
      </c>
      <c r="F2125" s="41">
        <v>14.79039751230939</v>
      </c>
      <c r="G2125" s="41">
        <v>0</v>
      </c>
      <c r="H2125" s="42"/>
      <c r="I2125" s="42"/>
      <c r="J2125" s="42"/>
    </row>
    <row r="2126" spans="5:10">
      <c r="E2126" s="43">
        <v>45333.069444436929</v>
      </c>
      <c r="F2126" s="41">
        <v>14.79039751230939</v>
      </c>
      <c r="G2126" s="41">
        <v>0</v>
      </c>
      <c r="H2126" s="42"/>
      <c r="I2126" s="42"/>
      <c r="J2126" s="42"/>
    </row>
    <row r="2127" spans="5:10">
      <c r="E2127" s="43">
        <v>45333.072916659148</v>
      </c>
      <c r="F2127" s="41">
        <v>14.79039751230939</v>
      </c>
      <c r="G2127" s="41">
        <v>0</v>
      </c>
      <c r="H2127" s="42"/>
      <c r="I2127" s="42"/>
      <c r="J2127" s="42"/>
    </row>
    <row r="2128" spans="5:10">
      <c r="E2128" s="43">
        <v>45333.076388881367</v>
      </c>
      <c r="F2128" s="41">
        <v>14.79039751230939</v>
      </c>
      <c r="G2128" s="41">
        <v>0</v>
      </c>
      <c r="H2128" s="42"/>
      <c r="I2128" s="42"/>
      <c r="J2128" s="42"/>
    </row>
    <row r="2129" spans="5:10">
      <c r="E2129" s="43">
        <v>45333.079861103586</v>
      </c>
      <c r="F2129" s="41">
        <v>14.79039751230939</v>
      </c>
      <c r="G2129" s="41">
        <v>0</v>
      </c>
      <c r="H2129" s="42"/>
      <c r="I2129" s="42"/>
      <c r="J2129" s="42"/>
    </row>
    <row r="2130" spans="5:10">
      <c r="E2130" s="43">
        <v>45333.083333325805</v>
      </c>
      <c r="F2130" s="41">
        <v>14.79039751230939</v>
      </c>
      <c r="G2130" s="41">
        <v>0</v>
      </c>
      <c r="H2130" s="42"/>
      <c r="I2130" s="42"/>
      <c r="J2130" s="42"/>
    </row>
    <row r="2131" spans="5:10">
      <c r="E2131" s="43">
        <v>45333.086805548024</v>
      </c>
      <c r="F2131" s="41">
        <v>14.79039751230939</v>
      </c>
      <c r="G2131" s="41">
        <v>0</v>
      </c>
      <c r="H2131" s="42"/>
      <c r="I2131" s="42"/>
      <c r="J2131" s="42"/>
    </row>
    <row r="2132" spans="5:10">
      <c r="E2132" s="43">
        <v>45333.090277770243</v>
      </c>
      <c r="F2132" s="41">
        <v>14.79039751230939</v>
      </c>
      <c r="G2132" s="41">
        <v>0</v>
      </c>
      <c r="H2132" s="42"/>
      <c r="I2132" s="42"/>
      <c r="J2132" s="42"/>
    </row>
    <row r="2133" spans="5:10">
      <c r="E2133" s="43">
        <v>45333.093749992462</v>
      </c>
      <c r="F2133" s="41">
        <v>14.79039751230939</v>
      </c>
      <c r="G2133" s="41">
        <v>0</v>
      </c>
      <c r="H2133" s="42"/>
      <c r="I2133" s="42"/>
      <c r="J2133" s="42"/>
    </row>
    <row r="2134" spans="5:10">
      <c r="E2134" s="43">
        <v>45333.097222214681</v>
      </c>
      <c r="F2134" s="41">
        <v>14.79039751230939</v>
      </c>
      <c r="G2134" s="41">
        <v>0</v>
      </c>
      <c r="H2134" s="42"/>
      <c r="I2134" s="42"/>
      <c r="J2134" s="42"/>
    </row>
    <row r="2135" spans="5:10">
      <c r="E2135" s="43">
        <v>45333.1006944369</v>
      </c>
      <c r="F2135" s="41">
        <v>14.79039751230939</v>
      </c>
      <c r="G2135" s="41">
        <v>0</v>
      </c>
      <c r="H2135" s="42"/>
      <c r="I2135" s="42"/>
      <c r="J2135" s="42"/>
    </row>
    <row r="2136" spans="5:10">
      <c r="E2136" s="43">
        <v>45333.104166659119</v>
      </c>
      <c r="F2136" s="41">
        <v>14.79039751230939</v>
      </c>
      <c r="G2136" s="41">
        <v>0</v>
      </c>
      <c r="H2136" s="42"/>
      <c r="I2136" s="42"/>
      <c r="J2136" s="42"/>
    </row>
    <row r="2137" spans="5:10">
      <c r="E2137" s="43">
        <v>45333.107638881338</v>
      </c>
      <c r="F2137" s="41">
        <v>14.79039751230939</v>
      </c>
      <c r="G2137" s="41">
        <v>0</v>
      </c>
      <c r="H2137" s="42"/>
      <c r="I2137" s="42"/>
      <c r="J2137" s="42"/>
    </row>
    <row r="2138" spans="5:10">
      <c r="E2138" s="43">
        <v>45333.111111103557</v>
      </c>
      <c r="F2138" s="41">
        <v>14.79039751230939</v>
      </c>
      <c r="G2138" s="41">
        <v>0</v>
      </c>
      <c r="H2138" s="42"/>
      <c r="I2138" s="42"/>
      <c r="J2138" s="42"/>
    </row>
    <row r="2139" spans="5:10">
      <c r="E2139" s="43">
        <v>45333.114583325776</v>
      </c>
      <c r="F2139" s="41">
        <v>14.79039751230939</v>
      </c>
      <c r="G2139" s="41">
        <v>0</v>
      </c>
      <c r="H2139" s="42"/>
      <c r="I2139" s="42"/>
      <c r="J2139" s="42"/>
    </row>
    <row r="2140" spans="5:10">
      <c r="E2140" s="43">
        <v>45333.118055547995</v>
      </c>
      <c r="F2140" s="41">
        <v>14.79039751230939</v>
      </c>
      <c r="G2140" s="41">
        <v>0</v>
      </c>
      <c r="H2140" s="42"/>
      <c r="I2140" s="42"/>
      <c r="J2140" s="42"/>
    </row>
    <row r="2141" spans="5:10">
      <c r="E2141" s="43">
        <v>45333.121527770214</v>
      </c>
      <c r="F2141" s="41">
        <v>14.79039751230939</v>
      </c>
      <c r="G2141" s="41">
        <v>0</v>
      </c>
      <c r="H2141" s="42"/>
      <c r="I2141" s="42"/>
      <c r="J2141" s="42"/>
    </row>
    <row r="2142" spans="5:10">
      <c r="E2142" s="43">
        <v>45333.124999992433</v>
      </c>
      <c r="F2142" s="41">
        <v>14.79039751230939</v>
      </c>
      <c r="G2142" s="41">
        <v>0</v>
      </c>
      <c r="H2142" s="42"/>
      <c r="I2142" s="42"/>
      <c r="J2142" s="42"/>
    </row>
    <row r="2143" spans="5:10">
      <c r="E2143" s="43">
        <v>45333.128472214652</v>
      </c>
      <c r="F2143" s="41">
        <v>14.79039751230939</v>
      </c>
      <c r="G2143" s="41">
        <v>0</v>
      </c>
      <c r="H2143" s="42"/>
      <c r="I2143" s="42"/>
      <c r="J2143" s="42"/>
    </row>
    <row r="2144" spans="5:10">
      <c r="E2144" s="43">
        <v>45333.131944436871</v>
      </c>
      <c r="F2144" s="41">
        <v>14.79039751230939</v>
      </c>
      <c r="G2144" s="41">
        <v>0</v>
      </c>
      <c r="H2144" s="42"/>
      <c r="I2144" s="42"/>
      <c r="J2144" s="42"/>
    </row>
    <row r="2145" spans="5:10">
      <c r="E2145" s="43">
        <v>45333.13541665909</v>
      </c>
      <c r="F2145" s="41">
        <v>14.79039751230939</v>
      </c>
      <c r="G2145" s="41">
        <v>0</v>
      </c>
      <c r="H2145" s="42"/>
      <c r="I2145" s="42"/>
      <c r="J2145" s="42"/>
    </row>
    <row r="2146" spans="5:10">
      <c r="E2146" s="43">
        <v>45333.138888881309</v>
      </c>
      <c r="F2146" s="41">
        <v>14.79039751230939</v>
      </c>
      <c r="G2146" s="41">
        <v>0</v>
      </c>
      <c r="H2146" s="42"/>
      <c r="I2146" s="42"/>
      <c r="J2146" s="42"/>
    </row>
    <row r="2147" spans="5:10">
      <c r="E2147" s="43">
        <v>45333.142361103528</v>
      </c>
      <c r="F2147" s="41">
        <v>14.79039751230939</v>
      </c>
      <c r="G2147" s="41">
        <v>0</v>
      </c>
      <c r="H2147" s="42"/>
      <c r="I2147" s="42"/>
      <c r="J2147" s="42"/>
    </row>
    <row r="2148" spans="5:10">
      <c r="E2148" s="43">
        <v>45333.145833325747</v>
      </c>
      <c r="F2148" s="41">
        <v>14.79039751230939</v>
      </c>
      <c r="G2148" s="41">
        <v>0</v>
      </c>
      <c r="H2148" s="42"/>
      <c r="I2148" s="42"/>
      <c r="J2148" s="42"/>
    </row>
    <row r="2149" spans="5:10">
      <c r="E2149" s="43">
        <v>45333.149305547966</v>
      </c>
      <c r="F2149" s="41">
        <v>14.79039751230939</v>
      </c>
      <c r="G2149" s="41">
        <v>0</v>
      </c>
      <c r="H2149" s="42"/>
      <c r="I2149" s="42"/>
      <c r="J2149" s="42"/>
    </row>
    <row r="2150" spans="5:10">
      <c r="E2150" s="43">
        <v>45333.152777770185</v>
      </c>
      <c r="F2150" s="41">
        <v>14.79039751230939</v>
      </c>
      <c r="G2150" s="41">
        <v>0</v>
      </c>
      <c r="H2150" s="42"/>
      <c r="I2150" s="42"/>
      <c r="J2150" s="42"/>
    </row>
    <row r="2151" spans="5:10">
      <c r="E2151" s="43">
        <v>45333.156249992404</v>
      </c>
      <c r="F2151" s="41">
        <v>14.79039751230939</v>
      </c>
      <c r="G2151" s="41">
        <v>0</v>
      </c>
      <c r="H2151" s="42"/>
      <c r="I2151" s="42"/>
      <c r="J2151" s="42"/>
    </row>
    <row r="2152" spans="5:10">
      <c r="E2152" s="43">
        <v>45333.159722214623</v>
      </c>
      <c r="F2152" s="41">
        <v>14.79039751230939</v>
      </c>
      <c r="G2152" s="41">
        <v>0</v>
      </c>
      <c r="H2152" s="42"/>
      <c r="I2152" s="42"/>
      <c r="J2152" s="42"/>
    </row>
    <row r="2153" spans="5:10">
      <c r="E2153" s="43">
        <v>45333.163194436842</v>
      </c>
      <c r="F2153" s="41">
        <v>14.79039751230939</v>
      </c>
      <c r="G2153" s="41">
        <v>0</v>
      </c>
      <c r="H2153" s="42"/>
      <c r="I2153" s="42"/>
      <c r="J2153" s="42"/>
    </row>
    <row r="2154" spans="5:10">
      <c r="E2154" s="43">
        <v>45333.166666659061</v>
      </c>
      <c r="F2154" s="41">
        <v>14.79039751230939</v>
      </c>
      <c r="G2154" s="41">
        <v>0</v>
      </c>
      <c r="H2154" s="42"/>
      <c r="I2154" s="42"/>
      <c r="J2154" s="42"/>
    </row>
    <row r="2155" spans="5:10">
      <c r="E2155" s="43">
        <v>45333.17013888128</v>
      </c>
      <c r="F2155" s="41">
        <v>14.79039751230939</v>
      </c>
      <c r="G2155" s="41">
        <v>0</v>
      </c>
      <c r="H2155" s="42"/>
      <c r="I2155" s="42"/>
      <c r="J2155" s="42"/>
    </row>
    <row r="2156" spans="5:10">
      <c r="E2156" s="43">
        <v>45333.173611103499</v>
      </c>
      <c r="F2156" s="41">
        <v>14.79039751230939</v>
      </c>
      <c r="G2156" s="41">
        <v>0</v>
      </c>
      <c r="H2156" s="42"/>
      <c r="I2156" s="42"/>
      <c r="J2156" s="42"/>
    </row>
    <row r="2157" spans="5:10">
      <c r="E2157" s="43">
        <v>45333.177083325718</v>
      </c>
      <c r="F2157" s="41">
        <v>14.79039751230939</v>
      </c>
      <c r="G2157" s="41">
        <v>0</v>
      </c>
      <c r="H2157" s="42"/>
      <c r="I2157" s="42"/>
      <c r="J2157" s="42"/>
    </row>
    <row r="2158" spans="5:10">
      <c r="E2158" s="43">
        <v>45333.180555547937</v>
      </c>
      <c r="F2158" s="41">
        <v>14.79039751230939</v>
      </c>
      <c r="G2158" s="41">
        <v>0</v>
      </c>
      <c r="H2158" s="42"/>
      <c r="I2158" s="42"/>
      <c r="J2158" s="42"/>
    </row>
    <row r="2159" spans="5:10">
      <c r="E2159" s="43">
        <v>45333.184027770156</v>
      </c>
      <c r="F2159" s="41">
        <v>14.79039751230939</v>
      </c>
      <c r="G2159" s="41">
        <v>0</v>
      </c>
      <c r="H2159" s="42"/>
      <c r="I2159" s="42"/>
      <c r="J2159" s="42"/>
    </row>
    <row r="2160" spans="5:10">
      <c r="E2160" s="43">
        <v>45333.187499992375</v>
      </c>
      <c r="F2160" s="41">
        <v>14.79039751230939</v>
      </c>
      <c r="G2160" s="41">
        <v>0</v>
      </c>
      <c r="H2160" s="42"/>
      <c r="I2160" s="42"/>
      <c r="J2160" s="42"/>
    </row>
    <row r="2161" spans="5:10">
      <c r="E2161" s="43">
        <v>45333.190972214594</v>
      </c>
      <c r="F2161" s="41">
        <v>14.79039751230939</v>
      </c>
      <c r="G2161" s="41">
        <v>0</v>
      </c>
      <c r="H2161" s="42"/>
      <c r="I2161" s="42"/>
      <c r="J2161" s="42"/>
    </row>
    <row r="2162" spans="5:10">
      <c r="E2162" s="43">
        <v>45333.194444436813</v>
      </c>
      <c r="F2162" s="41">
        <v>14.79039751230939</v>
      </c>
      <c r="G2162" s="41">
        <v>0</v>
      </c>
      <c r="H2162" s="42"/>
      <c r="I2162" s="42"/>
      <c r="J2162" s="42"/>
    </row>
    <row r="2163" spans="5:10">
      <c r="E2163" s="43">
        <v>45333.197916659032</v>
      </c>
      <c r="F2163" s="41">
        <v>14.79039751230939</v>
      </c>
      <c r="G2163" s="41">
        <v>0</v>
      </c>
      <c r="H2163" s="42"/>
      <c r="I2163" s="42"/>
      <c r="J2163" s="42"/>
    </row>
    <row r="2164" spans="5:10">
      <c r="E2164" s="43">
        <v>45333.201388881251</v>
      </c>
      <c r="F2164" s="41">
        <v>14.79039751230939</v>
      </c>
      <c r="G2164" s="41">
        <v>0</v>
      </c>
      <c r="H2164" s="42"/>
      <c r="I2164" s="42"/>
      <c r="J2164" s="42"/>
    </row>
    <row r="2165" spans="5:10">
      <c r="E2165" s="43">
        <v>45333.20486110347</v>
      </c>
      <c r="F2165" s="41">
        <v>14.79039751230939</v>
      </c>
      <c r="G2165" s="41">
        <v>0</v>
      </c>
      <c r="H2165" s="42"/>
      <c r="I2165" s="42"/>
      <c r="J2165" s="42"/>
    </row>
    <row r="2166" spans="5:10">
      <c r="E2166" s="43">
        <v>45333.208333325689</v>
      </c>
      <c r="F2166" s="41">
        <v>14.79039751230939</v>
      </c>
      <c r="G2166" s="41">
        <v>0</v>
      </c>
      <c r="H2166" s="42"/>
      <c r="I2166" s="42"/>
      <c r="J2166" s="42"/>
    </row>
    <row r="2167" spans="5:10">
      <c r="E2167" s="43">
        <v>45333.211805547908</v>
      </c>
      <c r="F2167" s="41">
        <v>14.79039751230939</v>
      </c>
      <c r="G2167" s="41">
        <v>0</v>
      </c>
      <c r="H2167" s="42"/>
      <c r="I2167" s="42"/>
      <c r="J2167" s="42"/>
    </row>
    <row r="2168" spans="5:10">
      <c r="E2168" s="43">
        <v>45333.215277770127</v>
      </c>
      <c r="F2168" s="41">
        <v>14.79039751230939</v>
      </c>
      <c r="G2168" s="41">
        <v>0</v>
      </c>
      <c r="H2168" s="42"/>
      <c r="I2168" s="42"/>
      <c r="J2168" s="42"/>
    </row>
    <row r="2169" spans="5:10">
      <c r="E2169" s="43">
        <v>45333.218749992346</v>
      </c>
      <c r="F2169" s="41">
        <v>14.79039751230939</v>
      </c>
      <c r="G2169" s="41">
        <v>0</v>
      </c>
      <c r="H2169" s="42"/>
      <c r="I2169" s="42"/>
      <c r="J2169" s="42"/>
    </row>
    <row r="2170" spans="5:10">
      <c r="E2170" s="43">
        <v>45333.222222214565</v>
      </c>
      <c r="F2170" s="41">
        <v>14.79039751230939</v>
      </c>
      <c r="G2170" s="41">
        <v>0</v>
      </c>
      <c r="H2170" s="42"/>
      <c r="I2170" s="42"/>
      <c r="J2170" s="42"/>
    </row>
    <row r="2171" spans="5:10">
      <c r="E2171" s="43">
        <v>45333.225694436784</v>
      </c>
      <c r="F2171" s="41">
        <v>14.79039751230939</v>
      </c>
      <c r="G2171" s="41">
        <v>0</v>
      </c>
      <c r="H2171" s="42"/>
      <c r="I2171" s="42"/>
      <c r="J2171" s="42"/>
    </row>
    <row r="2172" spans="5:10">
      <c r="E2172" s="43">
        <v>45333.229166659003</v>
      </c>
      <c r="F2172" s="41">
        <v>14.79039751230939</v>
      </c>
      <c r="G2172" s="41">
        <v>0</v>
      </c>
      <c r="H2172" s="42"/>
      <c r="I2172" s="42"/>
      <c r="J2172" s="42"/>
    </row>
    <row r="2173" spans="5:10">
      <c r="E2173" s="43">
        <v>45333.232638881222</v>
      </c>
      <c r="F2173" s="41">
        <v>14.79039751230939</v>
      </c>
      <c r="G2173" s="41">
        <v>0</v>
      </c>
      <c r="H2173" s="42"/>
      <c r="I2173" s="42"/>
      <c r="J2173" s="42"/>
    </row>
    <row r="2174" spans="5:10">
      <c r="E2174" s="43">
        <v>45333.236111103441</v>
      </c>
      <c r="F2174" s="41">
        <v>14.79039751230939</v>
      </c>
      <c r="G2174" s="41">
        <v>0</v>
      </c>
      <c r="H2174" s="42"/>
      <c r="I2174" s="42"/>
      <c r="J2174" s="42"/>
    </row>
    <row r="2175" spans="5:10">
      <c r="E2175" s="43">
        <v>45333.23958332566</v>
      </c>
      <c r="F2175" s="41">
        <v>14.79039751230939</v>
      </c>
      <c r="G2175" s="41">
        <v>0</v>
      </c>
      <c r="H2175" s="42"/>
      <c r="I2175" s="42"/>
      <c r="J2175" s="42"/>
    </row>
    <row r="2176" spans="5:10">
      <c r="E2176" s="43">
        <v>45333.243055547879</v>
      </c>
      <c r="F2176" s="41">
        <v>14.79039751230939</v>
      </c>
      <c r="G2176" s="41">
        <v>0</v>
      </c>
      <c r="H2176" s="42"/>
      <c r="I2176" s="42"/>
      <c r="J2176" s="42"/>
    </row>
    <row r="2177" spans="5:10">
      <c r="E2177" s="43">
        <v>45333.246527770098</v>
      </c>
      <c r="F2177" s="41">
        <v>14.79039751230939</v>
      </c>
      <c r="G2177" s="41">
        <v>0</v>
      </c>
      <c r="H2177" s="42"/>
      <c r="I2177" s="42"/>
      <c r="J2177" s="42"/>
    </row>
    <row r="2178" spans="5:10">
      <c r="E2178" s="43">
        <v>45333.249999992317</v>
      </c>
      <c r="F2178" s="41">
        <v>14.79039751230939</v>
      </c>
      <c r="G2178" s="41">
        <v>0</v>
      </c>
      <c r="H2178" s="42"/>
      <c r="I2178" s="42"/>
      <c r="J2178" s="42"/>
    </row>
    <row r="2179" spans="5:10">
      <c r="E2179" s="43">
        <v>45333.253472214536</v>
      </c>
      <c r="F2179" s="41">
        <v>14.79039751230939</v>
      </c>
      <c r="G2179" s="41">
        <v>0</v>
      </c>
      <c r="H2179" s="42"/>
      <c r="I2179" s="42"/>
      <c r="J2179" s="42"/>
    </row>
    <row r="2180" spans="5:10">
      <c r="E2180" s="43">
        <v>45333.256944436755</v>
      </c>
      <c r="F2180" s="41">
        <v>14.79039751230939</v>
      </c>
      <c r="G2180" s="41">
        <v>0</v>
      </c>
      <c r="H2180" s="42"/>
      <c r="I2180" s="42"/>
      <c r="J2180" s="42"/>
    </row>
    <row r="2181" spans="5:10">
      <c r="E2181" s="43">
        <v>45333.260416658974</v>
      </c>
      <c r="F2181" s="41">
        <v>14.79039751230939</v>
      </c>
      <c r="G2181" s="41">
        <v>0</v>
      </c>
      <c r="H2181" s="42"/>
      <c r="I2181" s="42"/>
      <c r="J2181" s="42"/>
    </row>
    <row r="2182" spans="5:10">
      <c r="E2182" s="43">
        <v>45333.263888881193</v>
      </c>
      <c r="F2182" s="41">
        <v>14.79039751230939</v>
      </c>
      <c r="G2182" s="41">
        <v>0</v>
      </c>
      <c r="H2182" s="42"/>
      <c r="I2182" s="42"/>
      <c r="J2182" s="42"/>
    </row>
    <row r="2183" spans="5:10">
      <c r="E2183" s="43">
        <v>45333.267361103412</v>
      </c>
      <c r="F2183" s="41">
        <v>14.79039751230939</v>
      </c>
      <c r="G2183" s="41">
        <v>0</v>
      </c>
      <c r="H2183" s="42"/>
      <c r="I2183" s="42"/>
      <c r="J2183" s="42"/>
    </row>
    <row r="2184" spans="5:10">
      <c r="E2184" s="43">
        <v>45333.270833325631</v>
      </c>
      <c r="F2184" s="41">
        <v>14.79039751230939</v>
      </c>
      <c r="G2184" s="41">
        <v>0</v>
      </c>
      <c r="H2184" s="42"/>
      <c r="I2184" s="42"/>
      <c r="J2184" s="42"/>
    </row>
    <row r="2185" spans="5:10">
      <c r="E2185" s="43">
        <v>45333.27430554785</v>
      </c>
      <c r="F2185" s="41">
        <v>14.79039751230939</v>
      </c>
      <c r="G2185" s="41">
        <v>0</v>
      </c>
      <c r="H2185" s="42"/>
      <c r="I2185" s="42"/>
      <c r="J2185" s="42"/>
    </row>
    <row r="2186" spans="5:10">
      <c r="E2186" s="43">
        <v>45333.277777770068</v>
      </c>
      <c r="F2186" s="41">
        <v>14.79039751230939</v>
      </c>
      <c r="G2186" s="41">
        <v>0</v>
      </c>
      <c r="H2186" s="42"/>
      <c r="I2186" s="42"/>
      <c r="J2186" s="42"/>
    </row>
    <row r="2187" spans="5:10">
      <c r="E2187" s="43">
        <v>45333.281249992287</v>
      </c>
      <c r="F2187" s="41">
        <v>14.79039751230939</v>
      </c>
      <c r="G2187" s="41">
        <v>0</v>
      </c>
      <c r="H2187" s="42"/>
      <c r="I2187" s="42"/>
      <c r="J2187" s="42"/>
    </row>
    <row r="2188" spans="5:10">
      <c r="E2188" s="43">
        <v>45333.284722214506</v>
      </c>
      <c r="F2188" s="41">
        <v>14.79039751230939</v>
      </c>
      <c r="G2188" s="41">
        <v>0</v>
      </c>
      <c r="H2188" s="42"/>
      <c r="I2188" s="42"/>
      <c r="J2188" s="42"/>
    </row>
    <row r="2189" spans="5:10">
      <c r="E2189" s="43">
        <v>45333.288194436725</v>
      </c>
      <c r="F2189" s="41">
        <v>14.79039751230939</v>
      </c>
      <c r="G2189" s="41">
        <v>0</v>
      </c>
      <c r="H2189" s="42"/>
      <c r="I2189" s="42"/>
      <c r="J2189" s="42"/>
    </row>
    <row r="2190" spans="5:10">
      <c r="E2190" s="43">
        <v>45333.291666658944</v>
      </c>
      <c r="F2190" s="41">
        <v>14.79039751230939</v>
      </c>
      <c r="G2190" s="41">
        <v>0</v>
      </c>
      <c r="H2190" s="42"/>
      <c r="I2190" s="42"/>
      <c r="J2190" s="42"/>
    </row>
    <row r="2191" spans="5:10">
      <c r="E2191" s="43">
        <v>45333.295138881163</v>
      </c>
      <c r="F2191" s="41">
        <v>14.79039751230939</v>
      </c>
      <c r="G2191" s="41">
        <v>0</v>
      </c>
      <c r="H2191" s="42"/>
      <c r="I2191" s="42"/>
      <c r="J2191" s="42"/>
    </row>
    <row r="2192" spans="5:10">
      <c r="E2192" s="43">
        <v>45333.298611103382</v>
      </c>
      <c r="F2192" s="41">
        <v>14.79039751230939</v>
      </c>
      <c r="G2192" s="41">
        <v>0</v>
      </c>
      <c r="H2192" s="42"/>
      <c r="I2192" s="42"/>
      <c r="J2192" s="42"/>
    </row>
    <row r="2193" spans="5:10">
      <c r="E2193" s="43">
        <v>45333.302083325601</v>
      </c>
      <c r="F2193" s="41">
        <v>14.79039751230939</v>
      </c>
      <c r="G2193" s="41">
        <v>0</v>
      </c>
      <c r="H2193" s="42"/>
      <c r="I2193" s="42"/>
      <c r="J2193" s="42"/>
    </row>
    <row r="2194" spans="5:10">
      <c r="E2194" s="43">
        <v>45333.30555554782</v>
      </c>
      <c r="F2194" s="41">
        <v>14.79039751230939</v>
      </c>
      <c r="G2194" s="41">
        <v>0</v>
      </c>
      <c r="H2194" s="42"/>
      <c r="I2194" s="42"/>
      <c r="J2194" s="42"/>
    </row>
    <row r="2195" spans="5:10">
      <c r="E2195" s="43">
        <v>45333.309027770039</v>
      </c>
      <c r="F2195" s="41">
        <v>14.79039751230939</v>
      </c>
      <c r="G2195" s="41">
        <v>0</v>
      </c>
      <c r="H2195" s="42"/>
      <c r="I2195" s="42"/>
      <c r="J2195" s="42"/>
    </row>
    <row r="2196" spans="5:10">
      <c r="E2196" s="43">
        <v>45333.312499992258</v>
      </c>
      <c r="F2196" s="41">
        <v>14.79039751230939</v>
      </c>
      <c r="G2196" s="41">
        <v>0</v>
      </c>
      <c r="H2196" s="42"/>
      <c r="I2196" s="42"/>
      <c r="J2196" s="42"/>
    </row>
    <row r="2197" spans="5:10">
      <c r="E2197" s="43">
        <v>45333.315972214477</v>
      </c>
      <c r="F2197" s="41">
        <v>14.79039751230939</v>
      </c>
      <c r="G2197" s="41">
        <v>0</v>
      </c>
      <c r="H2197" s="42"/>
      <c r="I2197" s="42"/>
      <c r="J2197" s="42"/>
    </row>
    <row r="2198" spans="5:10">
      <c r="E2198" s="43">
        <v>45333.319444436696</v>
      </c>
      <c r="F2198" s="41">
        <v>14.79039751230939</v>
      </c>
      <c r="G2198" s="41">
        <v>0</v>
      </c>
      <c r="H2198" s="42"/>
      <c r="I2198" s="42"/>
      <c r="J2198" s="42"/>
    </row>
    <row r="2199" spans="5:10">
      <c r="E2199" s="43">
        <v>45333.322916658915</v>
      </c>
      <c r="F2199" s="41">
        <v>14.79039751230939</v>
      </c>
      <c r="G2199" s="41">
        <v>0</v>
      </c>
      <c r="H2199" s="42"/>
      <c r="I2199" s="42"/>
      <c r="J2199" s="42"/>
    </row>
    <row r="2200" spans="5:10">
      <c r="E2200" s="43">
        <v>45333.326388881134</v>
      </c>
      <c r="F2200" s="41">
        <v>14.79039751230939</v>
      </c>
      <c r="G2200" s="41">
        <v>0</v>
      </c>
      <c r="H2200" s="42"/>
      <c r="I2200" s="42"/>
      <c r="J2200" s="42"/>
    </row>
    <row r="2201" spans="5:10">
      <c r="E2201" s="43">
        <v>45333.329861103353</v>
      </c>
      <c r="F2201" s="41">
        <v>14.79039751230939</v>
      </c>
      <c r="G2201" s="41">
        <v>0</v>
      </c>
      <c r="H2201" s="42"/>
      <c r="I2201" s="42"/>
      <c r="J2201" s="42"/>
    </row>
    <row r="2202" spans="5:10">
      <c r="E2202" s="43">
        <v>45333.333333325572</v>
      </c>
      <c r="F2202" s="41">
        <v>14.79039751230939</v>
      </c>
      <c r="G2202" s="41">
        <v>0</v>
      </c>
      <c r="H2202" s="42"/>
      <c r="I2202" s="42"/>
      <c r="J2202" s="42"/>
    </row>
    <row r="2203" spans="5:10">
      <c r="E2203" s="43">
        <v>45333.336805547791</v>
      </c>
      <c r="F2203" s="41">
        <v>14.79039751230939</v>
      </c>
      <c r="G2203" s="41">
        <v>0</v>
      </c>
      <c r="H2203" s="42"/>
      <c r="I2203" s="42"/>
      <c r="J2203" s="42"/>
    </row>
    <row r="2204" spans="5:10">
      <c r="E2204" s="43">
        <v>45333.34027777001</v>
      </c>
      <c r="F2204" s="41">
        <v>14.79039751230939</v>
      </c>
      <c r="G2204" s="41">
        <v>0</v>
      </c>
      <c r="H2204" s="42"/>
      <c r="I2204" s="42"/>
      <c r="J2204" s="42"/>
    </row>
    <row r="2205" spans="5:10">
      <c r="E2205" s="43">
        <v>45333.343749992229</v>
      </c>
      <c r="F2205" s="41">
        <v>14.79039751230939</v>
      </c>
      <c r="G2205" s="41">
        <v>0</v>
      </c>
      <c r="H2205" s="42"/>
      <c r="I2205" s="42"/>
      <c r="J2205" s="42"/>
    </row>
    <row r="2206" spans="5:10">
      <c r="E2206" s="43">
        <v>45333.347222214448</v>
      </c>
      <c r="F2206" s="41">
        <v>14.79039751230939</v>
      </c>
      <c r="G2206" s="41">
        <v>0</v>
      </c>
      <c r="H2206" s="42"/>
      <c r="I2206" s="42"/>
      <c r="J2206" s="42"/>
    </row>
    <row r="2207" spans="5:10">
      <c r="E2207" s="43">
        <v>45333.350694436667</v>
      </c>
      <c r="F2207" s="41">
        <v>14.79039751230939</v>
      </c>
      <c r="G2207" s="41">
        <v>0</v>
      </c>
      <c r="H2207" s="42"/>
      <c r="I2207" s="42"/>
      <c r="J2207" s="42"/>
    </row>
    <row r="2208" spans="5:10">
      <c r="E2208" s="43">
        <v>45333.354166658886</v>
      </c>
      <c r="F2208" s="41">
        <v>14.79039751230939</v>
      </c>
      <c r="G2208" s="41">
        <v>0</v>
      </c>
      <c r="H2208" s="42"/>
      <c r="I2208" s="42"/>
      <c r="J2208" s="42"/>
    </row>
    <row r="2209" spans="5:10">
      <c r="E2209" s="43">
        <v>45333.357638881105</v>
      </c>
      <c r="F2209" s="41">
        <v>14.79039751230939</v>
      </c>
      <c r="G2209" s="41">
        <v>0</v>
      </c>
      <c r="H2209" s="42"/>
      <c r="I2209" s="42"/>
      <c r="J2209" s="42"/>
    </row>
    <row r="2210" spans="5:10">
      <c r="E2210" s="43">
        <v>45333.361111103324</v>
      </c>
      <c r="F2210" s="41">
        <v>14.79039751230939</v>
      </c>
      <c r="G2210" s="41">
        <v>0</v>
      </c>
      <c r="H2210" s="42"/>
      <c r="I2210" s="42"/>
      <c r="J2210" s="42"/>
    </row>
    <row r="2211" spans="5:10">
      <c r="E2211" s="43">
        <v>45333.364583325543</v>
      </c>
      <c r="F2211" s="41">
        <v>14.79039751230939</v>
      </c>
      <c r="G2211" s="41">
        <v>0</v>
      </c>
      <c r="H2211" s="42"/>
      <c r="I2211" s="42"/>
      <c r="J2211" s="42"/>
    </row>
    <row r="2212" spans="5:10">
      <c r="E2212" s="43">
        <v>45333.368055547762</v>
      </c>
      <c r="F2212" s="41">
        <v>14.79039751230939</v>
      </c>
      <c r="G2212" s="41">
        <v>0</v>
      </c>
      <c r="H2212" s="42"/>
      <c r="I2212" s="42"/>
      <c r="J2212" s="42"/>
    </row>
    <row r="2213" spans="5:10">
      <c r="E2213" s="43">
        <v>45333.371527769981</v>
      </c>
      <c r="F2213" s="41">
        <v>14.79039751230939</v>
      </c>
      <c r="G2213" s="41">
        <v>0</v>
      </c>
      <c r="H2213" s="42"/>
      <c r="I2213" s="42"/>
      <c r="J2213" s="42"/>
    </row>
    <row r="2214" spans="5:10">
      <c r="E2214" s="43">
        <v>45333.3749999922</v>
      </c>
      <c r="F2214" s="41">
        <v>14.79039751230939</v>
      </c>
      <c r="G2214" s="41">
        <v>0</v>
      </c>
      <c r="H2214" s="42"/>
      <c r="I2214" s="42"/>
      <c r="J2214" s="42"/>
    </row>
    <row r="2215" spans="5:10">
      <c r="E2215" s="43">
        <v>45333.378472214419</v>
      </c>
      <c r="F2215" s="41">
        <v>14.79039751230939</v>
      </c>
      <c r="G2215" s="41">
        <v>0</v>
      </c>
      <c r="H2215" s="42"/>
      <c r="I2215" s="42"/>
      <c r="J2215" s="42"/>
    </row>
    <row r="2216" spans="5:10">
      <c r="E2216" s="43">
        <v>45333.381944436638</v>
      </c>
      <c r="F2216" s="41">
        <v>14.79039751230939</v>
      </c>
      <c r="G2216" s="41">
        <v>0</v>
      </c>
      <c r="H2216" s="42"/>
      <c r="I2216" s="42"/>
      <c r="J2216" s="42"/>
    </row>
    <row r="2217" spans="5:10">
      <c r="E2217" s="43">
        <v>45333.385416658857</v>
      </c>
      <c r="F2217" s="41">
        <v>14.79039751230939</v>
      </c>
      <c r="G2217" s="41">
        <v>0</v>
      </c>
      <c r="H2217" s="42"/>
      <c r="I2217" s="42"/>
      <c r="J2217" s="42"/>
    </row>
    <row r="2218" spans="5:10">
      <c r="E2218" s="43">
        <v>45333.388888881076</v>
      </c>
      <c r="F2218" s="41">
        <v>14.79039751230939</v>
      </c>
      <c r="G2218" s="41">
        <v>0</v>
      </c>
      <c r="H2218" s="42"/>
      <c r="I2218" s="42"/>
      <c r="J2218" s="42"/>
    </row>
    <row r="2219" spans="5:10">
      <c r="E2219" s="43">
        <v>45333.392361103295</v>
      </c>
      <c r="F2219" s="41">
        <v>14.79039751230939</v>
      </c>
      <c r="G2219" s="41">
        <v>0</v>
      </c>
      <c r="H2219" s="42"/>
      <c r="I2219" s="42"/>
      <c r="J2219" s="42"/>
    </row>
    <row r="2220" spans="5:10">
      <c r="E2220" s="43">
        <v>45333.395833325514</v>
      </c>
      <c r="F2220" s="41">
        <v>14.79039751230939</v>
      </c>
      <c r="G2220" s="41">
        <v>0</v>
      </c>
      <c r="H2220" s="42"/>
      <c r="I2220" s="42"/>
      <c r="J2220" s="42"/>
    </row>
    <row r="2221" spans="5:10">
      <c r="E2221" s="43">
        <v>45333.399305547733</v>
      </c>
      <c r="F2221" s="41">
        <v>14.79039751230939</v>
      </c>
      <c r="G2221" s="41">
        <v>0</v>
      </c>
      <c r="H2221" s="42"/>
      <c r="I2221" s="42"/>
      <c r="J2221" s="42"/>
    </row>
    <row r="2222" spans="5:10">
      <c r="E2222" s="43">
        <v>45333.402777769952</v>
      </c>
      <c r="F2222" s="41">
        <v>14.79039751230939</v>
      </c>
      <c r="G2222" s="41">
        <v>0</v>
      </c>
      <c r="H2222" s="42"/>
      <c r="I2222" s="42"/>
      <c r="J2222" s="42"/>
    </row>
    <row r="2223" spans="5:10">
      <c r="E2223" s="43">
        <v>45333.406249992171</v>
      </c>
      <c r="F2223" s="41">
        <v>14.79039751230939</v>
      </c>
      <c r="G2223" s="41">
        <v>0</v>
      </c>
      <c r="H2223" s="42"/>
      <c r="I2223" s="42"/>
      <c r="J2223" s="42"/>
    </row>
    <row r="2224" spans="5:10">
      <c r="E2224" s="43">
        <v>45333.40972221439</v>
      </c>
      <c r="F2224" s="41">
        <v>14.79039751230939</v>
      </c>
      <c r="G2224" s="41">
        <v>0</v>
      </c>
      <c r="H2224" s="42"/>
      <c r="I2224" s="42"/>
      <c r="J2224" s="42"/>
    </row>
    <row r="2225" spans="5:10">
      <c r="E2225" s="43">
        <v>45333.413194436609</v>
      </c>
      <c r="F2225" s="41">
        <v>14.79039751230939</v>
      </c>
      <c r="G2225" s="41">
        <v>0</v>
      </c>
      <c r="H2225" s="42"/>
      <c r="I2225" s="42"/>
      <c r="J2225" s="42"/>
    </row>
    <row r="2226" spans="5:10">
      <c r="E2226" s="43">
        <v>45333.416666658828</v>
      </c>
      <c r="F2226" s="41">
        <v>14.79039751230939</v>
      </c>
      <c r="G2226" s="41">
        <v>0</v>
      </c>
      <c r="H2226" s="42"/>
      <c r="I2226" s="42"/>
      <c r="J2226" s="42"/>
    </row>
    <row r="2227" spans="5:10">
      <c r="E2227" s="43">
        <v>45333.420138881047</v>
      </c>
      <c r="F2227" s="41">
        <v>14.79039751230939</v>
      </c>
      <c r="G2227" s="41">
        <v>0</v>
      </c>
      <c r="H2227" s="42"/>
      <c r="I2227" s="42"/>
      <c r="J2227" s="42"/>
    </row>
    <row r="2228" spans="5:10">
      <c r="E2228" s="43">
        <v>45333.423611103266</v>
      </c>
      <c r="F2228" s="41">
        <v>14.79039751230939</v>
      </c>
      <c r="G2228" s="41">
        <v>0</v>
      </c>
      <c r="H2228" s="42"/>
      <c r="I2228" s="42"/>
      <c r="J2228" s="42"/>
    </row>
    <row r="2229" spans="5:10">
      <c r="E2229" s="43">
        <v>45333.427083325485</v>
      </c>
      <c r="F2229" s="41">
        <v>14.79039751230939</v>
      </c>
      <c r="G2229" s="41">
        <v>0</v>
      </c>
      <c r="H2229" s="42"/>
      <c r="I2229" s="42"/>
      <c r="J2229" s="42"/>
    </row>
    <row r="2230" spans="5:10">
      <c r="E2230" s="43">
        <v>45333.430555547704</v>
      </c>
      <c r="F2230" s="41">
        <v>14.79039751230939</v>
      </c>
      <c r="G2230" s="41">
        <v>0</v>
      </c>
      <c r="H2230" s="42"/>
      <c r="I2230" s="42"/>
      <c r="J2230" s="42"/>
    </row>
    <row r="2231" spans="5:10">
      <c r="E2231" s="43">
        <v>45333.434027769923</v>
      </c>
      <c r="F2231" s="41">
        <v>14.79039751230939</v>
      </c>
      <c r="G2231" s="41">
        <v>0</v>
      </c>
      <c r="H2231" s="42"/>
      <c r="I2231" s="42"/>
      <c r="J2231" s="42"/>
    </row>
    <row r="2232" spans="5:10">
      <c r="E2232" s="43">
        <v>45333.437499992142</v>
      </c>
      <c r="F2232" s="41">
        <v>14.79039751230939</v>
      </c>
      <c r="G2232" s="41">
        <v>0</v>
      </c>
      <c r="H2232" s="42"/>
      <c r="I2232" s="42"/>
      <c r="J2232" s="42"/>
    </row>
    <row r="2233" spans="5:10">
      <c r="E2233" s="43">
        <v>45333.440972214361</v>
      </c>
      <c r="F2233" s="41">
        <v>14.79039751230939</v>
      </c>
      <c r="G2233" s="41">
        <v>0</v>
      </c>
      <c r="H2233" s="42"/>
      <c r="I2233" s="42"/>
      <c r="J2233" s="42"/>
    </row>
    <row r="2234" spans="5:10">
      <c r="E2234" s="43">
        <v>45333.44444443658</v>
      </c>
      <c r="F2234" s="41">
        <v>14.79039751230939</v>
      </c>
      <c r="G2234" s="41">
        <v>0</v>
      </c>
      <c r="H2234" s="42"/>
      <c r="I2234" s="42"/>
      <c r="J2234" s="42"/>
    </row>
    <row r="2235" spans="5:10">
      <c r="E2235" s="43">
        <v>45333.447916658799</v>
      </c>
      <c r="F2235" s="41">
        <v>14.79039751230939</v>
      </c>
      <c r="G2235" s="41">
        <v>0</v>
      </c>
      <c r="H2235" s="42"/>
      <c r="I2235" s="42"/>
      <c r="J2235" s="42"/>
    </row>
    <row r="2236" spans="5:10">
      <c r="E2236" s="43">
        <v>45333.451388881018</v>
      </c>
      <c r="F2236" s="41">
        <v>14.79039751230939</v>
      </c>
      <c r="G2236" s="41">
        <v>0</v>
      </c>
      <c r="H2236" s="42"/>
      <c r="I2236" s="42"/>
      <c r="J2236" s="42"/>
    </row>
    <row r="2237" spans="5:10">
      <c r="E2237" s="43">
        <v>45333.454861103237</v>
      </c>
      <c r="F2237" s="41">
        <v>14.79039751230939</v>
      </c>
      <c r="G2237" s="41">
        <v>0</v>
      </c>
      <c r="H2237" s="42"/>
      <c r="I2237" s="42"/>
      <c r="J2237" s="42"/>
    </row>
    <row r="2238" spans="5:10">
      <c r="E2238" s="43">
        <v>45333.458333325456</v>
      </c>
      <c r="F2238" s="41">
        <v>14.79039751230939</v>
      </c>
      <c r="G2238" s="41">
        <v>0</v>
      </c>
      <c r="H2238" s="42"/>
      <c r="I2238" s="42"/>
      <c r="J2238" s="42"/>
    </row>
    <row r="2239" spans="5:10">
      <c r="E2239" s="43">
        <v>45333.461805547675</v>
      </c>
      <c r="F2239" s="41">
        <v>14.79039751230939</v>
      </c>
      <c r="G2239" s="41">
        <v>0</v>
      </c>
      <c r="H2239" s="42"/>
      <c r="I2239" s="42"/>
      <c r="J2239" s="42"/>
    </row>
    <row r="2240" spans="5:10">
      <c r="E2240" s="43">
        <v>45333.465277769894</v>
      </c>
      <c r="F2240" s="41">
        <v>14.79039751230939</v>
      </c>
      <c r="G2240" s="41">
        <v>0</v>
      </c>
      <c r="H2240" s="42"/>
      <c r="I2240" s="42"/>
      <c r="J2240" s="42"/>
    </row>
    <row r="2241" spans="5:10">
      <c r="E2241" s="43">
        <v>45333.468749992113</v>
      </c>
      <c r="F2241" s="41">
        <v>14.79039751230939</v>
      </c>
      <c r="G2241" s="41">
        <v>0</v>
      </c>
      <c r="H2241" s="42"/>
      <c r="I2241" s="42"/>
      <c r="J2241" s="42"/>
    </row>
    <row r="2242" spans="5:10">
      <c r="E2242" s="43">
        <v>45333.472222214332</v>
      </c>
      <c r="F2242" s="41">
        <v>14.79039751230939</v>
      </c>
      <c r="G2242" s="41">
        <v>0</v>
      </c>
      <c r="H2242" s="42"/>
      <c r="I2242" s="42"/>
      <c r="J2242" s="42"/>
    </row>
    <row r="2243" spans="5:10">
      <c r="E2243" s="43">
        <v>45333.475694436551</v>
      </c>
      <c r="F2243" s="41">
        <v>14.79039751230939</v>
      </c>
      <c r="G2243" s="41">
        <v>0</v>
      </c>
      <c r="H2243" s="42"/>
      <c r="I2243" s="42"/>
      <c r="J2243" s="42"/>
    </row>
    <row r="2244" spans="5:10">
      <c r="E2244" s="43">
        <v>45333.47916665877</v>
      </c>
      <c r="F2244" s="41">
        <v>14.79039751230939</v>
      </c>
      <c r="G2244" s="41">
        <v>0</v>
      </c>
      <c r="H2244" s="42"/>
      <c r="I2244" s="42"/>
      <c r="J2244" s="42"/>
    </row>
    <row r="2245" spans="5:10">
      <c r="E2245" s="43">
        <v>45333.482638880989</v>
      </c>
      <c r="F2245" s="41">
        <v>14.79039751230939</v>
      </c>
      <c r="G2245" s="41">
        <v>0</v>
      </c>
      <c r="H2245" s="42"/>
      <c r="I2245" s="42"/>
      <c r="J2245" s="42"/>
    </row>
    <row r="2246" spans="5:10">
      <c r="E2246" s="43">
        <v>45333.486111103208</v>
      </c>
      <c r="F2246" s="41">
        <v>14.79039751230939</v>
      </c>
      <c r="G2246" s="41">
        <v>0</v>
      </c>
      <c r="H2246" s="42"/>
      <c r="I2246" s="42"/>
      <c r="J2246" s="42"/>
    </row>
    <row r="2247" spans="5:10">
      <c r="E2247" s="43">
        <v>45333.489583325427</v>
      </c>
      <c r="F2247" s="41">
        <v>14.79039751230939</v>
      </c>
      <c r="G2247" s="41">
        <v>0</v>
      </c>
      <c r="H2247" s="42"/>
      <c r="I2247" s="42"/>
      <c r="J2247" s="42"/>
    </row>
    <row r="2248" spans="5:10">
      <c r="E2248" s="43">
        <v>45333.493055547646</v>
      </c>
      <c r="F2248" s="41">
        <v>14.79039751230939</v>
      </c>
      <c r="G2248" s="41">
        <v>0</v>
      </c>
      <c r="H2248" s="42"/>
      <c r="I2248" s="42"/>
      <c r="J2248" s="42"/>
    </row>
    <row r="2249" spans="5:10">
      <c r="E2249" s="43">
        <v>45333.496527769865</v>
      </c>
      <c r="F2249" s="41">
        <v>14.79039751230939</v>
      </c>
      <c r="G2249" s="41">
        <v>0</v>
      </c>
      <c r="H2249" s="42"/>
      <c r="I2249" s="42"/>
      <c r="J2249" s="42"/>
    </row>
    <row r="2250" spans="5:10">
      <c r="E2250" s="43">
        <v>45333.499999992084</v>
      </c>
      <c r="F2250" s="41">
        <v>14.79039751230939</v>
      </c>
      <c r="G2250" s="41">
        <v>0</v>
      </c>
      <c r="H2250" s="42"/>
      <c r="I2250" s="42"/>
      <c r="J2250" s="42"/>
    </row>
    <row r="2251" spans="5:10">
      <c r="E2251" s="43">
        <v>45333.503472214303</v>
      </c>
      <c r="F2251" s="41">
        <v>14.79039751230939</v>
      </c>
      <c r="G2251" s="41">
        <v>0</v>
      </c>
      <c r="H2251" s="42"/>
      <c r="I2251" s="42"/>
      <c r="J2251" s="42"/>
    </row>
    <row r="2252" spans="5:10">
      <c r="E2252" s="43">
        <v>45333.506944436522</v>
      </c>
      <c r="F2252" s="41">
        <v>14.79039751230939</v>
      </c>
      <c r="G2252" s="41">
        <v>0</v>
      </c>
      <c r="H2252" s="42"/>
      <c r="I2252" s="42"/>
      <c r="J2252" s="42"/>
    </row>
    <row r="2253" spans="5:10">
      <c r="E2253" s="43">
        <v>45333.510416658741</v>
      </c>
      <c r="F2253" s="41">
        <v>14.79039751230939</v>
      </c>
      <c r="G2253" s="41">
        <v>0</v>
      </c>
      <c r="H2253" s="42"/>
      <c r="I2253" s="42"/>
      <c r="J2253" s="42"/>
    </row>
    <row r="2254" spans="5:10">
      <c r="E2254" s="43">
        <v>45333.51388888096</v>
      </c>
      <c r="F2254" s="41">
        <v>14.79039751230939</v>
      </c>
      <c r="G2254" s="41">
        <v>0</v>
      </c>
      <c r="H2254" s="42"/>
      <c r="I2254" s="42"/>
      <c r="J2254" s="42"/>
    </row>
    <row r="2255" spans="5:10">
      <c r="E2255" s="43">
        <v>45333.517361103179</v>
      </c>
      <c r="F2255" s="41">
        <v>14.79039751230939</v>
      </c>
      <c r="G2255" s="41">
        <v>0</v>
      </c>
      <c r="H2255" s="42"/>
      <c r="I2255" s="42"/>
      <c r="J2255" s="42"/>
    </row>
    <row r="2256" spans="5:10">
      <c r="E2256" s="43">
        <v>45333.520833325398</v>
      </c>
      <c r="F2256" s="41">
        <v>14.79039751230939</v>
      </c>
      <c r="G2256" s="41">
        <v>0</v>
      </c>
      <c r="H2256" s="42"/>
      <c r="I2256" s="42"/>
      <c r="J2256" s="42"/>
    </row>
    <row r="2257" spans="5:10">
      <c r="E2257" s="43">
        <v>45333.524305547617</v>
      </c>
      <c r="F2257" s="41">
        <v>14.79039751230939</v>
      </c>
      <c r="G2257" s="41">
        <v>0</v>
      </c>
      <c r="H2257" s="42"/>
      <c r="I2257" s="42"/>
      <c r="J2257" s="42"/>
    </row>
    <row r="2258" spans="5:10">
      <c r="E2258" s="43">
        <v>45333.527777769836</v>
      </c>
      <c r="F2258" s="41">
        <v>14.79039751230939</v>
      </c>
      <c r="G2258" s="41">
        <v>0</v>
      </c>
      <c r="H2258" s="42"/>
      <c r="I2258" s="42"/>
      <c r="J2258" s="42"/>
    </row>
    <row r="2259" spans="5:10">
      <c r="E2259" s="43">
        <v>45333.531249992055</v>
      </c>
      <c r="F2259" s="41">
        <v>14.79039751230939</v>
      </c>
      <c r="G2259" s="41">
        <v>0</v>
      </c>
      <c r="H2259" s="42"/>
      <c r="I2259" s="42"/>
      <c r="J2259" s="42"/>
    </row>
    <row r="2260" spans="5:10">
      <c r="E2260" s="43">
        <v>45333.534722214274</v>
      </c>
      <c r="F2260" s="41">
        <v>14.79039751230939</v>
      </c>
      <c r="G2260" s="41">
        <v>0</v>
      </c>
      <c r="H2260" s="42"/>
      <c r="I2260" s="42"/>
      <c r="J2260" s="42"/>
    </row>
    <row r="2261" spans="5:10">
      <c r="E2261" s="43">
        <v>45333.538194436493</v>
      </c>
      <c r="F2261" s="41">
        <v>14.79039751230939</v>
      </c>
      <c r="G2261" s="41">
        <v>0</v>
      </c>
      <c r="H2261" s="42"/>
      <c r="I2261" s="42"/>
      <c r="J2261" s="42"/>
    </row>
    <row r="2262" spans="5:10">
      <c r="E2262" s="43">
        <v>45333.541666658712</v>
      </c>
      <c r="F2262" s="41">
        <v>14.79039751230939</v>
      </c>
      <c r="G2262" s="41">
        <v>0</v>
      </c>
      <c r="H2262" s="42"/>
      <c r="I2262" s="42"/>
      <c r="J2262" s="42"/>
    </row>
    <row r="2263" spans="5:10">
      <c r="E2263" s="43">
        <v>45333.545138880931</v>
      </c>
      <c r="F2263" s="41">
        <v>14.79039751230939</v>
      </c>
      <c r="G2263" s="41">
        <v>0</v>
      </c>
      <c r="H2263" s="42"/>
      <c r="I2263" s="42"/>
      <c r="J2263" s="42"/>
    </row>
    <row r="2264" spans="5:10">
      <c r="E2264" s="43">
        <v>45333.54861110315</v>
      </c>
      <c r="F2264" s="41">
        <v>14.79039751230939</v>
      </c>
      <c r="G2264" s="41">
        <v>0</v>
      </c>
      <c r="H2264" s="42"/>
      <c r="I2264" s="42"/>
      <c r="J2264" s="42"/>
    </row>
    <row r="2265" spans="5:10">
      <c r="E2265" s="43">
        <v>45333.552083325369</v>
      </c>
      <c r="F2265" s="41">
        <v>14.79039751230939</v>
      </c>
      <c r="G2265" s="41">
        <v>0</v>
      </c>
      <c r="H2265" s="42"/>
      <c r="I2265" s="42"/>
      <c r="J2265" s="42"/>
    </row>
    <row r="2266" spans="5:10">
      <c r="E2266" s="43">
        <v>45333.555555547588</v>
      </c>
      <c r="F2266" s="41">
        <v>14.79039751230939</v>
      </c>
      <c r="G2266" s="41">
        <v>0</v>
      </c>
      <c r="H2266" s="42"/>
      <c r="I2266" s="42"/>
      <c r="J2266" s="42"/>
    </row>
    <row r="2267" spans="5:10">
      <c r="E2267" s="43">
        <v>45333.559027769807</v>
      </c>
      <c r="F2267" s="41">
        <v>14.79039751230939</v>
      </c>
      <c r="G2267" s="41">
        <v>0</v>
      </c>
      <c r="H2267" s="42"/>
      <c r="I2267" s="42"/>
      <c r="J2267" s="42"/>
    </row>
    <row r="2268" spans="5:10">
      <c r="E2268" s="43">
        <v>45333.562499992026</v>
      </c>
      <c r="F2268" s="41">
        <v>14.79039751230939</v>
      </c>
      <c r="G2268" s="41">
        <v>0</v>
      </c>
      <c r="H2268" s="42"/>
      <c r="I2268" s="42"/>
      <c r="J2268" s="42"/>
    </row>
    <row r="2269" spans="5:10">
      <c r="E2269" s="43">
        <v>45333.565972214245</v>
      </c>
      <c r="F2269" s="41">
        <v>14.79039751230939</v>
      </c>
      <c r="G2269" s="41">
        <v>0</v>
      </c>
      <c r="H2269" s="42"/>
      <c r="I2269" s="42"/>
      <c r="J2269" s="42"/>
    </row>
    <row r="2270" spans="5:10">
      <c r="E2270" s="43">
        <v>45333.569444436464</v>
      </c>
      <c r="F2270" s="41">
        <v>14.79039751230939</v>
      </c>
      <c r="G2270" s="41">
        <v>0</v>
      </c>
      <c r="H2270" s="42"/>
      <c r="I2270" s="42"/>
      <c r="J2270" s="42"/>
    </row>
    <row r="2271" spans="5:10">
      <c r="E2271" s="43">
        <v>45333.572916658683</v>
      </c>
      <c r="F2271" s="41">
        <v>14.79039751230939</v>
      </c>
      <c r="G2271" s="41">
        <v>0</v>
      </c>
      <c r="H2271" s="42"/>
      <c r="I2271" s="42"/>
      <c r="J2271" s="42"/>
    </row>
    <row r="2272" spans="5:10">
      <c r="E2272" s="43">
        <v>45333.576388880902</v>
      </c>
      <c r="F2272" s="41">
        <v>14.79039751230939</v>
      </c>
      <c r="G2272" s="41">
        <v>0</v>
      </c>
      <c r="H2272" s="42"/>
      <c r="I2272" s="42"/>
      <c r="J2272" s="42"/>
    </row>
    <row r="2273" spans="5:10">
      <c r="E2273" s="43">
        <v>45333.57986110312</v>
      </c>
      <c r="F2273" s="41">
        <v>14.79039751230939</v>
      </c>
      <c r="G2273" s="41">
        <v>0</v>
      </c>
      <c r="H2273" s="42"/>
      <c r="I2273" s="42"/>
      <c r="J2273" s="42"/>
    </row>
    <row r="2274" spans="5:10">
      <c r="E2274" s="43">
        <v>45333.583333325339</v>
      </c>
      <c r="F2274" s="41">
        <v>14.79039751230939</v>
      </c>
      <c r="G2274" s="41">
        <v>0</v>
      </c>
      <c r="H2274" s="42"/>
      <c r="I2274" s="42"/>
      <c r="J2274" s="42"/>
    </row>
    <row r="2275" spans="5:10">
      <c r="E2275" s="43">
        <v>45333.586805547558</v>
      </c>
      <c r="F2275" s="41">
        <v>14.79039751230939</v>
      </c>
      <c r="G2275" s="41">
        <v>0</v>
      </c>
      <c r="H2275" s="42"/>
      <c r="I2275" s="42"/>
      <c r="J2275" s="42"/>
    </row>
    <row r="2276" spans="5:10">
      <c r="E2276" s="43">
        <v>45333.590277769777</v>
      </c>
      <c r="F2276" s="41">
        <v>14.79039751230939</v>
      </c>
      <c r="G2276" s="41">
        <v>0</v>
      </c>
      <c r="H2276" s="42"/>
      <c r="I2276" s="42"/>
      <c r="J2276" s="42"/>
    </row>
    <row r="2277" spans="5:10">
      <c r="E2277" s="43">
        <v>45333.593749991996</v>
      </c>
      <c r="F2277" s="41">
        <v>14.79039751230939</v>
      </c>
      <c r="G2277" s="41">
        <v>0</v>
      </c>
      <c r="H2277" s="42"/>
      <c r="I2277" s="42"/>
      <c r="J2277" s="42"/>
    </row>
    <row r="2278" spans="5:10">
      <c r="E2278" s="43">
        <v>45333.597222214215</v>
      </c>
      <c r="F2278" s="41">
        <v>14.79039751230939</v>
      </c>
      <c r="G2278" s="41">
        <v>0</v>
      </c>
      <c r="H2278" s="42"/>
      <c r="I2278" s="42"/>
      <c r="J2278" s="42"/>
    </row>
    <row r="2279" spans="5:10">
      <c r="E2279" s="43">
        <v>45333.600694436434</v>
      </c>
      <c r="F2279" s="41">
        <v>14.79039751230939</v>
      </c>
      <c r="G2279" s="41">
        <v>0</v>
      </c>
      <c r="H2279" s="42"/>
      <c r="I2279" s="42"/>
      <c r="J2279" s="42"/>
    </row>
    <row r="2280" spans="5:10">
      <c r="E2280" s="43">
        <v>45333.604166658653</v>
      </c>
      <c r="F2280" s="41">
        <v>14.79039751230939</v>
      </c>
      <c r="G2280" s="41">
        <v>0</v>
      </c>
      <c r="H2280" s="42"/>
      <c r="I2280" s="42"/>
      <c r="J2280" s="42"/>
    </row>
    <row r="2281" spans="5:10">
      <c r="E2281" s="43">
        <v>45333.607638880872</v>
      </c>
      <c r="F2281" s="41">
        <v>0</v>
      </c>
      <c r="G2281" s="41">
        <v>0</v>
      </c>
      <c r="H2281" s="42"/>
      <c r="I2281" s="42"/>
      <c r="J2281" s="42"/>
    </row>
    <row r="2282" spans="5:10">
      <c r="E2282" s="43">
        <v>45333.611111103091</v>
      </c>
      <c r="F2282" s="41">
        <v>0</v>
      </c>
      <c r="G2282" s="41">
        <v>0</v>
      </c>
      <c r="H2282" s="42"/>
      <c r="I2282" s="42"/>
      <c r="J2282" s="42"/>
    </row>
    <row r="2283" spans="5:10">
      <c r="E2283" s="43">
        <v>45333.61458332531</v>
      </c>
      <c r="F2283" s="41">
        <v>0</v>
      </c>
      <c r="G2283" s="41">
        <v>0</v>
      </c>
      <c r="H2283" s="42"/>
      <c r="I2283" s="42"/>
      <c r="J2283" s="42"/>
    </row>
    <row r="2284" spans="5:10">
      <c r="E2284" s="43">
        <v>45333.618055547529</v>
      </c>
      <c r="F2284" s="41">
        <v>0</v>
      </c>
      <c r="G2284" s="41">
        <v>0</v>
      </c>
      <c r="H2284" s="42"/>
      <c r="I2284" s="42"/>
      <c r="J2284" s="42"/>
    </row>
    <row r="2285" spans="5:10">
      <c r="E2285" s="43">
        <v>45333.621527769748</v>
      </c>
      <c r="F2285" s="41">
        <v>0</v>
      </c>
      <c r="G2285" s="41">
        <v>0</v>
      </c>
      <c r="H2285" s="42"/>
      <c r="I2285" s="42"/>
      <c r="J2285" s="42"/>
    </row>
    <row r="2286" spans="5:10">
      <c r="E2286" s="43">
        <v>45333.624999991967</v>
      </c>
      <c r="F2286" s="41">
        <v>0</v>
      </c>
      <c r="G2286" s="41">
        <v>0</v>
      </c>
      <c r="H2286" s="42"/>
      <c r="I2286" s="42"/>
      <c r="J2286" s="42"/>
    </row>
    <row r="2287" spans="5:10">
      <c r="E2287" s="43">
        <v>45333.628472214186</v>
      </c>
      <c r="F2287" s="41">
        <v>0</v>
      </c>
      <c r="G2287" s="41">
        <v>0</v>
      </c>
      <c r="H2287" s="42"/>
      <c r="I2287" s="42"/>
      <c r="J2287" s="42"/>
    </row>
    <row r="2288" spans="5:10">
      <c r="E2288" s="43">
        <v>45333.631944436405</v>
      </c>
      <c r="F2288" s="41">
        <v>0</v>
      </c>
      <c r="G2288" s="41">
        <v>0</v>
      </c>
      <c r="H2288" s="42"/>
      <c r="I2288" s="42"/>
      <c r="J2288" s="42"/>
    </row>
    <row r="2289" spans="5:10">
      <c r="E2289" s="43">
        <v>45333.635416658624</v>
      </c>
      <c r="F2289" s="41">
        <v>0</v>
      </c>
      <c r="G2289" s="41">
        <v>0</v>
      </c>
      <c r="H2289" s="42"/>
      <c r="I2289" s="42"/>
      <c r="J2289" s="42"/>
    </row>
    <row r="2290" spans="5:10">
      <c r="E2290" s="43">
        <v>45333.638888880843</v>
      </c>
      <c r="F2290" s="41">
        <v>0</v>
      </c>
      <c r="G2290" s="41">
        <v>0</v>
      </c>
      <c r="H2290" s="42"/>
      <c r="I2290" s="42"/>
      <c r="J2290" s="42"/>
    </row>
    <row r="2291" spans="5:10">
      <c r="E2291" s="43">
        <v>45333.642361103062</v>
      </c>
      <c r="F2291" s="41">
        <v>0</v>
      </c>
      <c r="G2291" s="41">
        <v>0</v>
      </c>
      <c r="H2291" s="42"/>
      <c r="I2291" s="42"/>
      <c r="J2291" s="42"/>
    </row>
    <row r="2292" spans="5:10">
      <c r="E2292" s="43">
        <v>45333.645833325281</v>
      </c>
      <c r="F2292" s="41">
        <v>0</v>
      </c>
      <c r="G2292" s="41">
        <v>0</v>
      </c>
      <c r="H2292" s="42"/>
      <c r="I2292" s="42"/>
      <c r="J2292" s="42"/>
    </row>
    <row r="2293" spans="5:10">
      <c r="E2293" s="43">
        <v>45333.6493055475</v>
      </c>
      <c r="F2293" s="41">
        <v>0</v>
      </c>
      <c r="G2293" s="41">
        <v>0</v>
      </c>
      <c r="H2293" s="42"/>
      <c r="I2293" s="42"/>
      <c r="J2293" s="42"/>
    </row>
    <row r="2294" spans="5:10">
      <c r="E2294" s="43">
        <v>45333.652777769719</v>
      </c>
      <c r="F2294" s="41">
        <v>0</v>
      </c>
      <c r="G2294" s="41">
        <v>0</v>
      </c>
      <c r="H2294" s="42"/>
      <c r="I2294" s="42"/>
      <c r="J2294" s="42"/>
    </row>
    <row r="2295" spans="5:10">
      <c r="E2295" s="43">
        <v>45333.656249991938</v>
      </c>
      <c r="F2295" s="41">
        <v>0</v>
      </c>
      <c r="G2295" s="41">
        <v>0</v>
      </c>
      <c r="H2295" s="42"/>
      <c r="I2295" s="42"/>
      <c r="J2295" s="42"/>
    </row>
    <row r="2296" spans="5:10">
      <c r="E2296" s="43">
        <v>45333.659722214157</v>
      </c>
      <c r="F2296" s="41">
        <v>0</v>
      </c>
      <c r="G2296" s="41">
        <v>0</v>
      </c>
      <c r="H2296" s="42"/>
      <c r="I2296" s="42"/>
      <c r="J2296" s="42"/>
    </row>
    <row r="2297" spans="5:10">
      <c r="E2297" s="43">
        <v>45333.663194436376</v>
      </c>
      <c r="F2297" s="41">
        <v>0</v>
      </c>
      <c r="G2297" s="41">
        <v>0</v>
      </c>
      <c r="H2297" s="42"/>
      <c r="I2297" s="42"/>
      <c r="J2297" s="42"/>
    </row>
    <row r="2298" spans="5:10">
      <c r="E2298" s="43">
        <v>45333.666666658595</v>
      </c>
      <c r="F2298" s="41">
        <v>0</v>
      </c>
      <c r="G2298" s="41">
        <v>0</v>
      </c>
      <c r="H2298" s="42"/>
      <c r="I2298" s="42"/>
      <c r="J2298" s="42"/>
    </row>
    <row r="2299" spans="5:10">
      <c r="E2299" s="43">
        <v>45333.670138880814</v>
      </c>
      <c r="F2299" s="41">
        <v>0</v>
      </c>
      <c r="G2299" s="41">
        <v>0</v>
      </c>
      <c r="H2299" s="42"/>
      <c r="I2299" s="42"/>
      <c r="J2299" s="42"/>
    </row>
    <row r="2300" spans="5:10">
      <c r="E2300" s="43">
        <v>45333.673611103033</v>
      </c>
      <c r="F2300" s="41">
        <v>0</v>
      </c>
      <c r="G2300" s="41">
        <v>0</v>
      </c>
      <c r="H2300" s="42"/>
      <c r="I2300" s="42"/>
      <c r="J2300" s="42"/>
    </row>
    <row r="2301" spans="5:10">
      <c r="E2301" s="43">
        <v>45333.677083325252</v>
      </c>
      <c r="F2301" s="41">
        <v>0</v>
      </c>
      <c r="G2301" s="41">
        <v>0</v>
      </c>
      <c r="H2301" s="42"/>
      <c r="I2301" s="42"/>
      <c r="J2301" s="42"/>
    </row>
    <row r="2302" spans="5:10">
      <c r="E2302" s="43">
        <v>45333.680555547471</v>
      </c>
      <c r="F2302" s="41">
        <v>0</v>
      </c>
      <c r="G2302" s="41">
        <v>0</v>
      </c>
      <c r="H2302" s="42"/>
      <c r="I2302" s="42"/>
      <c r="J2302" s="42"/>
    </row>
    <row r="2303" spans="5:10">
      <c r="E2303" s="43">
        <v>45333.68402776969</v>
      </c>
      <c r="F2303" s="41">
        <v>0</v>
      </c>
      <c r="G2303" s="41">
        <v>0</v>
      </c>
      <c r="H2303" s="42"/>
      <c r="I2303" s="42"/>
      <c r="J2303" s="42"/>
    </row>
    <row r="2304" spans="5:10">
      <c r="E2304" s="43">
        <v>45333.687499991909</v>
      </c>
      <c r="F2304" s="41">
        <v>0</v>
      </c>
      <c r="G2304" s="41">
        <v>0</v>
      </c>
      <c r="H2304" s="42"/>
      <c r="I2304" s="42"/>
      <c r="J2304" s="42"/>
    </row>
    <row r="2305" spans="5:10">
      <c r="E2305" s="43">
        <v>45333.690972214128</v>
      </c>
      <c r="F2305" s="41">
        <v>0</v>
      </c>
      <c r="G2305" s="41">
        <v>0</v>
      </c>
      <c r="H2305" s="42"/>
      <c r="I2305" s="42"/>
      <c r="J2305" s="42"/>
    </row>
    <row r="2306" spans="5:10">
      <c r="E2306" s="43">
        <v>45333.694444436347</v>
      </c>
      <c r="F2306" s="41">
        <v>0</v>
      </c>
      <c r="G2306" s="41">
        <v>0</v>
      </c>
      <c r="H2306" s="42"/>
      <c r="I2306" s="42"/>
      <c r="J2306" s="42"/>
    </row>
    <row r="2307" spans="5:10">
      <c r="E2307" s="43">
        <v>45333.697916658566</v>
      </c>
      <c r="F2307" s="41">
        <v>0</v>
      </c>
      <c r="G2307" s="41">
        <v>0</v>
      </c>
      <c r="H2307" s="42"/>
      <c r="I2307" s="42"/>
      <c r="J2307" s="42"/>
    </row>
    <row r="2308" spans="5:10">
      <c r="E2308" s="43">
        <v>45333.701388880785</v>
      </c>
      <c r="F2308" s="41">
        <v>0</v>
      </c>
      <c r="G2308" s="41">
        <v>0</v>
      </c>
      <c r="H2308" s="42"/>
      <c r="I2308" s="42"/>
      <c r="J2308" s="42"/>
    </row>
    <row r="2309" spans="5:10">
      <c r="E2309" s="43">
        <v>45333.704861103004</v>
      </c>
      <c r="F2309" s="41">
        <v>0</v>
      </c>
      <c r="G2309" s="41">
        <v>0</v>
      </c>
      <c r="H2309" s="42"/>
      <c r="I2309" s="42"/>
      <c r="J2309" s="42"/>
    </row>
    <row r="2310" spans="5:10">
      <c r="E2310" s="43">
        <v>45333.708333325223</v>
      </c>
      <c r="F2310" s="41">
        <v>0</v>
      </c>
      <c r="G2310" s="41">
        <v>0</v>
      </c>
      <c r="H2310" s="42"/>
      <c r="I2310" s="42"/>
      <c r="J2310" s="42"/>
    </row>
    <row r="2311" spans="5:10">
      <c r="E2311" s="43">
        <v>45333.711805547442</v>
      </c>
      <c r="F2311" s="41">
        <v>0</v>
      </c>
      <c r="G2311" s="41">
        <v>0</v>
      </c>
      <c r="H2311" s="42"/>
      <c r="I2311" s="42"/>
      <c r="J2311" s="42"/>
    </row>
    <row r="2312" spans="5:10">
      <c r="E2312" s="43">
        <v>45333.715277769661</v>
      </c>
      <c r="F2312" s="41">
        <v>0</v>
      </c>
      <c r="G2312" s="41">
        <v>0</v>
      </c>
      <c r="H2312" s="42"/>
      <c r="I2312" s="42"/>
      <c r="J2312" s="42"/>
    </row>
    <row r="2313" spans="5:10">
      <c r="E2313" s="43">
        <v>45333.71874999188</v>
      </c>
      <c r="F2313" s="41">
        <v>0</v>
      </c>
      <c r="G2313" s="41">
        <v>0</v>
      </c>
      <c r="H2313" s="42"/>
      <c r="I2313" s="42"/>
      <c r="J2313" s="42"/>
    </row>
    <row r="2314" spans="5:10">
      <c r="E2314" s="43">
        <v>45333.722222214099</v>
      </c>
      <c r="F2314" s="41">
        <v>0</v>
      </c>
      <c r="G2314" s="41">
        <v>0</v>
      </c>
      <c r="H2314" s="42"/>
      <c r="I2314" s="42"/>
      <c r="J2314" s="42"/>
    </row>
    <row r="2315" spans="5:10">
      <c r="E2315" s="43">
        <v>45333.725694436318</v>
      </c>
      <c r="F2315" s="41">
        <v>0</v>
      </c>
      <c r="G2315" s="41">
        <v>0</v>
      </c>
      <c r="H2315" s="42"/>
      <c r="I2315" s="42"/>
      <c r="J2315" s="42"/>
    </row>
    <row r="2316" spans="5:10">
      <c r="E2316" s="43">
        <v>45333.729166658537</v>
      </c>
      <c r="F2316" s="41">
        <v>0</v>
      </c>
      <c r="G2316" s="41">
        <v>0</v>
      </c>
      <c r="H2316" s="42"/>
      <c r="I2316" s="42"/>
      <c r="J2316" s="42"/>
    </row>
    <row r="2317" spans="5:10">
      <c r="E2317" s="43">
        <v>45333.732638880756</v>
      </c>
      <c r="F2317" s="41">
        <v>0</v>
      </c>
      <c r="G2317" s="41">
        <v>0</v>
      </c>
      <c r="H2317" s="42"/>
      <c r="I2317" s="42"/>
      <c r="J2317" s="42"/>
    </row>
    <row r="2318" spans="5:10">
      <c r="E2318" s="43">
        <v>45333.736111102975</v>
      </c>
      <c r="F2318" s="41">
        <v>0</v>
      </c>
      <c r="G2318" s="41">
        <v>0</v>
      </c>
      <c r="H2318" s="42"/>
      <c r="I2318" s="42"/>
      <c r="J2318" s="42"/>
    </row>
    <row r="2319" spans="5:10">
      <c r="E2319" s="43">
        <v>45333.739583325194</v>
      </c>
      <c r="F2319" s="41">
        <v>0</v>
      </c>
      <c r="G2319" s="41">
        <v>0</v>
      </c>
      <c r="H2319" s="42"/>
      <c r="I2319" s="42"/>
      <c r="J2319" s="42"/>
    </row>
    <row r="2320" spans="5:10">
      <c r="E2320" s="43">
        <v>45333.743055547413</v>
      </c>
      <c r="F2320" s="41">
        <v>0</v>
      </c>
      <c r="G2320" s="41">
        <v>0</v>
      </c>
      <c r="H2320" s="42"/>
      <c r="I2320" s="42"/>
      <c r="J2320" s="42"/>
    </row>
    <row r="2321" spans="5:10">
      <c r="E2321" s="43">
        <v>45333.746527769632</v>
      </c>
      <c r="F2321" s="41">
        <v>0</v>
      </c>
      <c r="G2321" s="41">
        <v>0</v>
      </c>
      <c r="H2321" s="42"/>
      <c r="I2321" s="42"/>
      <c r="J2321" s="42"/>
    </row>
    <row r="2322" spans="5:10">
      <c r="E2322" s="43">
        <v>45333.749999991851</v>
      </c>
      <c r="F2322" s="41">
        <v>0</v>
      </c>
      <c r="G2322" s="41">
        <v>0</v>
      </c>
      <c r="H2322" s="42"/>
      <c r="I2322" s="42"/>
      <c r="J2322" s="42"/>
    </row>
    <row r="2323" spans="5:10">
      <c r="E2323" s="43">
        <v>45333.75347221407</v>
      </c>
      <c r="F2323" s="41">
        <v>0</v>
      </c>
      <c r="G2323" s="41">
        <v>0</v>
      </c>
      <c r="H2323" s="42"/>
      <c r="I2323" s="42"/>
      <c r="J2323" s="42"/>
    </row>
    <row r="2324" spans="5:10">
      <c r="E2324" s="43">
        <v>45333.756944436289</v>
      </c>
      <c r="F2324" s="41">
        <v>0</v>
      </c>
      <c r="G2324" s="41">
        <v>0</v>
      </c>
      <c r="H2324" s="42"/>
      <c r="I2324" s="42"/>
      <c r="J2324" s="42"/>
    </row>
    <row r="2325" spans="5:10">
      <c r="E2325" s="43">
        <v>45333.760416658508</v>
      </c>
      <c r="F2325" s="41">
        <v>0</v>
      </c>
      <c r="G2325" s="41">
        <v>0</v>
      </c>
      <c r="H2325" s="42"/>
      <c r="I2325" s="42"/>
      <c r="J2325" s="42"/>
    </row>
    <row r="2326" spans="5:10">
      <c r="E2326" s="43">
        <v>45333.763888880727</v>
      </c>
      <c r="F2326" s="41">
        <v>0</v>
      </c>
      <c r="G2326" s="41">
        <v>0</v>
      </c>
      <c r="H2326" s="42"/>
      <c r="I2326" s="42"/>
      <c r="J2326" s="42"/>
    </row>
    <row r="2327" spans="5:10">
      <c r="E2327" s="43">
        <v>45333.767361102946</v>
      </c>
      <c r="F2327" s="41">
        <v>0</v>
      </c>
      <c r="G2327" s="41">
        <v>0</v>
      </c>
      <c r="H2327" s="42"/>
      <c r="I2327" s="42"/>
      <c r="J2327" s="42"/>
    </row>
    <row r="2328" spans="5:10">
      <c r="E2328" s="43">
        <v>45333.770833325165</v>
      </c>
      <c r="F2328" s="41">
        <v>0</v>
      </c>
      <c r="G2328" s="41">
        <v>0</v>
      </c>
      <c r="H2328" s="42"/>
      <c r="I2328" s="42"/>
      <c r="J2328" s="42"/>
    </row>
    <row r="2329" spans="5:10">
      <c r="E2329" s="43">
        <v>45333.774305547384</v>
      </c>
      <c r="F2329" s="41">
        <v>0</v>
      </c>
      <c r="G2329" s="41">
        <v>0</v>
      </c>
      <c r="H2329" s="42"/>
      <c r="I2329" s="42"/>
      <c r="J2329" s="42"/>
    </row>
    <row r="2330" spans="5:10">
      <c r="E2330" s="43">
        <v>45333.777777769603</v>
      </c>
      <c r="F2330" s="41">
        <v>0</v>
      </c>
      <c r="G2330" s="41">
        <v>0</v>
      </c>
      <c r="H2330" s="42"/>
      <c r="I2330" s="42"/>
      <c r="J2330" s="42"/>
    </row>
    <row r="2331" spans="5:10">
      <c r="E2331" s="43">
        <v>45333.781249991822</v>
      </c>
      <c r="F2331" s="41">
        <v>0</v>
      </c>
      <c r="G2331" s="41">
        <v>0</v>
      </c>
      <c r="H2331" s="42"/>
      <c r="I2331" s="42"/>
      <c r="J2331" s="42"/>
    </row>
    <row r="2332" spans="5:10">
      <c r="E2332" s="43">
        <v>45333.784722214041</v>
      </c>
      <c r="F2332" s="41">
        <v>0</v>
      </c>
      <c r="G2332" s="41">
        <v>0</v>
      </c>
      <c r="H2332" s="42"/>
      <c r="I2332" s="42"/>
      <c r="J2332" s="42"/>
    </row>
    <row r="2333" spans="5:10">
      <c r="E2333" s="43">
        <v>45333.78819443626</v>
      </c>
      <c r="F2333" s="41">
        <v>0</v>
      </c>
      <c r="G2333" s="41">
        <v>0</v>
      </c>
      <c r="H2333" s="42"/>
      <c r="I2333" s="42"/>
      <c r="J2333" s="42"/>
    </row>
    <row r="2334" spans="5:10">
      <c r="E2334" s="43">
        <v>45333.791666658479</v>
      </c>
      <c r="F2334" s="41">
        <v>0</v>
      </c>
      <c r="G2334" s="41">
        <v>0</v>
      </c>
      <c r="H2334" s="42"/>
      <c r="I2334" s="42"/>
      <c r="J2334" s="42"/>
    </row>
    <row r="2335" spans="5:10">
      <c r="E2335" s="43">
        <v>45333.795138880698</v>
      </c>
      <c r="F2335" s="41">
        <v>0</v>
      </c>
      <c r="G2335" s="41">
        <v>0</v>
      </c>
      <c r="H2335" s="42"/>
      <c r="I2335" s="42"/>
      <c r="J2335" s="42"/>
    </row>
    <row r="2336" spans="5:10">
      <c r="E2336" s="43">
        <v>45333.798611102917</v>
      </c>
      <c r="F2336" s="41">
        <v>0</v>
      </c>
      <c r="G2336" s="41">
        <v>0</v>
      </c>
      <c r="H2336" s="42"/>
      <c r="I2336" s="42"/>
      <c r="J2336" s="42"/>
    </row>
    <row r="2337" spans="5:10">
      <c r="E2337" s="43">
        <v>45333.802083325136</v>
      </c>
      <c r="F2337" s="41">
        <v>0</v>
      </c>
      <c r="G2337" s="41">
        <v>0</v>
      </c>
      <c r="H2337" s="42"/>
      <c r="I2337" s="42"/>
      <c r="J2337" s="42"/>
    </row>
    <row r="2338" spans="5:10">
      <c r="E2338" s="43">
        <v>45333.805555547355</v>
      </c>
      <c r="F2338" s="41">
        <v>0</v>
      </c>
      <c r="G2338" s="41">
        <v>0</v>
      </c>
      <c r="H2338" s="42"/>
      <c r="I2338" s="42"/>
      <c r="J2338" s="42"/>
    </row>
    <row r="2339" spans="5:10">
      <c r="E2339" s="43">
        <v>45333.809027769574</v>
      </c>
      <c r="F2339" s="41">
        <v>0</v>
      </c>
      <c r="G2339" s="41">
        <v>0</v>
      </c>
      <c r="H2339" s="42"/>
      <c r="I2339" s="42"/>
      <c r="J2339" s="42"/>
    </row>
    <row r="2340" spans="5:10">
      <c r="E2340" s="43">
        <v>45333.812499991793</v>
      </c>
      <c r="F2340" s="41">
        <v>0</v>
      </c>
      <c r="G2340" s="41">
        <v>0</v>
      </c>
      <c r="H2340" s="42"/>
      <c r="I2340" s="42"/>
      <c r="J2340" s="42"/>
    </row>
    <row r="2341" spans="5:10">
      <c r="E2341" s="43">
        <v>45333.815972214012</v>
      </c>
      <c r="F2341" s="41">
        <v>0</v>
      </c>
      <c r="G2341" s="41">
        <v>0</v>
      </c>
      <c r="H2341" s="42"/>
      <c r="I2341" s="42"/>
      <c r="J2341" s="42"/>
    </row>
    <row r="2342" spans="5:10">
      <c r="E2342" s="43">
        <v>45333.819444436231</v>
      </c>
      <c r="F2342" s="41">
        <v>0</v>
      </c>
      <c r="G2342" s="41">
        <v>0</v>
      </c>
      <c r="H2342" s="42"/>
      <c r="I2342" s="42"/>
      <c r="J2342" s="42"/>
    </row>
    <row r="2343" spans="5:10">
      <c r="E2343" s="43">
        <v>45333.82291665845</v>
      </c>
      <c r="F2343" s="41">
        <v>0</v>
      </c>
      <c r="G2343" s="41">
        <v>0</v>
      </c>
      <c r="H2343" s="42"/>
      <c r="I2343" s="42"/>
      <c r="J2343" s="42"/>
    </row>
    <row r="2344" spans="5:10">
      <c r="E2344" s="43">
        <v>45333.826388880669</v>
      </c>
      <c r="F2344" s="41">
        <v>0</v>
      </c>
      <c r="G2344" s="41">
        <v>0</v>
      </c>
      <c r="H2344" s="42"/>
      <c r="I2344" s="42"/>
      <c r="J2344" s="42"/>
    </row>
    <row r="2345" spans="5:10">
      <c r="E2345" s="43">
        <v>45333.829861102888</v>
      </c>
      <c r="F2345" s="41">
        <v>0</v>
      </c>
      <c r="G2345" s="41">
        <v>0</v>
      </c>
      <c r="H2345" s="42"/>
      <c r="I2345" s="42"/>
      <c r="J2345" s="42"/>
    </row>
    <row r="2346" spans="5:10">
      <c r="E2346" s="43">
        <v>45333.833333325107</v>
      </c>
      <c r="F2346" s="41">
        <v>0</v>
      </c>
      <c r="G2346" s="41">
        <v>0</v>
      </c>
      <c r="H2346" s="42"/>
      <c r="I2346" s="42"/>
      <c r="J2346" s="42"/>
    </row>
    <row r="2347" spans="5:10">
      <c r="E2347" s="43">
        <v>45333.836805547326</v>
      </c>
      <c r="F2347" s="41">
        <v>0</v>
      </c>
      <c r="G2347" s="41">
        <v>0</v>
      </c>
      <c r="H2347" s="42"/>
      <c r="I2347" s="42"/>
      <c r="J2347" s="42"/>
    </row>
    <row r="2348" spans="5:10">
      <c r="E2348" s="43">
        <v>45333.840277769545</v>
      </c>
      <c r="F2348" s="41">
        <v>0</v>
      </c>
      <c r="G2348" s="41">
        <v>0</v>
      </c>
      <c r="H2348" s="42"/>
      <c r="I2348" s="42"/>
      <c r="J2348" s="42"/>
    </row>
    <row r="2349" spans="5:10">
      <c r="E2349" s="43">
        <v>45333.843749991764</v>
      </c>
      <c r="F2349" s="41">
        <v>0</v>
      </c>
      <c r="G2349" s="41">
        <v>0</v>
      </c>
      <c r="H2349" s="42"/>
      <c r="I2349" s="42"/>
      <c r="J2349" s="42"/>
    </row>
    <row r="2350" spans="5:10">
      <c r="E2350" s="43">
        <v>45333.847222213983</v>
      </c>
      <c r="F2350" s="41">
        <v>0</v>
      </c>
      <c r="G2350" s="41">
        <v>0</v>
      </c>
      <c r="H2350" s="42"/>
      <c r="I2350" s="42"/>
      <c r="J2350" s="42"/>
    </row>
    <row r="2351" spans="5:10">
      <c r="E2351" s="43">
        <v>45333.850694436202</v>
      </c>
      <c r="F2351" s="41">
        <v>0</v>
      </c>
      <c r="G2351" s="41">
        <v>0</v>
      </c>
      <c r="H2351" s="42"/>
      <c r="I2351" s="42"/>
      <c r="J2351" s="42"/>
    </row>
    <row r="2352" spans="5:10">
      <c r="E2352" s="43">
        <v>45333.854166658421</v>
      </c>
      <c r="F2352" s="41">
        <v>0</v>
      </c>
      <c r="G2352" s="41">
        <v>0</v>
      </c>
      <c r="H2352" s="42"/>
      <c r="I2352" s="42"/>
      <c r="J2352" s="42"/>
    </row>
    <row r="2353" spans="5:10">
      <c r="E2353" s="43">
        <v>45333.85763888064</v>
      </c>
      <c r="F2353" s="41">
        <v>0</v>
      </c>
      <c r="G2353" s="41">
        <v>0</v>
      </c>
      <c r="H2353" s="42"/>
      <c r="I2353" s="42"/>
      <c r="J2353" s="42"/>
    </row>
    <row r="2354" spans="5:10">
      <c r="E2354" s="43">
        <v>45333.861111102859</v>
      </c>
      <c r="F2354" s="41">
        <v>0</v>
      </c>
      <c r="G2354" s="41">
        <v>0</v>
      </c>
      <c r="H2354" s="42"/>
      <c r="I2354" s="42"/>
      <c r="J2354" s="42"/>
    </row>
    <row r="2355" spans="5:10">
      <c r="E2355" s="43">
        <v>45333.864583325078</v>
      </c>
      <c r="F2355" s="41">
        <v>0</v>
      </c>
      <c r="G2355" s="41">
        <v>0</v>
      </c>
      <c r="H2355" s="42"/>
      <c r="I2355" s="42"/>
      <c r="J2355" s="42"/>
    </row>
    <row r="2356" spans="5:10">
      <c r="E2356" s="43">
        <v>45333.868055547297</v>
      </c>
      <c r="F2356" s="41">
        <v>0</v>
      </c>
      <c r="G2356" s="41">
        <v>0</v>
      </c>
      <c r="H2356" s="42"/>
      <c r="I2356" s="42"/>
      <c r="J2356" s="42"/>
    </row>
    <row r="2357" spans="5:10">
      <c r="E2357" s="43">
        <v>45333.871527769516</v>
      </c>
      <c r="F2357" s="41">
        <v>0</v>
      </c>
      <c r="G2357" s="41">
        <v>0</v>
      </c>
      <c r="H2357" s="42"/>
      <c r="I2357" s="42"/>
      <c r="J2357" s="42"/>
    </row>
    <row r="2358" spans="5:10">
      <c r="E2358" s="43">
        <v>45333.874999991735</v>
      </c>
      <c r="F2358" s="41">
        <v>0</v>
      </c>
      <c r="G2358" s="41">
        <v>0</v>
      </c>
      <c r="H2358" s="42"/>
      <c r="I2358" s="42"/>
      <c r="J2358" s="42"/>
    </row>
    <row r="2359" spans="5:10">
      <c r="E2359" s="43">
        <v>45333.878472213954</v>
      </c>
      <c r="F2359" s="41">
        <v>0</v>
      </c>
      <c r="G2359" s="41">
        <v>0</v>
      </c>
      <c r="H2359" s="42"/>
      <c r="I2359" s="42"/>
      <c r="J2359" s="42"/>
    </row>
    <row r="2360" spans="5:10">
      <c r="E2360" s="43">
        <v>45333.881944436172</v>
      </c>
      <c r="F2360" s="41">
        <v>0</v>
      </c>
      <c r="G2360" s="41">
        <v>0</v>
      </c>
      <c r="H2360" s="42"/>
      <c r="I2360" s="42"/>
      <c r="J2360" s="42"/>
    </row>
    <row r="2361" spans="5:10">
      <c r="E2361" s="43">
        <v>45333.885416658391</v>
      </c>
      <c r="F2361" s="41">
        <v>0</v>
      </c>
      <c r="G2361" s="41">
        <v>0</v>
      </c>
      <c r="H2361" s="42"/>
      <c r="I2361" s="42"/>
      <c r="J2361" s="42"/>
    </row>
    <row r="2362" spans="5:10">
      <c r="E2362" s="43">
        <v>45333.88888888061</v>
      </c>
      <c r="F2362" s="41">
        <v>0</v>
      </c>
      <c r="G2362" s="41">
        <v>0</v>
      </c>
      <c r="H2362" s="42"/>
      <c r="I2362" s="42"/>
      <c r="J2362" s="42"/>
    </row>
    <row r="2363" spans="5:10">
      <c r="E2363" s="43">
        <v>45333.892361102829</v>
      </c>
      <c r="F2363" s="41">
        <v>0</v>
      </c>
      <c r="G2363" s="41">
        <v>0</v>
      </c>
      <c r="H2363" s="42"/>
      <c r="I2363" s="42"/>
      <c r="J2363" s="42"/>
    </row>
    <row r="2364" spans="5:10">
      <c r="E2364" s="43">
        <v>45333.895833325048</v>
      </c>
      <c r="F2364" s="41">
        <v>0</v>
      </c>
      <c r="G2364" s="41">
        <v>0</v>
      </c>
      <c r="H2364" s="42"/>
      <c r="I2364" s="42"/>
      <c r="J2364" s="42"/>
    </row>
    <row r="2365" spans="5:10">
      <c r="E2365" s="43">
        <v>45333.899305547267</v>
      </c>
      <c r="F2365" s="41">
        <v>0</v>
      </c>
      <c r="G2365" s="41">
        <v>0</v>
      </c>
      <c r="H2365" s="42"/>
      <c r="I2365" s="42"/>
      <c r="J2365" s="42"/>
    </row>
    <row r="2366" spans="5:10">
      <c r="E2366" s="43">
        <v>45333.902777769486</v>
      </c>
      <c r="F2366" s="41">
        <v>0</v>
      </c>
      <c r="G2366" s="41">
        <v>0</v>
      </c>
      <c r="H2366" s="42"/>
      <c r="I2366" s="42"/>
      <c r="J2366" s="42"/>
    </row>
    <row r="2367" spans="5:10">
      <c r="E2367" s="43">
        <v>45333.906249991705</v>
      </c>
      <c r="F2367" s="41">
        <v>0</v>
      </c>
      <c r="G2367" s="41">
        <v>0</v>
      </c>
      <c r="H2367" s="42"/>
      <c r="I2367" s="42"/>
      <c r="J2367" s="42"/>
    </row>
    <row r="2368" spans="5:10">
      <c r="E2368" s="43">
        <v>45333.909722213924</v>
      </c>
      <c r="F2368" s="41">
        <v>0</v>
      </c>
      <c r="G2368" s="41">
        <v>0</v>
      </c>
      <c r="H2368" s="42"/>
      <c r="I2368" s="42"/>
      <c r="J2368" s="42"/>
    </row>
    <row r="2369" spans="5:10">
      <c r="E2369" s="43">
        <v>45333.913194436143</v>
      </c>
      <c r="F2369" s="41">
        <v>0</v>
      </c>
      <c r="G2369" s="41">
        <v>0</v>
      </c>
      <c r="H2369" s="42"/>
      <c r="I2369" s="42"/>
      <c r="J2369" s="42"/>
    </row>
    <row r="2370" spans="5:10">
      <c r="E2370" s="43">
        <v>45333.916666658362</v>
      </c>
      <c r="F2370" s="41">
        <v>0</v>
      </c>
      <c r="G2370" s="41">
        <v>0</v>
      </c>
      <c r="H2370" s="42"/>
      <c r="I2370" s="42"/>
      <c r="J2370" s="42"/>
    </row>
    <row r="2371" spans="5:10">
      <c r="E2371" s="43">
        <v>45333.920138880581</v>
      </c>
      <c r="F2371" s="41">
        <v>0</v>
      </c>
      <c r="G2371" s="41">
        <v>0</v>
      </c>
      <c r="H2371" s="42"/>
      <c r="I2371" s="42"/>
      <c r="J2371" s="42"/>
    </row>
    <row r="2372" spans="5:10">
      <c r="E2372" s="43">
        <v>45333.9236111028</v>
      </c>
      <c r="F2372" s="41">
        <v>0</v>
      </c>
      <c r="G2372" s="41">
        <v>0</v>
      </c>
      <c r="H2372" s="42"/>
      <c r="I2372" s="42"/>
      <c r="J2372" s="42"/>
    </row>
    <row r="2373" spans="5:10">
      <c r="E2373" s="43">
        <v>45333.927083325019</v>
      </c>
      <c r="F2373" s="41">
        <v>0</v>
      </c>
      <c r="G2373" s="41">
        <v>0</v>
      </c>
      <c r="H2373" s="42"/>
      <c r="I2373" s="42"/>
      <c r="J2373" s="42"/>
    </row>
    <row r="2374" spans="5:10">
      <c r="E2374" s="43">
        <v>45333.930555547238</v>
      </c>
      <c r="F2374" s="41">
        <v>0</v>
      </c>
      <c r="G2374" s="41">
        <v>0</v>
      </c>
      <c r="H2374" s="42"/>
      <c r="I2374" s="42"/>
      <c r="J2374" s="42"/>
    </row>
    <row r="2375" spans="5:10">
      <c r="E2375" s="43">
        <v>45333.934027769457</v>
      </c>
      <c r="F2375" s="41">
        <v>0</v>
      </c>
      <c r="G2375" s="41">
        <v>0</v>
      </c>
      <c r="H2375" s="42"/>
      <c r="I2375" s="42"/>
      <c r="J2375" s="42"/>
    </row>
    <row r="2376" spans="5:10">
      <c r="E2376" s="43">
        <v>45333.937499991676</v>
      </c>
      <c r="F2376" s="41">
        <v>0</v>
      </c>
      <c r="G2376" s="41">
        <v>0</v>
      </c>
      <c r="H2376" s="42"/>
      <c r="I2376" s="42"/>
      <c r="J2376" s="42"/>
    </row>
    <row r="2377" spans="5:10">
      <c r="E2377" s="43">
        <v>45333.940972213895</v>
      </c>
      <c r="F2377" s="41">
        <v>0</v>
      </c>
      <c r="G2377" s="41">
        <v>0</v>
      </c>
      <c r="H2377" s="42"/>
      <c r="I2377" s="42"/>
      <c r="J2377" s="42"/>
    </row>
    <row r="2378" spans="5:10">
      <c r="E2378" s="43">
        <v>45333.944444436114</v>
      </c>
      <c r="F2378" s="41">
        <v>0</v>
      </c>
      <c r="G2378" s="41">
        <v>0</v>
      </c>
      <c r="H2378" s="42"/>
      <c r="I2378" s="42"/>
      <c r="J2378" s="42"/>
    </row>
    <row r="2379" spans="5:10">
      <c r="E2379" s="43">
        <v>45333.947916658333</v>
      </c>
      <c r="F2379" s="41">
        <v>0</v>
      </c>
      <c r="G2379" s="41">
        <v>0</v>
      </c>
      <c r="H2379" s="42"/>
      <c r="I2379" s="42"/>
      <c r="J2379" s="42"/>
    </row>
    <row r="2380" spans="5:10">
      <c r="E2380" s="43">
        <v>45333.951388880552</v>
      </c>
      <c r="F2380" s="41">
        <v>0</v>
      </c>
      <c r="G2380" s="41">
        <v>0</v>
      </c>
      <c r="H2380" s="42"/>
      <c r="I2380" s="42"/>
      <c r="J2380" s="42"/>
    </row>
    <row r="2381" spans="5:10">
      <c r="E2381" s="43">
        <v>45333.954861102771</v>
      </c>
      <c r="F2381" s="41">
        <v>0</v>
      </c>
      <c r="G2381" s="41">
        <v>0</v>
      </c>
      <c r="H2381" s="42"/>
      <c r="I2381" s="42"/>
      <c r="J2381" s="42"/>
    </row>
    <row r="2382" spans="5:10">
      <c r="E2382" s="43">
        <v>45333.95833332499</v>
      </c>
      <c r="F2382" s="41">
        <v>0</v>
      </c>
      <c r="G2382" s="41">
        <v>0</v>
      </c>
      <c r="H2382" s="42"/>
      <c r="I2382" s="42"/>
      <c r="J2382" s="42"/>
    </row>
    <row r="2383" spans="5:10">
      <c r="E2383" s="43">
        <v>45333.961805547209</v>
      </c>
      <c r="F2383" s="41">
        <v>0</v>
      </c>
      <c r="G2383" s="41">
        <v>0</v>
      </c>
      <c r="H2383" s="42"/>
      <c r="I2383" s="42"/>
      <c r="J2383" s="42"/>
    </row>
    <row r="2384" spans="5:10">
      <c r="E2384" s="43">
        <v>45333.965277769428</v>
      </c>
      <c r="F2384" s="41">
        <v>0</v>
      </c>
      <c r="G2384" s="41">
        <v>0</v>
      </c>
      <c r="H2384" s="42"/>
      <c r="I2384" s="42"/>
      <c r="J2384" s="42"/>
    </row>
    <row r="2385" spans="5:10">
      <c r="E2385" s="43">
        <v>45333.968749991647</v>
      </c>
      <c r="F2385" s="41">
        <v>0</v>
      </c>
      <c r="G2385" s="41">
        <v>0</v>
      </c>
      <c r="H2385" s="42"/>
      <c r="I2385" s="42"/>
      <c r="J2385" s="42"/>
    </row>
    <row r="2386" spans="5:10">
      <c r="E2386" s="43">
        <v>45333.972222213866</v>
      </c>
      <c r="F2386" s="41">
        <v>0</v>
      </c>
      <c r="G2386" s="41">
        <v>0</v>
      </c>
      <c r="H2386" s="42"/>
      <c r="I2386" s="42"/>
      <c r="J2386" s="42"/>
    </row>
    <row r="2387" spans="5:10">
      <c r="E2387" s="43">
        <v>45333.975694436085</v>
      </c>
      <c r="F2387" s="41">
        <v>0</v>
      </c>
      <c r="G2387" s="41">
        <v>0</v>
      </c>
      <c r="H2387" s="42"/>
      <c r="I2387" s="42"/>
      <c r="J2387" s="42"/>
    </row>
    <row r="2388" spans="5:10">
      <c r="E2388" s="43">
        <v>45333.979166658304</v>
      </c>
      <c r="F2388" s="41">
        <v>0</v>
      </c>
      <c r="G2388" s="41">
        <v>0</v>
      </c>
      <c r="H2388" s="42"/>
      <c r="I2388" s="42"/>
      <c r="J2388" s="42"/>
    </row>
    <row r="2389" spans="5:10">
      <c r="E2389" s="43">
        <v>45333.982638880523</v>
      </c>
      <c r="F2389" s="41">
        <v>0</v>
      </c>
      <c r="G2389" s="41">
        <v>0</v>
      </c>
      <c r="H2389" s="42"/>
      <c r="I2389" s="42"/>
      <c r="J2389" s="42"/>
    </row>
    <row r="2390" spans="5:10">
      <c r="E2390" s="43">
        <v>45333.986111102742</v>
      </c>
      <c r="F2390" s="41">
        <v>0</v>
      </c>
      <c r="G2390" s="41">
        <v>0</v>
      </c>
      <c r="H2390" s="42"/>
      <c r="I2390" s="42"/>
      <c r="J2390" s="42"/>
    </row>
    <row r="2391" spans="5:10">
      <c r="E2391" s="43">
        <v>45333.989583324961</v>
      </c>
      <c r="F2391" s="41">
        <v>0</v>
      </c>
      <c r="G2391" s="41">
        <v>0</v>
      </c>
      <c r="H2391" s="42"/>
      <c r="I2391" s="42"/>
      <c r="J2391" s="42"/>
    </row>
    <row r="2392" spans="5:10">
      <c r="E2392" s="43">
        <v>45333.99305554718</v>
      </c>
      <c r="F2392" s="41">
        <v>0</v>
      </c>
      <c r="G2392" s="41">
        <v>0</v>
      </c>
      <c r="H2392" s="42"/>
      <c r="I2392" s="42"/>
      <c r="J2392" s="42"/>
    </row>
    <row r="2393" spans="5:10">
      <c r="E2393" s="43">
        <v>45333.996527769399</v>
      </c>
      <c r="F2393" s="41">
        <v>0</v>
      </c>
      <c r="G2393" s="41">
        <v>0</v>
      </c>
      <c r="H2393" s="42"/>
      <c r="I2393" s="42"/>
      <c r="J2393" s="42"/>
    </row>
    <row r="2394" spans="5:10">
      <c r="E2394" s="43">
        <v>45333.999999991618</v>
      </c>
      <c r="F2394" s="41">
        <v>0</v>
      </c>
      <c r="G2394" s="41">
        <v>0</v>
      </c>
      <c r="H2394" s="42"/>
      <c r="I2394" s="42"/>
      <c r="J2394" s="42"/>
    </row>
    <row r="2395" spans="5:10">
      <c r="E2395" s="43">
        <v>45334.003472213837</v>
      </c>
      <c r="F2395" s="41">
        <v>0</v>
      </c>
      <c r="G2395" s="41">
        <v>0</v>
      </c>
      <c r="H2395" s="42"/>
      <c r="I2395" s="42"/>
      <c r="J2395" s="42"/>
    </row>
    <row r="2396" spans="5:10">
      <c r="E2396" s="43">
        <v>45334.006944436056</v>
      </c>
      <c r="F2396" s="41">
        <v>0</v>
      </c>
      <c r="G2396" s="41">
        <v>0</v>
      </c>
      <c r="H2396" s="42"/>
      <c r="I2396" s="42"/>
      <c r="J2396" s="42"/>
    </row>
    <row r="2397" spans="5:10">
      <c r="E2397" s="43">
        <v>45334.010416658275</v>
      </c>
      <c r="F2397" s="41">
        <v>0</v>
      </c>
      <c r="G2397" s="41">
        <v>0</v>
      </c>
      <c r="H2397" s="42"/>
      <c r="I2397" s="42"/>
      <c r="J2397" s="42"/>
    </row>
    <row r="2398" spans="5:10">
      <c r="E2398" s="43">
        <v>45334.013888880494</v>
      </c>
      <c r="F2398" s="41">
        <v>0</v>
      </c>
      <c r="G2398" s="41">
        <v>0</v>
      </c>
      <c r="H2398" s="42"/>
      <c r="I2398" s="42"/>
      <c r="J2398" s="42"/>
    </row>
    <row r="2399" spans="5:10">
      <c r="E2399" s="43">
        <v>45334.017361102713</v>
      </c>
      <c r="F2399" s="41">
        <v>0</v>
      </c>
      <c r="G2399" s="41">
        <v>0</v>
      </c>
      <c r="H2399" s="42"/>
      <c r="I2399" s="42"/>
      <c r="J2399" s="42"/>
    </row>
    <row r="2400" spans="5:10">
      <c r="E2400" s="43">
        <v>45334.020833324932</v>
      </c>
      <c r="F2400" s="41">
        <v>0</v>
      </c>
      <c r="G2400" s="41">
        <v>0</v>
      </c>
      <c r="H2400" s="42"/>
      <c r="I2400" s="42"/>
      <c r="J2400" s="42"/>
    </row>
    <row r="2401" spans="5:10">
      <c r="E2401" s="43">
        <v>45334.024305547151</v>
      </c>
      <c r="F2401" s="41">
        <v>0</v>
      </c>
      <c r="G2401" s="41">
        <v>0</v>
      </c>
      <c r="H2401" s="42"/>
      <c r="I2401" s="42"/>
      <c r="J2401" s="42"/>
    </row>
    <row r="2402" spans="5:10">
      <c r="E2402" s="43">
        <v>45334.02777776937</v>
      </c>
      <c r="F2402" s="41">
        <v>0</v>
      </c>
      <c r="G2402" s="41">
        <v>0</v>
      </c>
      <c r="H2402" s="42"/>
      <c r="I2402" s="42"/>
      <c r="J2402" s="42"/>
    </row>
    <row r="2403" spans="5:10">
      <c r="E2403" s="43">
        <v>45334.031249991589</v>
      </c>
      <c r="F2403" s="41">
        <v>0</v>
      </c>
      <c r="G2403" s="41">
        <v>0</v>
      </c>
      <c r="H2403" s="42"/>
      <c r="I2403" s="42"/>
      <c r="J2403" s="42"/>
    </row>
    <row r="2404" spans="5:10">
      <c r="E2404" s="43">
        <v>45334.034722213808</v>
      </c>
      <c r="F2404" s="41">
        <v>0</v>
      </c>
      <c r="G2404" s="41">
        <v>0</v>
      </c>
      <c r="H2404" s="42"/>
      <c r="I2404" s="42"/>
      <c r="J2404" s="42"/>
    </row>
    <row r="2405" spans="5:10">
      <c r="E2405" s="43">
        <v>45334.038194436027</v>
      </c>
      <c r="F2405" s="41">
        <v>0</v>
      </c>
      <c r="G2405" s="41">
        <v>0</v>
      </c>
      <c r="H2405" s="42"/>
      <c r="I2405" s="42"/>
      <c r="J2405" s="42"/>
    </row>
    <row r="2406" spans="5:10">
      <c r="E2406" s="43">
        <v>45334.041666658246</v>
      </c>
      <c r="F2406" s="41">
        <v>0</v>
      </c>
      <c r="G2406" s="41">
        <v>0</v>
      </c>
      <c r="H2406" s="42"/>
      <c r="I2406" s="42"/>
      <c r="J2406" s="42"/>
    </row>
    <row r="2407" spans="5:10">
      <c r="E2407" s="43">
        <v>45334.045138880465</v>
      </c>
      <c r="F2407" s="41">
        <v>0</v>
      </c>
      <c r="G2407" s="41">
        <v>0</v>
      </c>
      <c r="H2407" s="42"/>
      <c r="I2407" s="42"/>
      <c r="J2407" s="42"/>
    </row>
    <row r="2408" spans="5:10">
      <c r="E2408" s="43">
        <v>45334.048611102684</v>
      </c>
      <c r="F2408" s="41">
        <v>0</v>
      </c>
      <c r="G2408" s="41">
        <v>0</v>
      </c>
      <c r="H2408" s="42"/>
      <c r="I2408" s="42"/>
      <c r="J2408" s="42"/>
    </row>
    <row r="2409" spans="5:10">
      <c r="E2409" s="43">
        <v>45334.052083324903</v>
      </c>
      <c r="F2409" s="41">
        <v>0</v>
      </c>
      <c r="G2409" s="41">
        <v>0</v>
      </c>
      <c r="H2409" s="42"/>
      <c r="I2409" s="42"/>
      <c r="J2409" s="42"/>
    </row>
    <row r="2410" spans="5:10">
      <c r="E2410" s="43">
        <v>45334.055555547122</v>
      </c>
      <c r="F2410" s="41">
        <v>0</v>
      </c>
      <c r="G2410" s="41">
        <v>0</v>
      </c>
      <c r="H2410" s="42"/>
      <c r="I2410" s="42"/>
      <c r="J2410" s="42"/>
    </row>
    <row r="2411" spans="5:10">
      <c r="E2411" s="43">
        <v>45334.059027769341</v>
      </c>
      <c r="F2411" s="41">
        <v>0</v>
      </c>
      <c r="G2411" s="41">
        <v>0</v>
      </c>
      <c r="H2411" s="42"/>
      <c r="I2411" s="42"/>
      <c r="J2411" s="42"/>
    </row>
    <row r="2412" spans="5:10">
      <c r="E2412" s="43">
        <v>45334.06249999156</v>
      </c>
      <c r="F2412" s="41">
        <v>0</v>
      </c>
      <c r="G2412" s="41">
        <v>0</v>
      </c>
      <c r="H2412" s="42"/>
      <c r="I2412" s="42"/>
      <c r="J2412" s="42"/>
    </row>
    <row r="2413" spans="5:10">
      <c r="E2413" s="43">
        <v>45334.065972213779</v>
      </c>
      <c r="F2413" s="41">
        <v>0</v>
      </c>
      <c r="G2413" s="41">
        <v>0</v>
      </c>
      <c r="H2413" s="42"/>
      <c r="I2413" s="42"/>
      <c r="J2413" s="42"/>
    </row>
    <row r="2414" spans="5:10">
      <c r="E2414" s="43">
        <v>45334.069444435998</v>
      </c>
      <c r="F2414" s="41">
        <v>0</v>
      </c>
      <c r="G2414" s="41">
        <v>0</v>
      </c>
      <c r="H2414" s="42"/>
      <c r="I2414" s="42"/>
      <c r="J2414" s="42"/>
    </row>
    <row r="2415" spans="5:10">
      <c r="E2415" s="43">
        <v>45334.072916658217</v>
      </c>
      <c r="F2415" s="41">
        <v>0</v>
      </c>
      <c r="G2415" s="41">
        <v>0</v>
      </c>
      <c r="H2415" s="42"/>
      <c r="I2415" s="42"/>
      <c r="J2415" s="42"/>
    </row>
    <row r="2416" spans="5:10">
      <c r="E2416" s="43">
        <v>45334.076388880436</v>
      </c>
      <c r="F2416" s="41">
        <v>0</v>
      </c>
      <c r="G2416" s="41">
        <v>0</v>
      </c>
      <c r="H2416" s="42"/>
      <c r="I2416" s="42"/>
      <c r="J2416" s="42"/>
    </row>
    <row r="2417" spans="5:10">
      <c r="E2417" s="43">
        <v>45334.079861102655</v>
      </c>
      <c r="F2417" s="41">
        <v>0</v>
      </c>
      <c r="G2417" s="41">
        <v>0</v>
      </c>
      <c r="H2417" s="42"/>
      <c r="I2417" s="42"/>
      <c r="J2417" s="42"/>
    </row>
    <row r="2418" spans="5:10">
      <c r="E2418" s="43">
        <v>45334.083333324874</v>
      </c>
      <c r="F2418" s="41">
        <v>0</v>
      </c>
      <c r="G2418" s="41">
        <v>0</v>
      </c>
      <c r="H2418" s="42"/>
      <c r="I2418" s="42"/>
      <c r="J2418" s="42"/>
    </row>
    <row r="2419" spans="5:10">
      <c r="E2419" s="43">
        <v>45334.086805547093</v>
      </c>
      <c r="F2419" s="41">
        <v>0</v>
      </c>
      <c r="G2419" s="41">
        <v>0</v>
      </c>
      <c r="H2419" s="42"/>
      <c r="I2419" s="42"/>
      <c r="J2419" s="42"/>
    </row>
    <row r="2420" spans="5:10">
      <c r="E2420" s="43">
        <v>45334.090277769312</v>
      </c>
      <c r="F2420" s="41">
        <v>0</v>
      </c>
      <c r="G2420" s="41">
        <v>0</v>
      </c>
      <c r="H2420" s="42"/>
      <c r="I2420" s="42"/>
      <c r="J2420" s="42"/>
    </row>
    <row r="2421" spans="5:10">
      <c r="E2421" s="43">
        <v>45334.093749991531</v>
      </c>
      <c r="F2421" s="41">
        <v>0</v>
      </c>
      <c r="G2421" s="41">
        <v>0</v>
      </c>
      <c r="H2421" s="42"/>
      <c r="I2421" s="42"/>
      <c r="J2421" s="42"/>
    </row>
    <row r="2422" spans="5:10">
      <c r="E2422" s="43">
        <v>45334.09722221375</v>
      </c>
      <c r="F2422" s="41">
        <v>0</v>
      </c>
      <c r="G2422" s="41">
        <v>0</v>
      </c>
      <c r="H2422" s="42"/>
      <c r="I2422" s="42"/>
      <c r="J2422" s="42"/>
    </row>
    <row r="2423" spans="5:10">
      <c r="E2423" s="43">
        <v>45334.100694435969</v>
      </c>
      <c r="F2423" s="41">
        <v>0</v>
      </c>
      <c r="G2423" s="41">
        <v>0</v>
      </c>
      <c r="H2423" s="42"/>
      <c r="I2423" s="42"/>
      <c r="J2423" s="42"/>
    </row>
    <row r="2424" spans="5:10">
      <c r="E2424" s="43">
        <v>45334.104166658188</v>
      </c>
      <c r="F2424" s="41">
        <v>0</v>
      </c>
      <c r="G2424" s="41">
        <v>0</v>
      </c>
      <c r="H2424" s="42"/>
      <c r="I2424" s="42"/>
      <c r="J2424" s="42"/>
    </row>
    <row r="2425" spans="5:10">
      <c r="E2425" s="43">
        <v>45334.107638880407</v>
      </c>
      <c r="F2425" s="41">
        <v>0</v>
      </c>
      <c r="G2425" s="41">
        <v>0</v>
      </c>
      <c r="H2425" s="42"/>
      <c r="I2425" s="42"/>
      <c r="J2425" s="42"/>
    </row>
    <row r="2426" spans="5:10">
      <c r="E2426" s="43">
        <v>45334.111111102626</v>
      </c>
      <c r="F2426" s="41">
        <v>0</v>
      </c>
      <c r="G2426" s="41">
        <v>0</v>
      </c>
      <c r="H2426" s="42"/>
      <c r="I2426" s="42"/>
      <c r="J2426" s="42"/>
    </row>
    <row r="2427" spans="5:10">
      <c r="E2427" s="43">
        <v>45334.114583324845</v>
      </c>
      <c r="F2427" s="41">
        <v>0</v>
      </c>
      <c r="G2427" s="41">
        <v>0</v>
      </c>
      <c r="H2427" s="42"/>
      <c r="I2427" s="42"/>
      <c r="J2427" s="42"/>
    </row>
    <row r="2428" spans="5:10">
      <c r="E2428" s="43">
        <v>45334.118055547064</v>
      </c>
      <c r="F2428" s="41">
        <v>0</v>
      </c>
      <c r="G2428" s="41">
        <v>0</v>
      </c>
      <c r="H2428" s="42"/>
      <c r="I2428" s="42"/>
      <c r="J2428" s="42"/>
    </row>
    <row r="2429" spans="5:10">
      <c r="E2429" s="43">
        <v>45334.121527769283</v>
      </c>
      <c r="F2429" s="41">
        <v>0</v>
      </c>
      <c r="G2429" s="41">
        <v>0</v>
      </c>
      <c r="H2429" s="42"/>
      <c r="I2429" s="42"/>
      <c r="J2429" s="42"/>
    </row>
    <row r="2430" spans="5:10">
      <c r="E2430" s="43">
        <v>45334.124999991502</v>
      </c>
      <c r="F2430" s="41">
        <v>0</v>
      </c>
      <c r="G2430" s="41">
        <v>0</v>
      </c>
      <c r="H2430" s="42"/>
      <c r="I2430" s="42"/>
      <c r="J2430" s="42"/>
    </row>
    <row r="2431" spans="5:10">
      <c r="E2431" s="43">
        <v>45334.128472213721</v>
      </c>
      <c r="F2431" s="41">
        <v>0</v>
      </c>
      <c r="G2431" s="41">
        <v>0</v>
      </c>
      <c r="H2431" s="42"/>
      <c r="I2431" s="42"/>
      <c r="J2431" s="42"/>
    </row>
    <row r="2432" spans="5:10">
      <c r="E2432" s="43">
        <v>45334.13194443594</v>
      </c>
      <c r="F2432" s="41">
        <v>0</v>
      </c>
      <c r="G2432" s="41">
        <v>0</v>
      </c>
      <c r="H2432" s="42"/>
      <c r="I2432" s="42"/>
      <c r="J2432" s="42"/>
    </row>
    <row r="2433" spans="5:10">
      <c r="E2433" s="43">
        <v>45334.135416658159</v>
      </c>
      <c r="F2433" s="41">
        <v>0</v>
      </c>
      <c r="G2433" s="41">
        <v>0</v>
      </c>
      <c r="H2433" s="42"/>
      <c r="I2433" s="42"/>
      <c r="J2433" s="42"/>
    </row>
    <row r="2434" spans="5:10">
      <c r="E2434" s="43">
        <v>45334.138888880378</v>
      </c>
      <c r="F2434" s="41">
        <v>0</v>
      </c>
      <c r="G2434" s="41">
        <v>0</v>
      </c>
      <c r="H2434" s="42"/>
      <c r="I2434" s="42"/>
      <c r="J2434" s="42"/>
    </row>
    <row r="2435" spans="5:10">
      <c r="E2435" s="43">
        <v>45334.142361102597</v>
      </c>
      <c r="F2435" s="41">
        <v>0</v>
      </c>
      <c r="G2435" s="41">
        <v>0</v>
      </c>
      <c r="H2435" s="42"/>
      <c r="I2435" s="42"/>
      <c r="J2435" s="42"/>
    </row>
    <row r="2436" spans="5:10">
      <c r="E2436" s="43">
        <v>45334.145833324816</v>
      </c>
      <c r="F2436" s="41">
        <v>0</v>
      </c>
      <c r="G2436" s="41">
        <v>0</v>
      </c>
      <c r="H2436" s="42"/>
      <c r="I2436" s="42"/>
      <c r="J2436" s="42"/>
    </row>
    <row r="2437" spans="5:10">
      <c r="E2437" s="43">
        <v>45334.149305547035</v>
      </c>
      <c r="F2437" s="41">
        <v>0</v>
      </c>
      <c r="G2437" s="41">
        <v>0</v>
      </c>
      <c r="H2437" s="42"/>
      <c r="I2437" s="42"/>
      <c r="J2437" s="42"/>
    </row>
    <row r="2438" spans="5:10">
      <c r="E2438" s="43">
        <v>45334.152777769254</v>
      </c>
      <c r="F2438" s="41">
        <v>0</v>
      </c>
      <c r="G2438" s="41">
        <v>0</v>
      </c>
      <c r="H2438" s="42"/>
      <c r="I2438" s="42"/>
      <c r="J2438" s="42"/>
    </row>
    <row r="2439" spans="5:10">
      <c r="E2439" s="43">
        <v>45334.156249991473</v>
      </c>
      <c r="F2439" s="41">
        <v>0</v>
      </c>
      <c r="G2439" s="41">
        <v>0</v>
      </c>
      <c r="H2439" s="42"/>
      <c r="I2439" s="42"/>
      <c r="J2439" s="42"/>
    </row>
    <row r="2440" spans="5:10">
      <c r="E2440" s="43">
        <v>45334.159722213692</v>
      </c>
      <c r="F2440" s="41">
        <v>0</v>
      </c>
      <c r="G2440" s="41">
        <v>0</v>
      </c>
      <c r="H2440" s="42"/>
      <c r="I2440" s="42"/>
      <c r="J2440" s="42"/>
    </row>
    <row r="2441" spans="5:10">
      <c r="E2441" s="43">
        <v>45334.163194435911</v>
      </c>
      <c r="F2441" s="41">
        <v>0</v>
      </c>
      <c r="G2441" s="41">
        <v>0</v>
      </c>
      <c r="H2441" s="42"/>
      <c r="I2441" s="42"/>
      <c r="J2441" s="42"/>
    </row>
    <row r="2442" spans="5:10">
      <c r="E2442" s="43">
        <v>45334.16666665813</v>
      </c>
      <c r="F2442" s="41">
        <v>0</v>
      </c>
      <c r="G2442" s="41">
        <v>0</v>
      </c>
      <c r="H2442" s="42"/>
      <c r="I2442" s="42"/>
      <c r="J2442" s="42"/>
    </row>
    <row r="2443" spans="5:10">
      <c r="E2443" s="43">
        <v>45334.170138880349</v>
      </c>
      <c r="F2443" s="41">
        <v>0</v>
      </c>
      <c r="G2443" s="41">
        <v>0</v>
      </c>
      <c r="H2443" s="42"/>
      <c r="I2443" s="42"/>
      <c r="J2443" s="42"/>
    </row>
    <row r="2444" spans="5:10">
      <c r="E2444" s="43">
        <v>45334.173611102568</v>
      </c>
      <c r="F2444" s="41">
        <v>0</v>
      </c>
      <c r="G2444" s="41">
        <v>0</v>
      </c>
      <c r="H2444" s="42"/>
      <c r="I2444" s="42"/>
      <c r="J2444" s="42"/>
    </row>
    <row r="2445" spans="5:10">
      <c r="E2445" s="43">
        <v>45334.177083324787</v>
      </c>
      <c r="F2445" s="41">
        <v>0</v>
      </c>
      <c r="G2445" s="41">
        <v>0</v>
      </c>
      <c r="H2445" s="42"/>
      <c r="I2445" s="42"/>
      <c r="J2445" s="42"/>
    </row>
    <row r="2446" spans="5:10">
      <c r="E2446" s="43">
        <v>45334.180555547005</v>
      </c>
      <c r="F2446" s="41">
        <v>0</v>
      </c>
      <c r="G2446" s="41">
        <v>0</v>
      </c>
      <c r="H2446" s="42"/>
      <c r="I2446" s="42"/>
      <c r="J2446" s="42"/>
    </row>
    <row r="2447" spans="5:10">
      <c r="E2447" s="43">
        <v>45334.184027769224</v>
      </c>
      <c r="F2447" s="41">
        <v>0</v>
      </c>
      <c r="G2447" s="41">
        <v>0</v>
      </c>
      <c r="H2447" s="42"/>
      <c r="I2447" s="42"/>
      <c r="J2447" s="42"/>
    </row>
    <row r="2448" spans="5:10">
      <c r="E2448" s="43">
        <v>45334.187499991443</v>
      </c>
      <c r="F2448" s="41">
        <v>0</v>
      </c>
      <c r="G2448" s="41">
        <v>0</v>
      </c>
      <c r="H2448" s="42"/>
      <c r="I2448" s="42"/>
      <c r="J2448" s="42"/>
    </row>
    <row r="2449" spans="5:10">
      <c r="E2449" s="43">
        <v>45334.190972213662</v>
      </c>
      <c r="F2449" s="41">
        <v>0</v>
      </c>
      <c r="G2449" s="41">
        <v>0</v>
      </c>
      <c r="H2449" s="42"/>
      <c r="I2449" s="42"/>
      <c r="J2449" s="42"/>
    </row>
    <row r="2450" spans="5:10">
      <c r="E2450" s="43">
        <v>45334.194444435881</v>
      </c>
      <c r="F2450" s="41">
        <v>0</v>
      </c>
      <c r="G2450" s="41">
        <v>0</v>
      </c>
      <c r="H2450" s="42"/>
      <c r="I2450" s="42"/>
      <c r="J2450" s="42"/>
    </row>
    <row r="2451" spans="5:10">
      <c r="E2451" s="43">
        <v>45334.1979166581</v>
      </c>
      <c r="F2451" s="41">
        <v>0</v>
      </c>
      <c r="G2451" s="41">
        <v>0</v>
      </c>
      <c r="H2451" s="42"/>
      <c r="I2451" s="42"/>
      <c r="J2451" s="42"/>
    </row>
    <row r="2452" spans="5:10">
      <c r="E2452" s="43">
        <v>45334.201388880319</v>
      </c>
      <c r="F2452" s="41">
        <v>0</v>
      </c>
      <c r="G2452" s="41">
        <v>0</v>
      </c>
      <c r="H2452" s="42"/>
      <c r="I2452" s="42"/>
      <c r="J2452" s="42"/>
    </row>
    <row r="2453" spans="5:10">
      <c r="E2453" s="43">
        <v>45334.204861102538</v>
      </c>
      <c r="F2453" s="41">
        <v>0</v>
      </c>
      <c r="G2453" s="41">
        <v>0</v>
      </c>
      <c r="H2453" s="42"/>
      <c r="I2453" s="42"/>
      <c r="J2453" s="42"/>
    </row>
    <row r="2454" spans="5:10">
      <c r="E2454" s="43">
        <v>45334.208333324757</v>
      </c>
      <c r="F2454" s="41">
        <v>0</v>
      </c>
      <c r="G2454" s="41">
        <v>0</v>
      </c>
      <c r="H2454" s="42"/>
      <c r="I2454" s="42"/>
      <c r="J2454" s="42"/>
    </row>
    <row r="2455" spans="5:10">
      <c r="E2455" s="43">
        <v>45334.211805546976</v>
      </c>
      <c r="F2455" s="41">
        <v>0</v>
      </c>
      <c r="G2455" s="41">
        <v>0</v>
      </c>
      <c r="H2455" s="42"/>
      <c r="I2455" s="42"/>
      <c r="J2455" s="42"/>
    </row>
    <row r="2456" spans="5:10">
      <c r="E2456" s="43">
        <v>45334.215277769195</v>
      </c>
      <c r="F2456" s="41">
        <v>0</v>
      </c>
      <c r="G2456" s="41">
        <v>0</v>
      </c>
      <c r="H2456" s="42"/>
      <c r="I2456" s="42"/>
      <c r="J2456" s="42"/>
    </row>
    <row r="2457" spans="5:10">
      <c r="E2457" s="43">
        <v>45334.218749991414</v>
      </c>
      <c r="F2457" s="41">
        <v>0</v>
      </c>
      <c r="G2457" s="41">
        <v>0</v>
      </c>
      <c r="H2457" s="42"/>
      <c r="I2457" s="42"/>
      <c r="J2457" s="42"/>
    </row>
    <row r="2458" spans="5:10">
      <c r="E2458" s="43">
        <v>45334.222222213633</v>
      </c>
      <c r="F2458" s="41">
        <v>0</v>
      </c>
      <c r="G2458" s="41">
        <v>0</v>
      </c>
      <c r="H2458" s="42"/>
      <c r="I2458" s="42"/>
      <c r="J2458" s="42"/>
    </row>
    <row r="2459" spans="5:10">
      <c r="E2459" s="43">
        <v>45334.225694435852</v>
      </c>
      <c r="F2459" s="41">
        <v>0</v>
      </c>
      <c r="G2459" s="41">
        <v>0</v>
      </c>
      <c r="H2459" s="42"/>
      <c r="I2459" s="42"/>
      <c r="J2459" s="42"/>
    </row>
    <row r="2460" spans="5:10">
      <c r="E2460" s="43">
        <v>45334.229166658071</v>
      </c>
      <c r="F2460" s="41">
        <v>0</v>
      </c>
      <c r="G2460" s="41">
        <v>0</v>
      </c>
      <c r="H2460" s="42"/>
      <c r="I2460" s="42"/>
      <c r="J2460" s="42"/>
    </row>
    <row r="2461" spans="5:10">
      <c r="E2461" s="43">
        <v>45334.23263888029</v>
      </c>
      <c r="F2461" s="41">
        <v>0</v>
      </c>
      <c r="G2461" s="41">
        <v>0</v>
      </c>
      <c r="H2461" s="42"/>
      <c r="I2461" s="42"/>
      <c r="J2461" s="42"/>
    </row>
    <row r="2462" spans="5:10">
      <c r="E2462" s="43">
        <v>45334.236111102509</v>
      </c>
      <c r="F2462" s="41">
        <v>0</v>
      </c>
      <c r="G2462" s="41">
        <v>0</v>
      </c>
      <c r="H2462" s="42"/>
      <c r="I2462" s="42"/>
      <c r="J2462" s="42"/>
    </row>
    <row r="2463" spans="5:10">
      <c r="E2463" s="43">
        <v>45334.239583324728</v>
      </c>
      <c r="F2463" s="41">
        <v>0</v>
      </c>
      <c r="G2463" s="41">
        <v>0</v>
      </c>
      <c r="H2463" s="42"/>
      <c r="I2463" s="42"/>
      <c r="J2463" s="42"/>
    </row>
    <row r="2464" spans="5:10">
      <c r="E2464" s="43">
        <v>45334.243055546947</v>
      </c>
      <c r="F2464" s="41">
        <v>0</v>
      </c>
      <c r="G2464" s="41">
        <v>0</v>
      </c>
      <c r="H2464" s="42"/>
      <c r="I2464" s="42"/>
      <c r="J2464" s="42"/>
    </row>
    <row r="2465" spans="5:10">
      <c r="E2465" s="43">
        <v>45334.246527769166</v>
      </c>
      <c r="F2465" s="41">
        <v>0</v>
      </c>
      <c r="G2465" s="41">
        <v>0</v>
      </c>
      <c r="H2465" s="42"/>
      <c r="I2465" s="42"/>
      <c r="J2465" s="42"/>
    </row>
    <row r="2466" spans="5:10">
      <c r="E2466" s="43">
        <v>45334.249999991385</v>
      </c>
      <c r="F2466" s="41">
        <v>0</v>
      </c>
      <c r="G2466" s="41">
        <v>0</v>
      </c>
      <c r="H2466" s="42"/>
      <c r="I2466" s="42"/>
      <c r="J2466" s="42"/>
    </row>
    <row r="2467" spans="5:10">
      <c r="E2467" s="43">
        <v>45334.253472213604</v>
      </c>
      <c r="F2467" s="41">
        <v>0</v>
      </c>
      <c r="G2467" s="41">
        <v>0</v>
      </c>
      <c r="H2467" s="42"/>
      <c r="I2467" s="42"/>
      <c r="J2467" s="42"/>
    </row>
    <row r="2468" spans="5:10">
      <c r="E2468" s="43">
        <v>45334.256944435823</v>
      </c>
      <c r="F2468" s="41">
        <v>0</v>
      </c>
      <c r="G2468" s="41">
        <v>0</v>
      </c>
      <c r="H2468" s="42"/>
      <c r="I2468" s="42"/>
      <c r="J2468" s="42"/>
    </row>
    <row r="2469" spans="5:10">
      <c r="E2469" s="43">
        <v>45334.260416658042</v>
      </c>
      <c r="F2469" s="41">
        <v>0</v>
      </c>
      <c r="G2469" s="41">
        <v>0</v>
      </c>
      <c r="H2469" s="42"/>
      <c r="I2469" s="42"/>
      <c r="J2469" s="42"/>
    </row>
    <row r="2470" spans="5:10">
      <c r="E2470" s="43">
        <v>45334.263888880261</v>
      </c>
      <c r="F2470" s="41">
        <v>0</v>
      </c>
      <c r="G2470" s="41">
        <v>0</v>
      </c>
      <c r="H2470" s="42"/>
      <c r="I2470" s="42"/>
      <c r="J2470" s="42"/>
    </row>
    <row r="2471" spans="5:10">
      <c r="E2471" s="43">
        <v>45334.26736110248</v>
      </c>
      <c r="F2471" s="41">
        <v>0</v>
      </c>
      <c r="G2471" s="41">
        <v>0</v>
      </c>
      <c r="H2471" s="42"/>
      <c r="I2471" s="42"/>
      <c r="J2471" s="42"/>
    </row>
    <row r="2472" spans="5:10">
      <c r="E2472" s="43">
        <v>45334.270833324699</v>
      </c>
      <c r="F2472" s="41">
        <v>0</v>
      </c>
      <c r="G2472" s="41">
        <v>0</v>
      </c>
      <c r="H2472" s="42"/>
      <c r="I2472" s="42"/>
      <c r="J2472" s="42"/>
    </row>
    <row r="2473" spans="5:10">
      <c r="E2473" s="43">
        <v>45334.274305546918</v>
      </c>
      <c r="F2473" s="41">
        <v>0</v>
      </c>
      <c r="G2473" s="41">
        <v>0</v>
      </c>
      <c r="H2473" s="42"/>
      <c r="I2473" s="42"/>
      <c r="J2473" s="42"/>
    </row>
    <row r="2474" spans="5:10">
      <c r="E2474" s="43">
        <v>45334.277777769137</v>
      </c>
      <c r="F2474" s="41">
        <v>0</v>
      </c>
      <c r="G2474" s="41">
        <v>0</v>
      </c>
      <c r="H2474" s="42"/>
      <c r="I2474" s="42"/>
      <c r="J2474" s="42"/>
    </row>
    <row r="2475" spans="5:10">
      <c r="E2475" s="43">
        <v>45334.281249991356</v>
      </c>
      <c r="F2475" s="41">
        <v>0</v>
      </c>
      <c r="G2475" s="41">
        <v>0</v>
      </c>
      <c r="H2475" s="42"/>
      <c r="I2475" s="42"/>
      <c r="J2475" s="42"/>
    </row>
    <row r="2476" spans="5:10">
      <c r="E2476" s="43">
        <v>45334.284722213575</v>
      </c>
      <c r="F2476" s="41">
        <v>0</v>
      </c>
      <c r="G2476" s="41">
        <v>0</v>
      </c>
      <c r="H2476" s="42"/>
      <c r="I2476" s="42"/>
      <c r="J2476" s="42"/>
    </row>
    <row r="2477" spans="5:10">
      <c r="E2477" s="43">
        <v>45334.288194435794</v>
      </c>
      <c r="F2477" s="41">
        <v>0</v>
      </c>
      <c r="G2477" s="41">
        <v>0</v>
      </c>
      <c r="H2477" s="42"/>
      <c r="I2477" s="42"/>
      <c r="J2477" s="42"/>
    </row>
    <row r="2478" spans="5:10">
      <c r="E2478" s="43">
        <v>45334.291666658013</v>
      </c>
      <c r="F2478" s="41">
        <v>0</v>
      </c>
      <c r="G2478" s="41">
        <v>0</v>
      </c>
      <c r="H2478" s="42"/>
      <c r="I2478" s="42"/>
      <c r="J2478" s="42"/>
    </row>
    <row r="2479" spans="5:10">
      <c r="E2479" s="43">
        <v>45334.295138880232</v>
      </c>
      <c r="F2479" s="41">
        <v>0</v>
      </c>
      <c r="G2479" s="41">
        <v>0</v>
      </c>
      <c r="H2479" s="42"/>
      <c r="I2479" s="42"/>
      <c r="J2479" s="42"/>
    </row>
    <row r="2480" spans="5:10">
      <c r="E2480" s="43">
        <v>45334.298611102451</v>
      </c>
      <c r="F2480" s="41">
        <v>0</v>
      </c>
      <c r="G2480" s="41">
        <v>0</v>
      </c>
      <c r="H2480" s="42"/>
      <c r="I2480" s="42"/>
      <c r="J2480" s="42"/>
    </row>
    <row r="2481" spans="5:10">
      <c r="E2481" s="43">
        <v>45334.30208332467</v>
      </c>
      <c r="F2481" s="41">
        <v>0</v>
      </c>
      <c r="G2481" s="41">
        <v>0</v>
      </c>
      <c r="H2481" s="42"/>
      <c r="I2481" s="42"/>
      <c r="J2481" s="42"/>
    </row>
    <row r="2482" spans="5:10">
      <c r="E2482" s="43">
        <v>45334.305555546889</v>
      </c>
      <c r="F2482" s="41">
        <v>0</v>
      </c>
      <c r="G2482" s="41">
        <v>0</v>
      </c>
      <c r="H2482" s="42"/>
      <c r="I2482" s="42"/>
      <c r="J2482" s="42"/>
    </row>
    <row r="2483" spans="5:10">
      <c r="E2483" s="43">
        <v>45334.309027769108</v>
      </c>
      <c r="F2483" s="41">
        <v>0</v>
      </c>
      <c r="G2483" s="41">
        <v>0</v>
      </c>
      <c r="H2483" s="42"/>
      <c r="I2483" s="42"/>
      <c r="J2483" s="42"/>
    </row>
    <row r="2484" spans="5:10">
      <c r="E2484" s="43">
        <v>45334.312499991327</v>
      </c>
      <c r="F2484" s="41">
        <v>0</v>
      </c>
      <c r="G2484" s="41">
        <v>0</v>
      </c>
      <c r="H2484" s="42"/>
      <c r="I2484" s="42"/>
      <c r="J2484" s="42"/>
    </row>
    <row r="2485" spans="5:10">
      <c r="E2485" s="43">
        <v>45334.315972213546</v>
      </c>
      <c r="F2485" s="41">
        <v>0</v>
      </c>
      <c r="G2485" s="41">
        <v>0</v>
      </c>
      <c r="H2485" s="42"/>
      <c r="I2485" s="42"/>
      <c r="J2485" s="42"/>
    </row>
    <row r="2486" spans="5:10">
      <c r="E2486" s="43">
        <v>45334.319444435765</v>
      </c>
      <c r="F2486" s="41">
        <v>0</v>
      </c>
      <c r="G2486" s="41">
        <v>0</v>
      </c>
      <c r="H2486" s="42"/>
      <c r="I2486" s="42"/>
      <c r="J2486" s="42"/>
    </row>
    <row r="2487" spans="5:10">
      <c r="E2487" s="43">
        <v>45334.322916657984</v>
      </c>
      <c r="F2487" s="41">
        <v>0</v>
      </c>
      <c r="G2487" s="41">
        <v>0</v>
      </c>
      <c r="H2487" s="42"/>
      <c r="I2487" s="42"/>
      <c r="J2487" s="42"/>
    </row>
    <row r="2488" spans="5:10">
      <c r="E2488" s="43">
        <v>45334.326388880203</v>
      </c>
      <c r="F2488" s="41">
        <v>0</v>
      </c>
      <c r="G2488" s="41">
        <v>0</v>
      </c>
      <c r="H2488" s="42"/>
      <c r="I2488" s="42"/>
      <c r="J2488" s="42"/>
    </row>
    <row r="2489" spans="5:10">
      <c r="E2489" s="43">
        <v>45334.329861102422</v>
      </c>
      <c r="F2489" s="41">
        <v>0</v>
      </c>
      <c r="G2489" s="41">
        <v>0</v>
      </c>
      <c r="H2489" s="42"/>
      <c r="I2489" s="42"/>
      <c r="J2489" s="42"/>
    </row>
    <row r="2490" spans="5:10">
      <c r="E2490" s="43">
        <v>45334.333333324641</v>
      </c>
      <c r="F2490" s="41">
        <v>0</v>
      </c>
      <c r="G2490" s="41">
        <v>0</v>
      </c>
      <c r="H2490" s="42"/>
      <c r="I2490" s="42"/>
      <c r="J2490" s="42"/>
    </row>
    <row r="2491" spans="5:10">
      <c r="E2491" s="43">
        <v>45334.33680554686</v>
      </c>
      <c r="F2491" s="41">
        <v>0</v>
      </c>
      <c r="G2491" s="41">
        <v>0</v>
      </c>
      <c r="H2491" s="42"/>
      <c r="I2491" s="42"/>
      <c r="J2491" s="42"/>
    </row>
    <row r="2492" spans="5:10">
      <c r="E2492" s="43">
        <v>45334.340277769079</v>
      </c>
      <c r="F2492" s="41">
        <v>0</v>
      </c>
      <c r="G2492" s="41">
        <v>0</v>
      </c>
      <c r="H2492" s="42"/>
      <c r="I2492" s="42"/>
      <c r="J2492" s="42"/>
    </row>
    <row r="2493" spans="5:10">
      <c r="E2493" s="43">
        <v>45334.343749991298</v>
      </c>
      <c r="F2493" s="41">
        <v>0</v>
      </c>
      <c r="G2493" s="41">
        <v>0</v>
      </c>
      <c r="H2493" s="42"/>
      <c r="I2493" s="42"/>
      <c r="J2493" s="42"/>
    </row>
    <row r="2494" spans="5:10">
      <c r="E2494" s="43">
        <v>45334.347222213517</v>
      </c>
      <c r="F2494" s="41">
        <v>0</v>
      </c>
      <c r="G2494" s="41">
        <v>0</v>
      </c>
      <c r="H2494" s="42"/>
      <c r="I2494" s="42"/>
      <c r="J2494" s="42"/>
    </row>
    <row r="2495" spans="5:10">
      <c r="E2495" s="43">
        <v>45334.350694435736</v>
      </c>
      <c r="F2495" s="41">
        <v>0</v>
      </c>
      <c r="G2495" s="41">
        <v>0</v>
      </c>
      <c r="H2495" s="42"/>
      <c r="I2495" s="42"/>
      <c r="J2495" s="42"/>
    </row>
    <row r="2496" spans="5:10">
      <c r="E2496" s="43">
        <v>45334.354166657955</v>
      </c>
      <c r="F2496" s="41">
        <v>0</v>
      </c>
      <c r="G2496" s="41">
        <v>0</v>
      </c>
      <c r="H2496" s="42"/>
      <c r="I2496" s="42"/>
      <c r="J2496" s="42"/>
    </row>
    <row r="2497" spans="5:10">
      <c r="E2497" s="43">
        <v>45334.357638880174</v>
      </c>
      <c r="F2497" s="41">
        <v>0</v>
      </c>
      <c r="G2497" s="41">
        <v>0</v>
      </c>
      <c r="H2497" s="42"/>
      <c r="I2497" s="42"/>
      <c r="J2497" s="42"/>
    </row>
    <row r="2498" spans="5:10">
      <c r="E2498" s="43">
        <v>45334.361111102393</v>
      </c>
      <c r="F2498" s="41">
        <v>0</v>
      </c>
      <c r="G2498" s="41">
        <v>0</v>
      </c>
      <c r="H2498" s="42"/>
      <c r="I2498" s="42"/>
      <c r="J2498" s="42"/>
    </row>
    <row r="2499" spans="5:10">
      <c r="E2499" s="43">
        <v>45334.364583324612</v>
      </c>
      <c r="F2499" s="41">
        <v>0</v>
      </c>
      <c r="G2499" s="41">
        <v>0</v>
      </c>
      <c r="H2499" s="42"/>
      <c r="I2499" s="42"/>
      <c r="J2499" s="42"/>
    </row>
    <row r="2500" spans="5:10">
      <c r="E2500" s="43">
        <v>45334.368055546831</v>
      </c>
      <c r="F2500" s="41">
        <v>0</v>
      </c>
      <c r="G2500" s="41">
        <v>0</v>
      </c>
      <c r="H2500" s="42"/>
      <c r="I2500" s="42"/>
      <c r="J2500" s="42"/>
    </row>
    <row r="2501" spans="5:10">
      <c r="E2501" s="43">
        <v>45334.37152776905</v>
      </c>
      <c r="F2501" s="41">
        <v>0</v>
      </c>
      <c r="G2501" s="41">
        <v>0</v>
      </c>
      <c r="H2501" s="42"/>
      <c r="I2501" s="42"/>
      <c r="J2501" s="42"/>
    </row>
    <row r="2502" spans="5:10">
      <c r="E2502" s="43">
        <v>45334.374999991269</v>
      </c>
      <c r="F2502" s="41">
        <v>0</v>
      </c>
      <c r="G2502" s="41">
        <v>0</v>
      </c>
      <c r="H2502" s="42"/>
      <c r="I2502" s="42"/>
      <c r="J2502" s="42"/>
    </row>
    <row r="2503" spans="5:10">
      <c r="E2503" s="43">
        <v>45334.378472213488</v>
      </c>
      <c r="F2503" s="41">
        <v>0</v>
      </c>
      <c r="G2503" s="41">
        <v>0</v>
      </c>
      <c r="H2503" s="42"/>
      <c r="I2503" s="42"/>
      <c r="J2503" s="42"/>
    </row>
    <row r="2504" spans="5:10">
      <c r="E2504" s="43">
        <v>45334.381944435707</v>
      </c>
      <c r="F2504" s="41">
        <v>0</v>
      </c>
      <c r="G2504" s="41">
        <v>0</v>
      </c>
      <c r="H2504" s="42"/>
      <c r="I2504" s="42"/>
      <c r="J2504" s="42"/>
    </row>
    <row r="2505" spans="5:10">
      <c r="E2505" s="43">
        <v>45334.385416657926</v>
      </c>
      <c r="F2505" s="41">
        <v>0</v>
      </c>
      <c r="G2505" s="41">
        <v>0</v>
      </c>
      <c r="H2505" s="42"/>
      <c r="I2505" s="42"/>
      <c r="J2505" s="42"/>
    </row>
    <row r="2506" spans="5:10">
      <c r="E2506" s="43">
        <v>45334.388888880145</v>
      </c>
      <c r="F2506" s="41">
        <v>0</v>
      </c>
      <c r="G2506" s="41">
        <v>0</v>
      </c>
      <c r="H2506" s="42"/>
      <c r="I2506" s="42"/>
      <c r="J2506" s="42"/>
    </row>
    <row r="2507" spans="5:10">
      <c r="E2507" s="43">
        <v>45334.392361102364</v>
      </c>
      <c r="F2507" s="41">
        <v>0</v>
      </c>
      <c r="G2507" s="41">
        <v>0</v>
      </c>
      <c r="H2507" s="42"/>
      <c r="I2507" s="42"/>
      <c r="J2507" s="42"/>
    </row>
    <row r="2508" spans="5:10">
      <c r="E2508" s="43">
        <v>45334.395833324583</v>
      </c>
      <c r="F2508" s="41">
        <v>0</v>
      </c>
      <c r="G2508" s="41">
        <v>0</v>
      </c>
      <c r="H2508" s="42"/>
      <c r="I2508" s="42"/>
      <c r="J2508" s="42"/>
    </row>
    <row r="2509" spans="5:10">
      <c r="E2509" s="43">
        <v>45334.399305546802</v>
      </c>
      <c r="F2509" s="41">
        <v>0</v>
      </c>
      <c r="G2509" s="41">
        <v>0</v>
      </c>
      <c r="H2509" s="42"/>
      <c r="I2509" s="42"/>
      <c r="J2509" s="42"/>
    </row>
    <row r="2510" spans="5:10">
      <c r="E2510" s="43">
        <v>45334.402777769021</v>
      </c>
      <c r="F2510" s="41">
        <v>0</v>
      </c>
      <c r="G2510" s="41">
        <v>0</v>
      </c>
      <c r="H2510" s="42"/>
      <c r="I2510" s="42"/>
      <c r="J2510" s="42"/>
    </row>
    <row r="2511" spans="5:10">
      <c r="E2511" s="43">
        <v>45334.40624999124</v>
      </c>
      <c r="F2511" s="41">
        <v>0</v>
      </c>
      <c r="G2511" s="41">
        <v>0</v>
      </c>
      <c r="H2511" s="42"/>
      <c r="I2511" s="42"/>
      <c r="J2511" s="42"/>
    </row>
    <row r="2512" spans="5:10">
      <c r="E2512" s="43">
        <v>45334.409722213459</v>
      </c>
      <c r="F2512" s="41">
        <v>0</v>
      </c>
      <c r="G2512" s="41">
        <v>0</v>
      </c>
      <c r="H2512" s="42"/>
      <c r="I2512" s="42"/>
      <c r="J2512" s="42"/>
    </row>
    <row r="2513" spans="5:10">
      <c r="E2513" s="43">
        <v>45334.413194435678</v>
      </c>
      <c r="F2513" s="41">
        <v>0</v>
      </c>
      <c r="G2513" s="41">
        <v>0</v>
      </c>
      <c r="H2513" s="42"/>
      <c r="I2513" s="42"/>
      <c r="J2513" s="42"/>
    </row>
    <row r="2514" spans="5:10">
      <c r="E2514" s="43">
        <v>45334.416666657897</v>
      </c>
      <c r="F2514" s="41">
        <v>0</v>
      </c>
      <c r="G2514" s="41">
        <v>0</v>
      </c>
      <c r="H2514" s="42"/>
      <c r="I2514" s="42"/>
      <c r="J2514" s="42"/>
    </row>
    <row r="2515" spans="5:10">
      <c r="E2515" s="43">
        <v>45334.420138880116</v>
      </c>
      <c r="F2515" s="41">
        <v>0</v>
      </c>
      <c r="G2515" s="41">
        <v>0</v>
      </c>
      <c r="H2515" s="42"/>
      <c r="I2515" s="42"/>
      <c r="J2515" s="42"/>
    </row>
    <row r="2516" spans="5:10">
      <c r="E2516" s="43">
        <v>45334.423611102335</v>
      </c>
      <c r="F2516" s="41">
        <v>0</v>
      </c>
      <c r="G2516" s="41">
        <v>0</v>
      </c>
      <c r="H2516" s="42"/>
      <c r="I2516" s="42"/>
      <c r="J2516" s="42"/>
    </row>
    <row r="2517" spans="5:10">
      <c r="E2517" s="43">
        <v>45334.427083324554</v>
      </c>
      <c r="F2517" s="41">
        <v>0</v>
      </c>
      <c r="G2517" s="41">
        <v>0</v>
      </c>
      <c r="H2517" s="42"/>
      <c r="I2517" s="42"/>
      <c r="J2517" s="42"/>
    </row>
    <row r="2518" spans="5:10">
      <c r="E2518" s="43">
        <v>45334.430555546773</v>
      </c>
      <c r="F2518" s="41">
        <v>0</v>
      </c>
      <c r="G2518" s="41">
        <v>0</v>
      </c>
      <c r="H2518" s="42"/>
      <c r="I2518" s="42"/>
      <c r="J2518" s="42"/>
    </row>
    <row r="2519" spans="5:10">
      <c r="E2519" s="43">
        <v>45334.434027768992</v>
      </c>
      <c r="F2519" s="41">
        <v>0</v>
      </c>
      <c r="G2519" s="41">
        <v>0</v>
      </c>
      <c r="H2519" s="42"/>
      <c r="I2519" s="42"/>
      <c r="J2519" s="42"/>
    </row>
    <row r="2520" spans="5:10">
      <c r="E2520" s="43">
        <v>45334.437499991211</v>
      </c>
      <c r="F2520" s="41">
        <v>0</v>
      </c>
      <c r="G2520" s="41">
        <v>0</v>
      </c>
      <c r="H2520" s="42"/>
      <c r="I2520" s="42"/>
      <c r="J2520" s="42"/>
    </row>
    <row r="2521" spans="5:10">
      <c r="E2521" s="43">
        <v>45334.44097221343</v>
      </c>
      <c r="F2521" s="41">
        <v>0</v>
      </c>
      <c r="G2521" s="41">
        <v>0</v>
      </c>
      <c r="H2521" s="42"/>
      <c r="I2521" s="42"/>
      <c r="J2521" s="42"/>
    </row>
    <row r="2522" spans="5:10">
      <c r="E2522" s="43">
        <v>45334.444444435649</v>
      </c>
      <c r="F2522" s="41">
        <v>0</v>
      </c>
      <c r="G2522" s="41">
        <v>0</v>
      </c>
      <c r="H2522" s="42"/>
      <c r="I2522" s="42"/>
      <c r="J2522" s="42"/>
    </row>
    <row r="2523" spans="5:10">
      <c r="E2523" s="43">
        <v>45334.447916657868</v>
      </c>
      <c r="F2523" s="41">
        <v>0</v>
      </c>
      <c r="G2523" s="41">
        <v>0</v>
      </c>
      <c r="H2523" s="42"/>
      <c r="I2523" s="42"/>
      <c r="J2523" s="42"/>
    </row>
    <row r="2524" spans="5:10">
      <c r="E2524" s="43">
        <v>45334.451388880087</v>
      </c>
      <c r="F2524" s="41">
        <v>0</v>
      </c>
      <c r="G2524" s="41">
        <v>0</v>
      </c>
      <c r="H2524" s="42"/>
      <c r="I2524" s="42"/>
      <c r="J2524" s="42"/>
    </row>
    <row r="2525" spans="5:10">
      <c r="E2525" s="43">
        <v>45334.454861102306</v>
      </c>
      <c r="F2525" s="41">
        <v>0</v>
      </c>
      <c r="G2525" s="41">
        <v>0</v>
      </c>
      <c r="H2525" s="42"/>
      <c r="I2525" s="42"/>
      <c r="J2525" s="42"/>
    </row>
    <row r="2526" spans="5:10">
      <c r="E2526" s="43">
        <v>45334.458333324525</v>
      </c>
      <c r="F2526" s="41">
        <v>0</v>
      </c>
      <c r="G2526" s="41">
        <v>0</v>
      </c>
      <c r="H2526" s="42"/>
      <c r="I2526" s="42"/>
      <c r="J2526" s="42"/>
    </row>
    <row r="2527" spans="5:10">
      <c r="E2527" s="43">
        <v>45334.461805546744</v>
      </c>
      <c r="F2527" s="41">
        <v>0</v>
      </c>
      <c r="G2527" s="41">
        <v>0</v>
      </c>
      <c r="H2527" s="42"/>
      <c r="I2527" s="42"/>
      <c r="J2527" s="42"/>
    </row>
    <row r="2528" spans="5:10">
      <c r="E2528" s="43">
        <v>45334.465277768963</v>
      </c>
      <c r="F2528" s="41">
        <v>0</v>
      </c>
      <c r="G2528" s="41">
        <v>0</v>
      </c>
      <c r="H2528" s="42"/>
      <c r="I2528" s="42"/>
      <c r="J2528" s="42"/>
    </row>
    <row r="2529" spans="5:10">
      <c r="E2529" s="43">
        <v>45334.468749991182</v>
      </c>
      <c r="F2529" s="41">
        <v>0</v>
      </c>
      <c r="G2529" s="41">
        <v>0</v>
      </c>
      <c r="H2529" s="42"/>
      <c r="I2529" s="42"/>
      <c r="J2529" s="42"/>
    </row>
    <row r="2530" spans="5:10">
      <c r="E2530" s="43">
        <v>45334.472222213401</v>
      </c>
      <c r="F2530" s="41">
        <v>0</v>
      </c>
      <c r="G2530" s="41">
        <v>0</v>
      </c>
      <c r="H2530" s="42"/>
      <c r="I2530" s="42"/>
      <c r="J2530" s="42"/>
    </row>
    <row r="2531" spans="5:10">
      <c r="E2531" s="43">
        <v>45334.47569443562</v>
      </c>
      <c r="F2531" s="41">
        <v>0</v>
      </c>
      <c r="G2531" s="41">
        <v>0</v>
      </c>
      <c r="H2531" s="42"/>
      <c r="I2531" s="42"/>
      <c r="J2531" s="42"/>
    </row>
    <row r="2532" spans="5:10">
      <c r="E2532" s="43">
        <v>45334.479166657839</v>
      </c>
      <c r="F2532" s="41">
        <v>0</v>
      </c>
      <c r="G2532" s="41">
        <v>0</v>
      </c>
      <c r="H2532" s="42"/>
      <c r="I2532" s="42"/>
      <c r="J2532" s="42"/>
    </row>
    <row r="2533" spans="5:10">
      <c r="E2533" s="43">
        <v>45334.482638880057</v>
      </c>
      <c r="F2533" s="41">
        <v>0</v>
      </c>
      <c r="G2533" s="41">
        <v>0</v>
      </c>
      <c r="H2533" s="42"/>
      <c r="I2533" s="42"/>
      <c r="J2533" s="42"/>
    </row>
    <row r="2534" spans="5:10">
      <c r="E2534" s="43">
        <v>45334.486111102276</v>
      </c>
      <c r="F2534" s="41">
        <v>0</v>
      </c>
      <c r="G2534" s="41">
        <v>0</v>
      </c>
      <c r="H2534" s="42"/>
      <c r="I2534" s="42"/>
      <c r="J2534" s="42"/>
    </row>
    <row r="2535" spans="5:10">
      <c r="E2535" s="43">
        <v>45334.489583324495</v>
      </c>
      <c r="F2535" s="41">
        <v>0</v>
      </c>
      <c r="G2535" s="41">
        <v>0</v>
      </c>
      <c r="H2535" s="42"/>
      <c r="I2535" s="42"/>
      <c r="J2535" s="42"/>
    </row>
    <row r="2536" spans="5:10">
      <c r="E2536" s="43">
        <v>45334.493055546714</v>
      </c>
      <c r="F2536" s="41">
        <v>0</v>
      </c>
      <c r="G2536" s="41">
        <v>0</v>
      </c>
      <c r="H2536" s="42"/>
      <c r="I2536" s="42"/>
      <c r="J2536" s="42"/>
    </row>
    <row r="2537" spans="5:10">
      <c r="E2537" s="43">
        <v>45334.496527768933</v>
      </c>
      <c r="F2537" s="41">
        <v>0</v>
      </c>
      <c r="G2537" s="41">
        <v>0</v>
      </c>
      <c r="H2537" s="42"/>
      <c r="I2537" s="42"/>
      <c r="J2537" s="42"/>
    </row>
    <row r="2538" spans="5:10">
      <c r="E2538" s="43">
        <v>45334.499999991152</v>
      </c>
      <c r="F2538" s="41">
        <v>0</v>
      </c>
      <c r="G2538" s="41">
        <v>0</v>
      </c>
      <c r="H2538" s="42"/>
      <c r="I2538" s="42"/>
      <c r="J2538" s="42"/>
    </row>
    <row r="2539" spans="5:10">
      <c r="E2539" s="43">
        <v>45334.503472213371</v>
      </c>
      <c r="F2539" s="41">
        <v>0</v>
      </c>
      <c r="G2539" s="41">
        <v>0</v>
      </c>
      <c r="H2539" s="42"/>
      <c r="I2539" s="42"/>
      <c r="J2539" s="42"/>
    </row>
    <row r="2540" spans="5:10">
      <c r="E2540" s="43">
        <v>45334.50694443559</v>
      </c>
      <c r="F2540" s="41">
        <v>0</v>
      </c>
      <c r="G2540" s="41">
        <v>0</v>
      </c>
      <c r="H2540" s="42"/>
      <c r="I2540" s="42"/>
      <c r="J2540" s="42"/>
    </row>
    <row r="2541" spans="5:10">
      <c r="E2541" s="43">
        <v>45334.510416657809</v>
      </c>
      <c r="F2541" s="41">
        <v>0</v>
      </c>
      <c r="G2541" s="41">
        <v>0</v>
      </c>
      <c r="H2541" s="42"/>
      <c r="I2541" s="42"/>
      <c r="J2541" s="42"/>
    </row>
    <row r="2542" spans="5:10">
      <c r="E2542" s="43">
        <v>45334.513888880028</v>
      </c>
      <c r="F2542" s="41">
        <v>0</v>
      </c>
      <c r="G2542" s="41">
        <v>0</v>
      </c>
      <c r="H2542" s="42"/>
      <c r="I2542" s="42"/>
      <c r="J2542" s="42"/>
    </row>
    <row r="2543" spans="5:10">
      <c r="E2543" s="43">
        <v>45334.517361102247</v>
      </c>
      <c r="F2543" s="41">
        <v>0</v>
      </c>
      <c r="G2543" s="41">
        <v>0</v>
      </c>
      <c r="H2543" s="42"/>
      <c r="I2543" s="42"/>
      <c r="J2543" s="42"/>
    </row>
    <row r="2544" spans="5:10">
      <c r="E2544" s="43">
        <v>45334.520833324466</v>
      </c>
      <c r="F2544" s="41">
        <v>0</v>
      </c>
      <c r="G2544" s="41">
        <v>0</v>
      </c>
      <c r="H2544" s="42"/>
      <c r="I2544" s="42"/>
      <c r="J2544" s="42"/>
    </row>
    <row r="2545" spans="5:10">
      <c r="E2545" s="43">
        <v>45334.524305546685</v>
      </c>
      <c r="F2545" s="41">
        <v>0</v>
      </c>
      <c r="G2545" s="41">
        <v>0</v>
      </c>
      <c r="H2545" s="42"/>
      <c r="I2545" s="42"/>
      <c r="J2545" s="42"/>
    </row>
    <row r="2546" spans="5:10">
      <c r="E2546" s="43">
        <v>45334.527777768904</v>
      </c>
      <c r="F2546" s="41">
        <v>0</v>
      </c>
      <c r="G2546" s="41">
        <v>0</v>
      </c>
      <c r="H2546" s="42"/>
      <c r="I2546" s="42"/>
      <c r="J2546" s="42"/>
    </row>
    <row r="2547" spans="5:10">
      <c r="E2547" s="43">
        <v>45334.531249991123</v>
      </c>
      <c r="F2547" s="41">
        <v>0</v>
      </c>
      <c r="G2547" s="41">
        <v>0</v>
      </c>
      <c r="H2547" s="42"/>
      <c r="I2547" s="42"/>
      <c r="J2547" s="42"/>
    </row>
    <row r="2548" spans="5:10">
      <c r="E2548" s="43">
        <v>45334.534722213342</v>
      </c>
      <c r="F2548" s="41">
        <v>0</v>
      </c>
      <c r="G2548" s="41">
        <v>0</v>
      </c>
      <c r="H2548" s="42"/>
      <c r="I2548" s="42"/>
      <c r="J2548" s="42"/>
    </row>
    <row r="2549" spans="5:10">
      <c r="E2549" s="43">
        <v>45334.538194435561</v>
      </c>
      <c r="F2549" s="41">
        <v>0</v>
      </c>
      <c r="G2549" s="41">
        <v>0</v>
      </c>
      <c r="H2549" s="42"/>
      <c r="I2549" s="42"/>
      <c r="J2549" s="42"/>
    </row>
    <row r="2550" spans="5:10">
      <c r="E2550" s="43">
        <v>45334.54166665778</v>
      </c>
      <c r="F2550" s="41">
        <v>0</v>
      </c>
      <c r="G2550" s="41">
        <v>0</v>
      </c>
      <c r="H2550" s="42"/>
      <c r="I2550" s="42"/>
      <c r="J2550" s="42"/>
    </row>
    <row r="2551" spans="5:10">
      <c r="E2551" s="43">
        <v>45334.545138879999</v>
      </c>
      <c r="F2551" s="41">
        <v>0</v>
      </c>
      <c r="G2551" s="41">
        <v>0</v>
      </c>
      <c r="H2551" s="42"/>
      <c r="I2551" s="42"/>
      <c r="J2551" s="42"/>
    </row>
    <row r="2552" spans="5:10">
      <c r="E2552" s="43">
        <v>45334.548611102218</v>
      </c>
      <c r="F2552" s="41">
        <v>0</v>
      </c>
      <c r="G2552" s="41">
        <v>0</v>
      </c>
      <c r="H2552" s="42"/>
      <c r="I2552" s="42"/>
      <c r="J2552" s="42"/>
    </row>
    <row r="2553" spans="5:10">
      <c r="E2553" s="43">
        <v>45334.552083324437</v>
      </c>
      <c r="F2553" s="41">
        <v>0</v>
      </c>
      <c r="G2553" s="41">
        <v>0</v>
      </c>
      <c r="H2553" s="42"/>
      <c r="I2553" s="42"/>
      <c r="J2553" s="42"/>
    </row>
    <row r="2554" spans="5:10">
      <c r="E2554" s="43">
        <v>45334.555555546656</v>
      </c>
      <c r="F2554" s="41">
        <v>0</v>
      </c>
      <c r="G2554" s="41">
        <v>0</v>
      </c>
      <c r="H2554" s="42"/>
      <c r="I2554" s="42"/>
      <c r="J2554" s="42"/>
    </row>
    <row r="2555" spans="5:10">
      <c r="E2555" s="43">
        <v>45334.559027768875</v>
      </c>
      <c r="F2555" s="41">
        <v>0</v>
      </c>
      <c r="G2555" s="41">
        <v>0</v>
      </c>
      <c r="H2555" s="42"/>
      <c r="I2555" s="42"/>
      <c r="J2555" s="42"/>
    </row>
    <row r="2556" spans="5:10">
      <c r="E2556" s="43">
        <v>45334.562499991094</v>
      </c>
      <c r="F2556" s="41">
        <v>0</v>
      </c>
      <c r="G2556" s="41">
        <v>0</v>
      </c>
      <c r="H2556" s="42"/>
      <c r="I2556" s="42"/>
      <c r="J2556" s="42"/>
    </row>
    <row r="2557" spans="5:10">
      <c r="E2557" s="43">
        <v>45334.565972213313</v>
      </c>
      <c r="F2557" s="41">
        <v>0</v>
      </c>
      <c r="G2557" s="41">
        <v>0</v>
      </c>
      <c r="H2557" s="42"/>
      <c r="I2557" s="42"/>
      <c r="J2557" s="42"/>
    </row>
    <row r="2558" spans="5:10">
      <c r="E2558" s="43">
        <v>45334.569444435532</v>
      </c>
      <c r="F2558" s="41">
        <v>0</v>
      </c>
      <c r="G2558" s="41">
        <v>0</v>
      </c>
      <c r="H2558" s="42"/>
      <c r="I2558" s="42"/>
      <c r="J2558" s="42"/>
    </row>
    <row r="2559" spans="5:10">
      <c r="E2559" s="43">
        <v>45334.572916657751</v>
      </c>
      <c r="F2559" s="41">
        <v>0</v>
      </c>
      <c r="G2559" s="41">
        <v>0</v>
      </c>
      <c r="H2559" s="42"/>
      <c r="I2559" s="42"/>
      <c r="J2559" s="42"/>
    </row>
    <row r="2560" spans="5:10">
      <c r="E2560" s="43">
        <v>45334.57638887997</v>
      </c>
      <c r="F2560" s="41">
        <v>0</v>
      </c>
      <c r="G2560" s="41">
        <v>0</v>
      </c>
      <c r="H2560" s="42"/>
      <c r="I2560" s="42"/>
      <c r="J2560" s="42"/>
    </row>
    <row r="2561" spans="5:10">
      <c r="E2561" s="43">
        <v>45334.579861102189</v>
      </c>
      <c r="F2561" s="41">
        <v>0</v>
      </c>
      <c r="G2561" s="41">
        <v>0</v>
      </c>
      <c r="H2561" s="42"/>
      <c r="I2561" s="42"/>
      <c r="J2561" s="42"/>
    </row>
    <row r="2562" spans="5:10">
      <c r="E2562" s="43">
        <v>45334.583333324408</v>
      </c>
      <c r="F2562" s="41">
        <v>0</v>
      </c>
      <c r="G2562" s="41">
        <v>0</v>
      </c>
      <c r="H2562" s="42"/>
      <c r="I2562" s="42"/>
      <c r="J2562" s="42"/>
    </row>
    <row r="2563" spans="5:10">
      <c r="E2563" s="43">
        <v>45334.586805546627</v>
      </c>
      <c r="F2563" s="41">
        <v>0</v>
      </c>
      <c r="G2563" s="41">
        <v>0</v>
      </c>
      <c r="H2563" s="42"/>
      <c r="I2563" s="42"/>
      <c r="J2563" s="42"/>
    </row>
    <row r="2564" spans="5:10">
      <c r="E2564" s="43">
        <v>45334.590277768846</v>
      </c>
      <c r="F2564" s="41">
        <v>0</v>
      </c>
      <c r="G2564" s="41">
        <v>0</v>
      </c>
      <c r="H2564" s="42"/>
      <c r="I2564" s="42"/>
      <c r="J2564" s="42"/>
    </row>
    <row r="2565" spans="5:10">
      <c r="E2565" s="43">
        <v>45334.593749991065</v>
      </c>
      <c r="F2565" s="41">
        <v>0</v>
      </c>
      <c r="G2565" s="41">
        <v>0</v>
      </c>
      <c r="H2565" s="42"/>
      <c r="I2565" s="42"/>
      <c r="J2565" s="42"/>
    </row>
    <row r="2566" spans="5:10">
      <c r="E2566" s="43">
        <v>45334.597222213284</v>
      </c>
      <c r="F2566" s="41">
        <v>0</v>
      </c>
      <c r="G2566" s="41">
        <v>0</v>
      </c>
      <c r="H2566" s="42"/>
      <c r="I2566" s="42"/>
      <c r="J2566" s="42"/>
    </row>
    <row r="2567" spans="5:10">
      <c r="E2567" s="43">
        <v>45334.600694435503</v>
      </c>
      <c r="F2567" s="41">
        <v>0</v>
      </c>
      <c r="G2567" s="41">
        <v>0</v>
      </c>
      <c r="H2567" s="42"/>
      <c r="I2567" s="42"/>
      <c r="J2567" s="42"/>
    </row>
    <row r="2568" spans="5:10">
      <c r="E2568" s="43">
        <v>45334.604166657722</v>
      </c>
      <c r="F2568" s="41">
        <v>0</v>
      </c>
      <c r="G2568" s="41">
        <v>0</v>
      </c>
      <c r="H2568" s="42"/>
      <c r="I2568" s="42"/>
      <c r="J2568" s="42"/>
    </row>
    <row r="2569" spans="5:10">
      <c r="E2569" s="43">
        <v>45334.607638879941</v>
      </c>
      <c r="F2569" s="41">
        <v>0</v>
      </c>
      <c r="G2569" s="41">
        <v>0</v>
      </c>
      <c r="H2569" s="42"/>
      <c r="I2569" s="42"/>
      <c r="J2569" s="42"/>
    </row>
    <row r="2570" spans="5:10">
      <c r="E2570" s="43">
        <v>45334.61111110216</v>
      </c>
      <c r="F2570" s="41">
        <v>0</v>
      </c>
      <c r="G2570" s="41">
        <v>0</v>
      </c>
      <c r="H2570" s="42"/>
      <c r="I2570" s="42"/>
      <c r="J2570" s="42"/>
    </row>
    <row r="2571" spans="5:10">
      <c r="E2571" s="43">
        <v>45334.614583324379</v>
      </c>
      <c r="F2571" s="41">
        <v>0</v>
      </c>
      <c r="G2571" s="41">
        <v>0</v>
      </c>
      <c r="H2571" s="42"/>
      <c r="I2571" s="42"/>
      <c r="J2571" s="42"/>
    </row>
    <row r="2572" spans="5:10">
      <c r="E2572" s="43">
        <v>45334.618055546598</v>
      </c>
      <c r="F2572" s="41">
        <v>0</v>
      </c>
      <c r="G2572" s="41">
        <v>0</v>
      </c>
      <c r="H2572" s="42"/>
      <c r="I2572" s="42"/>
      <c r="J2572" s="42"/>
    </row>
    <row r="2573" spans="5:10">
      <c r="E2573" s="43">
        <v>45334.621527768817</v>
      </c>
      <c r="F2573" s="41">
        <v>0</v>
      </c>
      <c r="G2573" s="41">
        <v>0</v>
      </c>
      <c r="H2573" s="42"/>
      <c r="I2573" s="42"/>
      <c r="J2573" s="42"/>
    </row>
    <row r="2574" spans="5:10">
      <c r="E2574" s="43">
        <v>45334.624999991036</v>
      </c>
      <c r="F2574" s="41">
        <v>0</v>
      </c>
      <c r="G2574" s="41">
        <v>0</v>
      </c>
      <c r="H2574" s="42"/>
      <c r="I2574" s="42"/>
      <c r="J2574" s="42"/>
    </row>
    <row r="2575" spans="5:10">
      <c r="E2575" s="43">
        <v>45334.628472213255</v>
      </c>
      <c r="F2575" s="41">
        <v>0</v>
      </c>
      <c r="G2575" s="41">
        <v>0</v>
      </c>
      <c r="H2575" s="42"/>
      <c r="I2575" s="42"/>
      <c r="J2575" s="42"/>
    </row>
    <row r="2576" spans="5:10">
      <c r="E2576" s="43">
        <v>45334.631944435474</v>
      </c>
      <c r="F2576" s="41">
        <v>0</v>
      </c>
      <c r="G2576" s="41">
        <v>0</v>
      </c>
      <c r="H2576" s="42"/>
      <c r="I2576" s="42"/>
      <c r="J2576" s="42"/>
    </row>
    <row r="2577" spans="5:10">
      <c r="E2577" s="43">
        <v>45334.635416657693</v>
      </c>
      <c r="F2577" s="41">
        <v>0</v>
      </c>
      <c r="G2577" s="41">
        <v>0</v>
      </c>
      <c r="H2577" s="42"/>
      <c r="I2577" s="42"/>
      <c r="J2577" s="42"/>
    </row>
    <row r="2578" spans="5:10">
      <c r="E2578" s="43">
        <v>45334.638888879912</v>
      </c>
      <c r="F2578" s="41">
        <v>0</v>
      </c>
      <c r="G2578" s="41">
        <v>0</v>
      </c>
      <c r="H2578" s="42"/>
      <c r="I2578" s="42"/>
      <c r="J2578" s="42"/>
    </row>
    <row r="2579" spans="5:10">
      <c r="E2579" s="43">
        <v>45334.642361102131</v>
      </c>
      <c r="F2579" s="41">
        <v>0</v>
      </c>
      <c r="G2579" s="41">
        <v>0</v>
      </c>
      <c r="H2579" s="42"/>
      <c r="I2579" s="42"/>
      <c r="J2579" s="42"/>
    </row>
    <row r="2580" spans="5:10">
      <c r="E2580" s="43">
        <v>45334.64583332435</v>
      </c>
      <c r="F2580" s="41">
        <v>0</v>
      </c>
      <c r="G2580" s="41">
        <v>0</v>
      </c>
      <c r="H2580" s="42"/>
      <c r="I2580" s="42"/>
      <c r="J2580" s="42"/>
    </row>
    <row r="2581" spans="5:10">
      <c r="E2581" s="43">
        <v>45334.649305546569</v>
      </c>
      <c r="F2581" s="41">
        <v>0</v>
      </c>
      <c r="G2581" s="41">
        <v>0</v>
      </c>
      <c r="H2581" s="42"/>
      <c r="I2581" s="42"/>
      <c r="J2581" s="42"/>
    </row>
    <row r="2582" spans="5:10">
      <c r="E2582" s="43">
        <v>45334.652777768788</v>
      </c>
      <c r="F2582" s="41">
        <v>0</v>
      </c>
      <c r="G2582" s="41">
        <v>0</v>
      </c>
      <c r="H2582" s="42"/>
      <c r="I2582" s="42"/>
      <c r="J2582" s="42"/>
    </row>
    <row r="2583" spans="5:10">
      <c r="E2583" s="43">
        <v>45334.656249991007</v>
      </c>
      <c r="F2583" s="41">
        <v>0</v>
      </c>
      <c r="G2583" s="41">
        <v>0</v>
      </c>
      <c r="H2583" s="42"/>
      <c r="I2583" s="42"/>
      <c r="J2583" s="42"/>
    </row>
    <row r="2584" spans="5:10">
      <c r="E2584" s="43">
        <v>45334.659722213226</v>
      </c>
      <c r="F2584" s="41">
        <v>0</v>
      </c>
      <c r="G2584" s="41">
        <v>0</v>
      </c>
      <c r="H2584" s="42"/>
      <c r="I2584" s="42"/>
      <c r="J2584" s="42"/>
    </row>
    <row r="2585" spans="5:10">
      <c r="E2585" s="43">
        <v>45334.663194435445</v>
      </c>
      <c r="F2585" s="41">
        <v>0</v>
      </c>
      <c r="G2585" s="41">
        <v>0</v>
      </c>
      <c r="H2585" s="42"/>
      <c r="I2585" s="42"/>
      <c r="J2585" s="42"/>
    </row>
    <row r="2586" spans="5:10">
      <c r="E2586" s="43">
        <v>45334.666666657664</v>
      </c>
      <c r="F2586" s="41">
        <v>0</v>
      </c>
      <c r="G2586" s="41">
        <v>0</v>
      </c>
      <c r="H2586" s="42"/>
      <c r="I2586" s="42"/>
      <c r="J2586" s="42"/>
    </row>
    <row r="2587" spans="5:10">
      <c r="E2587" s="43">
        <v>45334.670138879883</v>
      </c>
      <c r="F2587" s="41">
        <v>0</v>
      </c>
      <c r="G2587" s="41">
        <v>0</v>
      </c>
      <c r="H2587" s="42"/>
      <c r="I2587" s="42"/>
      <c r="J2587" s="42"/>
    </row>
    <row r="2588" spans="5:10">
      <c r="E2588" s="43">
        <v>45334.673611102102</v>
      </c>
      <c r="F2588" s="41">
        <v>0</v>
      </c>
      <c r="G2588" s="41">
        <v>0</v>
      </c>
      <c r="H2588" s="42"/>
      <c r="I2588" s="42"/>
      <c r="J2588" s="42"/>
    </row>
    <row r="2589" spans="5:10">
      <c r="E2589" s="43">
        <v>45334.677083324321</v>
      </c>
      <c r="F2589" s="41">
        <v>0</v>
      </c>
      <c r="G2589" s="41">
        <v>0</v>
      </c>
      <c r="H2589" s="42"/>
      <c r="I2589" s="42"/>
      <c r="J2589" s="42"/>
    </row>
    <row r="2590" spans="5:10">
      <c r="E2590" s="43">
        <v>45334.68055554654</v>
      </c>
      <c r="F2590" s="41">
        <v>0</v>
      </c>
      <c r="G2590" s="41">
        <v>0</v>
      </c>
      <c r="H2590" s="42"/>
      <c r="I2590" s="42"/>
      <c r="J2590" s="42"/>
    </row>
    <row r="2591" spans="5:10">
      <c r="E2591" s="43">
        <v>45334.684027768759</v>
      </c>
      <c r="F2591" s="41">
        <v>0</v>
      </c>
      <c r="G2591" s="41">
        <v>0</v>
      </c>
      <c r="H2591" s="42"/>
      <c r="I2591" s="42"/>
      <c r="J2591" s="42"/>
    </row>
    <row r="2592" spans="5:10">
      <c r="E2592" s="43">
        <v>45334.687499990978</v>
      </c>
      <c r="F2592" s="41">
        <v>0</v>
      </c>
      <c r="G2592" s="41">
        <v>0</v>
      </c>
      <c r="H2592" s="42"/>
      <c r="I2592" s="42"/>
      <c r="J2592" s="42"/>
    </row>
    <row r="2593" spans="5:10">
      <c r="E2593" s="43">
        <v>45334.690972213197</v>
      </c>
      <c r="F2593" s="41">
        <v>0</v>
      </c>
      <c r="G2593" s="41">
        <v>0</v>
      </c>
      <c r="H2593" s="42"/>
      <c r="I2593" s="42"/>
      <c r="J2593" s="42"/>
    </row>
    <row r="2594" spans="5:10">
      <c r="E2594" s="43">
        <v>45334.694444435416</v>
      </c>
      <c r="F2594" s="41">
        <v>0</v>
      </c>
      <c r="G2594" s="41">
        <v>0</v>
      </c>
      <c r="H2594" s="42"/>
      <c r="I2594" s="42"/>
      <c r="J2594" s="42"/>
    </row>
    <row r="2595" spans="5:10">
      <c r="E2595" s="43">
        <v>45334.697916657635</v>
      </c>
      <c r="F2595" s="41">
        <v>0</v>
      </c>
      <c r="G2595" s="41">
        <v>0</v>
      </c>
      <c r="H2595" s="42"/>
      <c r="I2595" s="42"/>
      <c r="J2595" s="42"/>
    </row>
    <row r="2596" spans="5:10">
      <c r="E2596" s="43">
        <v>45334.701388879854</v>
      </c>
      <c r="F2596" s="41">
        <v>0</v>
      </c>
      <c r="G2596" s="41">
        <v>0</v>
      </c>
      <c r="H2596" s="42"/>
      <c r="I2596" s="42"/>
      <c r="J2596" s="42"/>
    </row>
    <row r="2597" spans="5:10">
      <c r="E2597" s="43">
        <v>45334.704861102073</v>
      </c>
      <c r="F2597" s="41">
        <v>0</v>
      </c>
      <c r="G2597" s="41">
        <v>0</v>
      </c>
      <c r="H2597" s="42"/>
      <c r="I2597" s="42"/>
      <c r="J2597" s="42"/>
    </row>
    <row r="2598" spans="5:10">
      <c r="E2598" s="43">
        <v>45334.708333324292</v>
      </c>
      <c r="F2598" s="41">
        <v>10.837763861893269</v>
      </c>
      <c r="G2598" s="41">
        <v>0</v>
      </c>
      <c r="H2598" s="42"/>
      <c r="I2598" s="42"/>
      <c r="J2598" s="42"/>
    </row>
    <row r="2599" spans="5:10">
      <c r="E2599" s="43">
        <v>45334.711805546511</v>
      </c>
      <c r="F2599" s="41">
        <v>10.837763861893269</v>
      </c>
      <c r="G2599" s="41">
        <v>0</v>
      </c>
      <c r="H2599" s="42"/>
      <c r="I2599" s="42"/>
      <c r="J2599" s="42"/>
    </row>
    <row r="2600" spans="5:10">
      <c r="E2600" s="43">
        <v>45334.71527776873</v>
      </c>
      <c r="F2600" s="41">
        <v>10.837763861893269</v>
      </c>
      <c r="G2600" s="41">
        <v>0</v>
      </c>
      <c r="H2600" s="42"/>
      <c r="I2600" s="42"/>
      <c r="J2600" s="42"/>
    </row>
    <row r="2601" spans="5:10">
      <c r="E2601" s="43">
        <v>45334.718749990949</v>
      </c>
      <c r="F2601" s="41">
        <v>10.837763861893269</v>
      </c>
      <c r="G2601" s="41">
        <v>0</v>
      </c>
      <c r="H2601" s="42"/>
      <c r="I2601" s="42"/>
      <c r="J2601" s="42"/>
    </row>
    <row r="2602" spans="5:10">
      <c r="E2602" s="43">
        <v>45334.722222213168</v>
      </c>
      <c r="F2602" s="41">
        <v>10.837763861893269</v>
      </c>
      <c r="G2602" s="41">
        <v>0</v>
      </c>
      <c r="H2602" s="42"/>
      <c r="I2602" s="42"/>
      <c r="J2602" s="42"/>
    </row>
    <row r="2603" spans="5:10">
      <c r="E2603" s="43">
        <v>45334.725694435387</v>
      </c>
      <c r="F2603" s="41">
        <v>10.837763861893269</v>
      </c>
      <c r="G2603" s="41">
        <v>0</v>
      </c>
      <c r="H2603" s="42"/>
      <c r="I2603" s="42"/>
      <c r="J2603" s="42"/>
    </row>
    <row r="2604" spans="5:10">
      <c r="E2604" s="43">
        <v>45334.729166657606</v>
      </c>
      <c r="F2604" s="41">
        <v>10.837763861893269</v>
      </c>
      <c r="G2604" s="41">
        <v>0</v>
      </c>
      <c r="H2604" s="42"/>
      <c r="I2604" s="42"/>
      <c r="J2604" s="42"/>
    </row>
    <row r="2605" spans="5:10">
      <c r="E2605" s="43">
        <v>45334.732638879825</v>
      </c>
      <c r="F2605" s="41">
        <v>10.837763861893269</v>
      </c>
      <c r="G2605" s="41">
        <v>0</v>
      </c>
      <c r="H2605" s="42"/>
      <c r="I2605" s="42"/>
      <c r="J2605" s="42"/>
    </row>
    <row r="2606" spans="5:10">
      <c r="E2606" s="43">
        <v>45334.736111102044</v>
      </c>
      <c r="F2606" s="41">
        <v>10.837763861893269</v>
      </c>
      <c r="G2606" s="41">
        <v>0</v>
      </c>
      <c r="H2606" s="42"/>
      <c r="I2606" s="42"/>
      <c r="J2606" s="42"/>
    </row>
    <row r="2607" spans="5:10">
      <c r="E2607" s="43">
        <v>45334.739583324263</v>
      </c>
      <c r="F2607" s="41">
        <v>10.837763861893269</v>
      </c>
      <c r="G2607" s="41">
        <v>0</v>
      </c>
      <c r="H2607" s="42"/>
      <c r="I2607" s="42"/>
      <c r="J2607" s="42"/>
    </row>
    <row r="2608" spans="5:10">
      <c r="E2608" s="43">
        <v>45334.743055546482</v>
      </c>
      <c r="F2608" s="41">
        <v>10.837763861893269</v>
      </c>
      <c r="G2608" s="41">
        <v>0</v>
      </c>
      <c r="H2608" s="42"/>
      <c r="I2608" s="42"/>
      <c r="J2608" s="42"/>
    </row>
    <row r="2609" spans="5:10">
      <c r="E2609" s="43">
        <v>45334.746527768701</v>
      </c>
      <c r="F2609" s="41">
        <v>10.837763861893269</v>
      </c>
      <c r="G2609" s="41">
        <v>0</v>
      </c>
      <c r="H2609" s="42"/>
      <c r="I2609" s="42"/>
      <c r="J2609" s="42"/>
    </row>
    <row r="2610" spans="5:10">
      <c r="E2610" s="43">
        <v>45334.74999999092</v>
      </c>
      <c r="F2610" s="41">
        <v>10.837763861893269</v>
      </c>
      <c r="G2610" s="41">
        <v>0</v>
      </c>
      <c r="H2610" s="42"/>
      <c r="I2610" s="42"/>
      <c r="J2610" s="42"/>
    </row>
    <row r="2611" spans="5:10">
      <c r="E2611" s="43">
        <v>45334.753472213139</v>
      </c>
      <c r="F2611" s="41">
        <v>10.837763861893269</v>
      </c>
      <c r="G2611" s="41">
        <v>0</v>
      </c>
      <c r="H2611" s="42"/>
      <c r="I2611" s="42"/>
      <c r="J2611" s="42"/>
    </row>
    <row r="2612" spans="5:10">
      <c r="E2612" s="43">
        <v>45334.756944435358</v>
      </c>
      <c r="F2612" s="41">
        <v>10.837763861893269</v>
      </c>
      <c r="G2612" s="41">
        <v>0</v>
      </c>
      <c r="H2612" s="42"/>
      <c r="I2612" s="42"/>
      <c r="J2612" s="42"/>
    </row>
    <row r="2613" spans="5:10">
      <c r="E2613" s="43">
        <v>45334.760416657577</v>
      </c>
      <c r="F2613" s="41">
        <v>10.837763861893269</v>
      </c>
      <c r="G2613" s="41">
        <v>0</v>
      </c>
      <c r="H2613" s="42"/>
      <c r="I2613" s="42"/>
      <c r="J2613" s="42"/>
    </row>
    <row r="2614" spans="5:10">
      <c r="E2614" s="43">
        <v>45334.763888879796</v>
      </c>
      <c r="F2614" s="41">
        <v>10.837763861893269</v>
      </c>
      <c r="G2614" s="41">
        <v>0</v>
      </c>
      <c r="H2614" s="42"/>
      <c r="I2614" s="42"/>
      <c r="J2614" s="42"/>
    </row>
    <row r="2615" spans="5:10">
      <c r="E2615" s="43">
        <v>45334.767361102015</v>
      </c>
      <c r="F2615" s="41">
        <v>10.837763861893269</v>
      </c>
      <c r="G2615" s="41">
        <v>0</v>
      </c>
      <c r="H2615" s="42"/>
      <c r="I2615" s="42"/>
      <c r="J2615" s="42"/>
    </row>
    <row r="2616" spans="5:10">
      <c r="E2616" s="43">
        <v>45334.770833324234</v>
      </c>
      <c r="F2616" s="41">
        <v>10.837763861893269</v>
      </c>
      <c r="G2616" s="41">
        <v>0</v>
      </c>
      <c r="H2616" s="42"/>
      <c r="I2616" s="42"/>
      <c r="J2616" s="42"/>
    </row>
    <row r="2617" spans="5:10">
      <c r="E2617" s="43">
        <v>45334.774305546453</v>
      </c>
      <c r="F2617" s="41">
        <v>10.837763861893269</v>
      </c>
      <c r="G2617" s="41">
        <v>0</v>
      </c>
      <c r="H2617" s="42"/>
      <c r="I2617" s="42"/>
      <c r="J2617" s="42"/>
    </row>
    <row r="2618" spans="5:10">
      <c r="E2618" s="43">
        <v>45334.777777768672</v>
      </c>
      <c r="F2618" s="41">
        <v>10.837763861893269</v>
      </c>
      <c r="G2618" s="41">
        <v>0</v>
      </c>
      <c r="H2618" s="42"/>
      <c r="I2618" s="42"/>
      <c r="J2618" s="42"/>
    </row>
    <row r="2619" spans="5:10">
      <c r="E2619" s="43">
        <v>45334.781249990891</v>
      </c>
      <c r="F2619" s="41">
        <v>10.837763861893269</v>
      </c>
      <c r="G2619" s="41">
        <v>0</v>
      </c>
      <c r="H2619" s="42"/>
      <c r="I2619" s="42"/>
      <c r="J2619" s="42"/>
    </row>
    <row r="2620" spans="5:10">
      <c r="E2620" s="43">
        <v>45334.784722213109</v>
      </c>
      <c r="F2620" s="41">
        <v>10.837763861893269</v>
      </c>
      <c r="G2620" s="41">
        <v>0</v>
      </c>
      <c r="H2620" s="42"/>
      <c r="I2620" s="42"/>
      <c r="J2620" s="42"/>
    </row>
    <row r="2621" spans="5:10">
      <c r="E2621" s="43">
        <v>45334.788194435328</v>
      </c>
      <c r="F2621" s="41">
        <v>10.837763861893269</v>
      </c>
      <c r="G2621" s="41">
        <v>0</v>
      </c>
      <c r="H2621" s="42"/>
      <c r="I2621" s="42"/>
      <c r="J2621" s="42"/>
    </row>
    <row r="2622" spans="5:10">
      <c r="E2622" s="43">
        <v>45334.791666657547</v>
      </c>
      <c r="F2622" s="41">
        <v>10.837763861893269</v>
      </c>
      <c r="G2622" s="41">
        <v>0</v>
      </c>
      <c r="H2622" s="42"/>
      <c r="I2622" s="42"/>
      <c r="J2622" s="42"/>
    </row>
    <row r="2623" spans="5:10">
      <c r="E2623" s="43">
        <v>45334.795138879766</v>
      </c>
      <c r="F2623" s="41">
        <v>10.837763861893269</v>
      </c>
      <c r="G2623" s="41">
        <v>0</v>
      </c>
      <c r="H2623" s="42"/>
      <c r="I2623" s="42"/>
      <c r="J2623" s="42"/>
    </row>
    <row r="2624" spans="5:10">
      <c r="E2624" s="43">
        <v>45334.798611101985</v>
      </c>
      <c r="F2624" s="41">
        <v>10.837763861893269</v>
      </c>
      <c r="G2624" s="41">
        <v>0</v>
      </c>
      <c r="H2624" s="42"/>
      <c r="I2624" s="42"/>
      <c r="J2624" s="42"/>
    </row>
    <row r="2625" spans="5:10">
      <c r="E2625" s="43">
        <v>45334.802083324204</v>
      </c>
      <c r="F2625" s="41">
        <v>10.837763861893269</v>
      </c>
      <c r="G2625" s="41">
        <v>0</v>
      </c>
      <c r="H2625" s="42"/>
      <c r="I2625" s="42"/>
      <c r="J2625" s="42"/>
    </row>
    <row r="2626" spans="5:10">
      <c r="E2626" s="43">
        <v>45334.805555546423</v>
      </c>
      <c r="F2626" s="41">
        <v>10.837763861893269</v>
      </c>
      <c r="G2626" s="41">
        <v>0</v>
      </c>
      <c r="H2626" s="42"/>
      <c r="I2626" s="42"/>
      <c r="J2626" s="42"/>
    </row>
    <row r="2627" spans="5:10">
      <c r="E2627" s="43">
        <v>45334.809027768642</v>
      </c>
      <c r="F2627" s="41">
        <v>10.837763861893269</v>
      </c>
      <c r="G2627" s="41">
        <v>0</v>
      </c>
      <c r="H2627" s="42"/>
      <c r="I2627" s="42"/>
      <c r="J2627" s="42"/>
    </row>
    <row r="2628" spans="5:10">
      <c r="E2628" s="43">
        <v>45334.812499990861</v>
      </c>
      <c r="F2628" s="41">
        <v>10.837763861893269</v>
      </c>
      <c r="G2628" s="41">
        <v>0</v>
      </c>
      <c r="H2628" s="42"/>
      <c r="I2628" s="42"/>
      <c r="J2628" s="42"/>
    </row>
    <row r="2629" spans="5:10">
      <c r="E2629" s="43">
        <v>45334.81597221308</v>
      </c>
      <c r="F2629" s="41">
        <v>10.837763861893269</v>
      </c>
      <c r="G2629" s="41">
        <v>0</v>
      </c>
      <c r="H2629" s="42"/>
      <c r="I2629" s="42"/>
      <c r="J2629" s="42"/>
    </row>
    <row r="2630" spans="5:10">
      <c r="E2630" s="43">
        <v>45334.819444435299</v>
      </c>
      <c r="F2630" s="41">
        <v>10.837763861893269</v>
      </c>
      <c r="G2630" s="41">
        <v>0</v>
      </c>
      <c r="H2630" s="42"/>
      <c r="I2630" s="42"/>
      <c r="J2630" s="42"/>
    </row>
    <row r="2631" spans="5:10">
      <c r="E2631" s="43">
        <v>45334.822916657518</v>
      </c>
      <c r="F2631" s="41">
        <v>10.837763861893269</v>
      </c>
      <c r="G2631" s="41">
        <v>0</v>
      </c>
      <c r="H2631" s="42"/>
      <c r="I2631" s="42"/>
      <c r="J2631" s="42"/>
    </row>
    <row r="2632" spans="5:10">
      <c r="E2632" s="43">
        <v>45334.826388879737</v>
      </c>
      <c r="F2632" s="41">
        <v>10.837763861893269</v>
      </c>
      <c r="G2632" s="41">
        <v>0</v>
      </c>
      <c r="H2632" s="42"/>
      <c r="I2632" s="42"/>
      <c r="J2632" s="42"/>
    </row>
    <row r="2633" spans="5:10">
      <c r="E2633" s="43">
        <v>45334.829861101956</v>
      </c>
      <c r="F2633" s="41">
        <v>10.837763861893269</v>
      </c>
      <c r="G2633" s="41">
        <v>0</v>
      </c>
      <c r="H2633" s="42"/>
      <c r="I2633" s="42"/>
      <c r="J2633" s="42"/>
    </row>
    <row r="2634" spans="5:10">
      <c r="E2634" s="43">
        <v>45334.833333324175</v>
      </c>
      <c r="F2634" s="41">
        <v>10.837763861893269</v>
      </c>
      <c r="G2634" s="41">
        <v>0</v>
      </c>
      <c r="H2634" s="42"/>
      <c r="I2634" s="42"/>
      <c r="J2634" s="42"/>
    </row>
    <row r="2635" spans="5:10">
      <c r="E2635" s="43">
        <v>45334.836805546394</v>
      </c>
      <c r="F2635" s="41">
        <v>10.837763861893269</v>
      </c>
      <c r="G2635" s="41">
        <v>0</v>
      </c>
      <c r="H2635" s="42"/>
      <c r="I2635" s="42"/>
      <c r="J2635" s="42"/>
    </row>
    <row r="2636" spans="5:10">
      <c r="E2636" s="43">
        <v>45334.840277768613</v>
      </c>
      <c r="F2636" s="41">
        <v>10.837763861893269</v>
      </c>
      <c r="G2636" s="41">
        <v>0</v>
      </c>
      <c r="H2636" s="42"/>
      <c r="I2636" s="42"/>
      <c r="J2636" s="42"/>
    </row>
    <row r="2637" spans="5:10">
      <c r="E2637" s="43">
        <v>45334.843749990832</v>
      </c>
      <c r="F2637" s="41">
        <v>10.837763861893269</v>
      </c>
      <c r="G2637" s="41">
        <v>0</v>
      </c>
      <c r="H2637" s="42"/>
      <c r="I2637" s="42"/>
      <c r="J2637" s="42"/>
    </row>
    <row r="2638" spans="5:10">
      <c r="E2638" s="43">
        <v>45334.847222213051</v>
      </c>
      <c r="F2638" s="41">
        <v>10.837763861893269</v>
      </c>
      <c r="G2638" s="41">
        <v>0</v>
      </c>
      <c r="H2638" s="42"/>
      <c r="I2638" s="42"/>
      <c r="J2638" s="42"/>
    </row>
    <row r="2639" spans="5:10">
      <c r="E2639" s="43">
        <v>45334.85069443527</v>
      </c>
      <c r="F2639" s="41">
        <v>10.837763861893269</v>
      </c>
      <c r="G2639" s="41">
        <v>0</v>
      </c>
      <c r="H2639" s="42"/>
      <c r="I2639" s="42"/>
      <c r="J2639" s="42"/>
    </row>
    <row r="2640" spans="5:10">
      <c r="E2640" s="43">
        <v>45334.854166657489</v>
      </c>
      <c r="F2640" s="41">
        <v>10.837763861893269</v>
      </c>
      <c r="G2640" s="41">
        <v>0</v>
      </c>
      <c r="H2640" s="42"/>
      <c r="I2640" s="42"/>
      <c r="J2640" s="42"/>
    </row>
    <row r="2641" spans="5:10">
      <c r="E2641" s="43">
        <v>45334.857638879708</v>
      </c>
      <c r="F2641" s="41">
        <v>10.837763861893269</v>
      </c>
      <c r="G2641" s="41">
        <v>0</v>
      </c>
      <c r="H2641" s="42"/>
      <c r="I2641" s="42"/>
      <c r="J2641" s="42"/>
    </row>
    <row r="2642" spans="5:10">
      <c r="E2642" s="43">
        <v>45334.861111101927</v>
      </c>
      <c r="F2642" s="41">
        <v>10.837763861893269</v>
      </c>
      <c r="G2642" s="41">
        <v>0</v>
      </c>
      <c r="H2642" s="42"/>
      <c r="I2642" s="42"/>
      <c r="J2642" s="42"/>
    </row>
    <row r="2643" spans="5:10">
      <c r="E2643" s="43">
        <v>45334.864583324146</v>
      </c>
      <c r="F2643" s="41">
        <v>10.837763861893269</v>
      </c>
      <c r="G2643" s="41">
        <v>0</v>
      </c>
      <c r="H2643" s="42"/>
      <c r="I2643" s="42"/>
      <c r="J2643" s="42"/>
    </row>
    <row r="2644" spans="5:10">
      <c r="E2644" s="43">
        <v>45334.868055546365</v>
      </c>
      <c r="F2644" s="41">
        <v>10.837763861893269</v>
      </c>
      <c r="G2644" s="41">
        <v>0</v>
      </c>
      <c r="H2644" s="42"/>
      <c r="I2644" s="42"/>
      <c r="J2644" s="42"/>
    </row>
    <row r="2645" spans="5:10">
      <c r="E2645" s="43">
        <v>45334.871527768584</v>
      </c>
      <c r="F2645" s="41">
        <v>10.837763861893269</v>
      </c>
      <c r="G2645" s="41">
        <v>0</v>
      </c>
      <c r="H2645" s="42"/>
      <c r="I2645" s="42"/>
      <c r="J2645" s="42"/>
    </row>
    <row r="2646" spans="5:10">
      <c r="E2646" s="43">
        <v>45334.874999990803</v>
      </c>
      <c r="F2646" s="41">
        <v>10.837763861893269</v>
      </c>
      <c r="G2646" s="41">
        <v>0</v>
      </c>
      <c r="H2646" s="42"/>
      <c r="I2646" s="42"/>
      <c r="J2646" s="42"/>
    </row>
    <row r="2647" spans="5:10">
      <c r="E2647" s="43">
        <v>45334.878472213022</v>
      </c>
      <c r="F2647" s="41">
        <v>10.837763861893269</v>
      </c>
      <c r="G2647" s="41">
        <v>0</v>
      </c>
      <c r="H2647" s="42"/>
      <c r="I2647" s="42"/>
      <c r="J2647" s="42"/>
    </row>
    <row r="2648" spans="5:10">
      <c r="E2648" s="43">
        <v>45334.881944435241</v>
      </c>
      <c r="F2648" s="41">
        <v>10.837763861893269</v>
      </c>
      <c r="G2648" s="41">
        <v>0</v>
      </c>
      <c r="H2648" s="42"/>
      <c r="I2648" s="42"/>
      <c r="J2648" s="42"/>
    </row>
    <row r="2649" spans="5:10">
      <c r="E2649" s="43">
        <v>45334.88541665746</v>
      </c>
      <c r="F2649" s="41">
        <v>10.837763861893269</v>
      </c>
      <c r="G2649" s="41">
        <v>0</v>
      </c>
      <c r="H2649" s="42"/>
      <c r="I2649" s="42"/>
      <c r="J2649" s="42"/>
    </row>
    <row r="2650" spans="5:10">
      <c r="E2650" s="43">
        <v>45334.888888879679</v>
      </c>
      <c r="F2650" s="41">
        <v>10.837763861893269</v>
      </c>
      <c r="G2650" s="41">
        <v>0</v>
      </c>
      <c r="H2650" s="42"/>
      <c r="I2650" s="42"/>
      <c r="J2650" s="42"/>
    </row>
    <row r="2651" spans="5:10">
      <c r="E2651" s="43">
        <v>45334.892361101898</v>
      </c>
      <c r="F2651" s="41">
        <v>10.837763861893269</v>
      </c>
      <c r="G2651" s="41">
        <v>0</v>
      </c>
      <c r="H2651" s="42"/>
      <c r="I2651" s="42"/>
      <c r="J2651" s="42"/>
    </row>
    <row r="2652" spans="5:10">
      <c r="E2652" s="43">
        <v>45334.895833324117</v>
      </c>
      <c r="F2652" s="41">
        <v>10.837763861893269</v>
      </c>
      <c r="G2652" s="41">
        <v>0</v>
      </c>
      <c r="H2652" s="42"/>
      <c r="I2652" s="42"/>
      <c r="J2652" s="42"/>
    </row>
    <row r="2653" spans="5:10">
      <c r="E2653" s="43">
        <v>45334.899305546336</v>
      </c>
      <c r="F2653" s="41">
        <v>10.837763861893269</v>
      </c>
      <c r="G2653" s="41">
        <v>0</v>
      </c>
      <c r="H2653" s="42"/>
      <c r="I2653" s="42"/>
      <c r="J2653" s="42"/>
    </row>
    <row r="2654" spans="5:10">
      <c r="E2654" s="43">
        <v>45334.902777768555</v>
      </c>
      <c r="F2654" s="41">
        <v>10.837763861893269</v>
      </c>
      <c r="G2654" s="41">
        <v>0</v>
      </c>
      <c r="H2654" s="42"/>
      <c r="I2654" s="42"/>
      <c r="J2654" s="42"/>
    </row>
    <row r="2655" spans="5:10">
      <c r="E2655" s="43">
        <v>45334.906249990774</v>
      </c>
      <c r="F2655" s="41">
        <v>10.837763861893269</v>
      </c>
      <c r="G2655" s="41">
        <v>0</v>
      </c>
      <c r="H2655" s="42"/>
      <c r="I2655" s="42"/>
      <c r="J2655" s="42"/>
    </row>
    <row r="2656" spans="5:10">
      <c r="E2656" s="43">
        <v>45334.909722212993</v>
      </c>
      <c r="F2656" s="41">
        <v>10.837763861893269</v>
      </c>
      <c r="G2656" s="41">
        <v>0</v>
      </c>
      <c r="H2656" s="42"/>
      <c r="I2656" s="42"/>
      <c r="J2656" s="42"/>
    </row>
    <row r="2657" spans="5:10">
      <c r="E2657" s="43">
        <v>45334.913194435212</v>
      </c>
      <c r="F2657" s="41">
        <v>10.837763861893269</v>
      </c>
      <c r="G2657" s="41">
        <v>0</v>
      </c>
      <c r="H2657" s="42"/>
      <c r="I2657" s="42"/>
      <c r="J2657" s="42"/>
    </row>
    <row r="2658" spans="5:10">
      <c r="E2658" s="43">
        <v>45334.916666657431</v>
      </c>
      <c r="F2658" s="41">
        <v>10.837763861893269</v>
      </c>
      <c r="G2658" s="41">
        <v>0</v>
      </c>
      <c r="H2658" s="42"/>
      <c r="I2658" s="42"/>
      <c r="J2658" s="42"/>
    </row>
    <row r="2659" spans="5:10">
      <c r="E2659" s="43">
        <v>45334.92013887965</v>
      </c>
      <c r="F2659" s="41">
        <v>10.837763861893269</v>
      </c>
      <c r="G2659" s="41">
        <v>0</v>
      </c>
      <c r="H2659" s="42"/>
      <c r="I2659" s="42"/>
      <c r="J2659" s="42"/>
    </row>
    <row r="2660" spans="5:10">
      <c r="E2660" s="43">
        <v>45334.923611101869</v>
      </c>
      <c r="F2660" s="41">
        <v>10.837763861893269</v>
      </c>
      <c r="G2660" s="41">
        <v>0</v>
      </c>
      <c r="H2660" s="42"/>
      <c r="I2660" s="42"/>
      <c r="J2660" s="42"/>
    </row>
    <row r="2661" spans="5:10">
      <c r="E2661" s="43">
        <v>45334.927083324088</v>
      </c>
      <c r="F2661" s="41">
        <v>10.837763861893269</v>
      </c>
      <c r="G2661" s="41">
        <v>0</v>
      </c>
      <c r="H2661" s="42"/>
      <c r="I2661" s="42"/>
      <c r="J2661" s="42"/>
    </row>
    <row r="2662" spans="5:10">
      <c r="E2662" s="43">
        <v>45334.930555546307</v>
      </c>
      <c r="F2662" s="41">
        <v>10.837763861893269</v>
      </c>
      <c r="G2662" s="41">
        <v>0</v>
      </c>
      <c r="H2662" s="42"/>
      <c r="I2662" s="42"/>
      <c r="J2662" s="42"/>
    </row>
    <row r="2663" spans="5:10">
      <c r="E2663" s="43">
        <v>45334.934027768526</v>
      </c>
      <c r="F2663" s="41">
        <v>10.837763861893269</v>
      </c>
      <c r="G2663" s="41">
        <v>0</v>
      </c>
      <c r="H2663" s="42"/>
      <c r="I2663" s="42"/>
      <c r="J2663" s="42"/>
    </row>
    <row r="2664" spans="5:10">
      <c r="E2664" s="43">
        <v>45334.937499990745</v>
      </c>
      <c r="F2664" s="41">
        <v>10.837763861893269</v>
      </c>
      <c r="G2664" s="41">
        <v>0</v>
      </c>
      <c r="H2664" s="42"/>
      <c r="I2664" s="42"/>
      <c r="J2664" s="42"/>
    </row>
    <row r="2665" spans="5:10">
      <c r="E2665" s="43">
        <v>45334.940972212964</v>
      </c>
      <c r="F2665" s="41">
        <v>10.837763861893269</v>
      </c>
      <c r="G2665" s="41">
        <v>0</v>
      </c>
      <c r="H2665" s="42"/>
      <c r="I2665" s="42"/>
      <c r="J2665" s="42"/>
    </row>
    <row r="2666" spans="5:10">
      <c r="E2666" s="43">
        <v>45334.944444435183</v>
      </c>
      <c r="F2666" s="41">
        <v>10.837763861893269</v>
      </c>
      <c r="G2666" s="41">
        <v>0</v>
      </c>
      <c r="H2666" s="42"/>
      <c r="I2666" s="42"/>
      <c r="J2666" s="42"/>
    </row>
    <row r="2667" spans="5:10">
      <c r="E2667" s="43">
        <v>45334.947916657402</v>
      </c>
      <c r="F2667" s="41">
        <v>10.837763861893269</v>
      </c>
      <c r="G2667" s="41">
        <v>0</v>
      </c>
      <c r="H2667" s="42"/>
      <c r="I2667" s="42"/>
      <c r="J2667" s="42"/>
    </row>
    <row r="2668" spans="5:10">
      <c r="E2668" s="43">
        <v>45334.951388879621</v>
      </c>
      <c r="F2668" s="41">
        <v>10.837763861893269</v>
      </c>
      <c r="G2668" s="41">
        <v>0</v>
      </c>
      <c r="H2668" s="42"/>
      <c r="I2668" s="42"/>
      <c r="J2668" s="42"/>
    </row>
    <row r="2669" spans="5:10">
      <c r="E2669" s="43">
        <v>45334.95486110184</v>
      </c>
      <c r="F2669" s="41">
        <v>10.837763861893269</v>
      </c>
      <c r="G2669" s="41">
        <v>0</v>
      </c>
      <c r="H2669" s="42"/>
      <c r="I2669" s="42"/>
      <c r="J2669" s="42"/>
    </row>
    <row r="2670" spans="5:10">
      <c r="E2670" s="43">
        <v>45334.958333324059</v>
      </c>
      <c r="F2670" s="41">
        <v>10.837763861893269</v>
      </c>
      <c r="G2670" s="41">
        <v>0</v>
      </c>
      <c r="H2670" s="42"/>
      <c r="I2670" s="42"/>
      <c r="J2670" s="42"/>
    </row>
    <row r="2671" spans="5:10">
      <c r="E2671" s="43">
        <v>45334.961805546278</v>
      </c>
      <c r="F2671" s="41">
        <v>10.837763861893269</v>
      </c>
      <c r="G2671" s="41">
        <v>0</v>
      </c>
      <c r="H2671" s="42"/>
      <c r="I2671" s="42"/>
      <c r="J2671" s="42"/>
    </row>
    <row r="2672" spans="5:10">
      <c r="E2672" s="43">
        <v>45334.965277768497</v>
      </c>
      <c r="F2672" s="41">
        <v>10.837763861893269</v>
      </c>
      <c r="G2672" s="41">
        <v>0</v>
      </c>
      <c r="H2672" s="42"/>
      <c r="I2672" s="42"/>
      <c r="J2672" s="42"/>
    </row>
    <row r="2673" spans="5:10">
      <c r="E2673" s="43">
        <v>45334.968749990716</v>
      </c>
      <c r="F2673" s="41">
        <v>10.837763861893269</v>
      </c>
      <c r="G2673" s="41">
        <v>0</v>
      </c>
      <c r="H2673" s="42"/>
      <c r="I2673" s="42"/>
      <c r="J2673" s="42"/>
    </row>
    <row r="2674" spans="5:10">
      <c r="E2674" s="43">
        <v>45334.972222212935</v>
      </c>
      <c r="F2674" s="41">
        <v>10.837763861893269</v>
      </c>
      <c r="G2674" s="41">
        <v>0</v>
      </c>
      <c r="H2674" s="42"/>
      <c r="I2674" s="42"/>
      <c r="J2674" s="42"/>
    </row>
    <row r="2675" spans="5:10">
      <c r="E2675" s="43">
        <v>45334.975694435154</v>
      </c>
      <c r="F2675" s="41">
        <v>10.837763861893269</v>
      </c>
      <c r="G2675" s="41">
        <v>0</v>
      </c>
      <c r="H2675" s="42"/>
      <c r="I2675" s="42"/>
      <c r="J2675" s="42"/>
    </row>
    <row r="2676" spans="5:10">
      <c r="E2676" s="43">
        <v>45334.979166657373</v>
      </c>
      <c r="F2676" s="41">
        <v>10.837763861893269</v>
      </c>
      <c r="G2676" s="41">
        <v>0</v>
      </c>
      <c r="H2676" s="42"/>
      <c r="I2676" s="42"/>
      <c r="J2676" s="42"/>
    </row>
    <row r="2677" spans="5:10">
      <c r="E2677" s="43">
        <v>45334.982638879592</v>
      </c>
      <c r="F2677" s="41">
        <v>10.837763861893269</v>
      </c>
      <c r="G2677" s="41">
        <v>0</v>
      </c>
      <c r="H2677" s="42"/>
      <c r="I2677" s="42"/>
      <c r="J2677" s="42"/>
    </row>
    <row r="2678" spans="5:10">
      <c r="E2678" s="43">
        <v>45334.986111101811</v>
      </c>
      <c r="F2678" s="41">
        <v>10.837763861893269</v>
      </c>
      <c r="G2678" s="41">
        <v>0</v>
      </c>
      <c r="H2678" s="42"/>
      <c r="I2678" s="42"/>
      <c r="J2678" s="42"/>
    </row>
    <row r="2679" spans="5:10">
      <c r="E2679" s="43">
        <v>45334.98958332403</v>
      </c>
      <c r="F2679" s="41">
        <v>10.837763861893269</v>
      </c>
      <c r="G2679" s="41">
        <v>0</v>
      </c>
      <c r="H2679" s="42"/>
      <c r="I2679" s="42"/>
      <c r="J2679" s="42"/>
    </row>
    <row r="2680" spans="5:10">
      <c r="E2680" s="43">
        <v>45334.993055546249</v>
      </c>
      <c r="F2680" s="41">
        <v>10.837763861893269</v>
      </c>
      <c r="G2680" s="41">
        <v>0</v>
      </c>
      <c r="H2680" s="42"/>
      <c r="I2680" s="42"/>
      <c r="J2680" s="42"/>
    </row>
    <row r="2681" spans="5:10">
      <c r="E2681" s="43">
        <v>45334.996527768468</v>
      </c>
      <c r="F2681" s="41">
        <v>10.837763861893269</v>
      </c>
      <c r="G2681" s="41">
        <v>0</v>
      </c>
      <c r="H2681" s="42"/>
      <c r="I2681" s="42"/>
      <c r="J2681" s="42"/>
    </row>
    <row r="2682" spans="5:10">
      <c r="E2682" s="43">
        <v>45334.999999990687</v>
      </c>
      <c r="F2682" s="41">
        <v>10.837763861893269</v>
      </c>
      <c r="G2682" s="41">
        <v>0</v>
      </c>
      <c r="H2682" s="42"/>
      <c r="I2682" s="42"/>
      <c r="J2682" s="42"/>
    </row>
    <row r="2683" spans="5:10">
      <c r="E2683" s="43">
        <v>45335.003472212906</v>
      </c>
      <c r="F2683" s="41">
        <v>10.837763861893269</v>
      </c>
      <c r="G2683" s="41">
        <v>0</v>
      </c>
      <c r="H2683" s="42"/>
      <c r="I2683" s="42"/>
      <c r="J2683" s="42"/>
    </row>
    <row r="2684" spans="5:10">
      <c r="E2684" s="43">
        <v>45335.006944435125</v>
      </c>
      <c r="F2684" s="41">
        <v>10.837763861893269</v>
      </c>
      <c r="G2684" s="41">
        <v>0</v>
      </c>
      <c r="H2684" s="42"/>
      <c r="I2684" s="42"/>
      <c r="J2684" s="42"/>
    </row>
    <row r="2685" spans="5:10">
      <c r="E2685" s="43">
        <v>45335.010416657344</v>
      </c>
      <c r="F2685" s="41">
        <v>10.837763861893269</v>
      </c>
      <c r="G2685" s="41">
        <v>0</v>
      </c>
      <c r="H2685" s="42"/>
      <c r="I2685" s="42"/>
      <c r="J2685" s="42"/>
    </row>
    <row r="2686" spans="5:10">
      <c r="E2686" s="43">
        <v>45335.013888879563</v>
      </c>
      <c r="F2686" s="41">
        <v>10.837763861893269</v>
      </c>
      <c r="G2686" s="41">
        <v>0</v>
      </c>
      <c r="H2686" s="42"/>
      <c r="I2686" s="42"/>
      <c r="J2686" s="42"/>
    </row>
    <row r="2687" spans="5:10">
      <c r="E2687" s="43">
        <v>45335.017361101782</v>
      </c>
      <c r="F2687" s="41">
        <v>10.837763861893269</v>
      </c>
      <c r="G2687" s="41">
        <v>0</v>
      </c>
      <c r="H2687" s="42"/>
      <c r="I2687" s="42"/>
      <c r="J2687" s="42"/>
    </row>
    <row r="2688" spans="5:10">
      <c r="E2688" s="43">
        <v>45335.020833324001</v>
      </c>
      <c r="F2688" s="41">
        <v>10.837763861893269</v>
      </c>
      <c r="G2688" s="41">
        <v>0</v>
      </c>
      <c r="H2688" s="42"/>
      <c r="I2688" s="42"/>
      <c r="J2688" s="42"/>
    </row>
    <row r="2689" spans="5:10">
      <c r="E2689" s="43">
        <v>45335.02430554622</v>
      </c>
      <c r="F2689" s="41">
        <v>10.837763861893269</v>
      </c>
      <c r="G2689" s="41">
        <v>0</v>
      </c>
      <c r="H2689" s="42"/>
      <c r="I2689" s="42"/>
      <c r="J2689" s="42"/>
    </row>
    <row r="2690" spans="5:10">
      <c r="E2690" s="43">
        <v>45335.027777768439</v>
      </c>
      <c r="F2690" s="41">
        <v>10.837763861893269</v>
      </c>
      <c r="G2690" s="41">
        <v>0</v>
      </c>
      <c r="H2690" s="42"/>
      <c r="I2690" s="42"/>
      <c r="J2690" s="42"/>
    </row>
    <row r="2691" spans="5:10">
      <c r="E2691" s="43">
        <v>45335.031249990658</v>
      </c>
      <c r="F2691" s="41">
        <v>10.837763861893269</v>
      </c>
      <c r="G2691" s="41">
        <v>0</v>
      </c>
      <c r="H2691" s="42"/>
      <c r="I2691" s="42"/>
      <c r="J2691" s="42"/>
    </row>
    <row r="2692" spans="5:10">
      <c r="E2692" s="43">
        <v>45335.034722212877</v>
      </c>
      <c r="F2692" s="41">
        <v>10.837763861893269</v>
      </c>
      <c r="G2692" s="41">
        <v>0</v>
      </c>
      <c r="H2692" s="42"/>
      <c r="I2692" s="42"/>
      <c r="J2692" s="42"/>
    </row>
    <row r="2693" spans="5:10">
      <c r="E2693" s="43">
        <v>45335.038194435096</v>
      </c>
      <c r="F2693" s="41">
        <v>10.837763861893269</v>
      </c>
      <c r="G2693" s="41">
        <v>0</v>
      </c>
      <c r="H2693" s="42"/>
      <c r="I2693" s="42"/>
      <c r="J2693" s="42"/>
    </row>
    <row r="2694" spans="5:10">
      <c r="E2694" s="43">
        <v>45335.041666657315</v>
      </c>
      <c r="F2694" s="41">
        <v>10.837763861893269</v>
      </c>
      <c r="G2694" s="41">
        <v>0</v>
      </c>
      <c r="H2694" s="42"/>
      <c r="I2694" s="42"/>
      <c r="J2694" s="42"/>
    </row>
    <row r="2695" spans="5:10">
      <c r="E2695" s="43">
        <v>45335.045138879534</v>
      </c>
      <c r="F2695" s="41">
        <v>10.837763861893269</v>
      </c>
      <c r="G2695" s="41">
        <v>0</v>
      </c>
      <c r="H2695" s="42"/>
      <c r="I2695" s="42"/>
      <c r="J2695" s="42"/>
    </row>
    <row r="2696" spans="5:10">
      <c r="E2696" s="43">
        <v>45335.048611101753</v>
      </c>
      <c r="F2696" s="41">
        <v>10.837763861893269</v>
      </c>
      <c r="G2696" s="41">
        <v>0</v>
      </c>
      <c r="H2696" s="42"/>
      <c r="I2696" s="42"/>
      <c r="J2696" s="42"/>
    </row>
    <row r="2697" spans="5:10">
      <c r="E2697" s="43">
        <v>45335.052083323972</v>
      </c>
      <c r="F2697" s="41">
        <v>10.837763861893269</v>
      </c>
      <c r="G2697" s="41">
        <v>0</v>
      </c>
      <c r="H2697" s="42"/>
      <c r="I2697" s="42"/>
      <c r="J2697" s="42"/>
    </row>
    <row r="2698" spans="5:10">
      <c r="E2698" s="43">
        <v>45335.055555546191</v>
      </c>
      <c r="F2698" s="41">
        <v>10.837763861893269</v>
      </c>
      <c r="G2698" s="41">
        <v>0</v>
      </c>
      <c r="H2698" s="42"/>
      <c r="I2698" s="42"/>
      <c r="J2698" s="42"/>
    </row>
    <row r="2699" spans="5:10">
      <c r="E2699" s="43">
        <v>45335.05902776841</v>
      </c>
      <c r="F2699" s="41">
        <v>10.837763861893269</v>
      </c>
      <c r="G2699" s="41">
        <v>0</v>
      </c>
      <c r="H2699" s="42"/>
      <c r="I2699" s="42"/>
      <c r="J2699" s="42"/>
    </row>
    <row r="2700" spans="5:10">
      <c r="E2700" s="43">
        <v>45335.062499990629</v>
      </c>
      <c r="F2700" s="41">
        <v>10.837763861893269</v>
      </c>
      <c r="G2700" s="41">
        <v>0</v>
      </c>
      <c r="H2700" s="42"/>
      <c r="I2700" s="42"/>
      <c r="J2700" s="42"/>
    </row>
    <row r="2701" spans="5:10">
      <c r="E2701" s="43">
        <v>45335.065972212848</v>
      </c>
      <c r="F2701" s="41">
        <v>10.837763861893269</v>
      </c>
      <c r="G2701" s="41">
        <v>0</v>
      </c>
      <c r="H2701" s="42"/>
      <c r="I2701" s="42"/>
      <c r="J2701" s="42"/>
    </row>
    <row r="2702" spans="5:10">
      <c r="E2702" s="43">
        <v>45335.069444435067</v>
      </c>
      <c r="F2702" s="41">
        <v>10.837763861893269</v>
      </c>
      <c r="G2702" s="41">
        <v>0</v>
      </c>
      <c r="H2702" s="42"/>
      <c r="I2702" s="42"/>
      <c r="J2702" s="42"/>
    </row>
    <row r="2703" spans="5:10">
      <c r="E2703" s="43">
        <v>45335.072916657286</v>
      </c>
      <c r="F2703" s="41">
        <v>10.837763861893269</v>
      </c>
      <c r="G2703" s="41">
        <v>0</v>
      </c>
      <c r="H2703" s="42"/>
      <c r="I2703" s="42"/>
      <c r="J2703" s="42"/>
    </row>
    <row r="2704" spans="5:10">
      <c r="E2704" s="43">
        <v>45335.076388879505</v>
      </c>
      <c r="F2704" s="41">
        <v>10.837763861893269</v>
      </c>
      <c r="G2704" s="41">
        <v>0</v>
      </c>
      <c r="H2704" s="42"/>
      <c r="I2704" s="42"/>
      <c r="J2704" s="42"/>
    </row>
    <row r="2705" spans="5:10">
      <c r="E2705" s="43">
        <v>45335.079861101724</v>
      </c>
      <c r="F2705" s="41">
        <v>10.837763861893269</v>
      </c>
      <c r="G2705" s="41">
        <v>0</v>
      </c>
      <c r="H2705" s="42"/>
      <c r="I2705" s="42"/>
      <c r="J2705" s="42"/>
    </row>
    <row r="2706" spans="5:10">
      <c r="E2706" s="43">
        <v>45335.083333323942</v>
      </c>
      <c r="F2706" s="41">
        <v>10.837763861893269</v>
      </c>
      <c r="G2706" s="41">
        <v>0</v>
      </c>
      <c r="H2706" s="42"/>
      <c r="I2706" s="42"/>
      <c r="J2706" s="42"/>
    </row>
    <row r="2707" spans="5:10">
      <c r="E2707" s="43">
        <v>45335.086805546161</v>
      </c>
      <c r="F2707" s="41">
        <v>10.837763861893269</v>
      </c>
      <c r="G2707" s="41">
        <v>0</v>
      </c>
      <c r="H2707" s="42"/>
      <c r="I2707" s="42"/>
      <c r="J2707" s="42"/>
    </row>
    <row r="2708" spans="5:10">
      <c r="E2708" s="43">
        <v>45335.09027776838</v>
      </c>
      <c r="F2708" s="41">
        <v>10.837763861893269</v>
      </c>
      <c r="G2708" s="41">
        <v>0</v>
      </c>
      <c r="H2708" s="42"/>
      <c r="I2708" s="42"/>
      <c r="J2708" s="42"/>
    </row>
    <row r="2709" spans="5:10">
      <c r="E2709" s="43">
        <v>45335.093749990599</v>
      </c>
      <c r="F2709" s="41">
        <v>10.837763861893269</v>
      </c>
      <c r="G2709" s="41">
        <v>0</v>
      </c>
      <c r="H2709" s="42"/>
      <c r="I2709" s="42"/>
      <c r="J2709" s="42"/>
    </row>
    <row r="2710" spans="5:10">
      <c r="E2710" s="43">
        <v>45335.097222212818</v>
      </c>
      <c r="F2710" s="41">
        <v>10.837763861893269</v>
      </c>
      <c r="G2710" s="41">
        <v>0</v>
      </c>
      <c r="H2710" s="42"/>
      <c r="I2710" s="42"/>
      <c r="J2710" s="42"/>
    </row>
    <row r="2711" spans="5:10">
      <c r="E2711" s="43">
        <v>45335.100694435037</v>
      </c>
      <c r="F2711" s="41">
        <v>10.837763861893269</v>
      </c>
      <c r="G2711" s="41">
        <v>0</v>
      </c>
      <c r="H2711" s="42"/>
      <c r="I2711" s="42"/>
      <c r="J2711" s="42"/>
    </row>
    <row r="2712" spans="5:10">
      <c r="E2712" s="43">
        <v>45335.104166657256</v>
      </c>
      <c r="F2712" s="41">
        <v>10.837763861893269</v>
      </c>
      <c r="G2712" s="41">
        <v>0</v>
      </c>
      <c r="H2712" s="42"/>
      <c r="I2712" s="42"/>
      <c r="J2712" s="42"/>
    </row>
    <row r="2713" spans="5:10">
      <c r="E2713" s="43">
        <v>45335.107638879475</v>
      </c>
      <c r="F2713" s="41">
        <v>10.837763861893269</v>
      </c>
      <c r="G2713" s="41">
        <v>0</v>
      </c>
      <c r="H2713" s="42"/>
      <c r="I2713" s="42"/>
      <c r="J2713" s="42"/>
    </row>
    <row r="2714" spans="5:10">
      <c r="E2714" s="43">
        <v>45335.111111101694</v>
      </c>
      <c r="F2714" s="41">
        <v>10.837763861893269</v>
      </c>
      <c r="G2714" s="41">
        <v>0</v>
      </c>
      <c r="H2714" s="42"/>
      <c r="I2714" s="42"/>
      <c r="J2714" s="42"/>
    </row>
    <row r="2715" spans="5:10">
      <c r="E2715" s="43">
        <v>45335.114583323913</v>
      </c>
      <c r="F2715" s="41">
        <v>10.837763861893269</v>
      </c>
      <c r="G2715" s="41">
        <v>0</v>
      </c>
      <c r="H2715" s="42"/>
      <c r="I2715" s="42"/>
      <c r="J2715" s="42"/>
    </row>
    <row r="2716" spans="5:10">
      <c r="E2716" s="43">
        <v>45335.118055546132</v>
      </c>
      <c r="F2716" s="41">
        <v>10.837763861893269</v>
      </c>
      <c r="G2716" s="41">
        <v>0</v>
      </c>
      <c r="H2716" s="42"/>
      <c r="I2716" s="42"/>
      <c r="J2716" s="42"/>
    </row>
    <row r="2717" spans="5:10">
      <c r="E2717" s="43">
        <v>45335.121527768351</v>
      </c>
      <c r="F2717" s="41">
        <v>10.837763861893269</v>
      </c>
      <c r="G2717" s="41">
        <v>0</v>
      </c>
      <c r="H2717" s="42"/>
      <c r="I2717" s="42"/>
      <c r="J2717" s="42"/>
    </row>
    <row r="2718" spans="5:10">
      <c r="E2718" s="43">
        <v>45335.12499999057</v>
      </c>
      <c r="F2718" s="41">
        <v>10.837763861893269</v>
      </c>
      <c r="G2718" s="41">
        <v>0</v>
      </c>
      <c r="H2718" s="42"/>
      <c r="I2718" s="42"/>
      <c r="J2718" s="42"/>
    </row>
    <row r="2719" spans="5:10">
      <c r="E2719" s="43">
        <v>45335.128472212789</v>
      </c>
      <c r="F2719" s="41">
        <v>10.837763861893269</v>
      </c>
      <c r="G2719" s="41">
        <v>0</v>
      </c>
      <c r="H2719" s="42"/>
      <c r="I2719" s="42"/>
      <c r="J2719" s="42"/>
    </row>
    <row r="2720" spans="5:10">
      <c r="E2720" s="43">
        <v>45335.131944435008</v>
      </c>
      <c r="F2720" s="41">
        <v>10.837763861893269</v>
      </c>
      <c r="G2720" s="41">
        <v>0</v>
      </c>
      <c r="H2720" s="42"/>
      <c r="I2720" s="42"/>
      <c r="J2720" s="42"/>
    </row>
    <row r="2721" spans="5:10">
      <c r="E2721" s="43">
        <v>45335.135416657227</v>
      </c>
      <c r="F2721" s="41">
        <v>10.837763861893269</v>
      </c>
      <c r="G2721" s="41">
        <v>0</v>
      </c>
      <c r="H2721" s="42"/>
      <c r="I2721" s="42"/>
      <c r="J2721" s="42"/>
    </row>
    <row r="2722" spans="5:10">
      <c r="E2722" s="43">
        <v>45335.138888879446</v>
      </c>
      <c r="F2722" s="41">
        <v>10.837763861893269</v>
      </c>
      <c r="G2722" s="41">
        <v>0</v>
      </c>
      <c r="H2722" s="42"/>
      <c r="I2722" s="42"/>
      <c r="J2722" s="42"/>
    </row>
    <row r="2723" spans="5:10">
      <c r="E2723" s="43">
        <v>45335.142361101665</v>
      </c>
      <c r="F2723" s="41">
        <v>10.837763861893269</v>
      </c>
      <c r="G2723" s="41">
        <v>0</v>
      </c>
      <c r="H2723" s="42"/>
      <c r="I2723" s="42"/>
      <c r="J2723" s="42"/>
    </row>
    <row r="2724" spans="5:10">
      <c r="E2724" s="43">
        <v>45335.145833323884</v>
      </c>
      <c r="F2724" s="41">
        <v>10.837763861893269</v>
      </c>
      <c r="G2724" s="41">
        <v>0</v>
      </c>
      <c r="H2724" s="42"/>
      <c r="I2724" s="42"/>
      <c r="J2724" s="42"/>
    </row>
    <row r="2725" spans="5:10">
      <c r="E2725" s="43">
        <v>45335.149305546103</v>
      </c>
      <c r="F2725" s="41">
        <v>10.837763861893269</v>
      </c>
      <c r="G2725" s="41">
        <v>0</v>
      </c>
      <c r="H2725" s="42"/>
      <c r="I2725" s="42"/>
      <c r="J2725" s="42"/>
    </row>
    <row r="2726" spans="5:10">
      <c r="E2726" s="43">
        <v>45335.152777768322</v>
      </c>
      <c r="F2726" s="41">
        <v>10.837763861893269</v>
      </c>
      <c r="G2726" s="41">
        <v>0</v>
      </c>
      <c r="H2726" s="42"/>
      <c r="I2726" s="42"/>
      <c r="J2726" s="42"/>
    </row>
    <row r="2727" spans="5:10">
      <c r="E2727" s="43">
        <v>45335.156249990541</v>
      </c>
      <c r="F2727" s="41">
        <v>10.837763861893269</v>
      </c>
      <c r="G2727" s="41">
        <v>0</v>
      </c>
      <c r="H2727" s="42"/>
      <c r="I2727" s="42"/>
      <c r="J2727" s="42"/>
    </row>
    <row r="2728" spans="5:10">
      <c r="E2728" s="43">
        <v>45335.15972221276</v>
      </c>
      <c r="F2728" s="41">
        <v>10.837763861893269</v>
      </c>
      <c r="G2728" s="41">
        <v>0</v>
      </c>
      <c r="H2728" s="42"/>
      <c r="I2728" s="42"/>
      <c r="J2728" s="42"/>
    </row>
    <row r="2729" spans="5:10">
      <c r="E2729" s="43">
        <v>45335.163194434979</v>
      </c>
      <c r="F2729" s="41">
        <v>10.837763861893269</v>
      </c>
      <c r="G2729" s="41">
        <v>0</v>
      </c>
      <c r="H2729" s="42"/>
      <c r="I2729" s="42"/>
      <c r="J2729" s="42"/>
    </row>
    <row r="2730" spans="5:10">
      <c r="E2730" s="43">
        <v>45335.166666657198</v>
      </c>
      <c r="F2730" s="41">
        <v>10.837763861893269</v>
      </c>
      <c r="G2730" s="41">
        <v>0</v>
      </c>
      <c r="H2730" s="42"/>
      <c r="I2730" s="42"/>
      <c r="J2730" s="42"/>
    </row>
    <row r="2731" spans="5:10">
      <c r="E2731" s="43">
        <v>45335.170138879417</v>
      </c>
      <c r="F2731" s="41">
        <v>10.837763861893269</v>
      </c>
      <c r="G2731" s="41">
        <v>0</v>
      </c>
      <c r="H2731" s="42"/>
      <c r="I2731" s="42"/>
      <c r="J2731" s="42"/>
    </row>
    <row r="2732" spans="5:10">
      <c r="E2732" s="43">
        <v>45335.173611101636</v>
      </c>
      <c r="F2732" s="41">
        <v>10.837763861893269</v>
      </c>
      <c r="G2732" s="41">
        <v>0</v>
      </c>
      <c r="H2732" s="42"/>
      <c r="I2732" s="42"/>
      <c r="J2732" s="42"/>
    </row>
    <row r="2733" spans="5:10">
      <c r="E2733" s="43">
        <v>45335.177083323855</v>
      </c>
      <c r="F2733" s="41">
        <v>10.837763861893269</v>
      </c>
      <c r="G2733" s="41">
        <v>0</v>
      </c>
      <c r="H2733" s="42"/>
      <c r="I2733" s="42"/>
      <c r="J2733" s="42"/>
    </row>
    <row r="2734" spans="5:10">
      <c r="E2734" s="43">
        <v>45335.180555546074</v>
      </c>
      <c r="F2734" s="41">
        <v>10.837763861893269</v>
      </c>
      <c r="G2734" s="41">
        <v>0</v>
      </c>
      <c r="H2734" s="42"/>
      <c r="I2734" s="42"/>
      <c r="J2734" s="42"/>
    </row>
    <row r="2735" spans="5:10">
      <c r="E2735" s="43">
        <v>45335.184027768293</v>
      </c>
      <c r="F2735" s="41">
        <v>10.837763861893269</v>
      </c>
      <c r="G2735" s="41">
        <v>0</v>
      </c>
      <c r="H2735" s="42"/>
      <c r="I2735" s="42"/>
      <c r="J2735" s="42"/>
    </row>
    <row r="2736" spans="5:10">
      <c r="E2736" s="43">
        <v>45335.187499990512</v>
      </c>
      <c r="F2736" s="41">
        <v>10.837763861893269</v>
      </c>
      <c r="G2736" s="41">
        <v>0</v>
      </c>
      <c r="H2736" s="42"/>
      <c r="I2736" s="42"/>
      <c r="J2736" s="42"/>
    </row>
    <row r="2737" spans="5:10">
      <c r="E2737" s="43">
        <v>45335.190972212731</v>
      </c>
      <c r="F2737" s="41">
        <v>10.837763861893269</v>
      </c>
      <c r="G2737" s="41">
        <v>0</v>
      </c>
      <c r="H2737" s="42"/>
      <c r="I2737" s="42"/>
      <c r="J2737" s="42"/>
    </row>
    <row r="2738" spans="5:10">
      <c r="E2738" s="43">
        <v>45335.19444443495</v>
      </c>
      <c r="F2738" s="41">
        <v>10.837763861893269</v>
      </c>
      <c r="G2738" s="41">
        <v>0</v>
      </c>
      <c r="H2738" s="42"/>
      <c r="I2738" s="42"/>
      <c r="J2738" s="42"/>
    </row>
    <row r="2739" spans="5:10">
      <c r="E2739" s="43">
        <v>45335.197916657169</v>
      </c>
      <c r="F2739" s="41">
        <v>10.837763861893269</v>
      </c>
      <c r="G2739" s="41">
        <v>0</v>
      </c>
      <c r="H2739" s="42"/>
      <c r="I2739" s="42"/>
      <c r="J2739" s="42"/>
    </row>
    <row r="2740" spans="5:10">
      <c r="E2740" s="43">
        <v>45335.201388879388</v>
      </c>
      <c r="F2740" s="41">
        <v>10.837763861893269</v>
      </c>
      <c r="G2740" s="41">
        <v>0</v>
      </c>
      <c r="H2740" s="42"/>
      <c r="I2740" s="42"/>
      <c r="J2740" s="42"/>
    </row>
    <row r="2741" spans="5:10">
      <c r="E2741" s="43">
        <v>45335.204861101607</v>
      </c>
      <c r="F2741" s="41">
        <v>10.837763861893269</v>
      </c>
      <c r="G2741" s="41">
        <v>0</v>
      </c>
      <c r="H2741" s="42"/>
      <c r="I2741" s="42"/>
      <c r="J2741" s="42"/>
    </row>
    <row r="2742" spans="5:10">
      <c r="E2742" s="43">
        <v>45335.208333323826</v>
      </c>
      <c r="F2742" s="41">
        <v>10.837763861893269</v>
      </c>
      <c r="G2742" s="41">
        <v>0</v>
      </c>
      <c r="H2742" s="42"/>
      <c r="I2742" s="42"/>
      <c r="J2742" s="42"/>
    </row>
    <row r="2743" spans="5:10">
      <c r="E2743" s="43">
        <v>45335.211805546045</v>
      </c>
      <c r="F2743" s="41">
        <v>10.837763861893269</v>
      </c>
      <c r="G2743" s="41">
        <v>0</v>
      </c>
      <c r="H2743" s="42"/>
      <c r="I2743" s="42"/>
      <c r="J2743" s="42"/>
    </row>
    <row r="2744" spans="5:10">
      <c r="E2744" s="43">
        <v>45335.215277768264</v>
      </c>
      <c r="F2744" s="41">
        <v>10.837763861893269</v>
      </c>
      <c r="G2744" s="41">
        <v>0</v>
      </c>
      <c r="H2744" s="42"/>
      <c r="I2744" s="42"/>
      <c r="J2744" s="42"/>
    </row>
    <row r="2745" spans="5:10">
      <c r="E2745" s="43">
        <v>45335.218749990483</v>
      </c>
      <c r="F2745" s="41">
        <v>10.837763861893269</v>
      </c>
      <c r="G2745" s="41">
        <v>0</v>
      </c>
      <c r="H2745" s="42"/>
      <c r="I2745" s="42"/>
      <c r="J2745" s="42"/>
    </row>
    <row r="2746" spans="5:10">
      <c r="E2746" s="43">
        <v>45335.222222212702</v>
      </c>
      <c r="F2746" s="41">
        <v>10.837763861893269</v>
      </c>
      <c r="G2746" s="41">
        <v>0</v>
      </c>
      <c r="H2746" s="42"/>
      <c r="I2746" s="42"/>
      <c r="J2746" s="42"/>
    </row>
    <row r="2747" spans="5:10">
      <c r="E2747" s="43">
        <v>45335.225694434921</v>
      </c>
      <c r="F2747" s="41">
        <v>10.837763861893269</v>
      </c>
      <c r="G2747" s="41">
        <v>0</v>
      </c>
      <c r="H2747" s="42"/>
      <c r="I2747" s="42"/>
      <c r="J2747" s="42"/>
    </row>
    <row r="2748" spans="5:10">
      <c r="E2748" s="43">
        <v>45335.22916665714</v>
      </c>
      <c r="F2748" s="41">
        <v>10.837763861893269</v>
      </c>
      <c r="G2748" s="41">
        <v>0</v>
      </c>
      <c r="H2748" s="42"/>
      <c r="I2748" s="42"/>
      <c r="J2748" s="42"/>
    </row>
    <row r="2749" spans="5:10">
      <c r="E2749" s="43">
        <v>45335.232638879359</v>
      </c>
      <c r="F2749" s="41">
        <v>10.837763861893269</v>
      </c>
      <c r="G2749" s="41">
        <v>0</v>
      </c>
      <c r="H2749" s="42"/>
      <c r="I2749" s="42"/>
      <c r="J2749" s="42"/>
    </row>
    <row r="2750" spans="5:10">
      <c r="E2750" s="43">
        <v>45335.236111101578</v>
      </c>
      <c r="F2750" s="41">
        <v>10.837763861893269</v>
      </c>
      <c r="G2750" s="41">
        <v>0</v>
      </c>
      <c r="H2750" s="42"/>
      <c r="I2750" s="42"/>
      <c r="J2750" s="42"/>
    </row>
    <row r="2751" spans="5:10">
      <c r="E2751" s="43">
        <v>45335.239583323797</v>
      </c>
      <c r="F2751" s="41">
        <v>10.837763861893269</v>
      </c>
      <c r="G2751" s="41">
        <v>0</v>
      </c>
      <c r="H2751" s="42"/>
      <c r="I2751" s="42"/>
      <c r="J2751" s="42"/>
    </row>
    <row r="2752" spans="5:10">
      <c r="E2752" s="43">
        <v>45335.243055546016</v>
      </c>
      <c r="F2752" s="41">
        <v>10.837763861893269</v>
      </c>
      <c r="G2752" s="41">
        <v>0</v>
      </c>
      <c r="H2752" s="42"/>
      <c r="I2752" s="42"/>
      <c r="J2752" s="42"/>
    </row>
    <row r="2753" spans="5:10">
      <c r="E2753" s="43">
        <v>45335.246527768235</v>
      </c>
      <c r="F2753" s="41">
        <v>10.837763861893269</v>
      </c>
      <c r="G2753" s="41">
        <v>0</v>
      </c>
      <c r="H2753" s="42"/>
      <c r="I2753" s="42"/>
      <c r="J2753" s="42"/>
    </row>
    <row r="2754" spans="5:10">
      <c r="E2754" s="43">
        <v>45335.249999990454</v>
      </c>
      <c r="F2754" s="41">
        <v>10.837763861893269</v>
      </c>
      <c r="G2754" s="41">
        <v>0</v>
      </c>
      <c r="H2754" s="42"/>
      <c r="I2754" s="42"/>
      <c r="J2754" s="42"/>
    </row>
    <row r="2755" spans="5:10">
      <c r="E2755" s="43">
        <v>45335.253472212673</v>
      </c>
      <c r="F2755" s="41">
        <v>10.837763861893269</v>
      </c>
      <c r="G2755" s="41">
        <v>0</v>
      </c>
      <c r="H2755" s="42"/>
      <c r="I2755" s="42"/>
      <c r="J2755" s="42"/>
    </row>
    <row r="2756" spans="5:10">
      <c r="E2756" s="43">
        <v>45335.256944434892</v>
      </c>
      <c r="F2756" s="41">
        <v>10.837763861893269</v>
      </c>
      <c r="G2756" s="41">
        <v>0</v>
      </c>
      <c r="H2756" s="42"/>
      <c r="I2756" s="42"/>
      <c r="J2756" s="42"/>
    </row>
    <row r="2757" spans="5:10">
      <c r="E2757" s="43">
        <v>45335.260416657111</v>
      </c>
      <c r="F2757" s="41">
        <v>10.837763861893269</v>
      </c>
      <c r="G2757" s="41">
        <v>0</v>
      </c>
      <c r="H2757" s="42"/>
      <c r="I2757" s="42"/>
      <c r="J2757" s="42"/>
    </row>
    <row r="2758" spans="5:10">
      <c r="E2758" s="43">
        <v>45335.26388887933</v>
      </c>
      <c r="F2758" s="41">
        <v>10.837763861893269</v>
      </c>
      <c r="G2758" s="41">
        <v>0</v>
      </c>
      <c r="H2758" s="42"/>
      <c r="I2758" s="42"/>
      <c r="J2758" s="42"/>
    </row>
    <row r="2759" spans="5:10">
      <c r="E2759" s="43">
        <v>45335.267361101549</v>
      </c>
      <c r="F2759" s="41">
        <v>10.837763861893269</v>
      </c>
      <c r="G2759" s="41">
        <v>0</v>
      </c>
      <c r="H2759" s="42"/>
      <c r="I2759" s="42"/>
      <c r="J2759" s="42"/>
    </row>
    <row r="2760" spans="5:10">
      <c r="E2760" s="43">
        <v>45335.270833323768</v>
      </c>
      <c r="F2760" s="41">
        <v>10.837763861893269</v>
      </c>
      <c r="G2760" s="41">
        <v>0</v>
      </c>
      <c r="H2760" s="42"/>
      <c r="I2760" s="42"/>
      <c r="J2760" s="42"/>
    </row>
    <row r="2761" spans="5:10">
      <c r="E2761" s="43">
        <v>45335.274305545987</v>
      </c>
      <c r="F2761" s="41">
        <v>10.837763861893269</v>
      </c>
      <c r="G2761" s="41">
        <v>0</v>
      </c>
      <c r="H2761" s="42"/>
      <c r="I2761" s="42"/>
      <c r="J2761" s="42"/>
    </row>
    <row r="2762" spans="5:10">
      <c r="E2762" s="43">
        <v>45335.277777768206</v>
      </c>
      <c r="F2762" s="41">
        <v>10.837763861893269</v>
      </c>
      <c r="G2762" s="41">
        <v>0</v>
      </c>
      <c r="H2762" s="42"/>
      <c r="I2762" s="42"/>
      <c r="J2762" s="42"/>
    </row>
    <row r="2763" spans="5:10">
      <c r="E2763" s="43">
        <v>45335.281249990425</v>
      </c>
      <c r="F2763" s="41">
        <v>10.837763861893269</v>
      </c>
      <c r="G2763" s="41">
        <v>0</v>
      </c>
      <c r="H2763" s="42"/>
      <c r="I2763" s="42"/>
      <c r="J2763" s="42"/>
    </row>
    <row r="2764" spans="5:10">
      <c r="E2764" s="43">
        <v>45335.284722212644</v>
      </c>
      <c r="F2764" s="41">
        <v>10.837763861893269</v>
      </c>
      <c r="G2764" s="41">
        <v>0</v>
      </c>
      <c r="H2764" s="42"/>
      <c r="I2764" s="42"/>
      <c r="J2764" s="42"/>
    </row>
    <row r="2765" spans="5:10">
      <c r="E2765" s="43">
        <v>45335.288194434863</v>
      </c>
      <c r="F2765" s="41">
        <v>10.837763861893269</v>
      </c>
      <c r="G2765" s="41">
        <v>0</v>
      </c>
      <c r="H2765" s="42"/>
      <c r="I2765" s="42"/>
      <c r="J2765" s="42"/>
    </row>
    <row r="2766" spans="5:10">
      <c r="E2766" s="43">
        <v>45335.291666657082</v>
      </c>
      <c r="F2766" s="41">
        <v>10.837763861893269</v>
      </c>
      <c r="G2766" s="41">
        <v>0</v>
      </c>
      <c r="H2766" s="42"/>
      <c r="I2766" s="42"/>
      <c r="J2766" s="42"/>
    </row>
    <row r="2767" spans="5:10">
      <c r="E2767" s="43">
        <v>45335.295138879301</v>
      </c>
      <c r="F2767" s="41">
        <v>10.837763861893269</v>
      </c>
      <c r="G2767" s="41">
        <v>0</v>
      </c>
      <c r="H2767" s="42"/>
      <c r="I2767" s="42"/>
      <c r="J2767" s="42"/>
    </row>
    <row r="2768" spans="5:10">
      <c r="E2768" s="43">
        <v>45335.29861110152</v>
      </c>
      <c r="F2768" s="41">
        <v>10.837763861893269</v>
      </c>
      <c r="G2768" s="41">
        <v>0</v>
      </c>
      <c r="H2768" s="42"/>
      <c r="I2768" s="42"/>
      <c r="J2768" s="42"/>
    </row>
    <row r="2769" spans="5:10">
      <c r="E2769" s="43">
        <v>45335.302083323739</v>
      </c>
      <c r="F2769" s="41">
        <v>10.837763861893269</v>
      </c>
      <c r="G2769" s="41">
        <v>0</v>
      </c>
      <c r="H2769" s="42"/>
      <c r="I2769" s="42"/>
      <c r="J2769" s="42"/>
    </row>
    <row r="2770" spans="5:10">
      <c r="E2770" s="43">
        <v>45335.305555545958</v>
      </c>
      <c r="F2770" s="41">
        <v>10.837763861893269</v>
      </c>
      <c r="G2770" s="41">
        <v>0</v>
      </c>
      <c r="H2770" s="42"/>
      <c r="I2770" s="42"/>
      <c r="J2770" s="42"/>
    </row>
    <row r="2771" spans="5:10">
      <c r="E2771" s="43">
        <v>45335.309027768177</v>
      </c>
      <c r="F2771" s="41">
        <v>10.837763861893269</v>
      </c>
      <c r="G2771" s="41">
        <v>0</v>
      </c>
      <c r="H2771" s="42"/>
      <c r="I2771" s="42"/>
      <c r="J2771" s="42"/>
    </row>
    <row r="2772" spans="5:10">
      <c r="E2772" s="43">
        <v>45335.312499990396</v>
      </c>
      <c r="F2772" s="41">
        <v>10.837763861893269</v>
      </c>
      <c r="G2772" s="41">
        <v>0</v>
      </c>
      <c r="H2772" s="42"/>
      <c r="I2772" s="42"/>
      <c r="J2772" s="42"/>
    </row>
    <row r="2773" spans="5:10">
      <c r="E2773" s="43">
        <v>45335.315972212615</v>
      </c>
      <c r="F2773" s="41">
        <v>10.837763861893269</v>
      </c>
      <c r="G2773" s="41">
        <v>0</v>
      </c>
      <c r="H2773" s="42"/>
      <c r="I2773" s="42"/>
      <c r="J2773" s="42"/>
    </row>
    <row r="2774" spans="5:10">
      <c r="E2774" s="43">
        <v>45335.319444434834</v>
      </c>
      <c r="F2774" s="41">
        <v>10.837763861893269</v>
      </c>
      <c r="G2774" s="41">
        <v>0</v>
      </c>
      <c r="H2774" s="42"/>
      <c r="I2774" s="42"/>
      <c r="J2774" s="42"/>
    </row>
    <row r="2775" spans="5:10">
      <c r="E2775" s="43">
        <v>45335.322916657053</v>
      </c>
      <c r="F2775" s="41">
        <v>10.837763861893269</v>
      </c>
      <c r="G2775" s="41">
        <v>0</v>
      </c>
      <c r="H2775" s="42"/>
      <c r="I2775" s="42"/>
      <c r="J2775" s="42"/>
    </row>
    <row r="2776" spans="5:10">
      <c r="E2776" s="43">
        <v>45335.326388879272</v>
      </c>
      <c r="F2776" s="41">
        <v>10.837763861893269</v>
      </c>
      <c r="G2776" s="41">
        <v>0</v>
      </c>
      <c r="H2776" s="42"/>
      <c r="I2776" s="42"/>
      <c r="J2776" s="42"/>
    </row>
    <row r="2777" spans="5:10">
      <c r="E2777" s="43">
        <v>45335.329861101491</v>
      </c>
      <c r="F2777" s="41">
        <v>10.837763861893269</v>
      </c>
      <c r="G2777" s="41">
        <v>0</v>
      </c>
      <c r="H2777" s="42"/>
      <c r="I2777" s="42"/>
      <c r="J2777" s="42"/>
    </row>
    <row r="2778" spans="5:10">
      <c r="E2778" s="43">
        <v>45335.33333332371</v>
      </c>
      <c r="F2778" s="41">
        <v>10.837763861893269</v>
      </c>
      <c r="G2778" s="41">
        <v>0</v>
      </c>
      <c r="H2778" s="42"/>
      <c r="I2778" s="42"/>
      <c r="J2778" s="42"/>
    </row>
    <row r="2779" spans="5:10">
      <c r="E2779" s="43">
        <v>45335.336805545929</v>
      </c>
      <c r="F2779" s="41">
        <v>10.837763861893269</v>
      </c>
      <c r="G2779" s="41">
        <v>0</v>
      </c>
      <c r="H2779" s="42"/>
      <c r="I2779" s="42"/>
      <c r="J2779" s="42"/>
    </row>
    <row r="2780" spans="5:10">
      <c r="E2780" s="43">
        <v>45335.340277768148</v>
      </c>
      <c r="F2780" s="41">
        <v>10.837763861893269</v>
      </c>
      <c r="G2780" s="41">
        <v>0</v>
      </c>
      <c r="H2780" s="42"/>
      <c r="I2780" s="42"/>
      <c r="J2780" s="42"/>
    </row>
    <row r="2781" spans="5:10">
      <c r="E2781" s="43">
        <v>45335.343749990367</v>
      </c>
      <c r="F2781" s="41">
        <v>10.837763861893269</v>
      </c>
      <c r="G2781" s="41">
        <v>0</v>
      </c>
      <c r="H2781" s="42"/>
      <c r="I2781" s="42"/>
      <c r="J2781" s="42"/>
    </row>
    <row r="2782" spans="5:10">
      <c r="E2782" s="43">
        <v>45335.347222212586</v>
      </c>
      <c r="F2782" s="41">
        <v>10.837763861893269</v>
      </c>
      <c r="G2782" s="41">
        <v>0</v>
      </c>
      <c r="H2782" s="42"/>
      <c r="I2782" s="42"/>
      <c r="J2782" s="42"/>
    </row>
    <row r="2783" spans="5:10">
      <c r="E2783" s="43">
        <v>45335.350694434805</v>
      </c>
      <c r="F2783" s="41">
        <v>10.837763861893269</v>
      </c>
      <c r="G2783" s="41">
        <v>0</v>
      </c>
      <c r="H2783" s="42"/>
      <c r="I2783" s="42"/>
      <c r="J2783" s="42"/>
    </row>
    <row r="2784" spans="5:10">
      <c r="E2784" s="43">
        <v>45335.354166657024</v>
      </c>
      <c r="F2784" s="41">
        <v>10.837763861893269</v>
      </c>
      <c r="G2784" s="41">
        <v>0</v>
      </c>
      <c r="H2784" s="42"/>
      <c r="I2784" s="42"/>
      <c r="J2784" s="42"/>
    </row>
    <row r="2785" spans="5:10">
      <c r="E2785" s="43">
        <v>45335.357638879243</v>
      </c>
      <c r="F2785" s="41">
        <v>10.837763861893269</v>
      </c>
      <c r="G2785" s="41">
        <v>0</v>
      </c>
      <c r="H2785" s="42"/>
      <c r="I2785" s="42"/>
      <c r="J2785" s="42"/>
    </row>
    <row r="2786" spans="5:10">
      <c r="E2786" s="43">
        <v>45335.361111101462</v>
      </c>
      <c r="F2786" s="41">
        <v>10.837763861893269</v>
      </c>
      <c r="G2786" s="41">
        <v>0</v>
      </c>
      <c r="H2786" s="42"/>
      <c r="I2786" s="42"/>
      <c r="J2786" s="42"/>
    </row>
    <row r="2787" spans="5:10">
      <c r="E2787" s="43">
        <v>45335.364583323681</v>
      </c>
      <c r="F2787" s="41">
        <v>10.837763861893269</v>
      </c>
      <c r="G2787" s="41">
        <v>0</v>
      </c>
      <c r="H2787" s="42"/>
      <c r="I2787" s="42"/>
      <c r="J2787" s="42"/>
    </row>
    <row r="2788" spans="5:10">
      <c r="E2788" s="43">
        <v>45335.3680555459</v>
      </c>
      <c r="F2788" s="41">
        <v>10.837763861893269</v>
      </c>
      <c r="G2788" s="41">
        <v>0</v>
      </c>
      <c r="H2788" s="42"/>
      <c r="I2788" s="42"/>
      <c r="J2788" s="42"/>
    </row>
    <row r="2789" spans="5:10">
      <c r="E2789" s="43">
        <v>45335.371527768119</v>
      </c>
      <c r="F2789" s="41">
        <v>10.837763861893269</v>
      </c>
      <c r="G2789" s="41">
        <v>0</v>
      </c>
      <c r="H2789" s="42"/>
      <c r="I2789" s="42"/>
      <c r="J2789" s="42"/>
    </row>
    <row r="2790" spans="5:10">
      <c r="E2790" s="43">
        <v>45335.374999990338</v>
      </c>
      <c r="F2790" s="41">
        <v>10.837763861893269</v>
      </c>
      <c r="G2790" s="41">
        <v>0</v>
      </c>
      <c r="H2790" s="42"/>
      <c r="I2790" s="42"/>
      <c r="J2790" s="42"/>
    </row>
    <row r="2791" spans="5:10">
      <c r="E2791" s="43">
        <v>45335.378472212557</v>
      </c>
      <c r="F2791" s="41">
        <v>10.837763861893269</v>
      </c>
      <c r="G2791" s="41">
        <v>0</v>
      </c>
      <c r="H2791" s="42"/>
      <c r="I2791" s="42"/>
      <c r="J2791" s="42"/>
    </row>
    <row r="2792" spans="5:10">
      <c r="E2792" s="43">
        <v>45335.381944434776</v>
      </c>
      <c r="F2792" s="41">
        <v>10.837763861893269</v>
      </c>
      <c r="G2792" s="41">
        <v>0</v>
      </c>
      <c r="H2792" s="42"/>
      <c r="I2792" s="42"/>
      <c r="J2792" s="42"/>
    </row>
    <row r="2793" spans="5:10">
      <c r="E2793" s="43">
        <v>45335.385416656994</v>
      </c>
      <c r="F2793" s="41">
        <v>10.837763861893269</v>
      </c>
      <c r="G2793" s="41">
        <v>0</v>
      </c>
      <c r="H2793" s="42"/>
      <c r="I2793" s="42"/>
      <c r="J2793" s="42"/>
    </row>
    <row r="2794" spans="5:10">
      <c r="E2794" s="43">
        <v>45335.388888879213</v>
      </c>
      <c r="F2794" s="41">
        <v>10.837763861893269</v>
      </c>
      <c r="G2794" s="41">
        <v>0</v>
      </c>
      <c r="H2794" s="42"/>
      <c r="I2794" s="42"/>
      <c r="J2794" s="42"/>
    </row>
    <row r="2795" spans="5:10">
      <c r="E2795" s="43">
        <v>45335.392361101432</v>
      </c>
      <c r="F2795" s="41">
        <v>10.837763861893269</v>
      </c>
      <c r="G2795" s="41">
        <v>0</v>
      </c>
      <c r="H2795" s="42"/>
      <c r="I2795" s="42"/>
      <c r="J2795" s="42"/>
    </row>
    <row r="2796" spans="5:10">
      <c r="E2796" s="43">
        <v>45335.395833323651</v>
      </c>
      <c r="F2796" s="41">
        <v>10.837763861893269</v>
      </c>
      <c r="G2796" s="41">
        <v>0</v>
      </c>
      <c r="H2796" s="42"/>
      <c r="I2796" s="42"/>
      <c r="J2796" s="42"/>
    </row>
    <row r="2797" spans="5:10">
      <c r="E2797" s="43">
        <v>45335.39930554587</v>
      </c>
      <c r="F2797" s="41">
        <v>10.837763861893269</v>
      </c>
      <c r="G2797" s="41">
        <v>0</v>
      </c>
      <c r="H2797" s="42"/>
      <c r="I2797" s="42"/>
      <c r="J2797" s="42"/>
    </row>
    <row r="2798" spans="5:10">
      <c r="E2798" s="43">
        <v>45335.402777768089</v>
      </c>
      <c r="F2798" s="41">
        <v>10.837763861893269</v>
      </c>
      <c r="G2798" s="41">
        <v>0</v>
      </c>
      <c r="H2798" s="42"/>
      <c r="I2798" s="42"/>
      <c r="J2798" s="42"/>
    </row>
    <row r="2799" spans="5:10">
      <c r="E2799" s="43">
        <v>45335.406249990308</v>
      </c>
      <c r="F2799" s="41">
        <v>10.837763861893269</v>
      </c>
      <c r="G2799" s="41">
        <v>0</v>
      </c>
      <c r="H2799" s="42"/>
      <c r="I2799" s="42"/>
      <c r="J2799" s="42"/>
    </row>
    <row r="2800" spans="5:10">
      <c r="E2800" s="43">
        <v>45335.409722212527</v>
      </c>
      <c r="F2800" s="41">
        <v>10.837763861893269</v>
      </c>
      <c r="G2800" s="41">
        <v>0</v>
      </c>
      <c r="H2800" s="42"/>
      <c r="I2800" s="42"/>
      <c r="J2800" s="42"/>
    </row>
    <row r="2801" spans="5:10">
      <c r="E2801" s="43">
        <v>45335.413194434746</v>
      </c>
      <c r="F2801" s="41">
        <v>10.837763861893269</v>
      </c>
      <c r="G2801" s="41">
        <v>0</v>
      </c>
      <c r="H2801" s="42"/>
      <c r="I2801" s="42"/>
      <c r="J2801" s="42"/>
    </row>
    <row r="2802" spans="5:10">
      <c r="E2802" s="43">
        <v>45335.416666656965</v>
      </c>
      <c r="F2802" s="41">
        <v>10.837763861893269</v>
      </c>
      <c r="G2802" s="41">
        <v>0</v>
      </c>
      <c r="H2802" s="42"/>
      <c r="I2802" s="42"/>
      <c r="J2802" s="42"/>
    </row>
    <row r="2803" spans="5:10">
      <c r="E2803" s="43">
        <v>45335.420138879184</v>
      </c>
      <c r="F2803" s="41">
        <v>10.837763861893269</v>
      </c>
      <c r="G2803" s="41">
        <v>0</v>
      </c>
      <c r="H2803" s="42"/>
      <c r="I2803" s="42"/>
      <c r="J2803" s="42"/>
    </row>
    <row r="2804" spans="5:10">
      <c r="E2804" s="43">
        <v>45335.423611101403</v>
      </c>
      <c r="F2804" s="41">
        <v>10.837763861893269</v>
      </c>
      <c r="G2804" s="41">
        <v>0</v>
      </c>
      <c r="H2804" s="42"/>
      <c r="I2804" s="42"/>
      <c r="J2804" s="42"/>
    </row>
    <row r="2805" spans="5:10">
      <c r="E2805" s="43">
        <v>45335.427083323622</v>
      </c>
      <c r="F2805" s="41">
        <v>10.837763861893269</v>
      </c>
      <c r="G2805" s="41">
        <v>0</v>
      </c>
      <c r="H2805" s="42"/>
      <c r="I2805" s="42"/>
      <c r="J2805" s="42"/>
    </row>
    <row r="2806" spans="5:10">
      <c r="E2806" s="43">
        <v>45335.430555545841</v>
      </c>
      <c r="F2806" s="41">
        <v>10.837763861893269</v>
      </c>
      <c r="G2806" s="41">
        <v>0</v>
      </c>
      <c r="H2806" s="42"/>
      <c r="I2806" s="42"/>
      <c r="J2806" s="42"/>
    </row>
    <row r="2807" spans="5:10">
      <c r="E2807" s="43">
        <v>45335.43402776806</v>
      </c>
      <c r="F2807" s="41">
        <v>10.837763861893269</v>
      </c>
      <c r="G2807" s="41">
        <v>0</v>
      </c>
      <c r="H2807" s="42"/>
      <c r="I2807" s="42"/>
      <c r="J2807" s="42"/>
    </row>
    <row r="2808" spans="5:10">
      <c r="E2808" s="43">
        <v>45335.437499990279</v>
      </c>
      <c r="F2808" s="41">
        <v>10.837763861893269</v>
      </c>
      <c r="G2808" s="41">
        <v>0</v>
      </c>
      <c r="H2808" s="42"/>
      <c r="I2808" s="42"/>
      <c r="J2808" s="42"/>
    </row>
    <row r="2809" spans="5:10">
      <c r="E2809" s="43">
        <v>45335.440972212498</v>
      </c>
      <c r="F2809" s="41">
        <v>10.837763861893269</v>
      </c>
      <c r="G2809" s="41">
        <v>0</v>
      </c>
      <c r="H2809" s="42"/>
      <c r="I2809" s="42"/>
      <c r="J2809" s="42"/>
    </row>
    <row r="2810" spans="5:10">
      <c r="E2810" s="43">
        <v>45335.444444434717</v>
      </c>
      <c r="F2810" s="41">
        <v>10.837763861893269</v>
      </c>
      <c r="G2810" s="41">
        <v>0</v>
      </c>
      <c r="H2810" s="42"/>
      <c r="I2810" s="42"/>
      <c r="J2810" s="42"/>
    </row>
    <row r="2811" spans="5:10">
      <c r="E2811" s="43">
        <v>45335.447916656936</v>
      </c>
      <c r="F2811" s="41">
        <v>10.837763861893269</v>
      </c>
      <c r="G2811" s="41">
        <v>0</v>
      </c>
      <c r="H2811" s="42"/>
      <c r="I2811" s="42"/>
      <c r="J2811" s="42"/>
    </row>
    <row r="2812" spans="5:10">
      <c r="E2812" s="43">
        <v>45335.451388879155</v>
      </c>
      <c r="F2812" s="41">
        <v>10.837763861893269</v>
      </c>
      <c r="G2812" s="41">
        <v>0</v>
      </c>
      <c r="H2812" s="42"/>
      <c r="I2812" s="42"/>
      <c r="J2812" s="42"/>
    </row>
    <row r="2813" spans="5:10">
      <c r="E2813" s="43">
        <v>45335.454861101374</v>
      </c>
      <c r="F2813" s="41">
        <v>10.837763861893269</v>
      </c>
      <c r="G2813" s="41">
        <v>0</v>
      </c>
      <c r="H2813" s="42"/>
      <c r="I2813" s="42"/>
      <c r="J2813" s="42"/>
    </row>
    <row r="2814" spans="5:10">
      <c r="E2814" s="43">
        <v>45335.458333323593</v>
      </c>
      <c r="F2814" s="41">
        <v>10.837763861893269</v>
      </c>
      <c r="G2814" s="41">
        <v>0</v>
      </c>
      <c r="H2814" s="42"/>
      <c r="I2814" s="42"/>
      <c r="J2814" s="42"/>
    </row>
    <row r="2815" spans="5:10">
      <c r="E2815" s="43">
        <v>45335.461805545812</v>
      </c>
      <c r="F2815" s="41">
        <v>10.837763861893269</v>
      </c>
      <c r="G2815" s="41">
        <v>0</v>
      </c>
      <c r="H2815" s="42"/>
      <c r="I2815" s="42"/>
      <c r="J2815" s="42"/>
    </row>
    <row r="2816" spans="5:10">
      <c r="E2816" s="43">
        <v>45335.465277768031</v>
      </c>
      <c r="F2816" s="41">
        <v>10.837763861893269</v>
      </c>
      <c r="G2816" s="41">
        <v>0</v>
      </c>
      <c r="H2816" s="42"/>
      <c r="I2816" s="42"/>
      <c r="J2816" s="42"/>
    </row>
    <row r="2817" spans="5:10">
      <c r="E2817" s="43">
        <v>45335.46874999025</v>
      </c>
      <c r="F2817" s="41">
        <v>10.837763861893269</v>
      </c>
      <c r="G2817" s="41">
        <v>0</v>
      </c>
      <c r="H2817" s="42"/>
      <c r="I2817" s="42"/>
      <c r="J2817" s="42"/>
    </row>
    <row r="2818" spans="5:10">
      <c r="E2818" s="43">
        <v>45335.472222212469</v>
      </c>
      <c r="F2818" s="41">
        <v>10.837763861893269</v>
      </c>
      <c r="G2818" s="41">
        <v>0</v>
      </c>
      <c r="H2818" s="42"/>
      <c r="I2818" s="42"/>
      <c r="J2818" s="42"/>
    </row>
    <row r="2819" spans="5:10">
      <c r="E2819" s="43">
        <v>45335.475694434688</v>
      </c>
      <c r="F2819" s="41">
        <v>10.837763861893269</v>
      </c>
      <c r="G2819" s="41">
        <v>0</v>
      </c>
      <c r="H2819" s="42"/>
      <c r="I2819" s="42"/>
      <c r="J2819" s="42"/>
    </row>
    <row r="2820" spans="5:10">
      <c r="E2820" s="43">
        <v>45335.479166656907</v>
      </c>
      <c r="F2820" s="41">
        <v>10.837763861893269</v>
      </c>
      <c r="G2820" s="41">
        <v>0</v>
      </c>
      <c r="H2820" s="42"/>
      <c r="I2820" s="42"/>
      <c r="J2820" s="42"/>
    </row>
    <row r="2821" spans="5:10">
      <c r="E2821" s="43">
        <v>45335.482638879126</v>
      </c>
      <c r="F2821" s="41">
        <v>10.837763861893269</v>
      </c>
      <c r="G2821" s="41">
        <v>0</v>
      </c>
      <c r="H2821" s="42"/>
      <c r="I2821" s="42"/>
      <c r="J2821" s="42"/>
    </row>
    <row r="2822" spans="5:10">
      <c r="E2822" s="43">
        <v>45335.486111101345</v>
      </c>
      <c r="F2822" s="41">
        <v>10.837763861893269</v>
      </c>
      <c r="G2822" s="41">
        <v>0</v>
      </c>
      <c r="H2822" s="42"/>
      <c r="I2822" s="42"/>
      <c r="J2822" s="42"/>
    </row>
    <row r="2823" spans="5:10">
      <c r="E2823" s="43">
        <v>45335.489583323564</v>
      </c>
      <c r="F2823" s="41">
        <v>10.837763861893269</v>
      </c>
      <c r="G2823" s="41">
        <v>0</v>
      </c>
      <c r="H2823" s="42"/>
      <c r="I2823" s="42"/>
      <c r="J2823" s="42"/>
    </row>
    <row r="2824" spans="5:10">
      <c r="E2824" s="43">
        <v>45335.493055545783</v>
      </c>
      <c r="F2824" s="41">
        <v>10.837763861893269</v>
      </c>
      <c r="G2824" s="41">
        <v>0</v>
      </c>
      <c r="H2824" s="42"/>
      <c r="I2824" s="42"/>
      <c r="J2824" s="42"/>
    </row>
    <row r="2825" spans="5:10">
      <c r="E2825" s="43">
        <v>45335.496527768002</v>
      </c>
      <c r="F2825" s="41">
        <v>10.837763861893269</v>
      </c>
      <c r="G2825" s="41">
        <v>0</v>
      </c>
      <c r="H2825" s="42"/>
      <c r="I2825" s="42"/>
      <c r="J2825" s="42"/>
    </row>
    <row r="2826" spans="5:10">
      <c r="E2826" s="43">
        <v>45335.499999990221</v>
      </c>
      <c r="F2826" s="41">
        <v>10.837763861893269</v>
      </c>
      <c r="G2826" s="41">
        <v>0</v>
      </c>
      <c r="H2826" s="42"/>
      <c r="I2826" s="42"/>
      <c r="J2826" s="42"/>
    </row>
    <row r="2827" spans="5:10">
      <c r="E2827" s="43">
        <v>45335.50347221244</v>
      </c>
      <c r="F2827" s="41">
        <v>10.837763861893269</v>
      </c>
      <c r="G2827" s="41">
        <v>0</v>
      </c>
      <c r="H2827" s="42"/>
      <c r="I2827" s="42"/>
      <c r="J2827" s="42"/>
    </row>
    <row r="2828" spans="5:10">
      <c r="E2828" s="43">
        <v>45335.506944434659</v>
      </c>
      <c r="F2828" s="41">
        <v>10.837763861893269</v>
      </c>
      <c r="G2828" s="41">
        <v>0</v>
      </c>
      <c r="H2828" s="42"/>
      <c r="I2828" s="42"/>
      <c r="J2828" s="42"/>
    </row>
    <row r="2829" spans="5:10">
      <c r="E2829" s="43">
        <v>45335.510416656878</v>
      </c>
      <c r="F2829" s="41">
        <v>10.837763861893269</v>
      </c>
      <c r="G2829" s="41">
        <v>0</v>
      </c>
      <c r="H2829" s="42"/>
      <c r="I2829" s="42"/>
      <c r="J2829" s="42"/>
    </row>
    <row r="2830" spans="5:10">
      <c r="E2830" s="43">
        <v>45335.513888879097</v>
      </c>
      <c r="F2830" s="41">
        <v>10.837763861893269</v>
      </c>
      <c r="G2830" s="41">
        <v>0</v>
      </c>
      <c r="H2830" s="42"/>
      <c r="I2830" s="42"/>
      <c r="J2830" s="42"/>
    </row>
    <row r="2831" spans="5:10">
      <c r="E2831" s="43">
        <v>45335.517361101316</v>
      </c>
      <c r="F2831" s="41">
        <v>10.837763861893269</v>
      </c>
      <c r="G2831" s="41">
        <v>0</v>
      </c>
      <c r="H2831" s="42"/>
      <c r="I2831" s="42"/>
      <c r="J2831" s="42"/>
    </row>
    <row r="2832" spans="5:10">
      <c r="E2832" s="43">
        <v>45335.520833323535</v>
      </c>
      <c r="F2832" s="41">
        <v>10.837763861893269</v>
      </c>
      <c r="G2832" s="41">
        <v>0</v>
      </c>
      <c r="H2832" s="42"/>
      <c r="I2832" s="42"/>
      <c r="J2832" s="42"/>
    </row>
    <row r="2833" spans="5:10">
      <c r="E2833" s="43">
        <v>45335.524305545754</v>
      </c>
      <c r="F2833" s="41">
        <v>10.837763861893269</v>
      </c>
      <c r="G2833" s="41">
        <v>0</v>
      </c>
      <c r="H2833" s="42"/>
      <c r="I2833" s="42"/>
      <c r="J2833" s="42"/>
    </row>
    <row r="2834" spans="5:10">
      <c r="E2834" s="43">
        <v>45335.527777767973</v>
      </c>
      <c r="F2834" s="41">
        <v>10.837763861893269</v>
      </c>
      <c r="G2834" s="41">
        <v>0</v>
      </c>
      <c r="H2834" s="42"/>
      <c r="I2834" s="42"/>
      <c r="J2834" s="42"/>
    </row>
    <row r="2835" spans="5:10">
      <c r="E2835" s="43">
        <v>45335.531249990192</v>
      </c>
      <c r="F2835" s="41">
        <v>10.837763861893269</v>
      </c>
      <c r="G2835" s="41">
        <v>0</v>
      </c>
      <c r="H2835" s="42"/>
      <c r="I2835" s="42"/>
      <c r="J2835" s="42"/>
    </row>
    <row r="2836" spans="5:10">
      <c r="E2836" s="43">
        <v>45335.534722212411</v>
      </c>
      <c r="F2836" s="41">
        <v>10.837763861893269</v>
      </c>
      <c r="G2836" s="41">
        <v>0</v>
      </c>
      <c r="H2836" s="42"/>
      <c r="I2836" s="42"/>
      <c r="J2836" s="42"/>
    </row>
    <row r="2837" spans="5:10">
      <c r="E2837" s="43">
        <v>45335.53819443463</v>
      </c>
      <c r="F2837" s="41">
        <v>10.837763861893269</v>
      </c>
      <c r="G2837" s="41">
        <v>0</v>
      </c>
      <c r="H2837" s="42"/>
      <c r="I2837" s="42"/>
      <c r="J2837" s="42"/>
    </row>
    <row r="2838" spans="5:10">
      <c r="E2838" s="43">
        <v>45335.541666656849</v>
      </c>
      <c r="F2838" s="41">
        <v>10.837763861893269</v>
      </c>
      <c r="G2838" s="41">
        <v>0</v>
      </c>
      <c r="H2838" s="42"/>
      <c r="I2838" s="42"/>
      <c r="J2838" s="42"/>
    </row>
    <row r="2839" spans="5:10">
      <c r="E2839" s="43">
        <v>45335.545138879068</v>
      </c>
      <c r="F2839" s="41">
        <v>10.837763861893269</v>
      </c>
      <c r="G2839" s="41">
        <v>0</v>
      </c>
      <c r="H2839" s="42"/>
      <c r="I2839" s="42"/>
      <c r="J2839" s="42"/>
    </row>
    <row r="2840" spans="5:10">
      <c r="E2840" s="43">
        <v>45335.548611101287</v>
      </c>
      <c r="F2840" s="41">
        <v>10.837763861893269</v>
      </c>
      <c r="G2840" s="41">
        <v>0</v>
      </c>
      <c r="H2840" s="42"/>
      <c r="I2840" s="42"/>
      <c r="J2840" s="42"/>
    </row>
    <row r="2841" spans="5:10">
      <c r="E2841" s="43">
        <v>45335.552083323506</v>
      </c>
      <c r="F2841" s="41">
        <v>10.837763861893269</v>
      </c>
      <c r="G2841" s="41">
        <v>0</v>
      </c>
      <c r="H2841" s="42"/>
      <c r="I2841" s="42"/>
      <c r="J2841" s="42"/>
    </row>
    <row r="2842" spans="5:10">
      <c r="E2842" s="43">
        <v>45335.555555545725</v>
      </c>
      <c r="F2842" s="41">
        <v>10.837763861893269</v>
      </c>
      <c r="G2842" s="41">
        <v>0</v>
      </c>
      <c r="H2842" s="42"/>
      <c r="I2842" s="42"/>
      <c r="J2842" s="42"/>
    </row>
    <row r="2843" spans="5:10">
      <c r="E2843" s="43">
        <v>45335.559027767944</v>
      </c>
      <c r="F2843" s="41">
        <v>10.837763861893269</v>
      </c>
      <c r="G2843" s="41">
        <v>0</v>
      </c>
      <c r="H2843" s="42"/>
      <c r="I2843" s="42"/>
      <c r="J2843" s="42"/>
    </row>
    <row r="2844" spans="5:10">
      <c r="E2844" s="43">
        <v>45335.562499990163</v>
      </c>
      <c r="F2844" s="41">
        <v>10.837763861893269</v>
      </c>
      <c r="G2844" s="41">
        <v>0</v>
      </c>
      <c r="H2844" s="42"/>
      <c r="I2844" s="42"/>
      <c r="J2844" s="42"/>
    </row>
    <row r="2845" spans="5:10">
      <c r="E2845" s="43">
        <v>45335.565972212382</v>
      </c>
      <c r="F2845" s="41">
        <v>10.837763861893269</v>
      </c>
      <c r="G2845" s="41">
        <v>0</v>
      </c>
      <c r="H2845" s="42"/>
      <c r="I2845" s="42"/>
      <c r="J2845" s="42"/>
    </row>
    <row r="2846" spans="5:10">
      <c r="E2846" s="43">
        <v>45335.569444434601</v>
      </c>
      <c r="F2846" s="41">
        <v>10.837763861893269</v>
      </c>
      <c r="G2846" s="41">
        <v>0</v>
      </c>
      <c r="H2846" s="42"/>
      <c r="I2846" s="42"/>
      <c r="J2846" s="42"/>
    </row>
    <row r="2847" spans="5:10">
      <c r="E2847" s="43">
        <v>45335.57291665682</v>
      </c>
      <c r="F2847" s="41">
        <v>10.837763861893269</v>
      </c>
      <c r="G2847" s="41">
        <v>0</v>
      </c>
      <c r="H2847" s="42"/>
      <c r="I2847" s="42"/>
      <c r="J2847" s="42"/>
    </row>
    <row r="2848" spans="5:10">
      <c r="E2848" s="43">
        <v>45335.576388879039</v>
      </c>
      <c r="F2848" s="41">
        <v>10.837763861893269</v>
      </c>
      <c r="G2848" s="41">
        <v>0</v>
      </c>
      <c r="H2848" s="42"/>
      <c r="I2848" s="42"/>
      <c r="J2848" s="42"/>
    </row>
    <row r="2849" spans="5:10">
      <c r="E2849" s="43">
        <v>45335.579861101258</v>
      </c>
      <c r="F2849" s="41">
        <v>10.837763861893269</v>
      </c>
      <c r="G2849" s="41">
        <v>0</v>
      </c>
      <c r="H2849" s="42"/>
      <c r="I2849" s="42"/>
      <c r="J2849" s="42"/>
    </row>
    <row r="2850" spans="5:10">
      <c r="E2850" s="43">
        <v>45335.583333323477</v>
      </c>
      <c r="F2850" s="41">
        <v>10.837763861893269</v>
      </c>
      <c r="G2850" s="41">
        <v>0</v>
      </c>
      <c r="H2850" s="42"/>
      <c r="I2850" s="42"/>
      <c r="J2850" s="42"/>
    </row>
    <row r="2851" spans="5:10">
      <c r="E2851" s="43">
        <v>45335.586805545696</v>
      </c>
      <c r="F2851" s="41">
        <v>10.837763861893269</v>
      </c>
      <c r="G2851" s="41">
        <v>0</v>
      </c>
      <c r="H2851" s="42"/>
      <c r="I2851" s="42"/>
      <c r="J2851" s="42"/>
    </row>
    <row r="2852" spans="5:10">
      <c r="E2852" s="43">
        <v>45335.590277767915</v>
      </c>
      <c r="F2852" s="41">
        <v>10.837763861893269</v>
      </c>
      <c r="G2852" s="41">
        <v>0</v>
      </c>
      <c r="H2852" s="42"/>
      <c r="I2852" s="42"/>
      <c r="J2852" s="42"/>
    </row>
    <row r="2853" spans="5:10">
      <c r="E2853" s="43">
        <v>45335.593749990134</v>
      </c>
      <c r="F2853" s="41">
        <v>10.837763861893269</v>
      </c>
      <c r="G2853" s="41">
        <v>0</v>
      </c>
      <c r="H2853" s="42"/>
      <c r="I2853" s="42"/>
      <c r="J2853" s="42"/>
    </row>
    <row r="2854" spans="5:10">
      <c r="E2854" s="43">
        <v>45335.597222212353</v>
      </c>
      <c r="F2854" s="41">
        <v>10.837763861893269</v>
      </c>
      <c r="G2854" s="41">
        <v>0</v>
      </c>
      <c r="H2854" s="42"/>
      <c r="I2854" s="42"/>
      <c r="J2854" s="42"/>
    </row>
    <row r="2855" spans="5:10">
      <c r="E2855" s="43">
        <v>45335.600694434572</v>
      </c>
      <c r="F2855" s="41">
        <v>10.837763861893269</v>
      </c>
      <c r="G2855" s="41">
        <v>0</v>
      </c>
      <c r="H2855" s="42"/>
      <c r="I2855" s="42"/>
      <c r="J2855" s="42"/>
    </row>
    <row r="2856" spans="5:10">
      <c r="E2856" s="43">
        <v>45335.604166656791</v>
      </c>
      <c r="F2856" s="41">
        <v>10.837763861893269</v>
      </c>
      <c r="G2856" s="41">
        <v>0</v>
      </c>
      <c r="H2856" s="42"/>
      <c r="I2856" s="42"/>
      <c r="J2856" s="42"/>
    </row>
    <row r="2857" spans="5:10">
      <c r="E2857" s="43">
        <v>45335.60763887901</v>
      </c>
      <c r="F2857" s="41">
        <v>10.837763861893269</v>
      </c>
      <c r="G2857" s="41">
        <v>0</v>
      </c>
      <c r="H2857" s="42"/>
      <c r="I2857" s="42"/>
      <c r="J2857" s="42"/>
    </row>
    <row r="2858" spans="5:10">
      <c r="E2858" s="43">
        <v>45335.611111101229</v>
      </c>
      <c r="F2858" s="41">
        <v>10.837763861893269</v>
      </c>
      <c r="G2858" s="41">
        <v>0</v>
      </c>
      <c r="H2858" s="42"/>
      <c r="I2858" s="42"/>
      <c r="J2858" s="42"/>
    </row>
    <row r="2859" spans="5:10">
      <c r="E2859" s="43">
        <v>45335.614583323448</v>
      </c>
      <c r="F2859" s="41">
        <v>19.205614088247934</v>
      </c>
      <c r="G2859" s="41">
        <v>0</v>
      </c>
      <c r="H2859" s="42"/>
      <c r="I2859" s="42"/>
      <c r="J2859" s="42"/>
    </row>
    <row r="2860" spans="5:10">
      <c r="E2860" s="43">
        <v>45335.618055545667</v>
      </c>
      <c r="F2860" s="41">
        <v>19.205614088247934</v>
      </c>
      <c r="G2860" s="41">
        <v>0</v>
      </c>
      <c r="H2860" s="42"/>
      <c r="I2860" s="42"/>
      <c r="J2860" s="42"/>
    </row>
    <row r="2861" spans="5:10">
      <c r="E2861" s="43">
        <v>45335.621527767886</v>
      </c>
      <c r="F2861" s="41">
        <v>19.205614088247934</v>
      </c>
      <c r="G2861" s="41">
        <v>0</v>
      </c>
      <c r="H2861" s="42"/>
      <c r="I2861" s="42"/>
      <c r="J2861" s="42"/>
    </row>
    <row r="2862" spans="5:10">
      <c r="E2862" s="43">
        <v>45335.624999990105</v>
      </c>
      <c r="F2862" s="41">
        <v>19.205614088247934</v>
      </c>
      <c r="G2862" s="41">
        <v>0</v>
      </c>
      <c r="H2862" s="42"/>
      <c r="I2862" s="42"/>
      <c r="J2862" s="42"/>
    </row>
    <row r="2863" spans="5:10">
      <c r="E2863" s="43">
        <v>45335.628472212324</v>
      </c>
      <c r="F2863" s="41">
        <v>19.205614088247934</v>
      </c>
      <c r="G2863" s="41">
        <v>0</v>
      </c>
      <c r="H2863" s="42"/>
      <c r="I2863" s="42"/>
      <c r="J2863" s="42"/>
    </row>
    <row r="2864" spans="5:10">
      <c r="E2864" s="43">
        <v>45335.631944434543</v>
      </c>
      <c r="F2864" s="41">
        <v>19.205614088247934</v>
      </c>
      <c r="G2864" s="41">
        <v>0</v>
      </c>
      <c r="H2864" s="42"/>
      <c r="I2864" s="42"/>
      <c r="J2864" s="42"/>
    </row>
    <row r="2865" spans="5:10">
      <c r="E2865" s="43">
        <v>45335.635416656762</v>
      </c>
      <c r="F2865" s="41">
        <v>19.205614088247934</v>
      </c>
      <c r="G2865" s="41">
        <v>0</v>
      </c>
      <c r="H2865" s="42"/>
      <c r="I2865" s="42"/>
      <c r="J2865" s="42"/>
    </row>
    <row r="2866" spans="5:10">
      <c r="E2866" s="43">
        <v>45335.638888878981</v>
      </c>
      <c r="F2866" s="41">
        <v>19.205614088247934</v>
      </c>
      <c r="G2866" s="41">
        <v>0</v>
      </c>
      <c r="H2866" s="42"/>
      <c r="I2866" s="42"/>
      <c r="J2866" s="42"/>
    </row>
    <row r="2867" spans="5:10">
      <c r="E2867" s="43">
        <v>45335.6423611012</v>
      </c>
      <c r="F2867" s="41">
        <v>19.205614088247934</v>
      </c>
      <c r="G2867" s="41">
        <v>0</v>
      </c>
      <c r="H2867" s="42"/>
      <c r="I2867" s="42"/>
      <c r="J2867" s="42"/>
    </row>
    <row r="2868" spans="5:10">
      <c r="E2868" s="43">
        <v>45335.645833323419</v>
      </c>
      <c r="F2868" s="41">
        <v>19.205614088247934</v>
      </c>
      <c r="G2868" s="41">
        <v>0</v>
      </c>
      <c r="H2868" s="42"/>
      <c r="I2868" s="42"/>
      <c r="J2868" s="42"/>
    </row>
    <row r="2869" spans="5:10">
      <c r="E2869" s="43">
        <v>45335.649305545638</v>
      </c>
      <c r="F2869" s="41">
        <v>19.205614088247934</v>
      </c>
      <c r="G2869" s="41">
        <v>0</v>
      </c>
      <c r="H2869" s="42"/>
      <c r="I2869" s="42"/>
      <c r="J2869" s="42"/>
    </row>
    <row r="2870" spans="5:10">
      <c r="E2870" s="43">
        <v>45335.652777767857</v>
      </c>
      <c r="F2870" s="41">
        <v>19.205614088247934</v>
      </c>
      <c r="G2870" s="41">
        <v>0</v>
      </c>
      <c r="H2870" s="42"/>
      <c r="I2870" s="42"/>
      <c r="J2870" s="42"/>
    </row>
    <row r="2871" spans="5:10">
      <c r="E2871" s="43">
        <v>45335.656249990076</v>
      </c>
      <c r="F2871" s="41">
        <v>19.205614088247934</v>
      </c>
      <c r="G2871" s="41">
        <v>0</v>
      </c>
      <c r="H2871" s="42"/>
      <c r="I2871" s="42"/>
      <c r="J2871" s="42"/>
    </row>
    <row r="2872" spans="5:10">
      <c r="E2872" s="43">
        <v>45335.659722212295</v>
      </c>
      <c r="F2872" s="41">
        <v>19.205614088247934</v>
      </c>
      <c r="G2872" s="41">
        <v>0</v>
      </c>
      <c r="H2872" s="42"/>
      <c r="I2872" s="42"/>
      <c r="J2872" s="42"/>
    </row>
    <row r="2873" spans="5:10">
      <c r="E2873" s="43">
        <v>45335.663194434514</v>
      </c>
      <c r="F2873" s="41">
        <v>19.205614088247934</v>
      </c>
      <c r="G2873" s="41">
        <v>0</v>
      </c>
      <c r="H2873" s="42"/>
      <c r="I2873" s="42"/>
      <c r="J2873" s="42"/>
    </row>
    <row r="2874" spans="5:10">
      <c r="E2874" s="43">
        <v>45335.666666656733</v>
      </c>
      <c r="F2874" s="41">
        <v>19.205614088247934</v>
      </c>
      <c r="G2874" s="41">
        <v>0</v>
      </c>
      <c r="H2874" s="42"/>
      <c r="I2874" s="42"/>
      <c r="J2874" s="42"/>
    </row>
    <row r="2875" spans="5:10">
      <c r="E2875" s="43">
        <v>45335.670138878952</v>
      </c>
      <c r="F2875" s="41">
        <v>19.205614088247934</v>
      </c>
      <c r="G2875" s="41">
        <v>0</v>
      </c>
      <c r="H2875" s="42"/>
      <c r="I2875" s="42"/>
      <c r="J2875" s="42"/>
    </row>
    <row r="2876" spans="5:10">
      <c r="E2876" s="43">
        <v>45335.673611101171</v>
      </c>
      <c r="F2876" s="41">
        <v>19.205614088247934</v>
      </c>
      <c r="G2876" s="41">
        <v>0</v>
      </c>
      <c r="H2876" s="42"/>
      <c r="I2876" s="42"/>
      <c r="J2876" s="42"/>
    </row>
    <row r="2877" spans="5:10">
      <c r="E2877" s="43">
        <v>45335.67708332339</v>
      </c>
      <c r="F2877" s="41">
        <v>19.205614088247934</v>
      </c>
      <c r="G2877" s="41">
        <v>0</v>
      </c>
      <c r="H2877" s="42"/>
      <c r="I2877" s="42"/>
      <c r="J2877" s="42"/>
    </row>
    <row r="2878" spans="5:10">
      <c r="E2878" s="43">
        <v>45335.680555545609</v>
      </c>
      <c r="F2878" s="41">
        <v>19.205614088247934</v>
      </c>
      <c r="G2878" s="41">
        <v>0</v>
      </c>
      <c r="H2878" s="42"/>
      <c r="I2878" s="42"/>
      <c r="J2878" s="42"/>
    </row>
    <row r="2879" spans="5:10">
      <c r="E2879" s="43">
        <v>45335.684027767828</v>
      </c>
      <c r="F2879" s="41">
        <v>19.205614088247934</v>
      </c>
      <c r="G2879" s="41">
        <v>0</v>
      </c>
      <c r="H2879" s="42"/>
      <c r="I2879" s="42"/>
      <c r="J2879" s="42"/>
    </row>
    <row r="2880" spans="5:10">
      <c r="E2880" s="43">
        <v>45335.687499990046</v>
      </c>
      <c r="F2880" s="41">
        <v>19.205614088247934</v>
      </c>
      <c r="G2880" s="41">
        <v>0</v>
      </c>
      <c r="H2880" s="42"/>
      <c r="I2880" s="42"/>
      <c r="J2880" s="42"/>
    </row>
    <row r="2881" spans="5:10">
      <c r="E2881" s="43">
        <v>45335.690972212265</v>
      </c>
      <c r="F2881" s="41">
        <v>19.205614088247934</v>
      </c>
      <c r="G2881" s="41">
        <v>0</v>
      </c>
      <c r="H2881" s="42"/>
      <c r="I2881" s="42"/>
      <c r="J2881" s="42"/>
    </row>
    <row r="2882" spans="5:10">
      <c r="E2882" s="43">
        <v>45335.694444434484</v>
      </c>
      <c r="F2882" s="41">
        <v>19.205614088247934</v>
      </c>
      <c r="G2882" s="41">
        <v>0</v>
      </c>
      <c r="H2882" s="42"/>
      <c r="I2882" s="42"/>
      <c r="J2882" s="42"/>
    </row>
    <row r="2883" spans="5:10">
      <c r="E2883" s="43">
        <v>45335.697916656703</v>
      </c>
      <c r="F2883" s="41">
        <v>19.205614088247934</v>
      </c>
      <c r="G2883" s="41">
        <v>0</v>
      </c>
      <c r="H2883" s="42"/>
      <c r="I2883" s="42"/>
      <c r="J2883" s="42"/>
    </row>
    <row r="2884" spans="5:10">
      <c r="E2884" s="43">
        <v>45335.701388878922</v>
      </c>
      <c r="F2884" s="41">
        <v>19.205614088247934</v>
      </c>
      <c r="G2884" s="41">
        <v>0</v>
      </c>
      <c r="H2884" s="42"/>
      <c r="I2884" s="42"/>
      <c r="J2884" s="42"/>
    </row>
    <row r="2885" spans="5:10">
      <c r="E2885" s="43">
        <v>45335.704861101141</v>
      </c>
      <c r="F2885" s="41">
        <v>19.205614088247934</v>
      </c>
      <c r="G2885" s="41">
        <v>0</v>
      </c>
      <c r="H2885" s="42"/>
      <c r="I2885" s="42"/>
      <c r="J2885" s="42"/>
    </row>
    <row r="2886" spans="5:10">
      <c r="E2886" s="43">
        <v>45335.70833332336</v>
      </c>
      <c r="F2886" s="41">
        <v>19.205614088247934</v>
      </c>
      <c r="G2886" s="41">
        <v>0</v>
      </c>
      <c r="H2886" s="42"/>
      <c r="I2886" s="42"/>
      <c r="J2886" s="42"/>
    </row>
    <row r="2887" spans="5:10">
      <c r="E2887" s="43">
        <v>45335.711805545579</v>
      </c>
      <c r="F2887" s="41">
        <v>19.205614088247934</v>
      </c>
      <c r="G2887" s="41">
        <v>0</v>
      </c>
      <c r="H2887" s="42"/>
      <c r="I2887" s="42"/>
      <c r="J2887" s="42"/>
    </row>
    <row r="2888" spans="5:10">
      <c r="E2888" s="43">
        <v>45335.715277767798</v>
      </c>
      <c r="F2888" s="41">
        <v>19.205614088247934</v>
      </c>
      <c r="G2888" s="41">
        <v>0</v>
      </c>
      <c r="H2888" s="42"/>
      <c r="I2888" s="42"/>
      <c r="J2888" s="42"/>
    </row>
    <row r="2889" spans="5:10">
      <c r="E2889" s="43">
        <v>45335.718749990017</v>
      </c>
      <c r="F2889" s="41">
        <v>19.205614088247934</v>
      </c>
      <c r="G2889" s="41">
        <v>0</v>
      </c>
      <c r="H2889" s="42"/>
      <c r="I2889" s="42"/>
      <c r="J2889" s="42"/>
    </row>
    <row r="2890" spans="5:10">
      <c r="E2890" s="43">
        <v>45335.722222212236</v>
      </c>
      <c r="F2890" s="41">
        <v>19.205614088247934</v>
      </c>
      <c r="G2890" s="41">
        <v>0</v>
      </c>
      <c r="H2890" s="42"/>
      <c r="I2890" s="42"/>
      <c r="J2890" s="42"/>
    </row>
    <row r="2891" spans="5:10">
      <c r="E2891" s="43">
        <v>45335.725694434455</v>
      </c>
      <c r="F2891" s="41">
        <v>19.205614088247934</v>
      </c>
      <c r="G2891" s="41">
        <v>0</v>
      </c>
      <c r="H2891" s="42"/>
      <c r="I2891" s="42"/>
      <c r="J2891" s="42"/>
    </row>
    <row r="2892" spans="5:10">
      <c r="E2892" s="43">
        <v>45335.729166656674</v>
      </c>
      <c r="F2892" s="41">
        <v>19.205614088247934</v>
      </c>
      <c r="G2892" s="41">
        <v>2.6510841672220988</v>
      </c>
      <c r="H2892" s="42"/>
      <c r="I2892" s="42"/>
      <c r="J2892" s="42"/>
    </row>
    <row r="2893" spans="5:10">
      <c r="E2893" s="43">
        <v>45335.732638878893</v>
      </c>
      <c r="F2893" s="41">
        <v>14.407828807096392</v>
      </c>
      <c r="G2893" s="41">
        <v>2.6510841672220988</v>
      </c>
      <c r="H2893" s="42"/>
      <c r="I2893" s="42"/>
      <c r="J2893" s="42"/>
    </row>
    <row r="2894" spans="5:10">
      <c r="E2894" s="43">
        <v>45335.736111101112</v>
      </c>
      <c r="F2894" s="41">
        <v>14.407828807096392</v>
      </c>
      <c r="G2894" s="41">
        <v>2.6510841672220988</v>
      </c>
      <c r="H2894" s="42"/>
      <c r="I2894" s="42"/>
      <c r="J2894" s="42"/>
    </row>
    <row r="2895" spans="5:10">
      <c r="E2895" s="43">
        <v>45335.739583323331</v>
      </c>
      <c r="F2895" s="41">
        <v>14.407828807096392</v>
      </c>
      <c r="G2895" s="41">
        <v>2.6510841672220988</v>
      </c>
      <c r="H2895" s="42"/>
      <c r="I2895" s="42"/>
      <c r="J2895" s="42"/>
    </row>
    <row r="2896" spans="5:10">
      <c r="E2896" s="43">
        <v>45335.74305554555</v>
      </c>
      <c r="F2896" s="41">
        <v>14.407828807096392</v>
      </c>
      <c r="G2896" s="41">
        <v>2.6510841672220988</v>
      </c>
      <c r="H2896" s="42"/>
      <c r="I2896" s="42"/>
      <c r="J2896" s="42"/>
    </row>
    <row r="2897" spans="5:10">
      <c r="E2897" s="43">
        <v>45335.746527767769</v>
      </c>
      <c r="F2897" s="41">
        <v>14.407828807096392</v>
      </c>
      <c r="G2897" s="41">
        <v>2.6510841672220988</v>
      </c>
      <c r="H2897" s="42"/>
      <c r="I2897" s="42"/>
      <c r="J2897" s="42"/>
    </row>
    <row r="2898" spans="5:10">
      <c r="E2898" s="43">
        <v>45335.749999989988</v>
      </c>
      <c r="F2898" s="41">
        <v>14.407828807096392</v>
      </c>
      <c r="G2898" s="41">
        <v>5.9134966553023993</v>
      </c>
      <c r="H2898" s="42"/>
      <c r="I2898" s="42"/>
      <c r="J2898" s="42"/>
    </row>
    <row r="2899" spans="5:10">
      <c r="E2899" s="43">
        <v>45335.753472212207</v>
      </c>
      <c r="F2899" s="41">
        <v>14.407828807096392</v>
      </c>
      <c r="G2899" s="41">
        <v>5.9134966553023993</v>
      </c>
      <c r="H2899" s="42"/>
      <c r="I2899" s="42"/>
      <c r="J2899" s="42"/>
    </row>
    <row r="2900" spans="5:10">
      <c r="E2900" s="43">
        <v>45335.756944434426</v>
      </c>
      <c r="F2900" s="41">
        <v>14.407828807096392</v>
      </c>
      <c r="G2900" s="41">
        <v>5.9134966553023993</v>
      </c>
      <c r="H2900" s="42"/>
      <c r="I2900" s="42"/>
      <c r="J2900" s="42"/>
    </row>
    <row r="2901" spans="5:10">
      <c r="E2901" s="43">
        <v>45335.760416656645</v>
      </c>
      <c r="F2901" s="41">
        <v>14.407828807096392</v>
      </c>
      <c r="G2901" s="41">
        <v>5.9134966553023993</v>
      </c>
      <c r="H2901" s="42"/>
      <c r="I2901" s="42"/>
      <c r="J2901" s="42"/>
    </row>
    <row r="2902" spans="5:10">
      <c r="E2902" s="43">
        <v>45335.763888878864</v>
      </c>
      <c r="F2902" s="41">
        <v>14.407828807096392</v>
      </c>
      <c r="G2902" s="41">
        <v>5.9134966553023993</v>
      </c>
      <c r="H2902" s="42"/>
      <c r="I2902" s="42"/>
      <c r="J2902" s="42"/>
    </row>
    <row r="2903" spans="5:10">
      <c r="E2903" s="43">
        <v>45335.767361101083</v>
      </c>
      <c r="F2903" s="41">
        <v>14.407828807096392</v>
      </c>
      <c r="G2903" s="41">
        <v>5.9134966553023993</v>
      </c>
      <c r="H2903" s="42"/>
      <c r="I2903" s="42"/>
      <c r="J2903" s="42"/>
    </row>
    <row r="2904" spans="5:10">
      <c r="E2904" s="43">
        <v>45335.770833323302</v>
      </c>
      <c r="F2904" s="41">
        <v>14.407828807096392</v>
      </c>
      <c r="G2904" s="41">
        <v>5.9134966553023993</v>
      </c>
      <c r="H2904" s="42"/>
      <c r="I2904" s="42"/>
      <c r="J2904" s="42"/>
    </row>
    <row r="2905" spans="5:10">
      <c r="E2905" s="43">
        <v>45335.774305545521</v>
      </c>
      <c r="F2905" s="41">
        <v>14.407828807096392</v>
      </c>
      <c r="G2905" s="41">
        <v>5.9134966553023993</v>
      </c>
      <c r="H2905" s="42"/>
      <c r="I2905" s="42"/>
      <c r="J2905" s="42"/>
    </row>
    <row r="2906" spans="5:10">
      <c r="E2906" s="43">
        <v>45335.77777776774</v>
      </c>
      <c r="F2906" s="41">
        <v>14.407828807096392</v>
      </c>
      <c r="G2906" s="41">
        <v>5.9134966553023993</v>
      </c>
      <c r="H2906" s="42"/>
      <c r="I2906" s="42"/>
      <c r="J2906" s="42"/>
    </row>
    <row r="2907" spans="5:10">
      <c r="E2907" s="43">
        <v>45335.781249989959</v>
      </c>
      <c r="F2907" s="41">
        <v>14.407828807096392</v>
      </c>
      <c r="G2907" s="41">
        <v>5.9134966553023993</v>
      </c>
      <c r="H2907" s="42"/>
      <c r="I2907" s="42"/>
      <c r="J2907" s="42"/>
    </row>
    <row r="2908" spans="5:10">
      <c r="E2908" s="43">
        <v>45335.784722212178</v>
      </c>
      <c r="F2908" s="41">
        <v>14.407828807096392</v>
      </c>
      <c r="G2908" s="41">
        <v>5.9134966553023993</v>
      </c>
      <c r="H2908" s="42"/>
      <c r="I2908" s="42"/>
      <c r="J2908" s="42"/>
    </row>
    <row r="2909" spans="5:10">
      <c r="E2909" s="43">
        <v>45335.788194434397</v>
      </c>
      <c r="F2909" s="41">
        <v>14.407828807096392</v>
      </c>
      <c r="G2909" s="41">
        <v>5.9134966553023993</v>
      </c>
      <c r="H2909" s="42"/>
      <c r="I2909" s="42"/>
      <c r="J2909" s="42"/>
    </row>
    <row r="2910" spans="5:10">
      <c r="E2910" s="43">
        <v>45335.791666656616</v>
      </c>
      <c r="F2910" s="41">
        <v>14.407828807096392</v>
      </c>
      <c r="G2910" s="41">
        <v>5.9134966553023993</v>
      </c>
      <c r="H2910" s="42"/>
      <c r="I2910" s="42"/>
      <c r="J2910" s="42"/>
    </row>
    <row r="2911" spans="5:10">
      <c r="E2911" s="43">
        <v>45335.795138878835</v>
      </c>
      <c r="F2911" s="41">
        <v>14.407828807096392</v>
      </c>
      <c r="G2911" s="41">
        <v>5.9134966553023993</v>
      </c>
      <c r="H2911" s="42"/>
      <c r="I2911" s="42"/>
      <c r="J2911" s="42"/>
    </row>
    <row r="2912" spans="5:10">
      <c r="E2912" s="43">
        <v>45335.798611101054</v>
      </c>
      <c r="F2912" s="41">
        <v>14.407828807096392</v>
      </c>
      <c r="G2912" s="41">
        <v>5.9134966553023993</v>
      </c>
      <c r="H2912" s="42"/>
      <c r="I2912" s="42"/>
      <c r="J2912" s="42"/>
    </row>
    <row r="2913" spans="5:10">
      <c r="E2913" s="43">
        <v>45335.802083323273</v>
      </c>
      <c r="F2913" s="41">
        <v>14.407828807096392</v>
      </c>
      <c r="G2913" s="41">
        <v>5.9134966553023993</v>
      </c>
      <c r="H2913" s="42"/>
      <c r="I2913" s="42"/>
      <c r="J2913" s="42"/>
    </row>
    <row r="2914" spans="5:10">
      <c r="E2914" s="43">
        <v>45335.805555545492</v>
      </c>
      <c r="F2914" s="41">
        <v>14.407828807096392</v>
      </c>
      <c r="G2914" s="41">
        <v>5.9134966553023993</v>
      </c>
      <c r="H2914" s="42"/>
      <c r="I2914" s="42"/>
      <c r="J2914" s="42"/>
    </row>
    <row r="2915" spans="5:10">
      <c r="E2915" s="43">
        <v>45335.809027767711</v>
      </c>
      <c r="F2915" s="41">
        <v>14.407828807096392</v>
      </c>
      <c r="G2915" s="41">
        <v>5.9134966553023993</v>
      </c>
      <c r="H2915" s="42"/>
      <c r="I2915" s="42"/>
      <c r="J2915" s="42"/>
    </row>
    <row r="2916" spans="5:10">
      <c r="E2916" s="43">
        <v>45335.81249998993</v>
      </c>
      <c r="F2916" s="41">
        <v>14.407828807096392</v>
      </c>
      <c r="G2916" s="41">
        <v>5.9134966553023993</v>
      </c>
      <c r="H2916" s="42"/>
      <c r="I2916" s="42"/>
      <c r="J2916" s="42"/>
    </row>
    <row r="2917" spans="5:10">
      <c r="E2917" s="43">
        <v>45335.815972212149</v>
      </c>
      <c r="F2917" s="41">
        <v>14.407828807096392</v>
      </c>
      <c r="G2917" s="41">
        <v>5.9134966553023993</v>
      </c>
      <c r="H2917" s="42"/>
      <c r="I2917" s="42"/>
      <c r="J2917" s="42"/>
    </row>
    <row r="2918" spans="5:10">
      <c r="E2918" s="43">
        <v>45335.819444434368</v>
      </c>
      <c r="F2918" s="41">
        <v>14.407828807096392</v>
      </c>
      <c r="G2918" s="41">
        <v>5.9134966553023993</v>
      </c>
      <c r="H2918" s="42"/>
      <c r="I2918" s="42"/>
      <c r="J2918" s="42"/>
    </row>
    <row r="2919" spans="5:10">
      <c r="E2919" s="43">
        <v>45335.822916656587</v>
      </c>
      <c r="F2919" s="41">
        <v>14.407828807096392</v>
      </c>
      <c r="G2919" s="41">
        <v>5.9134966553023993</v>
      </c>
      <c r="H2919" s="42"/>
      <c r="I2919" s="42"/>
      <c r="J2919" s="42"/>
    </row>
    <row r="2920" spans="5:10">
      <c r="E2920" s="43">
        <v>45335.826388878806</v>
      </c>
      <c r="F2920" s="41">
        <v>14.407828807096392</v>
      </c>
      <c r="G2920" s="41">
        <v>5.9134966553023993</v>
      </c>
      <c r="H2920" s="42"/>
      <c r="I2920" s="42"/>
      <c r="J2920" s="42"/>
    </row>
    <row r="2921" spans="5:10">
      <c r="E2921" s="43">
        <v>45335.829861101025</v>
      </c>
      <c r="F2921" s="41">
        <v>14.407828807096392</v>
      </c>
      <c r="G2921" s="41">
        <v>5.9134966553023993</v>
      </c>
      <c r="H2921" s="42"/>
      <c r="I2921" s="42"/>
      <c r="J2921" s="42"/>
    </row>
    <row r="2922" spans="5:10">
      <c r="E2922" s="43">
        <v>45335.833333323244</v>
      </c>
      <c r="F2922" s="41">
        <v>14.407828807096392</v>
      </c>
      <c r="G2922" s="41">
        <v>5.9134966553023993</v>
      </c>
      <c r="H2922" s="42"/>
      <c r="I2922" s="42"/>
      <c r="J2922" s="42"/>
    </row>
    <row r="2923" spans="5:10">
      <c r="E2923" s="43">
        <v>45335.836805545463</v>
      </c>
      <c r="F2923" s="41">
        <v>14.407828807096392</v>
      </c>
      <c r="G2923" s="41">
        <v>5.9134966553023993</v>
      </c>
      <c r="H2923" s="42"/>
      <c r="I2923" s="42"/>
      <c r="J2923" s="42"/>
    </row>
    <row r="2924" spans="5:10">
      <c r="E2924" s="43">
        <v>45335.840277767682</v>
      </c>
      <c r="F2924" s="41">
        <v>14.407828807096392</v>
      </c>
      <c r="G2924" s="41">
        <v>5.9134966553023993</v>
      </c>
      <c r="H2924" s="42"/>
      <c r="I2924" s="42"/>
      <c r="J2924" s="42"/>
    </row>
    <row r="2925" spans="5:10">
      <c r="E2925" s="43">
        <v>45335.843749989901</v>
      </c>
      <c r="F2925" s="41">
        <v>14.407828807096392</v>
      </c>
      <c r="G2925" s="41">
        <v>5.9134966553023993</v>
      </c>
      <c r="H2925" s="42"/>
      <c r="I2925" s="42"/>
      <c r="J2925" s="42"/>
    </row>
    <row r="2926" spans="5:10">
      <c r="E2926" s="43">
        <v>45335.84722221212</v>
      </c>
      <c r="F2926" s="41">
        <v>14.407828807096392</v>
      </c>
      <c r="G2926" s="41">
        <v>5.9134966553023993</v>
      </c>
      <c r="H2926" s="42"/>
      <c r="I2926" s="42"/>
      <c r="J2926" s="42"/>
    </row>
    <row r="2927" spans="5:10">
      <c r="E2927" s="43">
        <v>45335.850694434339</v>
      </c>
      <c r="F2927" s="41">
        <v>14.407828807096392</v>
      </c>
      <c r="G2927" s="41">
        <v>5.9134966553023993</v>
      </c>
      <c r="H2927" s="42"/>
      <c r="I2927" s="42"/>
      <c r="J2927" s="42"/>
    </row>
    <row r="2928" spans="5:10">
      <c r="E2928" s="43">
        <v>45335.854166656558</v>
      </c>
      <c r="F2928" s="41">
        <v>14.407828807096392</v>
      </c>
      <c r="G2928" s="41">
        <v>5.9134966553023993</v>
      </c>
      <c r="H2928" s="42"/>
      <c r="I2928" s="42"/>
      <c r="J2928" s="42"/>
    </row>
    <row r="2929" spans="5:10">
      <c r="E2929" s="43">
        <v>45335.857638878777</v>
      </c>
      <c r="F2929" s="41">
        <v>14.407828807096392</v>
      </c>
      <c r="G2929" s="41">
        <v>5.9134966553023993</v>
      </c>
      <c r="H2929" s="42"/>
      <c r="I2929" s="42"/>
      <c r="J2929" s="42"/>
    </row>
    <row r="2930" spans="5:10">
      <c r="E2930" s="43">
        <v>45335.861111100996</v>
      </c>
      <c r="F2930" s="41">
        <v>14.407828807096392</v>
      </c>
      <c r="G2930" s="41">
        <v>5.9134966553023993</v>
      </c>
      <c r="H2930" s="42"/>
      <c r="I2930" s="42"/>
      <c r="J2930" s="42"/>
    </row>
    <row r="2931" spans="5:10">
      <c r="E2931" s="43">
        <v>45335.864583323215</v>
      </c>
      <c r="F2931" s="41">
        <v>14.407828807096392</v>
      </c>
      <c r="G2931" s="41">
        <v>5.9134966553023993</v>
      </c>
      <c r="H2931" s="42"/>
      <c r="I2931" s="42"/>
      <c r="J2931" s="42"/>
    </row>
    <row r="2932" spans="5:10">
      <c r="E2932" s="43">
        <v>45335.868055545434</v>
      </c>
      <c r="F2932" s="41">
        <v>14.407828807096392</v>
      </c>
      <c r="G2932" s="41">
        <v>5.9134966553023993</v>
      </c>
      <c r="H2932" s="42"/>
      <c r="I2932" s="42"/>
      <c r="J2932" s="42"/>
    </row>
    <row r="2933" spans="5:10">
      <c r="E2933" s="43">
        <v>45335.871527767653</v>
      </c>
      <c r="F2933" s="41">
        <v>14.407828807096392</v>
      </c>
      <c r="G2933" s="41">
        <v>5.9134966553023993</v>
      </c>
      <c r="H2933" s="42"/>
      <c r="I2933" s="42"/>
      <c r="J2933" s="42"/>
    </row>
    <row r="2934" spans="5:10">
      <c r="E2934" s="43">
        <v>45335.874999989872</v>
      </c>
      <c r="F2934" s="41">
        <v>14.407828807096392</v>
      </c>
      <c r="G2934" s="41">
        <v>5.9134966553023993</v>
      </c>
      <c r="H2934" s="42"/>
      <c r="I2934" s="42"/>
      <c r="J2934" s="42"/>
    </row>
    <row r="2935" spans="5:10">
      <c r="E2935" s="43">
        <v>45335.878472212091</v>
      </c>
      <c r="F2935" s="41">
        <v>14.407828807096392</v>
      </c>
      <c r="G2935" s="41">
        <v>5.9134966553023993</v>
      </c>
      <c r="H2935" s="42"/>
      <c r="I2935" s="42"/>
      <c r="J2935" s="42"/>
    </row>
    <row r="2936" spans="5:10">
      <c r="E2936" s="43">
        <v>45335.88194443431</v>
      </c>
      <c r="F2936" s="41">
        <v>14.407828807096392</v>
      </c>
      <c r="G2936" s="41">
        <v>5.9134966553023993</v>
      </c>
      <c r="H2936" s="42"/>
      <c r="I2936" s="42"/>
      <c r="J2936" s="42"/>
    </row>
    <row r="2937" spans="5:10">
      <c r="E2937" s="43">
        <v>45335.885416656529</v>
      </c>
      <c r="F2937" s="41">
        <v>14.407828807096392</v>
      </c>
      <c r="G2937" s="41">
        <v>5.9134966553023993</v>
      </c>
      <c r="H2937" s="42"/>
      <c r="I2937" s="42"/>
      <c r="J2937" s="42"/>
    </row>
    <row r="2938" spans="5:10">
      <c r="E2938" s="43">
        <v>45335.888888878748</v>
      </c>
      <c r="F2938" s="41">
        <v>14.407828807096392</v>
      </c>
      <c r="G2938" s="41">
        <v>5.9134966553023993</v>
      </c>
      <c r="H2938" s="42"/>
      <c r="I2938" s="42"/>
      <c r="J2938" s="42"/>
    </row>
    <row r="2939" spans="5:10">
      <c r="E2939" s="43">
        <v>45335.892361100967</v>
      </c>
      <c r="F2939" s="41">
        <v>14.407828807096392</v>
      </c>
      <c r="G2939" s="41">
        <v>5.9134966553023993</v>
      </c>
      <c r="H2939" s="42"/>
      <c r="I2939" s="42"/>
      <c r="J2939" s="42"/>
    </row>
    <row r="2940" spans="5:10">
      <c r="E2940" s="43">
        <v>45335.895833323186</v>
      </c>
      <c r="F2940" s="41">
        <v>14.407828807096392</v>
      </c>
      <c r="G2940" s="41">
        <v>5.9134966553023993</v>
      </c>
      <c r="H2940" s="42"/>
      <c r="I2940" s="42"/>
      <c r="J2940" s="42"/>
    </row>
    <row r="2941" spans="5:10">
      <c r="E2941" s="43">
        <v>45335.899305545405</v>
      </c>
      <c r="F2941" s="41">
        <v>14.407828807096392</v>
      </c>
      <c r="G2941" s="41">
        <v>5.9134966553023993</v>
      </c>
      <c r="H2941" s="42"/>
      <c r="I2941" s="42"/>
      <c r="J2941" s="42"/>
    </row>
    <row r="2942" spans="5:10">
      <c r="E2942" s="43">
        <v>45335.902777767624</v>
      </c>
      <c r="F2942" s="41">
        <v>14.407828807096392</v>
      </c>
      <c r="G2942" s="41">
        <v>5.9134966553023993</v>
      </c>
      <c r="H2942" s="42"/>
      <c r="I2942" s="42"/>
      <c r="J2942" s="42"/>
    </row>
    <row r="2943" spans="5:10">
      <c r="E2943" s="43">
        <v>45335.906249989843</v>
      </c>
      <c r="F2943" s="41">
        <v>14.407828807096392</v>
      </c>
      <c r="G2943" s="41">
        <v>5.9134966553023993</v>
      </c>
      <c r="H2943" s="42"/>
      <c r="I2943" s="42"/>
      <c r="J2943" s="42"/>
    </row>
    <row r="2944" spans="5:10">
      <c r="E2944" s="43">
        <v>45335.909722212062</v>
      </c>
      <c r="F2944" s="41">
        <v>14.407828807096392</v>
      </c>
      <c r="G2944" s="41">
        <v>5.9134966553023993</v>
      </c>
      <c r="H2944" s="42"/>
      <c r="I2944" s="42"/>
      <c r="J2944" s="42"/>
    </row>
    <row r="2945" spans="5:10">
      <c r="E2945" s="43">
        <v>45335.913194434281</v>
      </c>
      <c r="F2945" s="41">
        <v>14.407828807096392</v>
      </c>
      <c r="G2945" s="41">
        <v>5.9134966553023993</v>
      </c>
      <c r="H2945" s="42"/>
      <c r="I2945" s="42"/>
      <c r="J2945" s="42"/>
    </row>
    <row r="2946" spans="5:10">
      <c r="E2946" s="43">
        <v>45335.9166666565</v>
      </c>
      <c r="F2946" s="41">
        <v>14.407828807096392</v>
      </c>
      <c r="G2946" s="41">
        <v>5.9134966553023993</v>
      </c>
      <c r="H2946" s="42"/>
      <c r="I2946" s="42"/>
      <c r="J2946" s="42"/>
    </row>
    <row r="2947" spans="5:10">
      <c r="E2947" s="43">
        <v>45335.920138878719</v>
      </c>
      <c r="F2947" s="41">
        <v>14.407828807096392</v>
      </c>
      <c r="G2947" s="41">
        <v>5.9134966553023993</v>
      </c>
      <c r="H2947" s="42"/>
      <c r="I2947" s="42"/>
      <c r="J2947" s="42"/>
    </row>
    <row r="2948" spans="5:10">
      <c r="E2948" s="43">
        <v>45335.923611100938</v>
      </c>
      <c r="F2948" s="41">
        <v>14.407828807096392</v>
      </c>
      <c r="G2948" s="41">
        <v>5.9134966553023993</v>
      </c>
      <c r="H2948" s="42"/>
      <c r="I2948" s="42"/>
      <c r="J2948" s="42"/>
    </row>
    <row r="2949" spans="5:10">
      <c r="E2949" s="43">
        <v>45335.927083323157</v>
      </c>
      <c r="F2949" s="41">
        <v>14.407828807096392</v>
      </c>
      <c r="G2949" s="41">
        <v>5.9134966553023993</v>
      </c>
      <c r="H2949" s="42"/>
      <c r="I2949" s="42"/>
      <c r="J2949" s="42"/>
    </row>
    <row r="2950" spans="5:10">
      <c r="E2950" s="43">
        <v>45335.930555545376</v>
      </c>
      <c r="F2950" s="41">
        <v>14.407828807096392</v>
      </c>
      <c r="G2950" s="41">
        <v>5.9134966553023993</v>
      </c>
      <c r="H2950" s="42"/>
      <c r="I2950" s="42"/>
      <c r="J2950" s="42"/>
    </row>
    <row r="2951" spans="5:10">
      <c r="E2951" s="43">
        <v>45335.934027767595</v>
      </c>
      <c r="F2951" s="41">
        <v>14.407828807096392</v>
      </c>
      <c r="G2951" s="41">
        <v>5.9134966553023993</v>
      </c>
      <c r="H2951" s="42"/>
      <c r="I2951" s="42"/>
      <c r="J2951" s="42"/>
    </row>
    <row r="2952" spans="5:10">
      <c r="E2952" s="43">
        <v>45335.937499989814</v>
      </c>
      <c r="F2952" s="41">
        <v>14.407828807096392</v>
      </c>
      <c r="G2952" s="41">
        <v>5.9134966553023993</v>
      </c>
      <c r="H2952" s="42"/>
      <c r="I2952" s="42"/>
      <c r="J2952" s="42"/>
    </row>
    <row r="2953" spans="5:10">
      <c r="E2953" s="43">
        <v>45335.940972212033</v>
      </c>
      <c r="F2953" s="41">
        <v>14.407828807096392</v>
      </c>
      <c r="G2953" s="41">
        <v>5.9134966553023993</v>
      </c>
      <c r="H2953" s="42"/>
      <c r="I2953" s="42"/>
      <c r="J2953" s="42"/>
    </row>
    <row r="2954" spans="5:10">
      <c r="E2954" s="43">
        <v>45335.944444434252</v>
      </c>
      <c r="F2954" s="41">
        <v>14.407828807096392</v>
      </c>
      <c r="G2954" s="41">
        <v>5.9134966553023993</v>
      </c>
      <c r="H2954" s="42"/>
      <c r="I2954" s="42"/>
      <c r="J2954" s="42"/>
    </row>
    <row r="2955" spans="5:10">
      <c r="E2955" s="43">
        <v>45335.947916656471</v>
      </c>
      <c r="F2955" s="41">
        <v>14.407828807096392</v>
      </c>
      <c r="G2955" s="41">
        <v>5.9134966553023993</v>
      </c>
      <c r="H2955" s="42"/>
      <c r="I2955" s="42"/>
      <c r="J2955" s="42"/>
    </row>
    <row r="2956" spans="5:10">
      <c r="E2956" s="43">
        <v>45335.95138887869</v>
      </c>
      <c r="F2956" s="41">
        <v>14.407828807096392</v>
      </c>
      <c r="G2956" s="41">
        <v>5.9134966553023993</v>
      </c>
      <c r="H2956" s="42"/>
      <c r="I2956" s="42"/>
      <c r="J2956" s="42"/>
    </row>
    <row r="2957" spans="5:10">
      <c r="E2957" s="43">
        <v>45335.954861100909</v>
      </c>
      <c r="F2957" s="41">
        <v>14.407828807096392</v>
      </c>
      <c r="G2957" s="41">
        <v>5.9134966553023993</v>
      </c>
      <c r="H2957" s="42"/>
      <c r="I2957" s="42"/>
      <c r="J2957" s="42"/>
    </row>
    <row r="2958" spans="5:10">
      <c r="E2958" s="43">
        <v>45335.958333323128</v>
      </c>
      <c r="F2958" s="41">
        <v>14.407828807096392</v>
      </c>
      <c r="G2958" s="41">
        <v>5.9134966553023993</v>
      </c>
      <c r="H2958" s="42"/>
      <c r="I2958" s="42"/>
      <c r="J2958" s="42"/>
    </row>
    <row r="2959" spans="5:10">
      <c r="E2959" s="43">
        <v>45335.961805545347</v>
      </c>
      <c r="F2959" s="41">
        <v>14.407828807096392</v>
      </c>
      <c r="G2959" s="41">
        <v>5.9134966553023993</v>
      </c>
      <c r="H2959" s="42"/>
      <c r="I2959" s="42"/>
      <c r="J2959" s="42"/>
    </row>
    <row r="2960" spans="5:10">
      <c r="E2960" s="43">
        <v>45335.965277767566</v>
      </c>
      <c r="F2960" s="41">
        <v>14.407828807096392</v>
      </c>
      <c r="G2960" s="41">
        <v>5.9134966553023993</v>
      </c>
      <c r="H2960" s="42"/>
      <c r="I2960" s="42"/>
      <c r="J2960" s="42"/>
    </row>
    <row r="2961" spans="5:10">
      <c r="E2961" s="43">
        <v>45335.968749989785</v>
      </c>
      <c r="F2961" s="41">
        <v>14.407828807096392</v>
      </c>
      <c r="G2961" s="41">
        <v>5.9134966553023993</v>
      </c>
      <c r="H2961" s="42"/>
      <c r="I2961" s="42"/>
      <c r="J2961" s="42"/>
    </row>
    <row r="2962" spans="5:10">
      <c r="E2962" s="43">
        <v>45335.972222212004</v>
      </c>
      <c r="F2962" s="41">
        <v>14.407828807096392</v>
      </c>
      <c r="G2962" s="41">
        <v>5.9134966553023993</v>
      </c>
      <c r="H2962" s="42"/>
      <c r="I2962" s="42"/>
      <c r="J2962" s="42"/>
    </row>
    <row r="2963" spans="5:10">
      <c r="E2963" s="43">
        <v>45335.975694434223</v>
      </c>
      <c r="F2963" s="41">
        <v>14.407828807096392</v>
      </c>
      <c r="G2963" s="41">
        <v>5.9134966553023993</v>
      </c>
      <c r="H2963" s="42"/>
      <c r="I2963" s="42"/>
      <c r="J2963" s="42"/>
    </row>
    <row r="2964" spans="5:10">
      <c r="E2964" s="43">
        <v>45335.979166656442</v>
      </c>
      <c r="F2964" s="41">
        <v>14.407828807096392</v>
      </c>
      <c r="G2964" s="41">
        <v>5.9134966553023993</v>
      </c>
      <c r="H2964" s="42"/>
      <c r="I2964" s="42"/>
      <c r="J2964" s="42"/>
    </row>
    <row r="2965" spans="5:10">
      <c r="E2965" s="43">
        <v>45335.982638878661</v>
      </c>
      <c r="F2965" s="41">
        <v>14.407828807096392</v>
      </c>
      <c r="G2965" s="41">
        <v>5.9134966553023993</v>
      </c>
      <c r="H2965" s="42"/>
      <c r="I2965" s="42"/>
      <c r="J2965" s="42"/>
    </row>
    <row r="2966" spans="5:10">
      <c r="E2966" s="43">
        <v>45335.986111100879</v>
      </c>
      <c r="F2966" s="41">
        <v>14.407828807096392</v>
      </c>
      <c r="G2966" s="41">
        <v>5.9134966553023993</v>
      </c>
      <c r="H2966" s="42"/>
      <c r="I2966" s="42"/>
      <c r="J2966" s="42"/>
    </row>
    <row r="2967" spans="5:10">
      <c r="E2967" s="43">
        <v>45335.989583323098</v>
      </c>
      <c r="F2967" s="41">
        <v>14.407828807096392</v>
      </c>
      <c r="G2967" s="41">
        <v>5.9134966553023993</v>
      </c>
      <c r="H2967" s="42"/>
      <c r="I2967" s="42"/>
      <c r="J2967" s="42"/>
    </row>
    <row r="2968" spans="5:10">
      <c r="E2968" s="43">
        <v>45335.993055545317</v>
      </c>
      <c r="F2968" s="41">
        <v>14.407828807096392</v>
      </c>
      <c r="G2968" s="41">
        <v>5.9134966553023993</v>
      </c>
      <c r="H2968" s="42"/>
      <c r="I2968" s="42"/>
      <c r="J2968" s="42"/>
    </row>
    <row r="2969" spans="5:10">
      <c r="E2969" s="43">
        <v>45335.996527767536</v>
      </c>
      <c r="F2969" s="41">
        <v>14.407828807096392</v>
      </c>
      <c r="G2969" s="41">
        <v>5.9134966553023993</v>
      </c>
      <c r="H2969" s="42"/>
      <c r="I2969" s="42"/>
      <c r="J2969" s="42"/>
    </row>
    <row r="2970" spans="5:10">
      <c r="E2970" s="43">
        <v>45335.999999989755</v>
      </c>
      <c r="F2970" s="41">
        <v>14.407828807096392</v>
      </c>
      <c r="G2970" s="41">
        <v>5.9134966553023993</v>
      </c>
      <c r="H2970" s="42"/>
      <c r="I2970" s="42"/>
      <c r="J2970" s="42"/>
    </row>
    <row r="2971" spans="5:10">
      <c r="E2971" s="43">
        <v>45336.003472211974</v>
      </c>
      <c r="F2971" s="41">
        <v>14.407828807096392</v>
      </c>
      <c r="G2971" s="41">
        <v>5.9134966553023993</v>
      </c>
      <c r="H2971" s="42"/>
      <c r="I2971" s="42"/>
      <c r="J2971" s="42"/>
    </row>
    <row r="2972" spans="5:10">
      <c r="E2972" s="43">
        <v>45336.006944434193</v>
      </c>
      <c r="F2972" s="41">
        <v>14.407828807096392</v>
      </c>
      <c r="G2972" s="41">
        <v>5.9134966553023993</v>
      </c>
      <c r="H2972" s="42"/>
      <c r="I2972" s="42"/>
      <c r="J2972" s="42"/>
    </row>
    <row r="2973" spans="5:10">
      <c r="E2973" s="43">
        <v>45336.010416656412</v>
      </c>
      <c r="F2973" s="41">
        <v>14.407828807096392</v>
      </c>
      <c r="G2973" s="41">
        <v>5.9134966553023993</v>
      </c>
      <c r="H2973" s="42"/>
      <c r="I2973" s="42"/>
      <c r="J2973" s="42"/>
    </row>
    <row r="2974" spans="5:10">
      <c r="E2974" s="43">
        <v>45336.013888878631</v>
      </c>
      <c r="F2974" s="41">
        <v>14.407828807096392</v>
      </c>
      <c r="G2974" s="41">
        <v>5.9134966553023993</v>
      </c>
      <c r="H2974" s="42"/>
      <c r="I2974" s="42"/>
      <c r="J2974" s="42"/>
    </row>
    <row r="2975" spans="5:10">
      <c r="E2975" s="43">
        <v>45336.01736110085</v>
      </c>
      <c r="F2975" s="41">
        <v>14.407828807096392</v>
      </c>
      <c r="G2975" s="41">
        <v>5.9134966553023993</v>
      </c>
      <c r="H2975" s="42"/>
      <c r="I2975" s="42"/>
      <c r="J2975" s="42"/>
    </row>
    <row r="2976" spans="5:10">
      <c r="E2976" s="43">
        <v>45336.020833323069</v>
      </c>
      <c r="F2976" s="41">
        <v>14.407828807096392</v>
      </c>
      <c r="G2976" s="41">
        <v>5.9134966553023993</v>
      </c>
      <c r="H2976" s="42"/>
      <c r="I2976" s="42"/>
      <c r="J2976" s="42"/>
    </row>
    <row r="2977" spans="5:10">
      <c r="E2977" s="43">
        <v>45336.024305545288</v>
      </c>
      <c r="F2977" s="41">
        <v>14.407828807096392</v>
      </c>
      <c r="G2977" s="41">
        <v>5.9134966553023993</v>
      </c>
      <c r="H2977" s="42"/>
      <c r="I2977" s="42"/>
      <c r="J2977" s="42"/>
    </row>
    <row r="2978" spans="5:10">
      <c r="E2978" s="43">
        <v>45336.027777767507</v>
      </c>
      <c r="F2978" s="41">
        <v>14.407828807096392</v>
      </c>
      <c r="G2978" s="41">
        <v>5.9134966553023993</v>
      </c>
      <c r="H2978" s="42"/>
      <c r="I2978" s="42"/>
      <c r="J2978" s="42"/>
    </row>
    <row r="2979" spans="5:10">
      <c r="E2979" s="43">
        <v>45336.031249989726</v>
      </c>
      <c r="F2979" s="41">
        <v>14.407828807096392</v>
      </c>
      <c r="G2979" s="41">
        <v>5.9134966553023993</v>
      </c>
      <c r="H2979" s="42"/>
      <c r="I2979" s="42"/>
      <c r="J2979" s="42"/>
    </row>
    <row r="2980" spans="5:10">
      <c r="E2980" s="43">
        <v>45336.034722211945</v>
      </c>
      <c r="F2980" s="41">
        <v>14.407828807096392</v>
      </c>
      <c r="G2980" s="41">
        <v>5.9134966553023993</v>
      </c>
      <c r="H2980" s="42"/>
      <c r="I2980" s="42"/>
      <c r="J2980" s="42"/>
    </row>
    <row r="2981" spans="5:10">
      <c r="E2981" s="43">
        <v>45336.038194434164</v>
      </c>
      <c r="F2981" s="41">
        <v>14.407828807096392</v>
      </c>
      <c r="G2981" s="41">
        <v>5.9134966553023993</v>
      </c>
      <c r="H2981" s="42"/>
      <c r="I2981" s="42"/>
      <c r="J2981" s="42"/>
    </row>
    <row r="2982" spans="5:10">
      <c r="E2982" s="43">
        <v>45336.041666656383</v>
      </c>
      <c r="F2982" s="41">
        <v>14.407828807096392</v>
      </c>
      <c r="G2982" s="41">
        <v>5.9134966553023993</v>
      </c>
      <c r="H2982" s="42"/>
      <c r="I2982" s="42"/>
      <c r="J2982" s="42"/>
    </row>
    <row r="2983" spans="5:10">
      <c r="E2983" s="43">
        <v>45336.045138878602</v>
      </c>
      <c r="F2983" s="41">
        <v>14.407828807096392</v>
      </c>
      <c r="G2983" s="41">
        <v>5.9134966553023993</v>
      </c>
      <c r="H2983" s="42"/>
      <c r="I2983" s="42"/>
      <c r="J2983" s="42"/>
    </row>
    <row r="2984" spans="5:10">
      <c r="E2984" s="43">
        <v>45336.048611100821</v>
      </c>
      <c r="F2984" s="41">
        <v>14.407828807096392</v>
      </c>
      <c r="G2984" s="41">
        <v>5.9134966553023993</v>
      </c>
      <c r="H2984" s="42"/>
      <c r="I2984" s="42"/>
      <c r="J2984" s="42"/>
    </row>
    <row r="2985" spans="5:10">
      <c r="E2985" s="43">
        <v>45336.05208332304</v>
      </c>
      <c r="F2985" s="41">
        <v>14.407828807096392</v>
      </c>
      <c r="G2985" s="41">
        <v>5.9134966553023993</v>
      </c>
      <c r="H2985" s="42"/>
      <c r="I2985" s="42"/>
      <c r="J2985" s="42"/>
    </row>
    <row r="2986" spans="5:10">
      <c r="E2986" s="43">
        <v>45336.055555545259</v>
      </c>
      <c r="F2986" s="41">
        <v>14.407828807096392</v>
      </c>
      <c r="G2986" s="41">
        <v>5.9134966553023993</v>
      </c>
      <c r="H2986" s="42"/>
      <c r="I2986" s="42"/>
      <c r="J2986" s="42"/>
    </row>
    <row r="2987" spans="5:10">
      <c r="E2987" s="43">
        <v>45336.059027767478</v>
      </c>
      <c r="F2987" s="41">
        <v>14.407828807096392</v>
      </c>
      <c r="G2987" s="41">
        <v>5.9134966553023993</v>
      </c>
      <c r="H2987" s="42"/>
      <c r="I2987" s="42"/>
      <c r="J2987" s="42"/>
    </row>
    <row r="2988" spans="5:10">
      <c r="E2988" s="43">
        <v>45336.062499989697</v>
      </c>
      <c r="F2988" s="41">
        <v>14.407828807096392</v>
      </c>
      <c r="G2988" s="41">
        <v>5.9134966553023993</v>
      </c>
      <c r="H2988" s="42"/>
      <c r="I2988" s="42"/>
      <c r="J2988" s="42"/>
    </row>
    <row r="2989" spans="5:10">
      <c r="E2989" s="43">
        <v>45336.065972211916</v>
      </c>
      <c r="F2989" s="41">
        <v>14.407828807096392</v>
      </c>
      <c r="G2989" s="41">
        <v>5.9134966553023993</v>
      </c>
      <c r="H2989" s="42"/>
      <c r="I2989" s="42"/>
      <c r="J2989" s="42"/>
    </row>
    <row r="2990" spans="5:10">
      <c r="E2990" s="43">
        <v>45336.069444434135</v>
      </c>
      <c r="F2990" s="41">
        <v>14.407828807096392</v>
      </c>
      <c r="G2990" s="41">
        <v>5.9134966553023993</v>
      </c>
      <c r="H2990" s="42"/>
      <c r="I2990" s="42"/>
      <c r="J2990" s="42"/>
    </row>
    <row r="2991" spans="5:10">
      <c r="E2991" s="43">
        <v>45336.072916656354</v>
      </c>
      <c r="F2991" s="41">
        <v>14.407828807096392</v>
      </c>
      <c r="G2991" s="41">
        <v>5.9134966553023993</v>
      </c>
      <c r="H2991" s="42"/>
      <c r="I2991" s="42"/>
      <c r="J2991" s="42"/>
    </row>
    <row r="2992" spans="5:10">
      <c r="E2992" s="43">
        <v>45336.076388878573</v>
      </c>
      <c r="F2992" s="41">
        <v>14.407828807096392</v>
      </c>
      <c r="G2992" s="41">
        <v>5.9134966553023993</v>
      </c>
      <c r="H2992" s="42"/>
      <c r="I2992" s="42"/>
      <c r="J2992" s="42"/>
    </row>
    <row r="2993" spans="5:10">
      <c r="E2993" s="43">
        <v>45336.079861100792</v>
      </c>
      <c r="F2993" s="41">
        <v>14.407828807096392</v>
      </c>
      <c r="G2993" s="41">
        <v>5.9134966553023993</v>
      </c>
      <c r="H2993" s="42"/>
      <c r="I2993" s="42"/>
      <c r="J2993" s="42"/>
    </row>
    <row r="2994" spans="5:10">
      <c r="E2994" s="43">
        <v>45336.083333323011</v>
      </c>
      <c r="F2994" s="41">
        <v>14.407828807096392</v>
      </c>
      <c r="G2994" s="41">
        <v>5.9134966553023993</v>
      </c>
      <c r="H2994" s="42"/>
      <c r="I2994" s="42"/>
      <c r="J2994" s="42"/>
    </row>
    <row r="2995" spans="5:10">
      <c r="E2995" s="43">
        <v>45336.08680554523</v>
      </c>
      <c r="F2995" s="41">
        <v>14.407828807096392</v>
      </c>
      <c r="G2995" s="41">
        <v>5.9134966553023993</v>
      </c>
      <c r="H2995" s="42"/>
      <c r="I2995" s="42"/>
      <c r="J2995" s="42"/>
    </row>
    <row r="2996" spans="5:10">
      <c r="E2996" s="43">
        <v>45336.090277767449</v>
      </c>
      <c r="F2996" s="41">
        <v>14.407828807096392</v>
      </c>
      <c r="G2996" s="41">
        <v>5.9134966553023993</v>
      </c>
      <c r="H2996" s="42"/>
      <c r="I2996" s="42"/>
      <c r="J2996" s="42"/>
    </row>
    <row r="2997" spans="5:10">
      <c r="E2997" s="43">
        <v>45336.093749989668</v>
      </c>
      <c r="F2997" s="41">
        <v>14.407828807096392</v>
      </c>
      <c r="G2997" s="41">
        <v>5.9134966553023993</v>
      </c>
      <c r="H2997" s="42"/>
      <c r="I2997" s="42"/>
      <c r="J2997" s="42"/>
    </row>
    <row r="2998" spans="5:10">
      <c r="E2998" s="43">
        <v>45336.097222211887</v>
      </c>
      <c r="F2998" s="41">
        <v>14.407828807096392</v>
      </c>
      <c r="G2998" s="41">
        <v>5.9134966553023993</v>
      </c>
      <c r="H2998" s="42"/>
      <c r="I2998" s="42"/>
      <c r="J2998" s="42"/>
    </row>
    <row r="2999" spans="5:10">
      <c r="E2999" s="43">
        <v>45336.100694434106</v>
      </c>
      <c r="F2999" s="41">
        <v>14.407828807096392</v>
      </c>
      <c r="G2999" s="41">
        <v>5.9134966553023993</v>
      </c>
      <c r="H2999" s="42"/>
      <c r="I2999" s="42"/>
      <c r="J2999" s="42"/>
    </row>
    <row r="3000" spans="5:10">
      <c r="E3000" s="43">
        <v>45336.104166656325</v>
      </c>
      <c r="F3000" s="41">
        <v>14.407828807096392</v>
      </c>
      <c r="G3000" s="41">
        <v>5.9134966553023993</v>
      </c>
      <c r="H3000" s="42"/>
      <c r="I3000" s="42"/>
      <c r="J3000" s="42"/>
    </row>
    <row r="3001" spans="5:10">
      <c r="E3001" s="43">
        <v>45336.107638878544</v>
      </c>
      <c r="F3001" s="41">
        <v>14.407828807096392</v>
      </c>
      <c r="G3001" s="41">
        <v>5.9134966553023993</v>
      </c>
      <c r="H3001" s="42"/>
      <c r="I3001" s="42"/>
      <c r="J3001" s="42"/>
    </row>
    <row r="3002" spans="5:10">
      <c r="E3002" s="43">
        <v>45336.111111100763</v>
      </c>
      <c r="F3002" s="41">
        <v>14.407828807096392</v>
      </c>
      <c r="G3002" s="41">
        <v>5.9134966553023993</v>
      </c>
      <c r="H3002" s="42"/>
      <c r="I3002" s="42"/>
      <c r="J3002" s="42"/>
    </row>
    <row r="3003" spans="5:10">
      <c r="E3003" s="43">
        <v>45336.114583322982</v>
      </c>
      <c r="F3003" s="41">
        <v>14.407828807096392</v>
      </c>
      <c r="G3003" s="41">
        <v>5.9134966553023993</v>
      </c>
      <c r="H3003" s="42"/>
      <c r="I3003" s="42"/>
      <c r="J3003" s="42"/>
    </row>
    <row r="3004" spans="5:10">
      <c r="E3004" s="43">
        <v>45336.118055545201</v>
      </c>
      <c r="F3004" s="41">
        <v>14.407828807096392</v>
      </c>
      <c r="G3004" s="41">
        <v>5.9134966553023993</v>
      </c>
      <c r="H3004" s="42"/>
      <c r="I3004" s="42"/>
      <c r="J3004" s="42"/>
    </row>
    <row r="3005" spans="5:10">
      <c r="E3005" s="43">
        <v>45336.12152776742</v>
      </c>
      <c r="F3005" s="41">
        <v>14.407828807096392</v>
      </c>
      <c r="G3005" s="41">
        <v>5.9134966553023993</v>
      </c>
      <c r="H3005" s="42"/>
      <c r="I3005" s="42"/>
      <c r="J3005" s="42"/>
    </row>
    <row r="3006" spans="5:10">
      <c r="E3006" s="43">
        <v>45336.124999989639</v>
      </c>
      <c r="F3006" s="41">
        <v>14.407828807096392</v>
      </c>
      <c r="G3006" s="41">
        <v>5.9134966553023993</v>
      </c>
      <c r="H3006" s="42"/>
      <c r="I3006" s="42"/>
      <c r="J3006" s="42"/>
    </row>
    <row r="3007" spans="5:10">
      <c r="E3007" s="43">
        <v>45336.128472211858</v>
      </c>
      <c r="F3007" s="41">
        <v>14.407828807096392</v>
      </c>
      <c r="G3007" s="41">
        <v>5.9134966553023993</v>
      </c>
      <c r="H3007" s="42"/>
      <c r="I3007" s="42"/>
      <c r="J3007" s="42"/>
    </row>
    <row r="3008" spans="5:10">
      <c r="E3008" s="43">
        <v>45336.131944434077</v>
      </c>
      <c r="F3008" s="41">
        <v>14.407828807096392</v>
      </c>
      <c r="G3008" s="41">
        <v>5.9134966553023993</v>
      </c>
      <c r="H3008" s="42"/>
      <c r="I3008" s="42"/>
      <c r="J3008" s="42"/>
    </row>
    <row r="3009" spans="5:10">
      <c r="E3009" s="43">
        <v>45336.135416656296</v>
      </c>
      <c r="F3009" s="41">
        <v>14.407828807096392</v>
      </c>
      <c r="G3009" s="41">
        <v>5.9134966553023993</v>
      </c>
      <c r="H3009" s="42"/>
      <c r="I3009" s="42"/>
      <c r="J3009" s="42"/>
    </row>
    <row r="3010" spans="5:10">
      <c r="E3010" s="43">
        <v>45336.138888878515</v>
      </c>
      <c r="F3010" s="41">
        <v>14.407828807096392</v>
      </c>
      <c r="G3010" s="41">
        <v>5.9134966553023993</v>
      </c>
      <c r="H3010" s="42"/>
      <c r="I3010" s="42"/>
      <c r="J3010" s="42"/>
    </row>
    <row r="3011" spans="5:10">
      <c r="E3011" s="43">
        <v>45336.142361100734</v>
      </c>
      <c r="F3011" s="41">
        <v>14.407828807096392</v>
      </c>
      <c r="G3011" s="41">
        <v>5.9134966553023993</v>
      </c>
      <c r="H3011" s="42"/>
      <c r="I3011" s="42"/>
      <c r="J3011" s="42"/>
    </row>
    <row r="3012" spans="5:10">
      <c r="E3012" s="43">
        <v>45336.145833322953</v>
      </c>
      <c r="F3012" s="41">
        <v>14.407828807096392</v>
      </c>
      <c r="G3012" s="41">
        <v>5.9134966553023993</v>
      </c>
      <c r="H3012" s="42"/>
      <c r="I3012" s="42"/>
      <c r="J3012" s="42"/>
    </row>
    <row r="3013" spans="5:10">
      <c r="E3013" s="43">
        <v>45336.149305545172</v>
      </c>
      <c r="F3013" s="41">
        <v>14.407828807096392</v>
      </c>
      <c r="G3013" s="41">
        <v>5.9134966553023993</v>
      </c>
      <c r="H3013" s="42"/>
      <c r="I3013" s="42"/>
      <c r="J3013" s="42"/>
    </row>
    <row r="3014" spans="5:10">
      <c r="E3014" s="43">
        <v>45336.152777767391</v>
      </c>
      <c r="F3014" s="41">
        <v>14.407828807096392</v>
      </c>
      <c r="G3014" s="41">
        <v>5.9134966553023993</v>
      </c>
      <c r="H3014" s="42"/>
      <c r="I3014" s="42"/>
      <c r="J3014" s="42"/>
    </row>
    <row r="3015" spans="5:10">
      <c r="E3015" s="43">
        <v>45336.15624998961</v>
      </c>
      <c r="F3015" s="41">
        <v>14.407828807096392</v>
      </c>
      <c r="G3015" s="41">
        <v>5.9134966553023993</v>
      </c>
      <c r="H3015" s="42"/>
      <c r="I3015" s="42"/>
      <c r="J3015" s="42"/>
    </row>
    <row r="3016" spans="5:10">
      <c r="E3016" s="43">
        <v>45336.159722211829</v>
      </c>
      <c r="F3016" s="41">
        <v>14.407828807096392</v>
      </c>
      <c r="G3016" s="41">
        <v>5.9134966553023993</v>
      </c>
      <c r="H3016" s="42"/>
      <c r="I3016" s="42"/>
      <c r="J3016" s="42"/>
    </row>
    <row r="3017" spans="5:10">
      <c r="E3017" s="43">
        <v>45336.163194434048</v>
      </c>
      <c r="F3017" s="41">
        <v>14.407828807096392</v>
      </c>
      <c r="G3017" s="41">
        <v>5.9134966553023993</v>
      </c>
      <c r="H3017" s="42"/>
      <c r="I3017" s="42"/>
      <c r="J3017" s="42"/>
    </row>
    <row r="3018" spans="5:10">
      <c r="E3018" s="43">
        <v>45336.166666656267</v>
      </c>
      <c r="F3018" s="41">
        <v>14.407828807096392</v>
      </c>
      <c r="G3018" s="41">
        <v>5.9134966553023993</v>
      </c>
      <c r="H3018" s="42"/>
      <c r="I3018" s="42"/>
      <c r="J3018" s="42"/>
    </row>
    <row r="3019" spans="5:10">
      <c r="E3019" s="43">
        <v>45336.170138878486</v>
      </c>
      <c r="F3019" s="41">
        <v>14.407828807096392</v>
      </c>
      <c r="G3019" s="41">
        <v>5.9134966553023993</v>
      </c>
      <c r="H3019" s="42"/>
      <c r="I3019" s="42"/>
      <c r="J3019" s="42"/>
    </row>
    <row r="3020" spans="5:10">
      <c r="E3020" s="43">
        <v>45336.173611100705</v>
      </c>
      <c r="F3020" s="41">
        <v>14.407828807096392</v>
      </c>
      <c r="G3020" s="41">
        <v>5.9134966553023993</v>
      </c>
      <c r="H3020" s="42"/>
      <c r="I3020" s="42"/>
      <c r="J3020" s="42"/>
    </row>
    <row r="3021" spans="5:10">
      <c r="E3021" s="43">
        <v>45336.177083322924</v>
      </c>
      <c r="F3021" s="41">
        <v>14.407828807096392</v>
      </c>
      <c r="G3021" s="41">
        <v>5.9134966553023993</v>
      </c>
      <c r="H3021" s="42"/>
      <c r="I3021" s="42"/>
      <c r="J3021" s="42"/>
    </row>
    <row r="3022" spans="5:10">
      <c r="E3022" s="43">
        <v>45336.180555545143</v>
      </c>
      <c r="F3022" s="41">
        <v>14.407828807096392</v>
      </c>
      <c r="G3022" s="41">
        <v>5.9134966553023993</v>
      </c>
      <c r="H3022" s="42"/>
      <c r="I3022" s="42"/>
      <c r="J3022" s="42"/>
    </row>
    <row r="3023" spans="5:10">
      <c r="E3023" s="43">
        <v>45336.184027767362</v>
      </c>
      <c r="F3023" s="41">
        <v>14.407828807096392</v>
      </c>
      <c r="G3023" s="41">
        <v>5.9134966553023993</v>
      </c>
      <c r="H3023" s="42"/>
      <c r="I3023" s="42"/>
      <c r="J3023" s="42"/>
    </row>
    <row r="3024" spans="5:10">
      <c r="E3024" s="43">
        <v>45336.187499989581</v>
      </c>
      <c r="F3024" s="41">
        <v>14.407828807096392</v>
      </c>
      <c r="G3024" s="41">
        <v>5.9134966553023993</v>
      </c>
      <c r="H3024" s="42"/>
      <c r="I3024" s="42"/>
      <c r="J3024" s="42"/>
    </row>
    <row r="3025" spans="5:10">
      <c r="E3025" s="43">
        <v>45336.1909722118</v>
      </c>
      <c r="F3025" s="41">
        <v>14.407828807096392</v>
      </c>
      <c r="G3025" s="41">
        <v>5.9134966553023993</v>
      </c>
      <c r="H3025" s="42"/>
      <c r="I3025" s="42"/>
      <c r="J3025" s="42"/>
    </row>
    <row r="3026" spans="5:10">
      <c r="E3026" s="43">
        <v>45336.194444434019</v>
      </c>
      <c r="F3026" s="41">
        <v>14.407828807096392</v>
      </c>
      <c r="G3026" s="41">
        <v>5.9134966553023993</v>
      </c>
      <c r="H3026" s="42"/>
      <c r="I3026" s="42"/>
      <c r="J3026" s="42"/>
    </row>
    <row r="3027" spans="5:10">
      <c r="E3027" s="43">
        <v>45336.197916656238</v>
      </c>
      <c r="F3027" s="41">
        <v>14.407828807096392</v>
      </c>
      <c r="G3027" s="41">
        <v>5.9134966553023993</v>
      </c>
      <c r="H3027" s="42"/>
      <c r="I3027" s="42"/>
      <c r="J3027" s="42"/>
    </row>
    <row r="3028" spans="5:10">
      <c r="E3028" s="43">
        <v>45336.201388878457</v>
      </c>
      <c r="F3028" s="41">
        <v>14.407828807096392</v>
      </c>
      <c r="G3028" s="41">
        <v>5.9134966553023993</v>
      </c>
      <c r="H3028" s="42"/>
      <c r="I3028" s="42"/>
      <c r="J3028" s="42"/>
    </row>
    <row r="3029" spans="5:10">
      <c r="E3029" s="43">
        <v>45336.204861100676</v>
      </c>
      <c r="F3029" s="41">
        <v>14.407828807096392</v>
      </c>
      <c r="G3029" s="41">
        <v>5.9134966553023993</v>
      </c>
      <c r="H3029" s="42"/>
      <c r="I3029" s="42"/>
      <c r="J3029" s="42"/>
    </row>
    <row r="3030" spans="5:10">
      <c r="E3030" s="43">
        <v>45336.208333322895</v>
      </c>
      <c r="F3030" s="41">
        <v>14.407828807096392</v>
      </c>
      <c r="G3030" s="41">
        <v>5.9134966553023993</v>
      </c>
      <c r="H3030" s="42"/>
      <c r="I3030" s="42"/>
      <c r="J3030" s="42"/>
    </row>
    <row r="3031" spans="5:10">
      <c r="E3031" s="43">
        <v>45336.211805545114</v>
      </c>
      <c r="F3031" s="41">
        <v>14.407828807096392</v>
      </c>
      <c r="G3031" s="41">
        <v>5.9134966553023993</v>
      </c>
      <c r="H3031" s="42"/>
      <c r="I3031" s="42"/>
      <c r="J3031" s="42"/>
    </row>
    <row r="3032" spans="5:10">
      <c r="E3032" s="43">
        <v>45336.215277767333</v>
      </c>
      <c r="F3032" s="41">
        <v>14.407828807096392</v>
      </c>
      <c r="G3032" s="41">
        <v>5.9134966553023993</v>
      </c>
      <c r="H3032" s="42"/>
      <c r="I3032" s="42"/>
      <c r="J3032" s="42"/>
    </row>
    <row r="3033" spans="5:10">
      <c r="E3033" s="43">
        <v>45336.218749989552</v>
      </c>
      <c r="F3033" s="41">
        <v>14.407828807096392</v>
      </c>
      <c r="G3033" s="41">
        <v>5.9134966553023993</v>
      </c>
      <c r="H3033" s="42"/>
      <c r="I3033" s="42"/>
      <c r="J3033" s="42"/>
    </row>
    <row r="3034" spans="5:10">
      <c r="E3034" s="43">
        <v>45336.222222211771</v>
      </c>
      <c r="F3034" s="41">
        <v>14.407828807096392</v>
      </c>
      <c r="G3034" s="41">
        <v>5.9134966553023993</v>
      </c>
      <c r="H3034" s="42"/>
      <c r="I3034" s="42"/>
      <c r="J3034" s="42"/>
    </row>
    <row r="3035" spans="5:10">
      <c r="E3035" s="43">
        <v>45336.22569443399</v>
      </c>
      <c r="F3035" s="41">
        <v>14.407828807096392</v>
      </c>
      <c r="G3035" s="41">
        <v>5.9134966553023993</v>
      </c>
      <c r="H3035" s="42"/>
      <c r="I3035" s="42"/>
      <c r="J3035" s="42"/>
    </row>
    <row r="3036" spans="5:10">
      <c r="E3036" s="43">
        <v>45336.229166656209</v>
      </c>
      <c r="F3036" s="41">
        <v>14.407828807096392</v>
      </c>
      <c r="G3036" s="41">
        <v>5.9134966553023993</v>
      </c>
      <c r="H3036" s="42"/>
      <c r="I3036" s="42"/>
      <c r="J3036" s="42"/>
    </row>
    <row r="3037" spans="5:10">
      <c r="E3037" s="43">
        <v>45336.232638878428</v>
      </c>
      <c r="F3037" s="41">
        <v>14.407828807096392</v>
      </c>
      <c r="G3037" s="41">
        <v>5.9134966553023993</v>
      </c>
      <c r="H3037" s="42"/>
      <c r="I3037" s="42"/>
      <c r="J3037" s="42"/>
    </row>
    <row r="3038" spans="5:10">
      <c r="E3038" s="43">
        <v>45336.236111100647</v>
      </c>
      <c r="F3038" s="41">
        <v>14.407828807096392</v>
      </c>
      <c r="G3038" s="41">
        <v>5.9134966553023993</v>
      </c>
      <c r="H3038" s="42"/>
      <c r="I3038" s="42"/>
      <c r="J3038" s="42"/>
    </row>
    <row r="3039" spans="5:10">
      <c r="E3039" s="43">
        <v>45336.239583322866</v>
      </c>
      <c r="F3039" s="41">
        <v>14.407828807096392</v>
      </c>
      <c r="G3039" s="41">
        <v>5.9134966553023993</v>
      </c>
      <c r="H3039" s="42"/>
      <c r="I3039" s="42"/>
      <c r="J3039" s="42"/>
    </row>
    <row r="3040" spans="5:10">
      <c r="E3040" s="43">
        <v>45336.243055545085</v>
      </c>
      <c r="F3040" s="41">
        <v>14.407828807096392</v>
      </c>
      <c r="G3040" s="41">
        <v>5.9134966553023993</v>
      </c>
      <c r="H3040" s="42"/>
      <c r="I3040" s="42"/>
      <c r="J3040" s="42"/>
    </row>
    <row r="3041" spans="5:10">
      <c r="E3041" s="43">
        <v>45336.246527767304</v>
      </c>
      <c r="F3041" s="41">
        <v>14.407828807096392</v>
      </c>
      <c r="G3041" s="41">
        <v>5.9134966553023993</v>
      </c>
      <c r="H3041" s="42"/>
      <c r="I3041" s="42"/>
      <c r="J3041" s="42"/>
    </row>
    <row r="3042" spans="5:10">
      <c r="E3042" s="43">
        <v>45336.249999989523</v>
      </c>
      <c r="F3042" s="41">
        <v>14.407828807096392</v>
      </c>
      <c r="G3042" s="41">
        <v>5.9134966553023993</v>
      </c>
      <c r="H3042" s="42"/>
      <c r="I3042" s="42"/>
      <c r="J3042" s="42"/>
    </row>
    <row r="3043" spans="5:10">
      <c r="E3043" s="43">
        <v>45336.253472211742</v>
      </c>
      <c r="F3043" s="41">
        <v>14.407828807096392</v>
      </c>
      <c r="G3043" s="41">
        <v>5.9134966553023993</v>
      </c>
      <c r="H3043" s="42"/>
      <c r="I3043" s="42"/>
      <c r="J3043" s="42"/>
    </row>
    <row r="3044" spans="5:10">
      <c r="E3044" s="43">
        <v>45336.256944433961</v>
      </c>
      <c r="F3044" s="41">
        <v>14.407828807096392</v>
      </c>
      <c r="G3044" s="41">
        <v>5.9134966553023993</v>
      </c>
      <c r="H3044" s="42"/>
      <c r="I3044" s="42"/>
      <c r="J3044" s="42"/>
    </row>
    <row r="3045" spans="5:10">
      <c r="E3045" s="43">
        <v>45336.26041665618</v>
      </c>
      <c r="F3045" s="41">
        <v>14.407828807096392</v>
      </c>
      <c r="G3045" s="41">
        <v>0</v>
      </c>
      <c r="H3045" s="42"/>
      <c r="I3045" s="42"/>
      <c r="J3045" s="42"/>
    </row>
    <row r="3046" spans="5:10">
      <c r="E3046" s="43">
        <v>45336.263888878399</v>
      </c>
      <c r="F3046" s="41">
        <v>14.407828807096392</v>
      </c>
      <c r="G3046" s="41">
        <v>0</v>
      </c>
      <c r="H3046" s="42"/>
      <c r="I3046" s="42"/>
      <c r="J3046" s="42"/>
    </row>
    <row r="3047" spans="5:10">
      <c r="E3047" s="43">
        <v>45336.267361100618</v>
      </c>
      <c r="F3047" s="41">
        <v>14.407828807096392</v>
      </c>
      <c r="G3047" s="41">
        <v>0</v>
      </c>
      <c r="H3047" s="42"/>
      <c r="I3047" s="42"/>
      <c r="J3047" s="42"/>
    </row>
    <row r="3048" spans="5:10">
      <c r="E3048" s="43">
        <v>45336.270833322837</v>
      </c>
      <c r="F3048" s="41">
        <v>14.407828807096392</v>
      </c>
      <c r="G3048" s="41">
        <v>0</v>
      </c>
      <c r="H3048" s="42"/>
      <c r="I3048" s="42"/>
      <c r="J3048" s="42"/>
    </row>
    <row r="3049" spans="5:10">
      <c r="E3049" s="43">
        <v>45336.274305545056</v>
      </c>
      <c r="F3049" s="41">
        <v>14.407828807096392</v>
      </c>
      <c r="G3049" s="41">
        <v>0</v>
      </c>
      <c r="H3049" s="42"/>
      <c r="I3049" s="42"/>
      <c r="J3049" s="42"/>
    </row>
    <row r="3050" spans="5:10">
      <c r="E3050" s="43">
        <v>45336.277777767275</v>
      </c>
      <c r="F3050" s="41">
        <v>14.407828807096392</v>
      </c>
      <c r="G3050" s="41">
        <v>0</v>
      </c>
      <c r="H3050" s="42"/>
      <c r="I3050" s="42"/>
      <c r="J3050" s="42"/>
    </row>
    <row r="3051" spans="5:10">
      <c r="E3051" s="43">
        <v>45336.281249989494</v>
      </c>
      <c r="F3051" s="41">
        <v>14.407828807096392</v>
      </c>
      <c r="G3051" s="41">
        <v>0</v>
      </c>
      <c r="H3051" s="42"/>
      <c r="I3051" s="42"/>
      <c r="J3051" s="42"/>
    </row>
    <row r="3052" spans="5:10">
      <c r="E3052" s="43">
        <v>45336.284722211713</v>
      </c>
      <c r="F3052" s="41">
        <v>14.407828807096392</v>
      </c>
      <c r="G3052" s="41">
        <v>0</v>
      </c>
      <c r="H3052" s="42"/>
      <c r="I3052" s="42"/>
      <c r="J3052" s="42"/>
    </row>
    <row r="3053" spans="5:10">
      <c r="E3053" s="43">
        <v>45336.288194433931</v>
      </c>
      <c r="F3053" s="41">
        <v>14.407828807096392</v>
      </c>
      <c r="G3053" s="41">
        <v>0</v>
      </c>
      <c r="H3053" s="42"/>
      <c r="I3053" s="42"/>
      <c r="J3053" s="42"/>
    </row>
    <row r="3054" spans="5:10">
      <c r="E3054" s="43">
        <v>45336.29166665615</v>
      </c>
      <c r="F3054" s="41">
        <v>14.407828807096392</v>
      </c>
      <c r="G3054" s="41">
        <v>0</v>
      </c>
      <c r="H3054" s="42"/>
      <c r="I3054" s="42"/>
      <c r="J3054" s="42"/>
    </row>
    <row r="3055" spans="5:10">
      <c r="E3055" s="43">
        <v>45336.295138878369</v>
      </c>
      <c r="F3055" s="41">
        <v>14.407828807096392</v>
      </c>
      <c r="G3055" s="41">
        <v>0</v>
      </c>
      <c r="H3055" s="42"/>
      <c r="I3055" s="42"/>
      <c r="J3055" s="42"/>
    </row>
    <row r="3056" spans="5:10">
      <c r="E3056" s="43">
        <v>45336.298611100588</v>
      </c>
      <c r="F3056" s="41">
        <v>14.407828807096392</v>
      </c>
      <c r="G3056" s="41">
        <v>0</v>
      </c>
      <c r="H3056" s="42"/>
      <c r="I3056" s="42"/>
      <c r="J3056" s="42"/>
    </row>
    <row r="3057" spans="5:10">
      <c r="E3057" s="43">
        <v>45336.302083322807</v>
      </c>
      <c r="F3057" s="41">
        <v>14.407828807096392</v>
      </c>
      <c r="G3057" s="41">
        <v>17.472342537814093</v>
      </c>
      <c r="H3057" s="42"/>
      <c r="I3057" s="42"/>
      <c r="J3057" s="42"/>
    </row>
    <row r="3058" spans="5:10">
      <c r="E3058" s="43">
        <v>45336.305555545026</v>
      </c>
      <c r="F3058" s="41">
        <v>14.407828807096392</v>
      </c>
      <c r="G3058" s="41">
        <v>17.472342537814093</v>
      </c>
      <c r="H3058" s="42"/>
      <c r="I3058" s="42"/>
      <c r="J3058" s="42"/>
    </row>
    <row r="3059" spans="5:10">
      <c r="E3059" s="43">
        <v>45336.309027767245</v>
      </c>
      <c r="F3059" s="41">
        <v>14.407828807096392</v>
      </c>
      <c r="G3059" s="41">
        <v>17.472342537814093</v>
      </c>
      <c r="H3059" s="42"/>
      <c r="I3059" s="42"/>
      <c r="J3059" s="42"/>
    </row>
    <row r="3060" spans="5:10">
      <c r="E3060" s="43">
        <v>45336.312499989464</v>
      </c>
      <c r="F3060" s="41">
        <v>14.407828807096392</v>
      </c>
      <c r="G3060" s="41">
        <v>17.472342537814093</v>
      </c>
      <c r="H3060" s="42"/>
      <c r="I3060" s="42"/>
      <c r="J3060" s="42"/>
    </row>
    <row r="3061" spans="5:10">
      <c r="E3061" s="43">
        <v>45336.315972211683</v>
      </c>
      <c r="F3061" s="41">
        <v>14.407828807096392</v>
      </c>
      <c r="G3061" s="41">
        <v>17.472342537814093</v>
      </c>
      <c r="H3061" s="42"/>
      <c r="I3061" s="42"/>
      <c r="J3061" s="42"/>
    </row>
    <row r="3062" spans="5:10">
      <c r="E3062" s="43">
        <v>45336.319444433902</v>
      </c>
      <c r="F3062" s="41">
        <v>14.407828807096392</v>
      </c>
      <c r="G3062" s="41">
        <v>17.472342537814093</v>
      </c>
      <c r="H3062" s="42"/>
      <c r="I3062" s="42"/>
      <c r="J3062" s="42"/>
    </row>
    <row r="3063" spans="5:10">
      <c r="E3063" s="43">
        <v>45336.322916656121</v>
      </c>
      <c r="F3063" s="41">
        <v>14.407828807096392</v>
      </c>
      <c r="G3063" s="41">
        <v>17.472342537814093</v>
      </c>
      <c r="H3063" s="42"/>
      <c r="I3063" s="42"/>
      <c r="J3063" s="42"/>
    </row>
    <row r="3064" spans="5:10">
      <c r="E3064" s="43">
        <v>45336.32638887834</v>
      </c>
      <c r="F3064" s="41">
        <v>14.407828807096392</v>
      </c>
      <c r="G3064" s="41">
        <v>17.472342537814093</v>
      </c>
      <c r="H3064" s="42"/>
      <c r="I3064" s="42"/>
      <c r="J3064" s="42"/>
    </row>
    <row r="3065" spans="5:10">
      <c r="E3065" s="43">
        <v>45336.329861100559</v>
      </c>
      <c r="F3065" s="41">
        <v>14.407828807096392</v>
      </c>
      <c r="G3065" s="41">
        <v>17.472342537814093</v>
      </c>
      <c r="H3065" s="42"/>
      <c r="I3065" s="42"/>
      <c r="J3065" s="42"/>
    </row>
    <row r="3066" spans="5:10">
      <c r="E3066" s="43">
        <v>45336.333333322778</v>
      </c>
      <c r="F3066" s="41">
        <v>14.407828807096392</v>
      </c>
      <c r="G3066" s="41">
        <v>17.472342537814093</v>
      </c>
      <c r="H3066" s="42"/>
      <c r="I3066" s="42"/>
      <c r="J3066" s="42"/>
    </row>
    <row r="3067" spans="5:10">
      <c r="E3067" s="43">
        <v>45336.336805544997</v>
      </c>
      <c r="F3067" s="41">
        <v>14.407828807096392</v>
      </c>
      <c r="G3067" s="41">
        <v>17.472342537814093</v>
      </c>
      <c r="H3067" s="42"/>
      <c r="I3067" s="42"/>
      <c r="J3067" s="42"/>
    </row>
    <row r="3068" spans="5:10">
      <c r="E3068" s="43">
        <v>45336.340277767216</v>
      </c>
      <c r="F3068" s="41">
        <v>14.407828807096392</v>
      </c>
      <c r="G3068" s="41">
        <v>17.472342537814093</v>
      </c>
      <c r="H3068" s="42"/>
      <c r="I3068" s="42"/>
      <c r="J3068" s="42"/>
    </row>
    <row r="3069" spans="5:10">
      <c r="E3069" s="43">
        <v>45336.343749989435</v>
      </c>
      <c r="F3069" s="41">
        <v>14.407828807096392</v>
      </c>
      <c r="G3069" s="41">
        <v>17.472342537814093</v>
      </c>
      <c r="H3069" s="42"/>
      <c r="I3069" s="42"/>
      <c r="J3069" s="42"/>
    </row>
    <row r="3070" spans="5:10">
      <c r="E3070" s="43">
        <v>45336.347222211654</v>
      </c>
      <c r="F3070" s="41">
        <v>14.407828807096392</v>
      </c>
      <c r="G3070" s="41">
        <v>17.472342537814093</v>
      </c>
      <c r="H3070" s="42"/>
      <c r="I3070" s="42"/>
      <c r="J3070" s="42"/>
    </row>
    <row r="3071" spans="5:10">
      <c r="E3071" s="43">
        <v>45336.350694433873</v>
      </c>
      <c r="F3071" s="41">
        <v>14.407828807096392</v>
      </c>
      <c r="G3071" s="41">
        <v>17.472342537814093</v>
      </c>
      <c r="H3071" s="42"/>
      <c r="I3071" s="42"/>
      <c r="J3071" s="42"/>
    </row>
    <row r="3072" spans="5:10">
      <c r="E3072" s="43">
        <v>45336.354166656092</v>
      </c>
      <c r="F3072" s="41">
        <v>14.407828807096392</v>
      </c>
      <c r="G3072" s="41">
        <v>17.472342537814093</v>
      </c>
      <c r="H3072" s="42"/>
      <c r="I3072" s="42"/>
      <c r="J3072" s="42"/>
    </row>
    <row r="3073" spans="5:10">
      <c r="E3073" s="43">
        <v>45336.357638878311</v>
      </c>
      <c r="F3073" s="41">
        <v>14.407828807096392</v>
      </c>
      <c r="G3073" s="41">
        <v>17.472342537814093</v>
      </c>
      <c r="H3073" s="42"/>
      <c r="I3073" s="42"/>
      <c r="J3073" s="42"/>
    </row>
    <row r="3074" spans="5:10">
      <c r="E3074" s="43">
        <v>45336.36111110053</v>
      </c>
      <c r="F3074" s="41">
        <v>14.407828807096392</v>
      </c>
      <c r="G3074" s="41">
        <v>17.472342537814093</v>
      </c>
      <c r="H3074" s="42"/>
      <c r="I3074" s="42"/>
      <c r="J3074" s="42"/>
    </row>
    <row r="3075" spans="5:10">
      <c r="E3075" s="43">
        <v>45336.364583322749</v>
      </c>
      <c r="F3075" s="41">
        <v>14.407828807096392</v>
      </c>
      <c r="G3075" s="41">
        <v>17.472342537814093</v>
      </c>
      <c r="H3075" s="42"/>
      <c r="I3075" s="42"/>
      <c r="J3075" s="42"/>
    </row>
    <row r="3076" spans="5:10">
      <c r="E3076" s="43">
        <v>45336.368055544968</v>
      </c>
      <c r="F3076" s="41">
        <v>14.407828807096392</v>
      </c>
      <c r="G3076" s="41">
        <v>17.472342537814093</v>
      </c>
      <c r="H3076" s="42"/>
      <c r="I3076" s="42"/>
      <c r="J3076" s="42"/>
    </row>
    <row r="3077" spans="5:10">
      <c r="E3077" s="43">
        <v>45336.371527767187</v>
      </c>
      <c r="F3077" s="41">
        <v>14.407828807096392</v>
      </c>
      <c r="G3077" s="41">
        <v>17.472342537814093</v>
      </c>
      <c r="H3077" s="42"/>
      <c r="I3077" s="42"/>
      <c r="J3077" s="42"/>
    </row>
    <row r="3078" spans="5:10">
      <c r="E3078" s="43">
        <v>45336.374999989406</v>
      </c>
      <c r="F3078" s="41">
        <v>14.407828807096392</v>
      </c>
      <c r="G3078" s="41">
        <v>17.472342537814093</v>
      </c>
      <c r="H3078" s="42"/>
      <c r="I3078" s="42"/>
      <c r="J3078" s="42"/>
    </row>
    <row r="3079" spans="5:10">
      <c r="E3079" s="43">
        <v>45336.378472211625</v>
      </c>
      <c r="F3079" s="41">
        <v>14.407828807096392</v>
      </c>
      <c r="G3079" s="41">
        <v>17.472342537814093</v>
      </c>
      <c r="H3079" s="42"/>
      <c r="I3079" s="42"/>
      <c r="J3079" s="42"/>
    </row>
    <row r="3080" spans="5:10">
      <c r="E3080" s="43">
        <v>45336.381944433844</v>
      </c>
      <c r="F3080" s="41">
        <v>14.407828807096392</v>
      </c>
      <c r="G3080" s="41">
        <v>17.472342537814093</v>
      </c>
      <c r="H3080" s="42"/>
      <c r="I3080" s="42"/>
      <c r="J3080" s="42"/>
    </row>
    <row r="3081" spans="5:10">
      <c r="E3081" s="43">
        <v>45336.385416656063</v>
      </c>
      <c r="F3081" s="41">
        <v>14.407828807096392</v>
      </c>
      <c r="G3081" s="41">
        <v>17.472342537814093</v>
      </c>
      <c r="H3081" s="42"/>
      <c r="I3081" s="42"/>
      <c r="J3081" s="42"/>
    </row>
    <row r="3082" spans="5:10">
      <c r="E3082" s="43">
        <v>45336.388888878282</v>
      </c>
      <c r="F3082" s="41">
        <v>14.407828807096392</v>
      </c>
      <c r="G3082" s="41">
        <v>17.472342537814093</v>
      </c>
      <c r="H3082" s="42"/>
      <c r="I3082" s="42"/>
      <c r="J3082" s="42"/>
    </row>
    <row r="3083" spans="5:10">
      <c r="E3083" s="43">
        <v>45336.392361100501</v>
      </c>
      <c r="F3083" s="41">
        <v>14.407828807096392</v>
      </c>
      <c r="G3083" s="41">
        <v>17.472342537814093</v>
      </c>
      <c r="H3083" s="42"/>
      <c r="I3083" s="42"/>
      <c r="J3083" s="42"/>
    </row>
    <row r="3084" spans="5:10">
      <c r="E3084" s="43">
        <v>45336.39583332272</v>
      </c>
      <c r="F3084" s="41">
        <v>14.407828807096392</v>
      </c>
      <c r="G3084" s="41">
        <v>17.472342537814093</v>
      </c>
      <c r="H3084" s="42"/>
      <c r="I3084" s="42"/>
      <c r="J3084" s="42"/>
    </row>
    <row r="3085" spans="5:10">
      <c r="E3085" s="43">
        <v>45336.399305544939</v>
      </c>
      <c r="F3085" s="41">
        <v>14.407828807096392</v>
      </c>
      <c r="G3085" s="41">
        <v>17.472342537814093</v>
      </c>
      <c r="H3085" s="42"/>
      <c r="I3085" s="42"/>
      <c r="J3085" s="42"/>
    </row>
    <row r="3086" spans="5:10">
      <c r="E3086" s="43">
        <v>45336.402777767158</v>
      </c>
      <c r="F3086" s="41">
        <v>14.407828807096392</v>
      </c>
      <c r="G3086" s="41">
        <v>17.472342537814093</v>
      </c>
      <c r="H3086" s="42"/>
      <c r="I3086" s="42"/>
      <c r="J3086" s="42"/>
    </row>
    <row r="3087" spans="5:10">
      <c r="E3087" s="43">
        <v>45336.406249989377</v>
      </c>
      <c r="F3087" s="41">
        <v>14.407828807096392</v>
      </c>
      <c r="G3087" s="41">
        <v>17.472342537814093</v>
      </c>
      <c r="H3087" s="42"/>
      <c r="I3087" s="42"/>
      <c r="J3087" s="42"/>
    </row>
    <row r="3088" spans="5:10">
      <c r="E3088" s="43">
        <v>45336.409722211596</v>
      </c>
      <c r="F3088" s="41">
        <v>14.407828807096392</v>
      </c>
      <c r="G3088" s="41">
        <v>17.472342537814093</v>
      </c>
      <c r="H3088" s="42"/>
      <c r="I3088" s="42"/>
      <c r="J3088" s="42"/>
    </row>
    <row r="3089" spans="5:10">
      <c r="E3089" s="43">
        <v>45336.413194433815</v>
      </c>
      <c r="F3089" s="41">
        <v>14.407828807096392</v>
      </c>
      <c r="G3089" s="41">
        <v>17.472342537814093</v>
      </c>
      <c r="H3089" s="42"/>
      <c r="I3089" s="42"/>
      <c r="J3089" s="42"/>
    </row>
    <row r="3090" spans="5:10">
      <c r="E3090" s="43">
        <v>45336.416666656034</v>
      </c>
      <c r="F3090" s="41">
        <v>14.407828807096392</v>
      </c>
      <c r="G3090" s="41">
        <v>17.472342537814093</v>
      </c>
      <c r="H3090" s="42"/>
      <c r="I3090" s="42"/>
      <c r="J3090" s="42"/>
    </row>
    <row r="3091" spans="5:10">
      <c r="E3091" s="43">
        <v>45336.420138878253</v>
      </c>
      <c r="F3091" s="41">
        <v>14.407828807096392</v>
      </c>
      <c r="G3091" s="41">
        <v>17.472342537814093</v>
      </c>
      <c r="H3091" s="42"/>
      <c r="I3091" s="42"/>
      <c r="J3091" s="42"/>
    </row>
    <row r="3092" spans="5:10">
      <c r="E3092" s="43">
        <v>45336.423611100472</v>
      </c>
      <c r="F3092" s="41">
        <v>14.407828807096392</v>
      </c>
      <c r="G3092" s="41">
        <v>17.472342537814093</v>
      </c>
      <c r="H3092" s="42"/>
      <c r="I3092" s="42"/>
      <c r="J3092" s="42"/>
    </row>
    <row r="3093" spans="5:10">
      <c r="E3093" s="43">
        <v>45336.427083322691</v>
      </c>
      <c r="F3093" s="41">
        <v>14.407828807096392</v>
      </c>
      <c r="G3093" s="41">
        <v>17.472342537814093</v>
      </c>
      <c r="H3093" s="42"/>
      <c r="I3093" s="42"/>
      <c r="J3093" s="42"/>
    </row>
    <row r="3094" spans="5:10">
      <c r="E3094" s="43">
        <v>45336.43055554491</v>
      </c>
      <c r="F3094" s="41">
        <v>14.407828807096392</v>
      </c>
      <c r="G3094" s="41">
        <v>17.472342537814093</v>
      </c>
      <c r="H3094" s="42"/>
      <c r="I3094" s="42"/>
      <c r="J3094" s="42"/>
    </row>
    <row r="3095" spans="5:10">
      <c r="E3095" s="43">
        <v>45336.434027767129</v>
      </c>
      <c r="F3095" s="41">
        <v>14.407828807096392</v>
      </c>
      <c r="G3095" s="41">
        <v>17.472342537814093</v>
      </c>
      <c r="H3095" s="42"/>
      <c r="I3095" s="42"/>
      <c r="J3095" s="42"/>
    </row>
    <row r="3096" spans="5:10">
      <c r="E3096" s="43">
        <v>45336.437499989348</v>
      </c>
      <c r="F3096" s="41">
        <v>14.407828807096392</v>
      </c>
      <c r="G3096" s="41">
        <v>17.472342537814093</v>
      </c>
      <c r="H3096" s="42"/>
      <c r="I3096" s="42"/>
      <c r="J3096" s="42"/>
    </row>
    <row r="3097" spans="5:10">
      <c r="E3097" s="43">
        <v>45336.440972211567</v>
      </c>
      <c r="F3097" s="41">
        <v>14.407828807096392</v>
      </c>
      <c r="G3097" s="41">
        <v>17.472342537814093</v>
      </c>
      <c r="H3097" s="42"/>
      <c r="I3097" s="42"/>
      <c r="J3097" s="42"/>
    </row>
    <row r="3098" spans="5:10">
      <c r="E3098" s="43">
        <v>45336.444444433786</v>
      </c>
      <c r="F3098" s="41">
        <v>14.407828807096392</v>
      </c>
      <c r="G3098" s="41">
        <v>17.472342537814093</v>
      </c>
      <c r="H3098" s="42"/>
      <c r="I3098" s="42"/>
      <c r="J3098" s="42"/>
    </row>
    <row r="3099" spans="5:10">
      <c r="E3099" s="43">
        <v>45336.447916656005</v>
      </c>
      <c r="F3099" s="41">
        <v>14.407828807096392</v>
      </c>
      <c r="G3099" s="41">
        <v>17.472342537814093</v>
      </c>
      <c r="H3099" s="42"/>
      <c r="I3099" s="42"/>
      <c r="J3099" s="42"/>
    </row>
    <row r="3100" spans="5:10">
      <c r="E3100" s="43">
        <v>45336.451388878224</v>
      </c>
      <c r="F3100" s="41">
        <v>14.407828807096392</v>
      </c>
      <c r="G3100" s="41">
        <v>17.472342537814093</v>
      </c>
      <c r="H3100" s="42"/>
      <c r="I3100" s="42"/>
      <c r="J3100" s="42"/>
    </row>
    <row r="3101" spans="5:10">
      <c r="E3101" s="43">
        <v>45336.454861100443</v>
      </c>
      <c r="F3101" s="41">
        <v>14.407828807096392</v>
      </c>
      <c r="G3101" s="41">
        <v>17.472342537814093</v>
      </c>
      <c r="H3101" s="42"/>
      <c r="I3101" s="42"/>
      <c r="J3101" s="42"/>
    </row>
    <row r="3102" spans="5:10">
      <c r="E3102" s="43">
        <v>45336.458333322662</v>
      </c>
      <c r="F3102" s="41">
        <v>14.407828807096392</v>
      </c>
      <c r="G3102" s="41">
        <v>17.472342537814093</v>
      </c>
      <c r="H3102" s="42"/>
      <c r="I3102" s="42"/>
      <c r="J3102" s="42"/>
    </row>
    <row r="3103" spans="5:10">
      <c r="E3103" s="43">
        <v>45336.461805544881</v>
      </c>
      <c r="F3103" s="41">
        <v>14.407828807096392</v>
      </c>
      <c r="G3103" s="41">
        <v>17.472342537814093</v>
      </c>
      <c r="H3103" s="42"/>
      <c r="I3103" s="42"/>
      <c r="J3103" s="42"/>
    </row>
    <row r="3104" spans="5:10">
      <c r="E3104" s="43">
        <v>45336.4652777671</v>
      </c>
      <c r="F3104" s="41">
        <v>14.407828807096392</v>
      </c>
      <c r="G3104" s="41">
        <v>17.472342537814093</v>
      </c>
      <c r="H3104" s="42"/>
      <c r="I3104" s="42"/>
      <c r="J3104" s="42"/>
    </row>
    <row r="3105" spans="5:10">
      <c r="E3105" s="43">
        <v>45336.468749989319</v>
      </c>
      <c r="F3105" s="41">
        <v>14.407828807096392</v>
      </c>
      <c r="G3105" s="41">
        <v>17.472342537814093</v>
      </c>
      <c r="H3105" s="42"/>
      <c r="I3105" s="42"/>
      <c r="J3105" s="42"/>
    </row>
    <row r="3106" spans="5:10">
      <c r="E3106" s="43">
        <v>45336.472222211538</v>
      </c>
      <c r="F3106" s="41">
        <v>14.407828807096392</v>
      </c>
      <c r="G3106" s="41">
        <v>17.472342537814093</v>
      </c>
      <c r="H3106" s="42"/>
      <c r="I3106" s="42"/>
      <c r="J3106" s="42"/>
    </row>
    <row r="3107" spans="5:10">
      <c r="E3107" s="43">
        <v>45336.475694433757</v>
      </c>
      <c r="F3107" s="41">
        <v>14.407828807096392</v>
      </c>
      <c r="G3107" s="41">
        <v>17.472342537814093</v>
      </c>
      <c r="H3107" s="42"/>
      <c r="I3107" s="42"/>
      <c r="J3107" s="42"/>
    </row>
    <row r="3108" spans="5:10">
      <c r="E3108" s="43">
        <v>45336.479166655976</v>
      </c>
      <c r="F3108" s="41">
        <v>14.407828807096392</v>
      </c>
      <c r="G3108" s="41">
        <v>17.472342537814093</v>
      </c>
      <c r="H3108" s="42"/>
      <c r="I3108" s="42"/>
      <c r="J3108" s="42"/>
    </row>
    <row r="3109" spans="5:10">
      <c r="E3109" s="43">
        <v>45336.482638878195</v>
      </c>
      <c r="F3109" s="41">
        <v>14.407828807096392</v>
      </c>
      <c r="G3109" s="41">
        <v>17.472342537814093</v>
      </c>
      <c r="H3109" s="42"/>
      <c r="I3109" s="42"/>
      <c r="J3109" s="42"/>
    </row>
    <row r="3110" spans="5:10">
      <c r="E3110" s="43">
        <v>45336.486111100414</v>
      </c>
      <c r="F3110" s="41">
        <v>14.407828807096392</v>
      </c>
      <c r="G3110" s="41">
        <v>17.472342537814093</v>
      </c>
      <c r="H3110" s="42"/>
      <c r="I3110" s="42"/>
      <c r="J3110" s="42"/>
    </row>
    <row r="3111" spans="5:10">
      <c r="E3111" s="43">
        <v>45336.489583322633</v>
      </c>
      <c r="F3111" s="41">
        <v>14.407828807096392</v>
      </c>
      <c r="G3111" s="41">
        <v>17.472342537814093</v>
      </c>
      <c r="H3111" s="42"/>
      <c r="I3111" s="42"/>
      <c r="J3111" s="42"/>
    </row>
    <row r="3112" spans="5:10">
      <c r="E3112" s="43">
        <v>45336.493055544852</v>
      </c>
      <c r="F3112" s="41">
        <v>14.407828807096392</v>
      </c>
      <c r="G3112" s="41">
        <v>17.472342537814093</v>
      </c>
      <c r="H3112" s="42"/>
      <c r="I3112" s="42"/>
      <c r="J3112" s="42"/>
    </row>
    <row r="3113" spans="5:10">
      <c r="E3113" s="43">
        <v>45336.496527767071</v>
      </c>
      <c r="F3113" s="41">
        <v>14.407828807096392</v>
      </c>
      <c r="G3113" s="41">
        <v>17.472342537814093</v>
      </c>
      <c r="H3113" s="42"/>
      <c r="I3113" s="42"/>
      <c r="J3113" s="42"/>
    </row>
    <row r="3114" spans="5:10">
      <c r="E3114" s="43">
        <v>45336.49999998929</v>
      </c>
      <c r="F3114" s="41">
        <v>14.407828807096392</v>
      </c>
      <c r="G3114" s="41">
        <v>17.472342537814093</v>
      </c>
      <c r="H3114" s="42"/>
      <c r="I3114" s="42"/>
      <c r="J3114" s="42"/>
    </row>
    <row r="3115" spans="5:10">
      <c r="E3115" s="43">
        <v>45336.503472211509</v>
      </c>
      <c r="F3115" s="41">
        <v>14.407828807096392</v>
      </c>
      <c r="G3115" s="41">
        <v>17.472342537814093</v>
      </c>
      <c r="H3115" s="42"/>
      <c r="I3115" s="42"/>
      <c r="J3115" s="42"/>
    </row>
    <row r="3116" spans="5:10">
      <c r="E3116" s="43">
        <v>45336.506944433728</v>
      </c>
      <c r="F3116" s="41">
        <v>14.407828807096392</v>
      </c>
      <c r="G3116" s="41">
        <v>17.472342537814093</v>
      </c>
      <c r="H3116" s="42"/>
      <c r="I3116" s="42"/>
      <c r="J3116" s="42"/>
    </row>
    <row r="3117" spans="5:10">
      <c r="E3117" s="43">
        <v>45336.510416655947</v>
      </c>
      <c r="F3117" s="41">
        <v>14.407828807096392</v>
      </c>
      <c r="G3117" s="41">
        <v>17.472342537814093</v>
      </c>
      <c r="H3117" s="42"/>
      <c r="I3117" s="42"/>
      <c r="J3117" s="42"/>
    </row>
    <row r="3118" spans="5:10">
      <c r="E3118" s="43">
        <v>45336.513888878166</v>
      </c>
      <c r="F3118" s="41">
        <v>14.407828807096392</v>
      </c>
      <c r="G3118" s="41">
        <v>17.472342537814093</v>
      </c>
      <c r="H3118" s="42"/>
      <c r="I3118" s="42"/>
      <c r="J3118" s="42"/>
    </row>
    <row r="3119" spans="5:10">
      <c r="E3119" s="43">
        <v>45336.517361100385</v>
      </c>
      <c r="F3119" s="41">
        <v>14.407828807096392</v>
      </c>
      <c r="G3119" s="41">
        <v>17.472342537814093</v>
      </c>
      <c r="H3119" s="42"/>
      <c r="I3119" s="42"/>
      <c r="J3119" s="42"/>
    </row>
    <row r="3120" spans="5:10">
      <c r="E3120" s="43">
        <v>45336.520833322604</v>
      </c>
      <c r="F3120" s="41">
        <v>14.407828807096392</v>
      </c>
      <c r="G3120" s="41">
        <v>17.472342537814093</v>
      </c>
      <c r="H3120" s="42"/>
      <c r="I3120" s="42"/>
      <c r="J3120" s="42"/>
    </row>
    <row r="3121" spans="5:10">
      <c r="E3121" s="43">
        <v>45336.524305544823</v>
      </c>
      <c r="F3121" s="41">
        <v>14.407828807096392</v>
      </c>
      <c r="G3121" s="41">
        <v>17.472342537814093</v>
      </c>
      <c r="H3121" s="42"/>
      <c r="I3121" s="42"/>
      <c r="J3121" s="42"/>
    </row>
    <row r="3122" spans="5:10">
      <c r="E3122" s="43">
        <v>45336.527777767042</v>
      </c>
      <c r="F3122" s="41">
        <v>14.407828807096392</v>
      </c>
      <c r="G3122" s="41">
        <v>17.472342537814093</v>
      </c>
      <c r="H3122" s="42"/>
      <c r="I3122" s="42"/>
      <c r="J3122" s="42"/>
    </row>
    <row r="3123" spans="5:10">
      <c r="E3123" s="43">
        <v>45336.531249989261</v>
      </c>
      <c r="F3123" s="41">
        <v>14.407828807096392</v>
      </c>
      <c r="G3123" s="41">
        <v>17.472342537814093</v>
      </c>
      <c r="H3123" s="42"/>
      <c r="I3123" s="42"/>
      <c r="J3123" s="42"/>
    </row>
    <row r="3124" spans="5:10">
      <c r="E3124" s="43">
        <v>45336.53472221148</v>
      </c>
      <c r="F3124" s="41">
        <v>14.407828807096392</v>
      </c>
      <c r="G3124" s="41">
        <v>17.472342537814093</v>
      </c>
      <c r="H3124" s="42"/>
      <c r="I3124" s="42"/>
      <c r="J3124" s="42"/>
    </row>
    <row r="3125" spans="5:10">
      <c r="E3125" s="43">
        <v>45336.538194433699</v>
      </c>
      <c r="F3125" s="41">
        <v>14.407828807096392</v>
      </c>
      <c r="G3125" s="41">
        <v>17.472342537814093</v>
      </c>
      <c r="H3125" s="42"/>
      <c r="I3125" s="42"/>
      <c r="J3125" s="42"/>
    </row>
    <row r="3126" spans="5:10">
      <c r="E3126" s="43">
        <v>45336.541666655918</v>
      </c>
      <c r="F3126" s="41">
        <v>14.407828807096392</v>
      </c>
      <c r="G3126" s="41">
        <v>17.472342537814093</v>
      </c>
      <c r="H3126" s="42"/>
      <c r="I3126" s="42"/>
      <c r="J3126" s="42"/>
    </row>
    <row r="3127" spans="5:10">
      <c r="E3127" s="43">
        <v>45336.545138878137</v>
      </c>
      <c r="F3127" s="41">
        <v>14.407828807096392</v>
      </c>
      <c r="G3127" s="41">
        <v>17.472342537814093</v>
      </c>
      <c r="H3127" s="42"/>
      <c r="I3127" s="42"/>
      <c r="J3127" s="42"/>
    </row>
    <row r="3128" spans="5:10">
      <c r="E3128" s="43">
        <v>45336.548611100356</v>
      </c>
      <c r="F3128" s="41">
        <v>14.407828807096392</v>
      </c>
      <c r="G3128" s="41">
        <v>17.472342537814093</v>
      </c>
      <c r="H3128" s="42"/>
      <c r="I3128" s="42"/>
      <c r="J3128" s="42"/>
    </row>
    <row r="3129" spans="5:10">
      <c r="E3129" s="43">
        <v>45336.552083322575</v>
      </c>
      <c r="F3129" s="41">
        <v>14.407828807096392</v>
      </c>
      <c r="G3129" s="41">
        <v>17.472342537814093</v>
      </c>
      <c r="H3129" s="42"/>
      <c r="I3129" s="42"/>
      <c r="J3129" s="42"/>
    </row>
    <row r="3130" spans="5:10">
      <c r="E3130" s="43">
        <v>45336.555555544794</v>
      </c>
      <c r="F3130" s="41">
        <v>14.407828807096392</v>
      </c>
      <c r="G3130" s="41">
        <v>17.472342537814093</v>
      </c>
      <c r="H3130" s="42"/>
      <c r="I3130" s="42"/>
      <c r="J3130" s="42"/>
    </row>
    <row r="3131" spans="5:10">
      <c r="E3131" s="43">
        <v>45336.559027767013</v>
      </c>
      <c r="F3131" s="41">
        <v>14.407828807096392</v>
      </c>
      <c r="G3131" s="41">
        <v>17.472342537814093</v>
      </c>
      <c r="H3131" s="42"/>
      <c r="I3131" s="42"/>
      <c r="J3131" s="42"/>
    </row>
    <row r="3132" spans="5:10">
      <c r="E3132" s="43">
        <v>45336.562499989232</v>
      </c>
      <c r="F3132" s="41">
        <v>14.407828807096392</v>
      </c>
      <c r="G3132" s="41">
        <v>17.472342537814093</v>
      </c>
      <c r="H3132" s="42"/>
      <c r="I3132" s="42"/>
      <c r="J3132" s="42"/>
    </row>
    <row r="3133" spans="5:10">
      <c r="E3133" s="43">
        <v>45336.565972211451</v>
      </c>
      <c r="F3133" s="41">
        <v>14.407828807096392</v>
      </c>
      <c r="G3133" s="41">
        <v>17.472342537814093</v>
      </c>
      <c r="H3133" s="42"/>
      <c r="I3133" s="42"/>
      <c r="J3133" s="42"/>
    </row>
    <row r="3134" spans="5:10">
      <c r="E3134" s="43">
        <v>45336.56944443367</v>
      </c>
      <c r="F3134" s="41">
        <v>14.407828807096392</v>
      </c>
      <c r="G3134" s="41">
        <v>17.472342537814093</v>
      </c>
      <c r="H3134" s="42"/>
      <c r="I3134" s="42"/>
      <c r="J3134" s="42"/>
    </row>
    <row r="3135" spans="5:10">
      <c r="E3135" s="43">
        <v>45336.572916655889</v>
      </c>
      <c r="F3135" s="41">
        <v>14.407828807096392</v>
      </c>
      <c r="G3135" s="41">
        <v>17.472342537814093</v>
      </c>
      <c r="H3135" s="42"/>
      <c r="I3135" s="42"/>
      <c r="J3135" s="42"/>
    </row>
    <row r="3136" spans="5:10">
      <c r="E3136" s="43">
        <v>45336.576388878108</v>
      </c>
      <c r="F3136" s="41">
        <v>14.407828807096392</v>
      </c>
      <c r="G3136" s="41">
        <v>17.472342537814093</v>
      </c>
      <c r="H3136" s="42"/>
      <c r="I3136" s="42"/>
      <c r="J3136" s="42"/>
    </row>
    <row r="3137" spans="5:10">
      <c r="E3137" s="43">
        <v>45336.579861100327</v>
      </c>
      <c r="F3137" s="41">
        <v>14.407828807096392</v>
      </c>
      <c r="G3137" s="41">
        <v>17.472342537814093</v>
      </c>
      <c r="H3137" s="42"/>
      <c r="I3137" s="42"/>
      <c r="J3137" s="42"/>
    </row>
    <row r="3138" spans="5:10">
      <c r="E3138" s="43">
        <v>45336.583333322546</v>
      </c>
      <c r="F3138" s="41">
        <v>14.407828807096392</v>
      </c>
      <c r="G3138" s="41">
        <v>17.472342537814093</v>
      </c>
      <c r="H3138" s="42"/>
      <c r="I3138" s="42"/>
      <c r="J3138" s="42"/>
    </row>
    <row r="3139" spans="5:10">
      <c r="E3139" s="43">
        <v>45336.586805544765</v>
      </c>
      <c r="F3139" s="41">
        <v>14.407828807096392</v>
      </c>
      <c r="G3139" s="41">
        <v>17.472342537814093</v>
      </c>
      <c r="H3139" s="42"/>
      <c r="I3139" s="42"/>
      <c r="J3139" s="42"/>
    </row>
    <row r="3140" spans="5:10">
      <c r="E3140" s="43">
        <v>45336.590277766983</v>
      </c>
      <c r="F3140" s="41">
        <v>14.407828807096392</v>
      </c>
      <c r="G3140" s="41">
        <v>17.472342537814093</v>
      </c>
      <c r="H3140" s="42"/>
      <c r="I3140" s="42"/>
      <c r="J3140" s="42"/>
    </row>
    <row r="3141" spans="5:10">
      <c r="E3141" s="43">
        <v>45336.593749989202</v>
      </c>
      <c r="F3141" s="41">
        <v>14.407828807096392</v>
      </c>
      <c r="G3141" s="41">
        <v>17.472342537814093</v>
      </c>
      <c r="H3141" s="42"/>
      <c r="I3141" s="42"/>
      <c r="J3141" s="42"/>
    </row>
    <row r="3142" spans="5:10">
      <c r="E3142" s="43">
        <v>45336.597222211421</v>
      </c>
      <c r="F3142" s="41">
        <v>14.407828807096392</v>
      </c>
      <c r="G3142" s="41">
        <v>17.472342537814093</v>
      </c>
      <c r="H3142" s="42"/>
      <c r="I3142" s="42"/>
      <c r="J3142" s="42"/>
    </row>
    <row r="3143" spans="5:10">
      <c r="E3143" s="43">
        <v>45336.60069443364</v>
      </c>
      <c r="F3143" s="41">
        <v>14.407828807096392</v>
      </c>
      <c r="G3143" s="41">
        <v>17.472342537814093</v>
      </c>
      <c r="H3143" s="42"/>
      <c r="I3143" s="42"/>
      <c r="J3143" s="42"/>
    </row>
    <row r="3144" spans="5:10">
      <c r="E3144" s="43">
        <v>45336.604166655859</v>
      </c>
      <c r="F3144" s="41">
        <v>14.407828807096392</v>
      </c>
      <c r="G3144" s="41">
        <v>17.472342537814093</v>
      </c>
      <c r="H3144" s="42"/>
      <c r="I3144" s="42"/>
      <c r="J3144" s="42"/>
    </row>
    <row r="3145" spans="5:10">
      <c r="E3145" s="43">
        <v>45336.607638878078</v>
      </c>
      <c r="F3145" s="41">
        <v>14.407828807096392</v>
      </c>
      <c r="G3145" s="41">
        <v>17.472342537814093</v>
      </c>
      <c r="H3145" s="42"/>
      <c r="I3145" s="42"/>
      <c r="J3145" s="42"/>
    </row>
    <row r="3146" spans="5:10">
      <c r="E3146" s="43">
        <v>45336.611111100297</v>
      </c>
      <c r="F3146" s="41">
        <v>14.407828807096392</v>
      </c>
      <c r="G3146" s="41">
        <v>17.472342537814093</v>
      </c>
      <c r="H3146" s="42"/>
      <c r="I3146" s="42"/>
      <c r="J3146" s="42"/>
    </row>
    <row r="3147" spans="5:10">
      <c r="E3147" s="43">
        <v>45336.614583322516</v>
      </c>
      <c r="F3147" s="41">
        <v>14.407828807096392</v>
      </c>
      <c r="G3147" s="41">
        <v>17.472342537814093</v>
      </c>
      <c r="H3147" s="42"/>
      <c r="I3147" s="42"/>
      <c r="J3147" s="42"/>
    </row>
    <row r="3148" spans="5:10">
      <c r="E3148" s="43">
        <v>45336.618055544735</v>
      </c>
      <c r="F3148" s="41">
        <v>14.407828807096392</v>
      </c>
      <c r="G3148" s="41">
        <v>17.472342537814093</v>
      </c>
      <c r="H3148" s="42"/>
      <c r="I3148" s="42"/>
      <c r="J3148" s="42"/>
    </row>
    <row r="3149" spans="5:10">
      <c r="E3149" s="43">
        <v>45336.621527766954</v>
      </c>
      <c r="F3149" s="41">
        <v>14.407828807096392</v>
      </c>
      <c r="G3149" s="41">
        <v>17.472342537814093</v>
      </c>
      <c r="H3149" s="42"/>
      <c r="I3149" s="42"/>
      <c r="J3149" s="42"/>
    </row>
    <row r="3150" spans="5:10">
      <c r="E3150" s="43">
        <v>45336.624999989173</v>
      </c>
      <c r="F3150" s="41">
        <v>14.407828807096392</v>
      </c>
      <c r="G3150" s="41">
        <v>17.472342537814093</v>
      </c>
      <c r="H3150" s="42"/>
      <c r="I3150" s="42"/>
      <c r="J3150" s="42"/>
    </row>
    <row r="3151" spans="5:10">
      <c r="E3151" s="43">
        <v>45336.628472211392</v>
      </c>
      <c r="F3151" s="41">
        <v>14.407828807096392</v>
      </c>
      <c r="G3151" s="41">
        <v>17.472342537814093</v>
      </c>
      <c r="H3151" s="42"/>
      <c r="I3151" s="42"/>
      <c r="J3151" s="42"/>
    </row>
    <row r="3152" spans="5:10">
      <c r="E3152" s="43">
        <v>45336.631944433611</v>
      </c>
      <c r="F3152" s="41">
        <v>14.407828807096392</v>
      </c>
      <c r="G3152" s="41">
        <v>17.472342537814093</v>
      </c>
      <c r="H3152" s="42"/>
      <c r="I3152" s="42"/>
      <c r="J3152" s="42"/>
    </row>
    <row r="3153" spans="5:10">
      <c r="E3153" s="43">
        <v>45336.63541665583</v>
      </c>
      <c r="F3153" s="41">
        <v>14.407828807096392</v>
      </c>
      <c r="G3153" s="41">
        <v>17.472342537814093</v>
      </c>
      <c r="H3153" s="42"/>
      <c r="I3153" s="42"/>
      <c r="J3153" s="42"/>
    </row>
    <row r="3154" spans="5:10">
      <c r="E3154" s="43">
        <v>45336.638888878049</v>
      </c>
      <c r="F3154" s="41">
        <v>14.407828807096392</v>
      </c>
      <c r="G3154" s="41">
        <v>17.472342537814093</v>
      </c>
      <c r="H3154" s="42"/>
      <c r="I3154" s="42"/>
      <c r="J3154" s="42"/>
    </row>
    <row r="3155" spans="5:10">
      <c r="E3155" s="43">
        <v>45336.642361100268</v>
      </c>
      <c r="F3155" s="41">
        <v>14.407828807096392</v>
      </c>
      <c r="G3155" s="41">
        <v>17.472342537814093</v>
      </c>
      <c r="H3155" s="42"/>
      <c r="I3155" s="42"/>
      <c r="J3155" s="42"/>
    </row>
    <row r="3156" spans="5:10">
      <c r="E3156" s="43">
        <v>45336.645833322487</v>
      </c>
      <c r="F3156" s="41">
        <v>20.783043770097059</v>
      </c>
      <c r="G3156" s="41">
        <v>17.472342537814093</v>
      </c>
      <c r="H3156" s="42"/>
      <c r="I3156" s="42"/>
      <c r="J3156" s="42"/>
    </row>
    <row r="3157" spans="5:10">
      <c r="E3157" s="43">
        <v>45336.649305544706</v>
      </c>
      <c r="F3157" s="41">
        <v>20.783043770097059</v>
      </c>
      <c r="G3157" s="41">
        <v>17.472342537814093</v>
      </c>
      <c r="H3157" s="42"/>
      <c r="I3157" s="42"/>
      <c r="J3157" s="42"/>
    </row>
    <row r="3158" spans="5:10">
      <c r="E3158" s="43">
        <v>45336.652777766925</v>
      </c>
      <c r="F3158" s="41">
        <v>20.783043770097059</v>
      </c>
      <c r="G3158" s="41">
        <v>17.472342537814093</v>
      </c>
      <c r="H3158" s="42"/>
      <c r="I3158" s="42"/>
      <c r="J3158" s="42"/>
    </row>
    <row r="3159" spans="5:10">
      <c r="E3159" s="43">
        <v>45336.656249989144</v>
      </c>
      <c r="F3159" s="41">
        <v>20.783043770097059</v>
      </c>
      <c r="G3159" s="41">
        <v>17.472342537814093</v>
      </c>
      <c r="H3159" s="42"/>
      <c r="I3159" s="42"/>
      <c r="J3159" s="42"/>
    </row>
    <row r="3160" spans="5:10">
      <c r="E3160" s="43">
        <v>45336.659722211363</v>
      </c>
      <c r="F3160" s="41">
        <v>20.783043770097059</v>
      </c>
      <c r="G3160" s="41">
        <v>17.472342537814093</v>
      </c>
      <c r="H3160" s="42"/>
      <c r="I3160" s="42"/>
      <c r="J3160" s="42"/>
    </row>
    <row r="3161" spans="5:10">
      <c r="E3161" s="43">
        <v>45336.663194433582</v>
      </c>
      <c r="F3161" s="41">
        <v>20.783043770097059</v>
      </c>
      <c r="G3161" s="41">
        <v>17.472342537814093</v>
      </c>
      <c r="H3161" s="42"/>
      <c r="I3161" s="42"/>
      <c r="J3161" s="42"/>
    </row>
    <row r="3162" spans="5:10">
      <c r="E3162" s="43">
        <v>45336.666666655801</v>
      </c>
      <c r="F3162" s="41">
        <v>25.632988379651742</v>
      </c>
      <c r="G3162" s="41">
        <v>17.472342537814093</v>
      </c>
      <c r="H3162" s="42"/>
      <c r="I3162" s="42"/>
      <c r="J3162" s="42"/>
    </row>
    <row r="3163" spans="5:10">
      <c r="E3163" s="43">
        <v>45336.67013887802</v>
      </c>
      <c r="F3163" s="41">
        <v>19.593009798910018</v>
      </c>
      <c r="G3163" s="41">
        <v>17.472342537814093</v>
      </c>
      <c r="H3163" s="42"/>
      <c r="I3163" s="42"/>
      <c r="J3163" s="42"/>
    </row>
    <row r="3164" spans="5:10">
      <c r="E3164" s="43">
        <v>45336.673611100239</v>
      </c>
      <c r="F3164" s="41">
        <v>19.593009798910018</v>
      </c>
      <c r="G3164" s="41">
        <v>17.472342537814093</v>
      </c>
      <c r="H3164" s="42"/>
      <c r="I3164" s="42"/>
      <c r="J3164" s="42"/>
    </row>
    <row r="3165" spans="5:10">
      <c r="E3165" s="43">
        <v>45336.677083322458</v>
      </c>
      <c r="F3165" s="41">
        <v>19.593009798910018</v>
      </c>
      <c r="G3165" s="41">
        <v>17.472342537814093</v>
      </c>
      <c r="H3165" s="42"/>
      <c r="I3165" s="42"/>
      <c r="J3165" s="42"/>
    </row>
    <row r="3166" spans="5:10">
      <c r="E3166" s="43">
        <v>45336.680555544677</v>
      </c>
      <c r="F3166" s="41">
        <v>19.593009798910018</v>
      </c>
      <c r="G3166" s="41">
        <v>17.472342537814093</v>
      </c>
      <c r="H3166" s="42"/>
      <c r="I3166" s="42"/>
      <c r="J3166" s="42"/>
    </row>
    <row r="3167" spans="5:10">
      <c r="E3167" s="43">
        <v>45336.684027766896</v>
      </c>
      <c r="F3167" s="41">
        <v>19.593009798910018</v>
      </c>
      <c r="G3167" s="41">
        <v>17.472342537814093</v>
      </c>
      <c r="H3167" s="42"/>
      <c r="I3167" s="42"/>
      <c r="J3167" s="42"/>
    </row>
    <row r="3168" spans="5:10">
      <c r="E3168" s="43">
        <v>45336.687499989115</v>
      </c>
      <c r="F3168" s="41">
        <v>19.593009798910018</v>
      </c>
      <c r="G3168" s="41">
        <v>17.472342537814093</v>
      </c>
      <c r="H3168" s="42"/>
      <c r="I3168" s="42"/>
      <c r="J3168" s="42"/>
    </row>
    <row r="3169" spans="5:10">
      <c r="E3169" s="43">
        <v>45336.690972211334</v>
      </c>
      <c r="F3169" s="41">
        <v>19.593009798910018</v>
      </c>
      <c r="G3169" s="41">
        <v>17.472342537814093</v>
      </c>
      <c r="H3169" s="42"/>
      <c r="I3169" s="42"/>
      <c r="J3169" s="42"/>
    </row>
    <row r="3170" spans="5:10">
      <c r="E3170" s="43">
        <v>45336.694444433553</v>
      </c>
      <c r="F3170" s="41">
        <v>19.593009798910018</v>
      </c>
      <c r="G3170" s="41">
        <v>17.472342537814093</v>
      </c>
      <c r="H3170" s="42"/>
      <c r="I3170" s="42"/>
      <c r="J3170" s="42"/>
    </row>
    <row r="3171" spans="5:10">
      <c r="E3171" s="43">
        <v>45336.697916655772</v>
      </c>
      <c r="F3171" s="41">
        <v>19.593009798910018</v>
      </c>
      <c r="G3171" s="41">
        <v>17.472342537814093</v>
      </c>
      <c r="H3171" s="42"/>
      <c r="I3171" s="42"/>
      <c r="J3171" s="42"/>
    </row>
    <row r="3172" spans="5:10">
      <c r="E3172" s="43">
        <v>45336.701388877991</v>
      </c>
      <c r="F3172" s="41">
        <v>19.593009798910018</v>
      </c>
      <c r="G3172" s="41">
        <v>17.472342537814093</v>
      </c>
      <c r="H3172" s="42"/>
      <c r="I3172" s="42"/>
      <c r="J3172" s="42"/>
    </row>
    <row r="3173" spans="5:10">
      <c r="E3173" s="43">
        <v>45336.70486110021</v>
      </c>
      <c r="F3173" s="41">
        <v>19.593009798910018</v>
      </c>
      <c r="G3173" s="41">
        <v>17.472342537814093</v>
      </c>
      <c r="H3173" s="42"/>
      <c r="I3173" s="42"/>
      <c r="J3173" s="42"/>
    </row>
    <row r="3174" spans="5:10">
      <c r="E3174" s="43">
        <v>45336.708333322429</v>
      </c>
      <c r="F3174" s="41">
        <v>19.593009798910018</v>
      </c>
      <c r="G3174" s="41">
        <v>17.472342537814093</v>
      </c>
      <c r="H3174" s="42"/>
      <c r="I3174" s="42"/>
      <c r="J3174" s="42"/>
    </row>
    <row r="3175" spans="5:10">
      <c r="E3175" s="43">
        <v>45336.711805544648</v>
      </c>
      <c r="F3175" s="41">
        <v>19.593009798910018</v>
      </c>
      <c r="G3175" s="41">
        <v>17.472342537814093</v>
      </c>
      <c r="H3175" s="42"/>
      <c r="I3175" s="42"/>
      <c r="J3175" s="42"/>
    </row>
    <row r="3176" spans="5:10">
      <c r="E3176" s="43">
        <v>45336.715277766867</v>
      </c>
      <c r="F3176" s="41">
        <v>19.593009798910018</v>
      </c>
      <c r="G3176" s="41">
        <v>17.472342537814093</v>
      </c>
      <c r="H3176" s="42"/>
      <c r="I3176" s="42"/>
      <c r="J3176" s="42"/>
    </row>
    <row r="3177" spans="5:10">
      <c r="E3177" s="43">
        <v>45336.718749989086</v>
      </c>
      <c r="F3177" s="41">
        <v>19.593009798910018</v>
      </c>
      <c r="G3177" s="41">
        <v>17.472342537814093</v>
      </c>
      <c r="H3177" s="42"/>
      <c r="I3177" s="42"/>
      <c r="J3177" s="42"/>
    </row>
    <row r="3178" spans="5:10">
      <c r="E3178" s="43">
        <v>45336.722222211305</v>
      </c>
      <c r="F3178" s="41">
        <v>19.593009798910018</v>
      </c>
      <c r="G3178" s="41">
        <v>17.472342537814093</v>
      </c>
      <c r="H3178" s="42"/>
      <c r="I3178" s="42"/>
      <c r="J3178" s="42"/>
    </row>
    <row r="3179" spans="5:10">
      <c r="E3179" s="43">
        <v>45336.725694433524</v>
      </c>
      <c r="F3179" s="41">
        <v>19.593009798910018</v>
      </c>
      <c r="G3179" s="41">
        <v>17.472342537814093</v>
      </c>
      <c r="H3179" s="42"/>
      <c r="I3179" s="42"/>
      <c r="J3179" s="42"/>
    </row>
    <row r="3180" spans="5:10">
      <c r="E3180" s="43">
        <v>45336.729166655743</v>
      </c>
      <c r="F3180" s="41">
        <v>19.593009798910018</v>
      </c>
      <c r="G3180" s="41">
        <v>17.472342537814093</v>
      </c>
      <c r="H3180" s="42"/>
      <c r="I3180" s="42"/>
      <c r="J3180" s="42"/>
    </row>
    <row r="3181" spans="5:10">
      <c r="E3181" s="43">
        <v>45336.732638877962</v>
      </c>
      <c r="F3181" s="41">
        <v>19.593009798910018</v>
      </c>
      <c r="G3181" s="41">
        <v>17.472342537814093</v>
      </c>
      <c r="H3181" s="42"/>
      <c r="I3181" s="42"/>
      <c r="J3181" s="42"/>
    </row>
    <row r="3182" spans="5:10">
      <c r="E3182" s="43">
        <v>45336.736111100181</v>
      </c>
      <c r="F3182" s="41">
        <v>19.593009798910018</v>
      </c>
      <c r="G3182" s="41">
        <v>17.472342537814093</v>
      </c>
      <c r="H3182" s="42"/>
      <c r="I3182" s="42"/>
      <c r="J3182" s="42"/>
    </row>
    <row r="3183" spans="5:10">
      <c r="E3183" s="43">
        <v>45336.7395833224</v>
      </c>
      <c r="F3183" s="41">
        <v>19.593009798910018</v>
      </c>
      <c r="G3183" s="41">
        <v>17.472342537814093</v>
      </c>
      <c r="H3183" s="42"/>
      <c r="I3183" s="42"/>
      <c r="J3183" s="42"/>
    </row>
    <row r="3184" spans="5:10">
      <c r="E3184" s="43">
        <v>45336.743055544619</v>
      </c>
      <c r="F3184" s="41">
        <v>19.593009798910018</v>
      </c>
      <c r="G3184" s="41">
        <v>17.472342537814093</v>
      </c>
      <c r="H3184" s="42"/>
      <c r="I3184" s="42"/>
      <c r="J3184" s="42"/>
    </row>
    <row r="3185" spans="5:10">
      <c r="E3185" s="43">
        <v>45336.746527766838</v>
      </c>
      <c r="F3185" s="41">
        <v>19.593009798910018</v>
      </c>
      <c r="G3185" s="41">
        <v>17.472342537814093</v>
      </c>
      <c r="H3185" s="42"/>
      <c r="I3185" s="42"/>
      <c r="J3185" s="42"/>
    </row>
    <row r="3186" spans="5:10">
      <c r="E3186" s="43">
        <v>45336.749999989057</v>
      </c>
      <c r="F3186" s="41">
        <v>19.593009798910018</v>
      </c>
      <c r="G3186" s="41">
        <v>17.472342537814093</v>
      </c>
      <c r="H3186" s="42"/>
      <c r="I3186" s="42"/>
      <c r="J3186" s="42"/>
    </row>
    <row r="3187" spans="5:10">
      <c r="E3187" s="43">
        <v>45336.753472211276</v>
      </c>
      <c r="F3187" s="41">
        <v>11.225159572555352</v>
      </c>
      <c r="G3187" s="41">
        <v>17.472342537814093</v>
      </c>
      <c r="H3187" s="42"/>
      <c r="I3187" s="42"/>
      <c r="J3187" s="42"/>
    </row>
    <row r="3188" spans="5:10">
      <c r="E3188" s="43">
        <v>45336.756944433495</v>
      </c>
      <c r="F3188" s="41">
        <v>11.225159572555352</v>
      </c>
      <c r="G3188" s="41">
        <v>17.472342537814093</v>
      </c>
      <c r="H3188" s="42"/>
      <c r="I3188" s="42"/>
      <c r="J3188" s="42"/>
    </row>
    <row r="3189" spans="5:10">
      <c r="E3189" s="43">
        <v>45336.760416655714</v>
      </c>
      <c r="F3189" s="41">
        <v>11.225159572555352</v>
      </c>
      <c r="G3189" s="41">
        <v>17.472342537814093</v>
      </c>
      <c r="H3189" s="42"/>
      <c r="I3189" s="42"/>
      <c r="J3189" s="42"/>
    </row>
    <row r="3190" spans="5:10">
      <c r="E3190" s="43">
        <v>45336.763888877933</v>
      </c>
      <c r="F3190" s="41">
        <v>11.225159572555352</v>
      </c>
      <c r="G3190" s="41">
        <v>17.472342537814093</v>
      </c>
      <c r="H3190" s="42"/>
      <c r="I3190" s="42"/>
      <c r="J3190" s="42"/>
    </row>
    <row r="3191" spans="5:10">
      <c r="E3191" s="43">
        <v>45336.767361100152</v>
      </c>
      <c r="F3191" s="41">
        <v>11.225159572555352</v>
      </c>
      <c r="G3191" s="41">
        <v>17.472342537814093</v>
      </c>
      <c r="H3191" s="42"/>
      <c r="I3191" s="42"/>
      <c r="J3191" s="42"/>
    </row>
    <row r="3192" spans="5:10">
      <c r="E3192" s="43">
        <v>45336.770833322371</v>
      </c>
      <c r="F3192" s="41">
        <v>11.225159572555352</v>
      </c>
      <c r="G3192" s="41">
        <v>17.472342537814093</v>
      </c>
      <c r="H3192" s="42"/>
      <c r="I3192" s="42"/>
      <c r="J3192" s="42"/>
    </row>
    <row r="3193" spans="5:10">
      <c r="E3193" s="43">
        <v>45336.77430554459</v>
      </c>
      <c r="F3193" s="41">
        <v>11.225159572555352</v>
      </c>
      <c r="G3193" s="41">
        <v>17.472342537814093</v>
      </c>
      <c r="H3193" s="42"/>
      <c r="I3193" s="42"/>
      <c r="J3193" s="42"/>
    </row>
    <row r="3194" spans="5:10">
      <c r="E3194" s="43">
        <v>45336.777777766809</v>
      </c>
      <c r="F3194" s="41">
        <v>11.225159572555352</v>
      </c>
      <c r="G3194" s="41">
        <v>17.472342537814093</v>
      </c>
      <c r="H3194" s="42"/>
      <c r="I3194" s="42"/>
      <c r="J3194" s="42"/>
    </row>
    <row r="3195" spans="5:10">
      <c r="E3195" s="43">
        <v>45336.781249989028</v>
      </c>
      <c r="F3195" s="41">
        <v>11.225159572555352</v>
      </c>
      <c r="G3195" s="41">
        <v>17.472342537814093</v>
      </c>
      <c r="H3195" s="42"/>
      <c r="I3195" s="42"/>
      <c r="J3195" s="42"/>
    </row>
    <row r="3196" spans="5:10">
      <c r="E3196" s="43">
        <v>45336.784722211247</v>
      </c>
      <c r="F3196" s="41">
        <v>11.225159572555352</v>
      </c>
      <c r="G3196" s="41">
        <v>17.472342537814093</v>
      </c>
      <c r="H3196" s="42"/>
      <c r="I3196" s="42"/>
      <c r="J3196" s="42"/>
    </row>
    <row r="3197" spans="5:10">
      <c r="E3197" s="43">
        <v>45336.788194433466</v>
      </c>
      <c r="F3197" s="41">
        <v>11.225159572555352</v>
      </c>
      <c r="G3197" s="41">
        <v>17.472342537814093</v>
      </c>
      <c r="H3197" s="42"/>
      <c r="I3197" s="42"/>
      <c r="J3197" s="42"/>
    </row>
    <row r="3198" spans="5:10">
      <c r="E3198" s="43">
        <v>45336.791666655685</v>
      </c>
      <c r="F3198" s="41">
        <v>11.225159572555352</v>
      </c>
      <c r="G3198" s="41">
        <v>17.472342537814093</v>
      </c>
      <c r="H3198" s="42"/>
      <c r="I3198" s="42"/>
      <c r="J3198" s="42"/>
    </row>
    <row r="3199" spans="5:10">
      <c r="E3199" s="43">
        <v>45336.795138877904</v>
      </c>
      <c r="F3199" s="41">
        <v>11.225159572555352</v>
      </c>
      <c r="G3199" s="41">
        <v>17.472342537814093</v>
      </c>
      <c r="H3199" s="42"/>
      <c r="I3199" s="42"/>
      <c r="J3199" s="42"/>
    </row>
    <row r="3200" spans="5:10">
      <c r="E3200" s="43">
        <v>45336.798611100123</v>
      </c>
      <c r="F3200" s="41">
        <v>11.225159572555352</v>
      </c>
      <c r="G3200" s="41">
        <v>17.472342537814093</v>
      </c>
      <c r="H3200" s="42"/>
      <c r="I3200" s="42"/>
      <c r="J3200" s="42"/>
    </row>
    <row r="3201" spans="5:10">
      <c r="E3201" s="43">
        <v>45336.802083322342</v>
      </c>
      <c r="F3201" s="41">
        <v>11.225159572555352</v>
      </c>
      <c r="G3201" s="41">
        <v>17.472342537814093</v>
      </c>
      <c r="H3201" s="42"/>
      <c r="I3201" s="42"/>
      <c r="J3201" s="42"/>
    </row>
    <row r="3202" spans="5:10">
      <c r="E3202" s="43">
        <v>45336.805555544561</v>
      </c>
      <c r="F3202" s="41">
        <v>11.225159572555352</v>
      </c>
      <c r="G3202" s="41">
        <v>17.472342537814093</v>
      </c>
      <c r="H3202" s="42"/>
      <c r="I3202" s="42"/>
      <c r="J3202" s="42"/>
    </row>
    <row r="3203" spans="5:10">
      <c r="E3203" s="43">
        <v>45336.80902776678</v>
      </c>
      <c r="F3203" s="41">
        <v>11.225159572555352</v>
      </c>
      <c r="G3203" s="41">
        <v>17.472342537814093</v>
      </c>
      <c r="H3203" s="42"/>
      <c r="I3203" s="42"/>
      <c r="J3203" s="42"/>
    </row>
    <row r="3204" spans="5:10">
      <c r="E3204" s="43">
        <v>45336.812499988999</v>
      </c>
      <c r="F3204" s="41">
        <v>11.225159572555352</v>
      </c>
      <c r="G3204" s="41">
        <v>17.472342537814093</v>
      </c>
      <c r="H3204" s="42"/>
      <c r="I3204" s="42"/>
      <c r="J3204" s="42"/>
    </row>
    <row r="3205" spans="5:10">
      <c r="E3205" s="43">
        <v>45336.815972211218</v>
      </c>
      <c r="F3205" s="41">
        <v>11.225159572555352</v>
      </c>
      <c r="G3205" s="41">
        <v>17.472342537814093</v>
      </c>
      <c r="H3205" s="42"/>
      <c r="I3205" s="42"/>
      <c r="J3205" s="42"/>
    </row>
    <row r="3206" spans="5:10">
      <c r="E3206" s="43">
        <v>45336.819444433437</v>
      </c>
      <c r="F3206" s="41">
        <v>11.225159572555352</v>
      </c>
      <c r="G3206" s="41">
        <v>17.472342537814093</v>
      </c>
      <c r="H3206" s="42"/>
      <c r="I3206" s="42"/>
      <c r="J3206" s="42"/>
    </row>
    <row r="3207" spans="5:10">
      <c r="E3207" s="43">
        <v>45336.822916655656</v>
      </c>
      <c r="F3207" s="41">
        <v>11.225159572555352</v>
      </c>
      <c r="G3207" s="41">
        <v>17.472342537814093</v>
      </c>
      <c r="H3207" s="42"/>
      <c r="I3207" s="42"/>
      <c r="J3207" s="42"/>
    </row>
    <row r="3208" spans="5:10">
      <c r="E3208" s="43">
        <v>45336.826388877875</v>
      </c>
      <c r="F3208" s="41">
        <v>11.225159572555352</v>
      </c>
      <c r="G3208" s="41">
        <v>17.472342537814093</v>
      </c>
      <c r="H3208" s="42"/>
      <c r="I3208" s="42"/>
      <c r="J3208" s="42"/>
    </row>
    <row r="3209" spans="5:10">
      <c r="E3209" s="43">
        <v>45336.829861100094</v>
      </c>
      <c r="F3209" s="41">
        <v>11.225159572555352</v>
      </c>
      <c r="G3209" s="41">
        <v>17.472342537814093</v>
      </c>
      <c r="H3209" s="42"/>
      <c r="I3209" s="42"/>
      <c r="J3209" s="42"/>
    </row>
    <row r="3210" spans="5:10">
      <c r="E3210" s="43">
        <v>45336.833333322313</v>
      </c>
      <c r="F3210" s="41">
        <v>11.225159572555352</v>
      </c>
      <c r="G3210" s="41">
        <v>17.472342537814093</v>
      </c>
      <c r="H3210" s="42"/>
      <c r="I3210" s="42"/>
      <c r="J3210" s="42"/>
    </row>
    <row r="3211" spans="5:10">
      <c r="E3211" s="43">
        <v>45336.836805544532</v>
      </c>
      <c r="F3211" s="41">
        <v>11.225159572555352</v>
      </c>
      <c r="G3211" s="41">
        <v>17.472342537814093</v>
      </c>
      <c r="H3211" s="42"/>
      <c r="I3211" s="42"/>
      <c r="J3211" s="42"/>
    </row>
    <row r="3212" spans="5:10">
      <c r="E3212" s="43">
        <v>45336.840277766751</v>
      </c>
      <c r="F3212" s="41">
        <v>11.225159572555352</v>
      </c>
      <c r="G3212" s="41">
        <v>17.472342537814093</v>
      </c>
      <c r="H3212" s="42"/>
      <c r="I3212" s="42"/>
      <c r="J3212" s="42"/>
    </row>
    <row r="3213" spans="5:10">
      <c r="E3213" s="43">
        <v>45336.84374998897</v>
      </c>
      <c r="F3213" s="41">
        <v>11.225159572555352</v>
      </c>
      <c r="G3213" s="41">
        <v>17.472342537814093</v>
      </c>
      <c r="H3213" s="42"/>
      <c r="I3213" s="42"/>
      <c r="J3213" s="42"/>
    </row>
    <row r="3214" spans="5:10">
      <c r="E3214" s="43">
        <v>45336.847222211189</v>
      </c>
      <c r="F3214" s="41">
        <v>11.225159572555352</v>
      </c>
      <c r="G3214" s="41">
        <v>17.472342537814093</v>
      </c>
      <c r="H3214" s="42"/>
      <c r="I3214" s="42"/>
      <c r="J3214" s="42"/>
    </row>
    <row r="3215" spans="5:10">
      <c r="E3215" s="43">
        <v>45336.850694433408</v>
      </c>
      <c r="F3215" s="41">
        <v>11.225159572555352</v>
      </c>
      <c r="G3215" s="41">
        <v>17.472342537814093</v>
      </c>
      <c r="H3215" s="42"/>
      <c r="I3215" s="42"/>
      <c r="J3215" s="42"/>
    </row>
    <row r="3216" spans="5:10">
      <c r="E3216" s="43">
        <v>45336.854166655627</v>
      </c>
      <c r="F3216" s="41">
        <v>11.225159572555352</v>
      </c>
      <c r="G3216" s="41">
        <v>17.472342537814093</v>
      </c>
      <c r="H3216" s="42"/>
      <c r="I3216" s="42"/>
      <c r="J3216" s="42"/>
    </row>
    <row r="3217" spans="5:10">
      <c r="E3217" s="43">
        <v>45336.857638877846</v>
      </c>
      <c r="F3217" s="41">
        <v>11.225159572555352</v>
      </c>
      <c r="G3217" s="41">
        <v>17.472342537814093</v>
      </c>
      <c r="H3217" s="42"/>
      <c r="I3217" s="42"/>
      <c r="J3217" s="42"/>
    </row>
    <row r="3218" spans="5:10">
      <c r="E3218" s="43">
        <v>45336.861111100065</v>
      </c>
      <c r="F3218" s="41">
        <v>11.225159572555352</v>
      </c>
      <c r="G3218" s="41">
        <v>17.472342537814093</v>
      </c>
      <c r="H3218" s="42"/>
      <c r="I3218" s="42"/>
      <c r="J3218" s="42"/>
    </row>
    <row r="3219" spans="5:10">
      <c r="E3219" s="43">
        <v>45336.864583322284</v>
      </c>
      <c r="F3219" s="41">
        <v>11.225159572555352</v>
      </c>
      <c r="G3219" s="41">
        <v>17.472342537814093</v>
      </c>
      <c r="H3219" s="42"/>
      <c r="I3219" s="42"/>
      <c r="J3219" s="42"/>
    </row>
    <row r="3220" spans="5:10">
      <c r="E3220" s="43">
        <v>45336.868055544503</v>
      </c>
      <c r="F3220" s="41">
        <v>11.225159572555352</v>
      </c>
      <c r="G3220" s="41">
        <v>17.472342537814093</v>
      </c>
      <c r="H3220" s="42"/>
      <c r="I3220" s="42"/>
      <c r="J3220" s="42"/>
    </row>
    <row r="3221" spans="5:10">
      <c r="E3221" s="43">
        <v>45336.871527766722</v>
      </c>
      <c r="F3221" s="41">
        <v>11.225159572555352</v>
      </c>
      <c r="G3221" s="41">
        <v>17.472342537814093</v>
      </c>
      <c r="H3221" s="42"/>
      <c r="I3221" s="42"/>
      <c r="J3221" s="42"/>
    </row>
    <row r="3222" spans="5:10">
      <c r="E3222" s="43">
        <v>45336.874999988941</v>
      </c>
      <c r="F3222" s="41">
        <v>11.225159572555352</v>
      </c>
      <c r="G3222" s="41">
        <v>17.472342537814093</v>
      </c>
      <c r="H3222" s="42"/>
      <c r="I3222" s="42"/>
      <c r="J3222" s="42"/>
    </row>
    <row r="3223" spans="5:10">
      <c r="E3223" s="43">
        <v>45336.87847221116</v>
      </c>
      <c r="F3223" s="41">
        <v>11.225159572555352</v>
      </c>
      <c r="G3223" s="41">
        <v>17.472342537814093</v>
      </c>
      <c r="H3223" s="42"/>
      <c r="I3223" s="42"/>
      <c r="J3223" s="42"/>
    </row>
    <row r="3224" spans="5:10">
      <c r="E3224" s="43">
        <v>45336.881944433379</v>
      </c>
      <c r="F3224" s="41">
        <v>11.225159572555352</v>
      </c>
      <c r="G3224" s="41">
        <v>17.472342537814093</v>
      </c>
      <c r="H3224" s="42"/>
      <c r="I3224" s="42"/>
      <c r="J3224" s="42"/>
    </row>
    <row r="3225" spans="5:10">
      <c r="E3225" s="43">
        <v>45336.885416655598</v>
      </c>
      <c r="F3225" s="41">
        <v>11.225159572555352</v>
      </c>
      <c r="G3225" s="41">
        <v>17.472342537814093</v>
      </c>
      <c r="H3225" s="42"/>
      <c r="I3225" s="42"/>
      <c r="J3225" s="42"/>
    </row>
    <row r="3226" spans="5:10">
      <c r="E3226" s="43">
        <v>45336.888888877816</v>
      </c>
      <c r="F3226" s="41">
        <v>11.225159572555352</v>
      </c>
      <c r="G3226" s="41">
        <v>17.472342537814093</v>
      </c>
      <c r="H3226" s="42"/>
      <c r="I3226" s="42"/>
      <c r="J3226" s="42"/>
    </row>
    <row r="3227" spans="5:10">
      <c r="E3227" s="43">
        <v>45336.892361100035</v>
      </c>
      <c r="F3227" s="41">
        <v>11.225159572555352</v>
      </c>
      <c r="G3227" s="41">
        <v>17.472342537814093</v>
      </c>
      <c r="H3227" s="42"/>
      <c r="I3227" s="42"/>
      <c r="J3227" s="42"/>
    </row>
    <row r="3228" spans="5:10">
      <c r="E3228" s="43">
        <v>45336.895833322254</v>
      </c>
      <c r="F3228" s="41">
        <v>11.225159572555352</v>
      </c>
      <c r="G3228" s="41">
        <v>17.472342537814093</v>
      </c>
      <c r="H3228" s="42"/>
      <c r="I3228" s="42"/>
      <c r="J3228" s="42"/>
    </row>
    <row r="3229" spans="5:10">
      <c r="E3229" s="43">
        <v>45336.899305544473</v>
      </c>
      <c r="F3229" s="41">
        <v>11.225159572555352</v>
      </c>
      <c r="G3229" s="41">
        <v>17.472342537814093</v>
      </c>
      <c r="H3229" s="42"/>
      <c r="I3229" s="42"/>
      <c r="J3229" s="42"/>
    </row>
    <row r="3230" spans="5:10">
      <c r="E3230" s="43">
        <v>45336.902777766692</v>
      </c>
      <c r="F3230" s="41">
        <v>11.225159572555352</v>
      </c>
      <c r="G3230" s="41">
        <v>17.472342537814093</v>
      </c>
      <c r="H3230" s="42"/>
      <c r="I3230" s="42"/>
      <c r="J3230" s="42"/>
    </row>
    <row r="3231" spans="5:10">
      <c r="E3231" s="43">
        <v>45336.906249988911</v>
      </c>
      <c r="F3231" s="41">
        <v>11.225159572555352</v>
      </c>
      <c r="G3231" s="41">
        <v>17.472342537814093</v>
      </c>
      <c r="H3231" s="42"/>
      <c r="I3231" s="42"/>
      <c r="J3231" s="42"/>
    </row>
    <row r="3232" spans="5:10">
      <c r="E3232" s="43">
        <v>45336.90972221113</v>
      </c>
      <c r="F3232" s="41">
        <v>11.225159572555352</v>
      </c>
      <c r="G3232" s="41">
        <v>17.472342537814093</v>
      </c>
      <c r="H3232" s="42"/>
      <c r="I3232" s="42"/>
      <c r="J3232" s="42"/>
    </row>
    <row r="3233" spans="5:10">
      <c r="E3233" s="43">
        <v>45336.913194433349</v>
      </c>
      <c r="F3233" s="41">
        <v>11.225159572555352</v>
      </c>
      <c r="G3233" s="41">
        <v>17.472342537814093</v>
      </c>
      <c r="H3233" s="42"/>
      <c r="I3233" s="42"/>
      <c r="J3233" s="42"/>
    </row>
    <row r="3234" spans="5:10">
      <c r="E3234" s="43">
        <v>45336.916666655568</v>
      </c>
      <c r="F3234" s="41">
        <v>11.225159572555352</v>
      </c>
      <c r="G3234" s="41">
        <v>17.472342537814093</v>
      </c>
      <c r="H3234" s="42"/>
      <c r="I3234" s="42"/>
      <c r="J3234" s="42"/>
    </row>
    <row r="3235" spans="5:10">
      <c r="E3235" s="43">
        <v>45336.920138877787</v>
      </c>
      <c r="F3235" s="41">
        <v>11.225159572555352</v>
      </c>
      <c r="G3235" s="41">
        <v>17.472342537814093</v>
      </c>
      <c r="H3235" s="42"/>
      <c r="I3235" s="42"/>
      <c r="J3235" s="42"/>
    </row>
    <row r="3236" spans="5:10">
      <c r="E3236" s="43">
        <v>45336.923611100006</v>
      </c>
      <c r="F3236" s="41">
        <v>11.225159572555352</v>
      </c>
      <c r="G3236" s="41">
        <v>17.472342537814093</v>
      </c>
      <c r="H3236" s="42"/>
      <c r="I3236" s="42"/>
      <c r="J3236" s="42"/>
    </row>
    <row r="3237" spans="5:10">
      <c r="E3237" s="43">
        <v>45336.927083322225</v>
      </c>
      <c r="F3237" s="41">
        <v>11.225159572555352</v>
      </c>
      <c r="G3237" s="41">
        <v>17.472342537814093</v>
      </c>
      <c r="H3237" s="42"/>
      <c r="I3237" s="42"/>
      <c r="J3237" s="42"/>
    </row>
    <row r="3238" spans="5:10">
      <c r="E3238" s="43">
        <v>45336.930555544444</v>
      </c>
      <c r="F3238" s="41">
        <v>11.225159572555352</v>
      </c>
      <c r="G3238" s="41">
        <v>17.472342537814093</v>
      </c>
      <c r="H3238" s="42"/>
      <c r="I3238" s="42"/>
      <c r="J3238" s="42"/>
    </row>
    <row r="3239" spans="5:10">
      <c r="E3239" s="43">
        <v>45336.934027766663</v>
      </c>
      <c r="F3239" s="41">
        <v>11.225159572555352</v>
      </c>
      <c r="G3239" s="41">
        <v>17.472342537814093</v>
      </c>
      <c r="H3239" s="42"/>
      <c r="I3239" s="42"/>
      <c r="J3239" s="42"/>
    </row>
    <row r="3240" spans="5:10">
      <c r="E3240" s="43">
        <v>45336.937499988882</v>
      </c>
      <c r="F3240" s="41">
        <v>11.225159572555352</v>
      </c>
      <c r="G3240" s="41">
        <v>17.472342537814093</v>
      </c>
      <c r="H3240" s="42"/>
      <c r="I3240" s="42"/>
      <c r="J3240" s="42"/>
    </row>
    <row r="3241" spans="5:10">
      <c r="E3241" s="43">
        <v>45336.940972211101</v>
      </c>
      <c r="F3241" s="41">
        <v>11.225159572555352</v>
      </c>
      <c r="G3241" s="41">
        <v>17.472342537814093</v>
      </c>
      <c r="H3241" s="42"/>
      <c r="I3241" s="42"/>
      <c r="J3241" s="42"/>
    </row>
    <row r="3242" spans="5:10">
      <c r="E3242" s="43">
        <v>45336.94444443332</v>
      </c>
      <c r="F3242" s="41">
        <v>11.225159572555352</v>
      </c>
      <c r="G3242" s="41">
        <v>17.472342537814093</v>
      </c>
      <c r="H3242" s="42"/>
      <c r="I3242" s="42"/>
      <c r="J3242" s="42"/>
    </row>
    <row r="3243" spans="5:10">
      <c r="E3243" s="43">
        <v>45336.947916655539</v>
      </c>
      <c r="F3243" s="41">
        <v>11.225159572555352</v>
      </c>
      <c r="G3243" s="41">
        <v>17.472342537814093</v>
      </c>
      <c r="H3243" s="42"/>
      <c r="I3243" s="42"/>
      <c r="J3243" s="42"/>
    </row>
    <row r="3244" spans="5:10">
      <c r="E3244" s="43">
        <v>45336.951388877758</v>
      </c>
      <c r="F3244" s="41">
        <v>11.225159572555352</v>
      </c>
      <c r="G3244" s="41">
        <v>17.472342537814093</v>
      </c>
      <c r="H3244" s="42"/>
      <c r="I3244" s="42"/>
      <c r="J3244" s="42"/>
    </row>
    <row r="3245" spans="5:10">
      <c r="E3245" s="43">
        <v>45336.954861099977</v>
      </c>
      <c r="F3245" s="41">
        <v>11.225159572555352</v>
      </c>
      <c r="G3245" s="41">
        <v>17.472342537814093</v>
      </c>
      <c r="H3245" s="42"/>
      <c r="I3245" s="42"/>
      <c r="J3245" s="42"/>
    </row>
    <row r="3246" spans="5:10">
      <c r="E3246" s="43">
        <v>45336.958333322196</v>
      </c>
      <c r="F3246" s="41">
        <v>11.225159572555352</v>
      </c>
      <c r="G3246" s="41">
        <v>17.472342537814093</v>
      </c>
      <c r="H3246" s="42"/>
      <c r="I3246" s="42"/>
      <c r="J3246" s="42"/>
    </row>
    <row r="3247" spans="5:10">
      <c r="E3247" s="43">
        <v>45336.961805544415</v>
      </c>
      <c r="F3247" s="41">
        <v>11.225159572555352</v>
      </c>
      <c r="G3247" s="41">
        <v>17.472342537814093</v>
      </c>
      <c r="H3247" s="42"/>
      <c r="I3247" s="42"/>
      <c r="J3247" s="42"/>
    </row>
    <row r="3248" spans="5:10">
      <c r="E3248" s="43">
        <v>45336.965277766634</v>
      </c>
      <c r="F3248" s="41">
        <v>11.225159572555352</v>
      </c>
      <c r="G3248" s="41">
        <v>17.472342537814093</v>
      </c>
      <c r="H3248" s="42"/>
      <c r="I3248" s="42"/>
      <c r="J3248" s="42"/>
    </row>
    <row r="3249" spans="5:10">
      <c r="E3249" s="43">
        <v>45336.968749988853</v>
      </c>
      <c r="F3249" s="41">
        <v>11.225159572555352</v>
      </c>
      <c r="G3249" s="41">
        <v>17.472342537814093</v>
      </c>
      <c r="H3249" s="42"/>
      <c r="I3249" s="42"/>
      <c r="J3249" s="42"/>
    </row>
    <row r="3250" spans="5:10">
      <c r="E3250" s="43">
        <v>45336.972222211072</v>
      </c>
      <c r="F3250" s="41">
        <v>11.225159572555352</v>
      </c>
      <c r="G3250" s="41">
        <v>17.472342537814093</v>
      </c>
      <c r="H3250" s="42"/>
      <c r="I3250" s="42"/>
      <c r="J3250" s="42"/>
    </row>
    <row r="3251" spans="5:10">
      <c r="E3251" s="43">
        <v>45336.975694433291</v>
      </c>
      <c r="F3251" s="41">
        <v>11.225159572555352</v>
      </c>
      <c r="G3251" s="41">
        <v>17.472342537814093</v>
      </c>
      <c r="H3251" s="42"/>
      <c r="I3251" s="42"/>
      <c r="J3251" s="42"/>
    </row>
    <row r="3252" spans="5:10">
      <c r="E3252" s="43">
        <v>45336.97916665551</v>
      </c>
      <c r="F3252" s="41">
        <v>11.225159572555352</v>
      </c>
      <c r="G3252" s="41">
        <v>17.472342537814093</v>
      </c>
      <c r="H3252" s="42"/>
      <c r="I3252" s="42"/>
      <c r="J3252" s="42"/>
    </row>
    <row r="3253" spans="5:10">
      <c r="E3253" s="43">
        <v>45336.982638877729</v>
      </c>
      <c r="F3253" s="41">
        <v>11.225159572555352</v>
      </c>
      <c r="G3253" s="41">
        <v>17.472342537814093</v>
      </c>
      <c r="H3253" s="42"/>
      <c r="I3253" s="42"/>
      <c r="J3253" s="42"/>
    </row>
    <row r="3254" spans="5:10">
      <c r="E3254" s="43">
        <v>45336.986111099948</v>
      </c>
      <c r="F3254" s="41">
        <v>11.225159572555352</v>
      </c>
      <c r="G3254" s="41">
        <v>17.472342537814093</v>
      </c>
      <c r="H3254" s="42"/>
      <c r="I3254" s="42"/>
      <c r="J3254" s="42"/>
    </row>
    <row r="3255" spans="5:10">
      <c r="E3255" s="43">
        <v>45336.989583322167</v>
      </c>
      <c r="F3255" s="41">
        <v>11.225159572555352</v>
      </c>
      <c r="G3255" s="41">
        <v>17.472342537814093</v>
      </c>
      <c r="H3255" s="42"/>
      <c r="I3255" s="42"/>
      <c r="J3255" s="42"/>
    </row>
    <row r="3256" spans="5:10">
      <c r="E3256" s="43">
        <v>45336.993055544386</v>
      </c>
      <c r="F3256" s="41">
        <v>11.225159572555352</v>
      </c>
      <c r="G3256" s="41">
        <v>17.472342537814093</v>
      </c>
      <c r="H3256" s="42"/>
      <c r="I3256" s="42"/>
      <c r="J3256" s="42"/>
    </row>
    <row r="3257" spans="5:10">
      <c r="E3257" s="43">
        <v>45336.996527766605</v>
      </c>
      <c r="F3257" s="41">
        <v>11.225159572555352</v>
      </c>
      <c r="G3257" s="41">
        <v>17.472342537814093</v>
      </c>
      <c r="H3257" s="42"/>
      <c r="I3257" s="42"/>
      <c r="J3257" s="42"/>
    </row>
    <row r="3258" spans="5:10">
      <c r="E3258" s="43">
        <v>45336.999999988824</v>
      </c>
      <c r="F3258" s="41">
        <v>11.225159572555352</v>
      </c>
      <c r="G3258" s="41">
        <v>17.472342537814093</v>
      </c>
      <c r="H3258" s="42"/>
      <c r="I3258" s="42"/>
      <c r="J3258" s="42"/>
    </row>
    <row r="3259" spans="5:10">
      <c r="E3259" s="43">
        <v>45337.003472211043</v>
      </c>
      <c r="F3259" s="41">
        <v>11.225159572555352</v>
      </c>
      <c r="G3259" s="41">
        <v>17.472342537814093</v>
      </c>
      <c r="H3259" s="42"/>
      <c r="I3259" s="42"/>
      <c r="J3259" s="42"/>
    </row>
    <row r="3260" spans="5:10">
      <c r="E3260" s="43">
        <v>45337.006944433262</v>
      </c>
      <c r="F3260" s="41">
        <v>11.225159572555352</v>
      </c>
      <c r="G3260" s="41">
        <v>17.472342537814093</v>
      </c>
      <c r="H3260" s="42"/>
      <c r="I3260" s="42"/>
      <c r="J3260" s="42"/>
    </row>
    <row r="3261" spans="5:10">
      <c r="E3261" s="43">
        <v>45337.010416655481</v>
      </c>
      <c r="F3261" s="41">
        <v>11.225159572555352</v>
      </c>
      <c r="G3261" s="41">
        <v>17.472342537814093</v>
      </c>
      <c r="H3261" s="42"/>
      <c r="I3261" s="42"/>
      <c r="J3261" s="42"/>
    </row>
    <row r="3262" spans="5:10">
      <c r="E3262" s="43">
        <v>45337.0138888777</v>
      </c>
      <c r="F3262" s="41">
        <v>11.225159572555352</v>
      </c>
      <c r="G3262" s="41">
        <v>17.472342537814093</v>
      </c>
      <c r="H3262" s="42"/>
      <c r="I3262" s="42"/>
      <c r="J3262" s="42"/>
    </row>
    <row r="3263" spans="5:10">
      <c r="E3263" s="43">
        <v>45337.017361099919</v>
      </c>
      <c r="F3263" s="41">
        <v>11.225159572555352</v>
      </c>
      <c r="G3263" s="41">
        <v>17.472342537814093</v>
      </c>
      <c r="H3263" s="42"/>
      <c r="I3263" s="42"/>
      <c r="J3263" s="42"/>
    </row>
    <row r="3264" spans="5:10">
      <c r="E3264" s="43">
        <v>45337.020833322138</v>
      </c>
      <c r="F3264" s="41">
        <v>11.225159572555352</v>
      </c>
      <c r="G3264" s="41">
        <v>17.472342537814093</v>
      </c>
      <c r="H3264" s="42"/>
      <c r="I3264" s="42"/>
      <c r="J3264" s="42"/>
    </row>
    <row r="3265" spans="5:10">
      <c r="E3265" s="43">
        <v>45337.024305544357</v>
      </c>
      <c r="F3265" s="41">
        <v>11.225159572555352</v>
      </c>
      <c r="G3265" s="41">
        <v>17.472342537814093</v>
      </c>
      <c r="H3265" s="42"/>
      <c r="I3265" s="42"/>
      <c r="J3265" s="42"/>
    </row>
    <row r="3266" spans="5:10">
      <c r="E3266" s="43">
        <v>45337.027777766576</v>
      </c>
      <c r="F3266" s="41">
        <v>11.225159572555352</v>
      </c>
      <c r="G3266" s="41">
        <v>17.472342537814093</v>
      </c>
      <c r="H3266" s="42"/>
      <c r="I3266" s="42"/>
      <c r="J3266" s="42"/>
    </row>
    <row r="3267" spans="5:10">
      <c r="E3267" s="43">
        <v>45337.031249988795</v>
      </c>
      <c r="F3267" s="41">
        <v>11.225159572555352</v>
      </c>
      <c r="G3267" s="41">
        <v>17.472342537814093</v>
      </c>
      <c r="H3267" s="42"/>
      <c r="I3267" s="42"/>
      <c r="J3267" s="42"/>
    </row>
    <row r="3268" spans="5:10">
      <c r="E3268" s="43">
        <v>45337.034722211014</v>
      </c>
      <c r="F3268" s="41">
        <v>11.225159572555352</v>
      </c>
      <c r="G3268" s="41">
        <v>17.472342537814093</v>
      </c>
      <c r="H3268" s="42"/>
      <c r="I3268" s="42"/>
      <c r="J3268" s="42"/>
    </row>
    <row r="3269" spans="5:10">
      <c r="E3269" s="43">
        <v>45337.038194433233</v>
      </c>
      <c r="F3269" s="41">
        <v>11.225159572555352</v>
      </c>
      <c r="G3269" s="41">
        <v>17.472342537814093</v>
      </c>
      <c r="H3269" s="42"/>
      <c r="I3269" s="42"/>
      <c r="J3269" s="42"/>
    </row>
    <row r="3270" spans="5:10">
      <c r="E3270" s="43">
        <v>45337.041666655452</v>
      </c>
      <c r="F3270" s="41">
        <v>11.225159572555352</v>
      </c>
      <c r="G3270" s="41">
        <v>17.472342537814093</v>
      </c>
      <c r="H3270" s="42"/>
      <c r="I3270" s="42"/>
      <c r="J3270" s="42"/>
    </row>
    <row r="3271" spans="5:10">
      <c r="E3271" s="43">
        <v>45337.045138877671</v>
      </c>
      <c r="F3271" s="41">
        <v>11.225159572555352</v>
      </c>
      <c r="G3271" s="41">
        <v>17.472342537814093</v>
      </c>
      <c r="H3271" s="42"/>
      <c r="I3271" s="42"/>
      <c r="J3271" s="42"/>
    </row>
    <row r="3272" spans="5:10">
      <c r="E3272" s="43">
        <v>45337.04861109989</v>
      </c>
      <c r="F3272" s="41">
        <v>11.225159572555352</v>
      </c>
      <c r="G3272" s="41">
        <v>17.472342537814093</v>
      </c>
      <c r="H3272" s="42"/>
      <c r="I3272" s="42"/>
      <c r="J3272" s="42"/>
    </row>
    <row r="3273" spans="5:10">
      <c r="E3273" s="43">
        <v>45337.052083322109</v>
      </c>
      <c r="F3273" s="41">
        <v>11.225159572555352</v>
      </c>
      <c r="G3273" s="41">
        <v>17.472342537814093</v>
      </c>
      <c r="H3273" s="42"/>
      <c r="I3273" s="42"/>
      <c r="J3273" s="42"/>
    </row>
    <row r="3274" spans="5:10">
      <c r="E3274" s="43">
        <v>45337.055555544328</v>
      </c>
      <c r="F3274" s="41">
        <v>11.225159572555352</v>
      </c>
      <c r="G3274" s="41">
        <v>17.472342537814093</v>
      </c>
      <c r="H3274" s="42"/>
      <c r="I3274" s="42"/>
      <c r="J3274" s="42"/>
    </row>
    <row r="3275" spans="5:10">
      <c r="E3275" s="43">
        <v>45337.059027766547</v>
      </c>
      <c r="F3275" s="41">
        <v>11.225159572555352</v>
      </c>
      <c r="G3275" s="41">
        <v>17.472342537814093</v>
      </c>
      <c r="H3275" s="42"/>
      <c r="I3275" s="42"/>
      <c r="J3275" s="42"/>
    </row>
    <row r="3276" spans="5:10">
      <c r="E3276" s="43">
        <v>45337.062499988766</v>
      </c>
      <c r="F3276" s="41">
        <v>11.225159572555352</v>
      </c>
      <c r="G3276" s="41">
        <v>17.472342537814093</v>
      </c>
      <c r="H3276" s="42"/>
      <c r="I3276" s="42"/>
      <c r="J3276" s="42"/>
    </row>
    <row r="3277" spans="5:10">
      <c r="E3277" s="43">
        <v>45337.065972210985</v>
      </c>
      <c r="F3277" s="41">
        <v>11.225159572555352</v>
      </c>
      <c r="G3277" s="41">
        <v>17.472342537814093</v>
      </c>
      <c r="H3277" s="42"/>
      <c r="I3277" s="42"/>
      <c r="J3277" s="42"/>
    </row>
    <row r="3278" spans="5:10">
      <c r="E3278" s="43">
        <v>45337.069444433204</v>
      </c>
      <c r="F3278" s="41">
        <v>11.225159572555352</v>
      </c>
      <c r="G3278" s="41">
        <v>17.472342537814093</v>
      </c>
      <c r="H3278" s="42"/>
      <c r="I3278" s="42"/>
      <c r="J3278" s="42"/>
    </row>
    <row r="3279" spans="5:10">
      <c r="E3279" s="43">
        <v>45337.072916655423</v>
      </c>
      <c r="F3279" s="41">
        <v>11.225159572555352</v>
      </c>
      <c r="G3279" s="41">
        <v>17.472342537814093</v>
      </c>
      <c r="H3279" s="42"/>
      <c r="I3279" s="42"/>
      <c r="J3279" s="42"/>
    </row>
    <row r="3280" spans="5:10">
      <c r="E3280" s="43">
        <v>45337.076388877642</v>
      </c>
      <c r="F3280" s="41">
        <v>11.225159572555352</v>
      </c>
      <c r="G3280" s="41">
        <v>17.472342537814093</v>
      </c>
      <c r="H3280" s="42"/>
      <c r="I3280" s="42"/>
      <c r="J3280" s="42"/>
    </row>
    <row r="3281" spans="5:10">
      <c r="E3281" s="43">
        <v>45337.079861099861</v>
      </c>
      <c r="F3281" s="41">
        <v>11.225159572555352</v>
      </c>
      <c r="G3281" s="41">
        <v>17.472342537814093</v>
      </c>
      <c r="H3281" s="42"/>
      <c r="I3281" s="42"/>
      <c r="J3281" s="42"/>
    </row>
    <row r="3282" spans="5:10">
      <c r="E3282" s="43">
        <v>45337.08333332208</v>
      </c>
      <c r="F3282" s="41">
        <v>11.225159572555352</v>
      </c>
      <c r="G3282" s="41">
        <v>17.472342537814093</v>
      </c>
      <c r="H3282" s="42"/>
      <c r="I3282" s="42"/>
      <c r="J3282" s="42"/>
    </row>
    <row r="3283" spans="5:10">
      <c r="E3283" s="43">
        <v>45337.086805544299</v>
      </c>
      <c r="F3283" s="41">
        <v>11.225159572555352</v>
      </c>
      <c r="G3283" s="41">
        <v>17.472342537814093</v>
      </c>
      <c r="H3283" s="42"/>
      <c r="I3283" s="42"/>
      <c r="J3283" s="42"/>
    </row>
    <row r="3284" spans="5:10">
      <c r="E3284" s="43">
        <v>45337.090277766518</v>
      </c>
      <c r="F3284" s="41">
        <v>11.225159572555352</v>
      </c>
      <c r="G3284" s="41">
        <v>17.472342537814093</v>
      </c>
      <c r="H3284" s="42"/>
      <c r="I3284" s="42"/>
      <c r="J3284" s="42"/>
    </row>
    <row r="3285" spans="5:10">
      <c r="E3285" s="43">
        <v>45337.093749988737</v>
      </c>
      <c r="F3285" s="41">
        <v>11.225159572555352</v>
      </c>
      <c r="G3285" s="41">
        <v>17.472342537814093</v>
      </c>
      <c r="H3285" s="42"/>
      <c r="I3285" s="42"/>
      <c r="J3285" s="42"/>
    </row>
    <row r="3286" spans="5:10">
      <c r="E3286" s="43">
        <v>45337.097222210956</v>
      </c>
      <c r="F3286" s="41">
        <v>11.225159572555352</v>
      </c>
      <c r="G3286" s="41">
        <v>17.472342537814093</v>
      </c>
      <c r="H3286" s="42"/>
      <c r="I3286" s="42"/>
      <c r="J3286" s="42"/>
    </row>
    <row r="3287" spans="5:10">
      <c r="E3287" s="43">
        <v>45337.100694433175</v>
      </c>
      <c r="F3287" s="41">
        <v>11.225159572555352</v>
      </c>
      <c r="G3287" s="41">
        <v>17.472342537814093</v>
      </c>
      <c r="H3287" s="42"/>
      <c r="I3287" s="42"/>
      <c r="J3287" s="42"/>
    </row>
    <row r="3288" spans="5:10">
      <c r="E3288" s="43">
        <v>45337.104166655394</v>
      </c>
      <c r="F3288" s="41">
        <v>11.225159572555352</v>
      </c>
      <c r="G3288" s="41">
        <v>17.472342537814093</v>
      </c>
      <c r="H3288" s="42"/>
      <c r="I3288" s="42"/>
      <c r="J3288" s="42"/>
    </row>
    <row r="3289" spans="5:10">
      <c r="E3289" s="43">
        <v>45337.107638877613</v>
      </c>
      <c r="F3289" s="41">
        <v>11.225159572555352</v>
      </c>
      <c r="G3289" s="41">
        <v>17.472342537814093</v>
      </c>
      <c r="H3289" s="42"/>
      <c r="I3289" s="42"/>
      <c r="J3289" s="42"/>
    </row>
    <row r="3290" spans="5:10">
      <c r="E3290" s="43">
        <v>45337.111111099832</v>
      </c>
      <c r="F3290" s="41">
        <v>11.225159572555352</v>
      </c>
      <c r="G3290" s="41">
        <v>17.472342537814093</v>
      </c>
      <c r="H3290" s="42"/>
      <c r="I3290" s="42"/>
      <c r="J3290" s="42"/>
    </row>
    <row r="3291" spans="5:10">
      <c r="E3291" s="43">
        <v>45337.114583322051</v>
      </c>
      <c r="F3291" s="41">
        <v>11.225159572555352</v>
      </c>
      <c r="G3291" s="41">
        <v>17.472342537814093</v>
      </c>
      <c r="H3291" s="42"/>
      <c r="I3291" s="42"/>
      <c r="J3291" s="42"/>
    </row>
    <row r="3292" spans="5:10">
      <c r="E3292" s="43">
        <v>45337.11805554427</v>
      </c>
      <c r="F3292" s="41">
        <v>11.225159572555352</v>
      </c>
      <c r="G3292" s="41">
        <v>17.472342537814093</v>
      </c>
      <c r="H3292" s="42"/>
      <c r="I3292" s="42"/>
      <c r="J3292" s="42"/>
    </row>
    <row r="3293" spans="5:10">
      <c r="E3293" s="43">
        <v>45337.121527766489</v>
      </c>
      <c r="F3293" s="41">
        <v>11.225159572555352</v>
      </c>
      <c r="G3293" s="41">
        <v>17.472342537814093</v>
      </c>
      <c r="H3293" s="42"/>
      <c r="I3293" s="42"/>
      <c r="J3293" s="42"/>
    </row>
    <row r="3294" spans="5:10">
      <c r="E3294" s="43">
        <v>45337.124999988708</v>
      </c>
      <c r="F3294" s="41">
        <v>11.225159572555352</v>
      </c>
      <c r="G3294" s="41">
        <v>17.472342537814093</v>
      </c>
      <c r="H3294" s="42"/>
      <c r="I3294" s="42"/>
      <c r="J3294" s="42"/>
    </row>
    <row r="3295" spans="5:10">
      <c r="E3295" s="43">
        <v>45337.128472210927</v>
      </c>
      <c r="F3295" s="41">
        <v>11.225159572555352</v>
      </c>
      <c r="G3295" s="41">
        <v>17.472342537814093</v>
      </c>
      <c r="H3295" s="42"/>
      <c r="I3295" s="42"/>
      <c r="J3295" s="42"/>
    </row>
    <row r="3296" spans="5:10">
      <c r="E3296" s="43">
        <v>45337.131944433146</v>
      </c>
      <c r="F3296" s="41">
        <v>11.225159572555352</v>
      </c>
      <c r="G3296" s="41">
        <v>17.472342537814093</v>
      </c>
      <c r="H3296" s="42"/>
      <c r="I3296" s="42"/>
      <c r="J3296" s="42"/>
    </row>
    <row r="3297" spans="5:10">
      <c r="E3297" s="43">
        <v>45337.135416655365</v>
      </c>
      <c r="F3297" s="41">
        <v>11.225159572555352</v>
      </c>
      <c r="G3297" s="41">
        <v>17.472342537814093</v>
      </c>
      <c r="H3297" s="42"/>
      <c r="I3297" s="42"/>
      <c r="J3297" s="42"/>
    </row>
    <row r="3298" spans="5:10">
      <c r="E3298" s="43">
        <v>45337.138888877584</v>
      </c>
      <c r="F3298" s="41">
        <v>11.225159572555352</v>
      </c>
      <c r="G3298" s="41">
        <v>17.472342537814093</v>
      </c>
      <c r="H3298" s="42"/>
      <c r="I3298" s="42"/>
      <c r="J3298" s="42"/>
    </row>
    <row r="3299" spans="5:10">
      <c r="E3299" s="43">
        <v>45337.142361099803</v>
      </c>
      <c r="F3299" s="41">
        <v>11.225159572555352</v>
      </c>
      <c r="G3299" s="41">
        <v>17.472342537814093</v>
      </c>
      <c r="H3299" s="42"/>
      <c r="I3299" s="42"/>
      <c r="J3299" s="42"/>
    </row>
    <row r="3300" spans="5:10">
      <c r="E3300" s="43">
        <v>45337.145833322022</v>
      </c>
      <c r="F3300" s="41">
        <v>11.225159572555352</v>
      </c>
      <c r="G3300" s="41">
        <v>17.472342537814093</v>
      </c>
      <c r="H3300" s="42"/>
      <c r="I3300" s="42"/>
      <c r="J3300" s="42"/>
    </row>
    <row r="3301" spans="5:10">
      <c r="E3301" s="43">
        <v>45337.149305544241</v>
      </c>
      <c r="F3301" s="41">
        <v>11.225159572555352</v>
      </c>
      <c r="G3301" s="41">
        <v>17.472342537814093</v>
      </c>
      <c r="H3301" s="42"/>
      <c r="I3301" s="42"/>
      <c r="J3301" s="42"/>
    </row>
    <row r="3302" spans="5:10">
      <c r="E3302" s="43">
        <v>45337.15277776646</v>
      </c>
      <c r="F3302" s="41">
        <v>11.225159572555352</v>
      </c>
      <c r="G3302" s="41">
        <v>17.472342537814093</v>
      </c>
      <c r="H3302" s="42"/>
      <c r="I3302" s="42"/>
      <c r="J3302" s="42"/>
    </row>
    <row r="3303" spans="5:10">
      <c r="E3303" s="43">
        <v>45337.156249988679</v>
      </c>
      <c r="F3303" s="41">
        <v>11.225159572555352</v>
      </c>
      <c r="G3303" s="41">
        <v>17.472342537814093</v>
      </c>
      <c r="H3303" s="42"/>
      <c r="I3303" s="42"/>
      <c r="J3303" s="42"/>
    </row>
    <row r="3304" spans="5:10">
      <c r="E3304" s="43">
        <v>45337.159722210898</v>
      </c>
      <c r="F3304" s="41">
        <v>11.225159572555352</v>
      </c>
      <c r="G3304" s="41">
        <v>17.472342537814093</v>
      </c>
      <c r="H3304" s="42"/>
      <c r="I3304" s="42"/>
      <c r="J3304" s="42"/>
    </row>
    <row r="3305" spans="5:10">
      <c r="E3305" s="43">
        <v>45337.163194433117</v>
      </c>
      <c r="F3305" s="41">
        <v>11.225159572555352</v>
      </c>
      <c r="G3305" s="41">
        <v>17.472342537814093</v>
      </c>
      <c r="H3305" s="42"/>
      <c r="I3305" s="42"/>
      <c r="J3305" s="42"/>
    </row>
    <row r="3306" spans="5:10">
      <c r="E3306" s="43">
        <v>45337.166666655336</v>
      </c>
      <c r="F3306" s="41">
        <v>11.225159572555352</v>
      </c>
      <c r="G3306" s="41">
        <v>17.472342537814093</v>
      </c>
      <c r="H3306" s="42"/>
      <c r="I3306" s="42"/>
      <c r="J3306" s="42"/>
    </row>
    <row r="3307" spans="5:10">
      <c r="E3307" s="43">
        <v>45337.170138877555</v>
      </c>
      <c r="F3307" s="41">
        <v>11.225159572555352</v>
      </c>
      <c r="G3307" s="41">
        <v>17.472342537814093</v>
      </c>
      <c r="H3307" s="42"/>
      <c r="I3307" s="42"/>
      <c r="J3307" s="42"/>
    </row>
    <row r="3308" spans="5:10">
      <c r="E3308" s="43">
        <v>45337.173611099774</v>
      </c>
      <c r="F3308" s="41">
        <v>11.225159572555352</v>
      </c>
      <c r="G3308" s="41">
        <v>17.472342537814093</v>
      </c>
      <c r="H3308" s="42"/>
      <c r="I3308" s="42"/>
      <c r="J3308" s="42"/>
    </row>
    <row r="3309" spans="5:10">
      <c r="E3309" s="43">
        <v>45337.177083321993</v>
      </c>
      <c r="F3309" s="41">
        <v>11.225159572555352</v>
      </c>
      <c r="G3309" s="41">
        <v>17.472342537814093</v>
      </c>
      <c r="H3309" s="42"/>
      <c r="I3309" s="42"/>
      <c r="J3309" s="42"/>
    </row>
    <row r="3310" spans="5:10">
      <c r="E3310" s="43">
        <v>45337.180555544212</v>
      </c>
      <c r="F3310" s="41">
        <v>11.225159572555352</v>
      </c>
      <c r="G3310" s="41">
        <v>17.472342537814093</v>
      </c>
      <c r="H3310" s="42"/>
      <c r="I3310" s="42"/>
      <c r="J3310" s="42"/>
    </row>
    <row r="3311" spans="5:10">
      <c r="E3311" s="43">
        <v>45337.184027766431</v>
      </c>
      <c r="F3311" s="41">
        <v>11.225159572555352</v>
      </c>
      <c r="G3311" s="41">
        <v>17.472342537814093</v>
      </c>
      <c r="H3311" s="42"/>
      <c r="I3311" s="42"/>
      <c r="J3311" s="42"/>
    </row>
    <row r="3312" spans="5:10">
      <c r="E3312" s="43">
        <v>45337.18749998865</v>
      </c>
      <c r="F3312" s="41">
        <v>11.225159572555352</v>
      </c>
      <c r="G3312" s="41">
        <v>17.472342537814093</v>
      </c>
      <c r="H3312" s="42"/>
      <c r="I3312" s="42"/>
      <c r="J3312" s="42"/>
    </row>
    <row r="3313" spans="5:10">
      <c r="E3313" s="43">
        <v>45337.190972210868</v>
      </c>
      <c r="F3313" s="41">
        <v>11.225159572555352</v>
      </c>
      <c r="G3313" s="41">
        <v>17.472342537814093</v>
      </c>
      <c r="H3313" s="42"/>
      <c r="I3313" s="42"/>
      <c r="J3313" s="42"/>
    </row>
    <row r="3314" spans="5:10">
      <c r="E3314" s="43">
        <v>45337.194444433087</v>
      </c>
      <c r="F3314" s="41">
        <v>11.225159572555352</v>
      </c>
      <c r="G3314" s="41">
        <v>17.472342537814093</v>
      </c>
      <c r="H3314" s="42"/>
      <c r="I3314" s="42"/>
      <c r="J3314" s="42"/>
    </row>
    <row r="3315" spans="5:10">
      <c r="E3315" s="43">
        <v>45337.197916655306</v>
      </c>
      <c r="F3315" s="41">
        <v>11.225159572555352</v>
      </c>
      <c r="G3315" s="41">
        <v>17.472342537814093</v>
      </c>
      <c r="H3315" s="42"/>
      <c r="I3315" s="42"/>
      <c r="J3315" s="42"/>
    </row>
    <row r="3316" spans="5:10">
      <c r="E3316" s="43">
        <v>45337.201388877525</v>
      </c>
      <c r="F3316" s="41">
        <v>11.225159572555352</v>
      </c>
      <c r="G3316" s="41">
        <v>17.472342537814093</v>
      </c>
      <c r="H3316" s="42"/>
      <c r="I3316" s="42"/>
      <c r="J3316" s="42"/>
    </row>
    <row r="3317" spans="5:10">
      <c r="E3317" s="43">
        <v>45337.204861099744</v>
      </c>
      <c r="F3317" s="41">
        <v>11.225159572555352</v>
      </c>
      <c r="G3317" s="41">
        <v>17.472342537814093</v>
      </c>
      <c r="H3317" s="42"/>
      <c r="I3317" s="42"/>
      <c r="J3317" s="42"/>
    </row>
    <row r="3318" spans="5:10">
      <c r="E3318" s="43">
        <v>45337.208333321963</v>
      </c>
      <c r="F3318" s="41">
        <v>11.225159572555352</v>
      </c>
      <c r="G3318" s="41">
        <v>17.472342537814093</v>
      </c>
      <c r="H3318" s="42"/>
      <c r="I3318" s="42"/>
      <c r="J3318" s="42"/>
    </row>
    <row r="3319" spans="5:10">
      <c r="E3319" s="43">
        <v>45337.211805544182</v>
      </c>
      <c r="F3319" s="41">
        <v>11.225159572555352</v>
      </c>
      <c r="G3319" s="41">
        <v>17.472342537814093</v>
      </c>
      <c r="H3319" s="42"/>
      <c r="I3319" s="42"/>
      <c r="J3319" s="42"/>
    </row>
    <row r="3320" spans="5:10">
      <c r="E3320" s="43">
        <v>45337.215277766401</v>
      </c>
      <c r="F3320" s="41">
        <v>11.225159572555352</v>
      </c>
      <c r="G3320" s="41">
        <v>17.472342537814093</v>
      </c>
      <c r="H3320" s="42"/>
      <c r="I3320" s="42"/>
      <c r="J3320" s="42"/>
    </row>
    <row r="3321" spans="5:10">
      <c r="E3321" s="43">
        <v>45337.21874998862</v>
      </c>
      <c r="F3321" s="41">
        <v>11.225159572555352</v>
      </c>
      <c r="G3321" s="41">
        <v>17.472342537814093</v>
      </c>
      <c r="H3321" s="42"/>
      <c r="I3321" s="42"/>
      <c r="J3321" s="42"/>
    </row>
    <row r="3322" spans="5:10">
      <c r="E3322" s="43">
        <v>45337.222222210839</v>
      </c>
      <c r="F3322" s="41">
        <v>11.225159572555352</v>
      </c>
      <c r="G3322" s="41">
        <v>17.472342537814093</v>
      </c>
      <c r="H3322" s="42"/>
      <c r="I3322" s="42"/>
      <c r="J3322" s="42"/>
    </row>
    <row r="3323" spans="5:10">
      <c r="E3323" s="43">
        <v>45337.225694433058</v>
      </c>
      <c r="F3323" s="41">
        <v>11.225159572555352</v>
      </c>
      <c r="G3323" s="41">
        <v>17.472342537814093</v>
      </c>
      <c r="H3323" s="42"/>
      <c r="I3323" s="42"/>
      <c r="J3323" s="42"/>
    </row>
    <row r="3324" spans="5:10">
      <c r="E3324" s="43">
        <v>45337.229166655277</v>
      </c>
      <c r="F3324" s="41">
        <v>11.225159572555352</v>
      </c>
      <c r="G3324" s="41">
        <v>17.472342537814093</v>
      </c>
      <c r="H3324" s="42"/>
      <c r="I3324" s="42"/>
      <c r="J3324" s="42"/>
    </row>
    <row r="3325" spans="5:10">
      <c r="E3325" s="43">
        <v>45337.232638877496</v>
      </c>
      <c r="F3325" s="41">
        <v>11.225159572555352</v>
      </c>
      <c r="G3325" s="41">
        <v>17.472342537814093</v>
      </c>
      <c r="H3325" s="42"/>
      <c r="I3325" s="42"/>
      <c r="J3325" s="42"/>
    </row>
    <row r="3326" spans="5:10">
      <c r="E3326" s="43">
        <v>45337.236111099715</v>
      </c>
      <c r="F3326" s="41">
        <v>11.225159572555352</v>
      </c>
      <c r="G3326" s="41">
        <v>17.472342537814093</v>
      </c>
      <c r="H3326" s="42"/>
      <c r="I3326" s="42"/>
      <c r="J3326" s="42"/>
    </row>
    <row r="3327" spans="5:10">
      <c r="E3327" s="43">
        <v>45337.239583321934</v>
      </c>
      <c r="F3327" s="41">
        <v>11.225159572555352</v>
      </c>
      <c r="G3327" s="41">
        <v>17.472342537814093</v>
      </c>
      <c r="H3327" s="42"/>
      <c r="I3327" s="42"/>
      <c r="J3327" s="42"/>
    </row>
    <row r="3328" spans="5:10">
      <c r="E3328" s="43">
        <v>45337.243055544153</v>
      </c>
      <c r="F3328" s="41">
        <v>11.225159572555352</v>
      </c>
      <c r="G3328" s="41">
        <v>17.472342537814093</v>
      </c>
      <c r="H3328" s="42"/>
      <c r="I3328" s="42"/>
      <c r="J3328" s="42"/>
    </row>
    <row r="3329" spans="5:10">
      <c r="E3329" s="43">
        <v>45337.246527766372</v>
      </c>
      <c r="F3329" s="41">
        <v>11.225159572555352</v>
      </c>
      <c r="G3329" s="41">
        <v>17.472342537814093</v>
      </c>
      <c r="H3329" s="42"/>
      <c r="I3329" s="42"/>
      <c r="J3329" s="42"/>
    </row>
    <row r="3330" spans="5:10">
      <c r="E3330" s="43">
        <v>45337.249999988591</v>
      </c>
      <c r="F3330" s="41">
        <v>11.225159572555352</v>
      </c>
      <c r="G3330" s="41">
        <v>17.472342537814093</v>
      </c>
      <c r="H3330" s="42"/>
      <c r="I3330" s="42"/>
      <c r="J3330" s="42"/>
    </row>
    <row r="3331" spans="5:10">
      <c r="E3331" s="43">
        <v>45337.25347221081</v>
      </c>
      <c r="F3331" s="41">
        <v>11.225159572555352</v>
      </c>
      <c r="G3331" s="41">
        <v>17.472342537814093</v>
      </c>
      <c r="H3331" s="42"/>
      <c r="I3331" s="42"/>
      <c r="J3331" s="42"/>
    </row>
    <row r="3332" spans="5:10">
      <c r="E3332" s="43">
        <v>45337.256944433029</v>
      </c>
      <c r="F3332" s="41">
        <v>11.225159572555352</v>
      </c>
      <c r="G3332" s="41">
        <v>17.472342537814093</v>
      </c>
      <c r="H3332" s="42"/>
      <c r="I3332" s="42"/>
      <c r="J3332" s="42"/>
    </row>
    <row r="3333" spans="5:10">
      <c r="E3333" s="43">
        <v>45337.260416655248</v>
      </c>
      <c r="F3333" s="41">
        <v>11.225159572555352</v>
      </c>
      <c r="G3333" s="41">
        <v>17.472342537814093</v>
      </c>
      <c r="H3333" s="42"/>
      <c r="I3333" s="42"/>
      <c r="J3333" s="42"/>
    </row>
    <row r="3334" spans="5:10">
      <c r="E3334" s="43">
        <v>45337.263888877467</v>
      </c>
      <c r="F3334" s="41">
        <v>11.225159572555352</v>
      </c>
      <c r="G3334" s="41">
        <v>17.472342537814093</v>
      </c>
      <c r="H3334" s="42"/>
      <c r="I3334" s="42"/>
      <c r="J3334" s="42"/>
    </row>
    <row r="3335" spans="5:10">
      <c r="E3335" s="43">
        <v>45337.267361099686</v>
      </c>
      <c r="F3335" s="41">
        <v>11.225159572555352</v>
      </c>
      <c r="G3335" s="41">
        <v>17.472342537814093</v>
      </c>
      <c r="H3335" s="42"/>
      <c r="I3335" s="42"/>
      <c r="J3335" s="42"/>
    </row>
    <row r="3336" spans="5:10">
      <c r="E3336" s="43">
        <v>45337.270833321905</v>
      </c>
      <c r="F3336" s="41">
        <v>11.225159572555352</v>
      </c>
      <c r="G3336" s="41">
        <v>17.472342537814093</v>
      </c>
      <c r="H3336" s="42"/>
      <c r="I3336" s="42"/>
      <c r="J3336" s="42"/>
    </row>
    <row r="3337" spans="5:10">
      <c r="E3337" s="43">
        <v>45337.274305544124</v>
      </c>
      <c r="F3337" s="41">
        <v>11.225159572555352</v>
      </c>
      <c r="G3337" s="41">
        <v>17.472342537814093</v>
      </c>
      <c r="H3337" s="42"/>
      <c r="I3337" s="42"/>
      <c r="J3337" s="42"/>
    </row>
    <row r="3338" spans="5:10">
      <c r="E3338" s="43">
        <v>45337.277777766343</v>
      </c>
      <c r="F3338" s="41">
        <v>11.225159572555352</v>
      </c>
      <c r="G3338" s="41">
        <v>17.472342537814093</v>
      </c>
      <c r="H3338" s="42"/>
      <c r="I3338" s="42"/>
      <c r="J3338" s="42"/>
    </row>
    <row r="3339" spans="5:10">
      <c r="E3339" s="43">
        <v>45337.281249988562</v>
      </c>
      <c r="F3339" s="41">
        <v>11.225159572555352</v>
      </c>
      <c r="G3339" s="41">
        <v>17.472342537814093</v>
      </c>
      <c r="H3339" s="42"/>
      <c r="I3339" s="42"/>
      <c r="J3339" s="42"/>
    </row>
    <row r="3340" spans="5:10">
      <c r="E3340" s="43">
        <v>45337.284722210781</v>
      </c>
      <c r="F3340" s="41">
        <v>11.225159572555352</v>
      </c>
      <c r="G3340" s="41">
        <v>17.472342537814093</v>
      </c>
      <c r="H3340" s="42"/>
      <c r="I3340" s="42"/>
      <c r="J3340" s="42"/>
    </row>
    <row r="3341" spans="5:10">
      <c r="E3341" s="43">
        <v>45337.288194433</v>
      </c>
      <c r="F3341" s="41">
        <v>11.225159572555352</v>
      </c>
      <c r="G3341" s="41">
        <v>17.472342537814093</v>
      </c>
      <c r="H3341" s="42"/>
      <c r="I3341" s="42"/>
      <c r="J3341" s="42"/>
    </row>
    <row r="3342" spans="5:10">
      <c r="E3342" s="43">
        <v>45337.291666655219</v>
      </c>
      <c r="F3342" s="41">
        <v>11.225159572555352</v>
      </c>
      <c r="G3342" s="41">
        <v>17.472342537814093</v>
      </c>
      <c r="H3342" s="42"/>
      <c r="I3342" s="42"/>
      <c r="J3342" s="42"/>
    </row>
    <row r="3343" spans="5:10">
      <c r="E3343" s="43">
        <v>45337.295138877438</v>
      </c>
      <c r="F3343" s="41">
        <v>11.225159572555352</v>
      </c>
      <c r="G3343" s="41">
        <v>17.472342537814093</v>
      </c>
      <c r="H3343" s="42"/>
      <c r="I3343" s="42"/>
      <c r="J3343" s="42"/>
    </row>
    <row r="3344" spans="5:10">
      <c r="E3344" s="43">
        <v>45337.298611099657</v>
      </c>
      <c r="F3344" s="41">
        <v>11.225159572555352</v>
      </c>
      <c r="G3344" s="41">
        <v>17.472342537814093</v>
      </c>
      <c r="H3344" s="42"/>
      <c r="I3344" s="42"/>
      <c r="J3344" s="42"/>
    </row>
    <row r="3345" spans="5:10">
      <c r="E3345" s="43">
        <v>45337.302083321876</v>
      </c>
      <c r="F3345" s="41">
        <v>11.225159572555352</v>
      </c>
      <c r="G3345" s="41">
        <v>17.472342537814093</v>
      </c>
      <c r="H3345" s="42"/>
      <c r="I3345" s="42"/>
      <c r="J3345" s="42"/>
    </row>
    <row r="3346" spans="5:10">
      <c r="E3346" s="43">
        <v>45337.305555544095</v>
      </c>
      <c r="F3346" s="41">
        <v>11.225159572555352</v>
      </c>
      <c r="G3346" s="41">
        <v>17.472342537814093</v>
      </c>
      <c r="H3346" s="42"/>
      <c r="I3346" s="42"/>
      <c r="J3346" s="42"/>
    </row>
    <row r="3347" spans="5:10">
      <c r="E3347" s="43">
        <v>45337.309027766314</v>
      </c>
      <c r="F3347" s="41">
        <v>11.225159572555352</v>
      </c>
      <c r="G3347" s="41">
        <v>17.472342537814093</v>
      </c>
      <c r="H3347" s="42"/>
      <c r="I3347" s="42"/>
      <c r="J3347" s="42"/>
    </row>
    <row r="3348" spans="5:10">
      <c r="E3348" s="43">
        <v>45337.312499988533</v>
      </c>
      <c r="F3348" s="41">
        <v>11.225159572555352</v>
      </c>
      <c r="G3348" s="41">
        <v>17.472342537814093</v>
      </c>
      <c r="H3348" s="42"/>
      <c r="I3348" s="42"/>
      <c r="J3348" s="42"/>
    </row>
    <row r="3349" spans="5:10">
      <c r="E3349" s="43">
        <v>45337.315972210752</v>
      </c>
      <c r="F3349" s="41">
        <v>11.225159572555352</v>
      </c>
      <c r="G3349" s="41">
        <v>17.472342537814093</v>
      </c>
      <c r="H3349" s="42"/>
      <c r="I3349" s="42"/>
      <c r="J3349" s="42"/>
    </row>
    <row r="3350" spans="5:10">
      <c r="E3350" s="43">
        <v>45337.319444432971</v>
      </c>
      <c r="F3350" s="41">
        <v>11.225159572555352</v>
      </c>
      <c r="G3350" s="41">
        <v>17.472342537814093</v>
      </c>
      <c r="H3350" s="42"/>
      <c r="I3350" s="42"/>
      <c r="J3350" s="42"/>
    </row>
    <row r="3351" spans="5:10">
      <c r="E3351" s="43">
        <v>45337.32291665519</v>
      </c>
      <c r="F3351" s="41">
        <v>11.225159572555352</v>
      </c>
      <c r="G3351" s="41">
        <v>17.472342537814093</v>
      </c>
      <c r="H3351" s="42"/>
      <c r="I3351" s="42"/>
      <c r="J3351" s="42"/>
    </row>
    <row r="3352" spans="5:10">
      <c r="E3352" s="43">
        <v>45337.326388877409</v>
      </c>
      <c r="F3352" s="41">
        <v>11.225159572555352</v>
      </c>
      <c r="G3352" s="41">
        <v>17.472342537814093</v>
      </c>
      <c r="H3352" s="42"/>
      <c r="I3352" s="42"/>
      <c r="J3352" s="42"/>
    </row>
    <row r="3353" spans="5:10">
      <c r="E3353" s="43">
        <v>45337.329861099628</v>
      </c>
      <c r="F3353" s="41">
        <v>11.225159572555352</v>
      </c>
      <c r="G3353" s="41">
        <v>17.472342537814093</v>
      </c>
      <c r="H3353" s="42"/>
      <c r="I3353" s="42"/>
      <c r="J3353" s="42"/>
    </row>
    <row r="3354" spans="5:10">
      <c r="E3354" s="43">
        <v>45337.333333321847</v>
      </c>
      <c r="F3354" s="41">
        <v>11.225159572555352</v>
      </c>
      <c r="G3354" s="41">
        <v>17.472342537814093</v>
      </c>
      <c r="H3354" s="42"/>
      <c r="I3354" s="42"/>
      <c r="J3354" s="42"/>
    </row>
    <row r="3355" spans="5:10">
      <c r="E3355" s="43">
        <v>45337.336805544066</v>
      </c>
      <c r="F3355" s="41">
        <v>11.225159572555352</v>
      </c>
      <c r="G3355" s="41">
        <v>17.472342537814093</v>
      </c>
      <c r="H3355" s="42"/>
      <c r="I3355" s="42"/>
      <c r="J3355" s="42"/>
    </row>
    <row r="3356" spans="5:10">
      <c r="E3356" s="43">
        <v>45337.340277766285</v>
      </c>
      <c r="F3356" s="41">
        <v>11.225159572555352</v>
      </c>
      <c r="G3356" s="41">
        <v>17.472342537814093</v>
      </c>
      <c r="H3356" s="42"/>
      <c r="I3356" s="42"/>
      <c r="J3356" s="42"/>
    </row>
    <row r="3357" spans="5:10">
      <c r="E3357" s="43">
        <v>45337.343749988504</v>
      </c>
      <c r="F3357" s="41">
        <v>11.225159572555352</v>
      </c>
      <c r="G3357" s="41">
        <v>17.472342537814093</v>
      </c>
      <c r="H3357" s="42"/>
      <c r="I3357" s="42"/>
      <c r="J3357" s="42"/>
    </row>
    <row r="3358" spans="5:10">
      <c r="E3358" s="43">
        <v>45337.347222210723</v>
      </c>
      <c r="F3358" s="41">
        <v>11.225159572555352</v>
      </c>
      <c r="G3358" s="41">
        <v>17.472342537814093</v>
      </c>
      <c r="H3358" s="42"/>
      <c r="I3358" s="42"/>
      <c r="J3358" s="42"/>
    </row>
    <row r="3359" spans="5:10">
      <c r="E3359" s="43">
        <v>45337.350694432942</v>
      </c>
      <c r="F3359" s="41">
        <v>11.225159572555352</v>
      </c>
      <c r="G3359" s="41">
        <v>17.472342537814093</v>
      </c>
      <c r="H3359" s="42"/>
      <c r="I3359" s="42"/>
      <c r="J3359" s="42"/>
    </row>
    <row r="3360" spans="5:10">
      <c r="E3360" s="43">
        <v>45337.354166655161</v>
      </c>
      <c r="F3360" s="41">
        <v>11.225159572555352</v>
      </c>
      <c r="G3360" s="41">
        <v>17.472342537814093</v>
      </c>
      <c r="H3360" s="42"/>
      <c r="I3360" s="42"/>
      <c r="J3360" s="42"/>
    </row>
    <row r="3361" spans="5:10">
      <c r="E3361" s="43">
        <v>45337.35763887738</v>
      </c>
      <c r="F3361" s="41">
        <v>11.225159572555352</v>
      </c>
      <c r="G3361" s="41">
        <v>17.472342537814093</v>
      </c>
      <c r="H3361" s="42"/>
      <c r="I3361" s="42"/>
      <c r="J3361" s="42"/>
    </row>
    <row r="3362" spans="5:10">
      <c r="E3362" s="43">
        <v>45337.361111099599</v>
      </c>
      <c r="F3362" s="41">
        <v>11.225159572555352</v>
      </c>
      <c r="G3362" s="41">
        <v>17.472342537814093</v>
      </c>
      <c r="H3362" s="42"/>
      <c r="I3362" s="42"/>
      <c r="J3362" s="42"/>
    </row>
    <row r="3363" spans="5:10">
      <c r="E3363" s="43">
        <v>45337.364583321818</v>
      </c>
      <c r="F3363" s="41">
        <v>11.225159572555352</v>
      </c>
      <c r="G3363" s="41">
        <v>17.472342537814093</v>
      </c>
      <c r="H3363" s="42"/>
      <c r="I3363" s="42"/>
      <c r="J3363" s="42"/>
    </row>
    <row r="3364" spans="5:10">
      <c r="E3364" s="43">
        <v>45337.368055544037</v>
      </c>
      <c r="F3364" s="41">
        <v>11.225159572555352</v>
      </c>
      <c r="G3364" s="41">
        <v>17.472342537814093</v>
      </c>
      <c r="H3364" s="42"/>
      <c r="I3364" s="42"/>
      <c r="J3364" s="42"/>
    </row>
    <row r="3365" spans="5:10">
      <c r="E3365" s="43">
        <v>45337.371527766256</v>
      </c>
      <c r="F3365" s="41">
        <v>11.225159572555352</v>
      </c>
      <c r="G3365" s="41">
        <v>17.472342537814093</v>
      </c>
      <c r="H3365" s="42"/>
      <c r="I3365" s="42"/>
      <c r="J3365" s="42"/>
    </row>
    <row r="3366" spans="5:10">
      <c r="E3366" s="43">
        <v>45337.374999988475</v>
      </c>
      <c r="F3366" s="41">
        <v>11.225159572555352</v>
      </c>
      <c r="G3366" s="41">
        <v>17.472342537814093</v>
      </c>
      <c r="H3366" s="42"/>
      <c r="I3366" s="42"/>
      <c r="J3366" s="42"/>
    </row>
    <row r="3367" spans="5:10">
      <c r="E3367" s="43">
        <v>45337.378472210694</v>
      </c>
      <c r="F3367" s="41">
        <v>11.225159572555352</v>
      </c>
      <c r="G3367" s="41">
        <v>17.472342537814093</v>
      </c>
      <c r="H3367" s="42"/>
      <c r="I3367" s="42"/>
      <c r="J3367" s="42"/>
    </row>
    <row r="3368" spans="5:10">
      <c r="E3368" s="43">
        <v>45337.381944432913</v>
      </c>
      <c r="F3368" s="41">
        <v>11.225159572555352</v>
      </c>
      <c r="G3368" s="41">
        <v>17.472342537814093</v>
      </c>
      <c r="H3368" s="42"/>
      <c r="I3368" s="42"/>
      <c r="J3368" s="42"/>
    </row>
    <row r="3369" spans="5:10">
      <c r="E3369" s="43">
        <v>45337.385416655132</v>
      </c>
      <c r="F3369" s="41">
        <v>11.225159572555352</v>
      </c>
      <c r="G3369" s="41">
        <v>17.472342537814093</v>
      </c>
      <c r="H3369" s="42"/>
      <c r="I3369" s="42"/>
      <c r="J3369" s="42"/>
    </row>
    <row r="3370" spans="5:10">
      <c r="E3370" s="43">
        <v>45337.388888877351</v>
      </c>
      <c r="F3370" s="41">
        <v>11.225159572555352</v>
      </c>
      <c r="G3370" s="41">
        <v>17.472342537814093</v>
      </c>
      <c r="H3370" s="42"/>
      <c r="I3370" s="42"/>
      <c r="J3370" s="42"/>
    </row>
    <row r="3371" spans="5:10">
      <c r="E3371" s="43">
        <v>45337.39236109957</v>
      </c>
      <c r="F3371" s="41">
        <v>11.225159572555352</v>
      </c>
      <c r="G3371" s="41">
        <v>17.472342537814093</v>
      </c>
      <c r="H3371" s="42"/>
      <c r="I3371" s="42"/>
      <c r="J3371" s="42"/>
    </row>
    <row r="3372" spans="5:10">
      <c r="E3372" s="43">
        <v>45337.395833321789</v>
      </c>
      <c r="F3372" s="41">
        <v>11.225159572555352</v>
      </c>
      <c r="G3372" s="41">
        <v>17.472342537814093</v>
      </c>
      <c r="H3372" s="42"/>
      <c r="I3372" s="42"/>
      <c r="J3372" s="42"/>
    </row>
    <row r="3373" spans="5:10">
      <c r="E3373" s="43">
        <v>45337.399305544008</v>
      </c>
      <c r="F3373" s="41">
        <v>11.225159572555352</v>
      </c>
      <c r="G3373" s="41">
        <v>17.472342537814093</v>
      </c>
      <c r="H3373" s="42"/>
      <c r="I3373" s="42"/>
      <c r="J3373" s="42"/>
    </row>
    <row r="3374" spans="5:10">
      <c r="E3374" s="43">
        <v>45337.402777766227</v>
      </c>
      <c r="F3374" s="41">
        <v>11.225159572555352</v>
      </c>
      <c r="G3374" s="41">
        <v>17.472342537814093</v>
      </c>
      <c r="H3374" s="42"/>
      <c r="I3374" s="42"/>
      <c r="J3374" s="42"/>
    </row>
    <row r="3375" spans="5:10">
      <c r="E3375" s="43">
        <v>45337.406249988446</v>
      </c>
      <c r="F3375" s="41">
        <v>11.225159572555352</v>
      </c>
      <c r="G3375" s="41">
        <v>17.472342537814093</v>
      </c>
      <c r="H3375" s="42"/>
      <c r="I3375" s="42"/>
      <c r="J3375" s="42"/>
    </row>
    <row r="3376" spans="5:10">
      <c r="E3376" s="43">
        <v>45337.409722210665</v>
      </c>
      <c r="F3376" s="41">
        <v>11.225159572555352</v>
      </c>
      <c r="G3376" s="41">
        <v>17.472342537814093</v>
      </c>
      <c r="H3376" s="42"/>
      <c r="I3376" s="42"/>
      <c r="J3376" s="42"/>
    </row>
    <row r="3377" spans="5:10">
      <c r="E3377" s="43">
        <v>45337.413194432884</v>
      </c>
      <c r="F3377" s="41">
        <v>11.225159572555352</v>
      </c>
      <c r="G3377" s="41">
        <v>17.472342537814093</v>
      </c>
      <c r="H3377" s="42"/>
      <c r="I3377" s="42"/>
      <c r="J3377" s="42"/>
    </row>
    <row r="3378" spans="5:10">
      <c r="E3378" s="43">
        <v>45337.416666655103</v>
      </c>
      <c r="F3378" s="41">
        <v>11.225159572555352</v>
      </c>
      <c r="G3378" s="41">
        <v>17.472342537814093</v>
      </c>
      <c r="H3378" s="42"/>
      <c r="I3378" s="42"/>
      <c r="J3378" s="42"/>
    </row>
    <row r="3379" spans="5:10">
      <c r="E3379" s="43">
        <v>45337.420138877322</v>
      </c>
      <c r="F3379" s="41">
        <v>11.225159572555352</v>
      </c>
      <c r="G3379" s="41">
        <v>17.472342537814093</v>
      </c>
      <c r="H3379" s="42"/>
      <c r="I3379" s="42"/>
      <c r="J3379" s="42"/>
    </row>
    <row r="3380" spans="5:10">
      <c r="E3380" s="43">
        <v>45337.423611099541</v>
      </c>
      <c r="F3380" s="41">
        <v>11.225159572555352</v>
      </c>
      <c r="G3380" s="41">
        <v>17.472342537814093</v>
      </c>
      <c r="H3380" s="42"/>
      <c r="I3380" s="42"/>
      <c r="J3380" s="42"/>
    </row>
    <row r="3381" spans="5:10">
      <c r="E3381" s="43">
        <v>45337.42708332176</v>
      </c>
      <c r="F3381" s="41">
        <v>11.225159572555352</v>
      </c>
      <c r="G3381" s="41">
        <v>17.472342537814093</v>
      </c>
      <c r="H3381" s="42"/>
      <c r="I3381" s="42"/>
      <c r="J3381" s="42"/>
    </row>
    <row r="3382" spans="5:10">
      <c r="E3382" s="43">
        <v>45337.430555543979</v>
      </c>
      <c r="F3382" s="41">
        <v>11.225159572555352</v>
      </c>
      <c r="G3382" s="41">
        <v>17.472342537814093</v>
      </c>
      <c r="H3382" s="42"/>
      <c r="I3382" s="42"/>
      <c r="J3382" s="42"/>
    </row>
    <row r="3383" spans="5:10">
      <c r="E3383" s="43">
        <v>45337.434027766198</v>
      </c>
      <c r="F3383" s="41">
        <v>11.225159572555352</v>
      </c>
      <c r="G3383" s="41">
        <v>17.472342537814093</v>
      </c>
      <c r="H3383" s="42"/>
      <c r="I3383" s="42"/>
      <c r="J3383" s="42"/>
    </row>
    <row r="3384" spans="5:10">
      <c r="E3384" s="43">
        <v>45337.437499988417</v>
      </c>
      <c r="F3384" s="41">
        <v>11.225159572555352</v>
      </c>
      <c r="G3384" s="41">
        <v>17.472342537814093</v>
      </c>
      <c r="H3384" s="42"/>
      <c r="I3384" s="42"/>
      <c r="J3384" s="42"/>
    </row>
    <row r="3385" spans="5:10">
      <c r="E3385" s="43">
        <v>45337.440972210636</v>
      </c>
      <c r="F3385" s="41">
        <v>11.225159572555352</v>
      </c>
      <c r="G3385" s="41">
        <v>17.472342537814093</v>
      </c>
      <c r="H3385" s="42"/>
      <c r="I3385" s="42"/>
      <c r="J3385" s="42"/>
    </row>
    <row r="3386" spans="5:10">
      <c r="E3386" s="43">
        <v>45337.444444432855</v>
      </c>
      <c r="F3386" s="41">
        <v>11.225159572555352</v>
      </c>
      <c r="G3386" s="41">
        <v>17.472342537814093</v>
      </c>
      <c r="H3386" s="42"/>
      <c r="I3386" s="42"/>
      <c r="J3386" s="42"/>
    </row>
    <row r="3387" spans="5:10">
      <c r="E3387" s="43">
        <v>45337.447916655074</v>
      </c>
      <c r="F3387" s="41">
        <v>11.225159572555352</v>
      </c>
      <c r="G3387" s="41">
        <v>17.472342537814093</v>
      </c>
      <c r="H3387" s="42"/>
      <c r="I3387" s="42"/>
      <c r="J3387" s="42"/>
    </row>
    <row r="3388" spans="5:10">
      <c r="E3388" s="43">
        <v>45337.451388877293</v>
      </c>
      <c r="F3388" s="41">
        <v>11.225159572555352</v>
      </c>
      <c r="G3388" s="41">
        <v>17.472342537814093</v>
      </c>
      <c r="H3388" s="42"/>
      <c r="I3388" s="42"/>
      <c r="J3388" s="42"/>
    </row>
    <row r="3389" spans="5:10">
      <c r="E3389" s="43">
        <v>45337.454861099512</v>
      </c>
      <c r="F3389" s="41">
        <v>11.225159572555352</v>
      </c>
      <c r="G3389" s="41">
        <v>17.472342537814093</v>
      </c>
      <c r="H3389" s="42"/>
      <c r="I3389" s="42"/>
      <c r="J3389" s="42"/>
    </row>
    <row r="3390" spans="5:10">
      <c r="E3390" s="43">
        <v>45337.458333321731</v>
      </c>
      <c r="F3390" s="41">
        <v>11.225159572555352</v>
      </c>
      <c r="G3390" s="41">
        <v>17.472342537814093</v>
      </c>
      <c r="H3390" s="42"/>
      <c r="I3390" s="42"/>
      <c r="J3390" s="42"/>
    </row>
    <row r="3391" spans="5:10">
      <c r="E3391" s="43">
        <v>45337.46180554395</v>
      </c>
      <c r="F3391" s="41">
        <v>11.225159572555352</v>
      </c>
      <c r="G3391" s="41">
        <v>17.472342537814093</v>
      </c>
      <c r="H3391" s="42"/>
      <c r="I3391" s="42"/>
      <c r="J3391" s="42"/>
    </row>
    <row r="3392" spans="5:10">
      <c r="E3392" s="43">
        <v>45337.465277766169</v>
      </c>
      <c r="F3392" s="41">
        <v>11.225159572555352</v>
      </c>
      <c r="G3392" s="41">
        <v>17.472342537814093</v>
      </c>
      <c r="H3392" s="42"/>
      <c r="I3392" s="42"/>
      <c r="J3392" s="42"/>
    </row>
    <row r="3393" spans="5:10">
      <c r="E3393" s="43">
        <v>45337.468749988388</v>
      </c>
      <c r="F3393" s="41">
        <v>11.225159572555352</v>
      </c>
      <c r="G3393" s="41">
        <v>17.472342537814093</v>
      </c>
      <c r="H3393" s="42"/>
      <c r="I3393" s="42"/>
      <c r="J3393" s="42"/>
    </row>
    <row r="3394" spans="5:10">
      <c r="E3394" s="43">
        <v>45337.472222210607</v>
      </c>
      <c r="F3394" s="41">
        <v>11.225159572555352</v>
      </c>
      <c r="G3394" s="41">
        <v>17.472342537814093</v>
      </c>
      <c r="H3394" s="42"/>
      <c r="I3394" s="42"/>
      <c r="J3394" s="42"/>
    </row>
    <row r="3395" spans="5:10">
      <c r="E3395" s="43">
        <v>45337.475694432826</v>
      </c>
      <c r="F3395" s="41">
        <v>11.225159572555352</v>
      </c>
      <c r="G3395" s="41">
        <v>17.472342537814093</v>
      </c>
      <c r="H3395" s="42"/>
      <c r="I3395" s="42"/>
      <c r="J3395" s="42"/>
    </row>
    <row r="3396" spans="5:10">
      <c r="E3396" s="43">
        <v>45337.479166655045</v>
      </c>
      <c r="F3396" s="41">
        <v>11.225159572555352</v>
      </c>
      <c r="G3396" s="41">
        <v>17.472342537814093</v>
      </c>
      <c r="H3396" s="42"/>
      <c r="I3396" s="42"/>
      <c r="J3396" s="42"/>
    </row>
    <row r="3397" spans="5:10">
      <c r="E3397" s="43">
        <v>45337.482638877264</v>
      </c>
      <c r="F3397" s="41">
        <v>11.225159572555352</v>
      </c>
      <c r="G3397" s="41">
        <v>17.472342537814093</v>
      </c>
      <c r="H3397" s="42"/>
      <c r="I3397" s="42"/>
      <c r="J3397" s="42"/>
    </row>
    <row r="3398" spans="5:10">
      <c r="E3398" s="43">
        <v>45337.486111099483</v>
      </c>
      <c r="F3398" s="41">
        <v>11.225159572555352</v>
      </c>
      <c r="G3398" s="41">
        <v>17.472342537814093</v>
      </c>
      <c r="H3398" s="42"/>
      <c r="I3398" s="42"/>
      <c r="J3398" s="42"/>
    </row>
    <row r="3399" spans="5:10">
      <c r="E3399" s="43">
        <v>45337.489583321702</v>
      </c>
      <c r="F3399" s="41">
        <v>11.225159572555352</v>
      </c>
      <c r="G3399" s="41">
        <v>17.472342537814093</v>
      </c>
      <c r="H3399" s="42"/>
      <c r="I3399" s="42"/>
      <c r="J3399" s="42"/>
    </row>
    <row r="3400" spans="5:10">
      <c r="E3400" s="43">
        <v>45337.49305554392</v>
      </c>
      <c r="F3400" s="41">
        <v>11.225159572555352</v>
      </c>
      <c r="G3400" s="41">
        <v>17.472342537814093</v>
      </c>
      <c r="H3400" s="42"/>
      <c r="I3400" s="42"/>
      <c r="J3400" s="42"/>
    </row>
    <row r="3401" spans="5:10">
      <c r="E3401" s="43">
        <v>45337.496527766139</v>
      </c>
      <c r="F3401" s="41">
        <v>11.225159572555352</v>
      </c>
      <c r="G3401" s="41">
        <v>17.472342537814093</v>
      </c>
      <c r="H3401" s="42"/>
      <c r="I3401" s="42"/>
      <c r="J3401" s="42"/>
    </row>
    <row r="3402" spans="5:10">
      <c r="E3402" s="43">
        <v>45337.499999988358</v>
      </c>
      <c r="F3402" s="41">
        <v>11.225159572555352</v>
      </c>
      <c r="G3402" s="41">
        <v>17.472342537814093</v>
      </c>
      <c r="H3402" s="42"/>
      <c r="I3402" s="42"/>
      <c r="J3402" s="42"/>
    </row>
    <row r="3403" spans="5:10">
      <c r="E3403" s="43">
        <v>45337.503472210577</v>
      </c>
      <c r="F3403" s="41">
        <v>11.225159572555352</v>
      </c>
      <c r="G3403" s="41">
        <v>17.472342537814093</v>
      </c>
      <c r="H3403" s="42"/>
      <c r="I3403" s="42"/>
      <c r="J3403" s="42"/>
    </row>
    <row r="3404" spans="5:10">
      <c r="E3404" s="43">
        <v>45337.506944432796</v>
      </c>
      <c r="F3404" s="41">
        <v>11.225159572555352</v>
      </c>
      <c r="G3404" s="41">
        <v>17.472342537814093</v>
      </c>
      <c r="H3404" s="42"/>
      <c r="I3404" s="42"/>
      <c r="J3404" s="42"/>
    </row>
    <row r="3405" spans="5:10">
      <c r="E3405" s="43">
        <v>45337.510416655015</v>
      </c>
      <c r="F3405" s="41">
        <v>11.225159572555352</v>
      </c>
      <c r="G3405" s="41">
        <v>17.472342537814093</v>
      </c>
      <c r="H3405" s="42"/>
      <c r="I3405" s="42"/>
      <c r="J3405" s="42"/>
    </row>
    <row r="3406" spans="5:10">
      <c r="E3406" s="43">
        <v>45337.513888877234</v>
      </c>
      <c r="F3406" s="41">
        <v>11.225159572555352</v>
      </c>
      <c r="G3406" s="41">
        <v>17.472342537814093</v>
      </c>
      <c r="H3406" s="42"/>
      <c r="I3406" s="42"/>
      <c r="J3406" s="42"/>
    </row>
    <row r="3407" spans="5:10">
      <c r="E3407" s="43">
        <v>45337.517361099453</v>
      </c>
      <c r="F3407" s="41">
        <v>11.225159572555352</v>
      </c>
      <c r="G3407" s="41">
        <v>17.472342537814093</v>
      </c>
      <c r="H3407" s="42"/>
      <c r="I3407" s="42"/>
      <c r="J3407" s="42"/>
    </row>
    <row r="3408" spans="5:10">
      <c r="E3408" s="43">
        <v>45337.520833321672</v>
      </c>
      <c r="F3408" s="41">
        <v>11.225159572555352</v>
      </c>
      <c r="G3408" s="41">
        <v>17.472342537814093</v>
      </c>
      <c r="H3408" s="42"/>
      <c r="I3408" s="42"/>
      <c r="J3408" s="42"/>
    </row>
    <row r="3409" spans="5:10">
      <c r="E3409" s="43">
        <v>45337.524305543891</v>
      </c>
      <c r="F3409" s="41">
        <v>11.225159572555352</v>
      </c>
      <c r="G3409" s="41">
        <v>17.472342537814093</v>
      </c>
      <c r="H3409" s="42"/>
      <c r="I3409" s="42"/>
      <c r="J3409" s="42"/>
    </row>
    <row r="3410" spans="5:10">
      <c r="E3410" s="43">
        <v>45337.52777776611</v>
      </c>
      <c r="F3410" s="41">
        <v>11.225159572555352</v>
      </c>
      <c r="G3410" s="41">
        <v>17.472342537814093</v>
      </c>
      <c r="H3410" s="42"/>
      <c r="I3410" s="42"/>
      <c r="J3410" s="42"/>
    </row>
    <row r="3411" spans="5:10">
      <c r="E3411" s="43">
        <v>45337.531249988329</v>
      </c>
      <c r="F3411" s="41">
        <v>11.225159572555352</v>
      </c>
      <c r="G3411" s="41">
        <v>17.472342537814093</v>
      </c>
      <c r="H3411" s="42"/>
      <c r="I3411" s="42"/>
      <c r="J3411" s="42"/>
    </row>
    <row r="3412" spans="5:10">
      <c r="E3412" s="43">
        <v>45337.534722210548</v>
      </c>
      <c r="F3412" s="41">
        <v>11.225159572555352</v>
      </c>
      <c r="G3412" s="41">
        <v>17.472342537814093</v>
      </c>
      <c r="H3412" s="42"/>
      <c r="I3412" s="42"/>
      <c r="J3412" s="42"/>
    </row>
    <row r="3413" spans="5:10">
      <c r="E3413" s="43">
        <v>45337.538194432767</v>
      </c>
      <c r="F3413" s="41">
        <v>11.225159572555352</v>
      </c>
      <c r="G3413" s="41">
        <v>17.472342537814093</v>
      </c>
      <c r="H3413" s="42"/>
      <c r="I3413" s="42"/>
      <c r="J3413" s="42"/>
    </row>
    <row r="3414" spans="5:10">
      <c r="E3414" s="43">
        <v>45337.541666654986</v>
      </c>
      <c r="F3414" s="41">
        <v>11.225159572555352</v>
      </c>
      <c r="G3414" s="41">
        <v>17.472342537814093</v>
      </c>
      <c r="H3414" s="42"/>
      <c r="I3414" s="42"/>
      <c r="J3414" s="42"/>
    </row>
    <row r="3415" spans="5:10">
      <c r="E3415" s="43">
        <v>45337.545138877205</v>
      </c>
      <c r="F3415" s="41">
        <v>11.225159572555352</v>
      </c>
      <c r="G3415" s="41">
        <v>17.472342537814093</v>
      </c>
      <c r="H3415" s="42"/>
      <c r="I3415" s="42"/>
      <c r="J3415" s="42"/>
    </row>
    <row r="3416" spans="5:10">
      <c r="E3416" s="43">
        <v>45337.548611099424</v>
      </c>
      <c r="F3416" s="41">
        <v>11.225159572555352</v>
      </c>
      <c r="G3416" s="41">
        <v>17.472342537814093</v>
      </c>
      <c r="H3416" s="42"/>
      <c r="I3416" s="42"/>
      <c r="J3416" s="42"/>
    </row>
    <row r="3417" spans="5:10">
      <c r="E3417" s="43">
        <v>45337.552083321643</v>
      </c>
      <c r="F3417" s="41">
        <v>11.225159572555352</v>
      </c>
      <c r="G3417" s="41">
        <v>17.472342537814093</v>
      </c>
      <c r="H3417" s="42"/>
      <c r="I3417" s="42"/>
      <c r="J3417" s="42"/>
    </row>
    <row r="3418" spans="5:10">
      <c r="E3418" s="43">
        <v>45337.555555543862</v>
      </c>
      <c r="F3418" s="41">
        <v>11.225159572555352</v>
      </c>
      <c r="G3418" s="41">
        <v>17.472342537814093</v>
      </c>
      <c r="H3418" s="42"/>
      <c r="I3418" s="42"/>
      <c r="J3418" s="42"/>
    </row>
    <row r="3419" spans="5:10">
      <c r="E3419" s="43">
        <v>45337.559027766081</v>
      </c>
      <c r="F3419" s="41">
        <v>11.225159572555352</v>
      </c>
      <c r="G3419" s="41">
        <v>17.472342537814093</v>
      </c>
      <c r="H3419" s="42"/>
      <c r="I3419" s="42"/>
      <c r="J3419" s="42"/>
    </row>
    <row r="3420" spans="5:10">
      <c r="E3420" s="43">
        <v>45337.5624999883</v>
      </c>
      <c r="F3420" s="41">
        <v>11.225159572555352</v>
      </c>
      <c r="G3420" s="41">
        <v>17.472342537814093</v>
      </c>
      <c r="H3420" s="42"/>
      <c r="I3420" s="42"/>
      <c r="J3420" s="42"/>
    </row>
    <row r="3421" spans="5:10">
      <c r="E3421" s="43">
        <v>45337.565972210519</v>
      </c>
      <c r="F3421" s="41">
        <v>11.225159572555352</v>
      </c>
      <c r="G3421" s="41">
        <v>17.472342537814093</v>
      </c>
      <c r="H3421" s="42"/>
      <c r="I3421" s="42"/>
      <c r="J3421" s="42"/>
    </row>
    <row r="3422" spans="5:10">
      <c r="E3422" s="43">
        <v>45337.569444432738</v>
      </c>
      <c r="F3422" s="41">
        <v>11.225159572555352</v>
      </c>
      <c r="G3422" s="41">
        <v>17.472342537814093</v>
      </c>
      <c r="H3422" s="42"/>
      <c r="I3422" s="42"/>
      <c r="J3422" s="42"/>
    </row>
    <row r="3423" spans="5:10">
      <c r="E3423" s="43">
        <v>45337.572916654957</v>
      </c>
      <c r="F3423" s="41">
        <v>11.225159572555352</v>
      </c>
      <c r="G3423" s="41">
        <v>17.472342537814093</v>
      </c>
      <c r="H3423" s="42"/>
      <c r="I3423" s="42"/>
      <c r="J3423" s="42"/>
    </row>
    <row r="3424" spans="5:10">
      <c r="E3424" s="43">
        <v>45337.576388877176</v>
      </c>
      <c r="F3424" s="41">
        <v>11.225159572555352</v>
      </c>
      <c r="G3424" s="41">
        <v>17.472342537814093</v>
      </c>
      <c r="H3424" s="42"/>
      <c r="I3424" s="42"/>
      <c r="J3424" s="42"/>
    </row>
    <row r="3425" spans="5:10">
      <c r="E3425" s="43">
        <v>45337.579861099395</v>
      </c>
      <c r="F3425" s="41">
        <v>11.225159572555352</v>
      </c>
      <c r="G3425" s="41">
        <v>17.472342537814093</v>
      </c>
      <c r="H3425" s="42"/>
      <c r="I3425" s="42"/>
      <c r="J3425" s="42"/>
    </row>
    <row r="3426" spans="5:10">
      <c r="E3426" s="43">
        <v>45337.583333321614</v>
      </c>
      <c r="F3426" s="41">
        <v>11.225159572555352</v>
      </c>
      <c r="G3426" s="41">
        <v>17.472342537814093</v>
      </c>
      <c r="H3426" s="42"/>
      <c r="I3426" s="42"/>
      <c r="J3426" s="42"/>
    </row>
    <row r="3427" spans="5:10">
      <c r="E3427" s="43">
        <v>45337.586805543833</v>
      </c>
      <c r="F3427" s="41">
        <v>11.225159572555352</v>
      </c>
      <c r="G3427" s="41">
        <v>17.472342537814093</v>
      </c>
      <c r="H3427" s="42"/>
      <c r="I3427" s="42"/>
      <c r="J3427" s="42"/>
    </row>
    <row r="3428" spans="5:10">
      <c r="E3428" s="43">
        <v>45337.590277766052</v>
      </c>
      <c r="F3428" s="41">
        <v>11.225159572555352</v>
      </c>
      <c r="G3428" s="41">
        <v>17.472342537814093</v>
      </c>
      <c r="H3428" s="42"/>
      <c r="I3428" s="42"/>
      <c r="J3428" s="42"/>
    </row>
    <row r="3429" spans="5:10">
      <c r="E3429" s="43">
        <v>45337.593749988271</v>
      </c>
      <c r="F3429" s="41">
        <v>11.225159572555352</v>
      </c>
      <c r="G3429" s="41">
        <v>17.472342537814093</v>
      </c>
      <c r="H3429" s="42"/>
      <c r="I3429" s="42"/>
      <c r="J3429" s="42"/>
    </row>
    <row r="3430" spans="5:10">
      <c r="E3430" s="43">
        <v>45337.59722221049</v>
      </c>
      <c r="F3430" s="41">
        <v>11.225159572555352</v>
      </c>
      <c r="G3430" s="41">
        <v>17.472342537814093</v>
      </c>
      <c r="H3430" s="42"/>
      <c r="I3430" s="42"/>
      <c r="J3430" s="42"/>
    </row>
    <row r="3431" spans="5:10">
      <c r="E3431" s="43">
        <v>45337.600694432709</v>
      </c>
      <c r="F3431" s="41">
        <v>11.225159572555352</v>
      </c>
      <c r="G3431" s="41">
        <v>17.472342537814093</v>
      </c>
      <c r="H3431" s="42"/>
      <c r="I3431" s="42"/>
      <c r="J3431" s="42"/>
    </row>
    <row r="3432" spans="5:10">
      <c r="E3432" s="43">
        <v>45337.604166654928</v>
      </c>
      <c r="F3432" s="41">
        <v>11.225159572555352</v>
      </c>
      <c r="G3432" s="41">
        <v>17.472342537814093</v>
      </c>
      <c r="H3432" s="42"/>
      <c r="I3432" s="42"/>
      <c r="J3432" s="42"/>
    </row>
    <row r="3433" spans="5:10">
      <c r="E3433" s="43">
        <v>45337.607638877147</v>
      </c>
      <c r="F3433" s="41">
        <v>11.225159572555352</v>
      </c>
      <c r="G3433" s="41">
        <v>17.472342537814093</v>
      </c>
      <c r="H3433" s="42"/>
      <c r="I3433" s="42"/>
      <c r="J3433" s="42"/>
    </row>
    <row r="3434" spans="5:10">
      <c r="E3434" s="43">
        <v>45337.611111099366</v>
      </c>
      <c r="F3434" s="41">
        <v>11.225159572555352</v>
      </c>
      <c r="G3434" s="41">
        <v>17.472342537814093</v>
      </c>
      <c r="H3434" s="42"/>
      <c r="I3434" s="42"/>
      <c r="J3434" s="42"/>
    </row>
    <row r="3435" spans="5:10">
      <c r="E3435" s="43">
        <v>45337.614583321585</v>
      </c>
      <c r="F3435" s="41">
        <v>11.225159572555352</v>
      </c>
      <c r="G3435" s="41">
        <v>17.472342537814093</v>
      </c>
      <c r="H3435" s="42"/>
      <c r="I3435" s="42"/>
      <c r="J3435" s="42"/>
    </row>
    <row r="3436" spans="5:10">
      <c r="E3436" s="43">
        <v>45337.618055543804</v>
      </c>
      <c r="F3436" s="41">
        <v>11.225159572555352</v>
      </c>
      <c r="G3436" s="41">
        <v>17.472342537814093</v>
      </c>
      <c r="H3436" s="42"/>
      <c r="I3436" s="42"/>
      <c r="J3436" s="42"/>
    </row>
    <row r="3437" spans="5:10">
      <c r="E3437" s="43">
        <v>45337.621527766023</v>
      </c>
      <c r="F3437" s="41">
        <v>11.225159572555352</v>
      </c>
      <c r="G3437" s="41">
        <v>17.472342537814093</v>
      </c>
      <c r="H3437" s="42"/>
      <c r="I3437" s="42"/>
      <c r="J3437" s="42"/>
    </row>
    <row r="3438" spans="5:10">
      <c r="E3438" s="43">
        <v>45337.624999988242</v>
      </c>
      <c r="F3438" s="41">
        <v>11.225159572555352</v>
      </c>
      <c r="G3438" s="41">
        <v>17.472342537814093</v>
      </c>
      <c r="H3438" s="42"/>
      <c r="I3438" s="42"/>
      <c r="J3438" s="42"/>
    </row>
    <row r="3439" spans="5:10">
      <c r="E3439" s="43">
        <v>45337.628472210461</v>
      </c>
      <c r="F3439" s="41">
        <v>11.225159572555352</v>
      </c>
      <c r="G3439" s="41">
        <v>17.472342537814093</v>
      </c>
      <c r="H3439" s="42"/>
      <c r="I3439" s="42"/>
      <c r="J3439" s="42"/>
    </row>
    <row r="3440" spans="5:10">
      <c r="E3440" s="43">
        <v>45337.63194443268</v>
      </c>
      <c r="F3440" s="41">
        <v>11.225159572555352</v>
      </c>
      <c r="G3440" s="41">
        <v>17.472342537814093</v>
      </c>
      <c r="H3440" s="42"/>
      <c r="I3440" s="42"/>
      <c r="J3440" s="42"/>
    </row>
    <row r="3441" spans="5:10">
      <c r="E3441" s="43">
        <v>45337.635416654899</v>
      </c>
      <c r="F3441" s="41">
        <v>11.225159572555352</v>
      </c>
      <c r="G3441" s="41">
        <v>17.472342537814093</v>
      </c>
      <c r="H3441" s="42"/>
      <c r="I3441" s="42"/>
      <c r="J3441" s="42"/>
    </row>
    <row r="3442" spans="5:10">
      <c r="E3442" s="43">
        <v>45337.638888877118</v>
      </c>
      <c r="F3442" s="41">
        <v>11.225159572555352</v>
      </c>
      <c r="G3442" s="41">
        <v>17.472342537814093</v>
      </c>
      <c r="H3442" s="42"/>
      <c r="I3442" s="42"/>
      <c r="J3442" s="42"/>
    </row>
    <row r="3443" spans="5:10">
      <c r="E3443" s="43">
        <v>45337.642361099337</v>
      </c>
      <c r="F3443" s="41">
        <v>11.225159572555352</v>
      </c>
      <c r="G3443" s="41">
        <v>17.472342537814093</v>
      </c>
      <c r="H3443" s="42"/>
      <c r="I3443" s="42"/>
      <c r="J3443" s="42"/>
    </row>
    <row r="3444" spans="5:10">
      <c r="E3444" s="43">
        <v>45337.645833321556</v>
      </c>
      <c r="F3444" s="41">
        <v>11.225159572555352</v>
      </c>
      <c r="G3444" s="41">
        <v>17.472342537814093</v>
      </c>
      <c r="H3444" s="42"/>
      <c r="I3444" s="42"/>
      <c r="J3444" s="42"/>
    </row>
    <row r="3445" spans="5:10">
      <c r="E3445" s="43">
        <v>45337.649305543775</v>
      </c>
      <c r="F3445" s="41">
        <v>11.225159572555352</v>
      </c>
      <c r="G3445" s="41">
        <v>17.472342537814093</v>
      </c>
      <c r="H3445" s="42"/>
      <c r="I3445" s="42"/>
      <c r="J3445" s="42"/>
    </row>
    <row r="3446" spans="5:10">
      <c r="E3446" s="43">
        <v>45337.652777765994</v>
      </c>
      <c r="F3446" s="41">
        <v>11.225159572555352</v>
      </c>
      <c r="G3446" s="41">
        <v>17.472342537814093</v>
      </c>
      <c r="H3446" s="42"/>
      <c r="I3446" s="42"/>
      <c r="J3446" s="42"/>
    </row>
    <row r="3447" spans="5:10">
      <c r="E3447" s="43">
        <v>45337.656249988213</v>
      </c>
      <c r="F3447" s="41">
        <v>11.225159572555352</v>
      </c>
      <c r="G3447" s="41">
        <v>17.472342537814093</v>
      </c>
      <c r="H3447" s="42"/>
      <c r="I3447" s="42"/>
      <c r="J3447" s="42"/>
    </row>
    <row r="3448" spans="5:10">
      <c r="E3448" s="43">
        <v>45337.659722210432</v>
      </c>
      <c r="F3448" s="41">
        <v>11.225159572555352</v>
      </c>
      <c r="G3448" s="41">
        <v>17.472342537814093</v>
      </c>
      <c r="H3448" s="42"/>
      <c r="I3448" s="42"/>
      <c r="J3448" s="42"/>
    </row>
    <row r="3449" spans="5:10">
      <c r="E3449" s="43">
        <v>45337.663194432651</v>
      </c>
      <c r="F3449" s="41">
        <v>11.225159572555352</v>
      </c>
      <c r="G3449" s="41">
        <v>17.472342537814093</v>
      </c>
      <c r="H3449" s="42"/>
      <c r="I3449" s="42"/>
      <c r="J3449" s="42"/>
    </row>
    <row r="3450" spans="5:10">
      <c r="E3450" s="43">
        <v>45337.66666665487</v>
      </c>
      <c r="F3450" s="41">
        <v>11.225159572555352</v>
      </c>
      <c r="G3450" s="41">
        <v>17.472342537814093</v>
      </c>
      <c r="H3450" s="42"/>
      <c r="I3450" s="42"/>
      <c r="J3450" s="42"/>
    </row>
    <row r="3451" spans="5:10">
      <c r="E3451" s="43">
        <v>45337.670138877089</v>
      </c>
      <c r="F3451" s="41">
        <v>11.225159572555352</v>
      </c>
      <c r="G3451" s="41">
        <v>17.472342537814093</v>
      </c>
      <c r="H3451" s="42"/>
      <c r="I3451" s="42"/>
      <c r="J3451" s="42"/>
    </row>
    <row r="3452" spans="5:10">
      <c r="E3452" s="43">
        <v>45337.673611099308</v>
      </c>
      <c r="F3452" s="41">
        <v>11.225159572555352</v>
      </c>
      <c r="G3452" s="41">
        <v>17.472342537814093</v>
      </c>
      <c r="H3452" s="42"/>
      <c r="I3452" s="42"/>
      <c r="J3452" s="42"/>
    </row>
    <row r="3453" spans="5:10">
      <c r="E3453" s="43">
        <v>45337.677083321527</v>
      </c>
      <c r="F3453" s="41">
        <v>11.225159572555352</v>
      </c>
      <c r="G3453" s="41">
        <v>17.472342537814093</v>
      </c>
      <c r="H3453" s="42"/>
      <c r="I3453" s="42"/>
      <c r="J3453" s="42"/>
    </row>
    <row r="3454" spans="5:10">
      <c r="E3454" s="43">
        <v>45337.680555543746</v>
      </c>
      <c r="F3454" s="41">
        <v>11.225159572555352</v>
      </c>
      <c r="G3454" s="41">
        <v>17.472342537814093</v>
      </c>
      <c r="H3454" s="42"/>
      <c r="I3454" s="42"/>
      <c r="J3454" s="42"/>
    </row>
    <row r="3455" spans="5:10">
      <c r="E3455" s="43">
        <v>45337.684027765965</v>
      </c>
      <c r="F3455" s="41">
        <v>11.225159572555352</v>
      </c>
      <c r="G3455" s="41">
        <v>17.472342537814093</v>
      </c>
      <c r="H3455" s="42"/>
      <c r="I3455" s="42"/>
      <c r="J3455" s="42"/>
    </row>
    <row r="3456" spans="5:10">
      <c r="E3456" s="43">
        <v>45337.687499988184</v>
      </c>
      <c r="F3456" s="41">
        <v>11.225159572555352</v>
      </c>
      <c r="G3456" s="41">
        <v>17.472342537814093</v>
      </c>
      <c r="H3456" s="42"/>
      <c r="I3456" s="42"/>
      <c r="J3456" s="42"/>
    </row>
    <row r="3457" spans="5:10">
      <c r="E3457" s="43">
        <v>45337.690972210403</v>
      </c>
      <c r="F3457" s="41">
        <v>11.225159572555352</v>
      </c>
      <c r="G3457" s="41">
        <v>17.472342537814093</v>
      </c>
      <c r="H3457" s="42"/>
      <c r="I3457" s="42"/>
      <c r="J3457" s="42"/>
    </row>
    <row r="3458" spans="5:10">
      <c r="E3458" s="43">
        <v>45337.694444432622</v>
      </c>
      <c r="F3458" s="41">
        <v>11.225159572555352</v>
      </c>
      <c r="G3458" s="41">
        <v>17.472342537814093</v>
      </c>
      <c r="H3458" s="42"/>
      <c r="I3458" s="42"/>
      <c r="J3458" s="42"/>
    </row>
    <row r="3459" spans="5:10">
      <c r="E3459" s="43">
        <v>45337.697916654841</v>
      </c>
      <c r="F3459" s="41">
        <v>11.225159572555352</v>
      </c>
      <c r="G3459" s="41">
        <v>17.472342537814093</v>
      </c>
      <c r="H3459" s="42"/>
      <c r="I3459" s="42"/>
      <c r="J3459" s="42"/>
    </row>
    <row r="3460" spans="5:10">
      <c r="E3460" s="43">
        <v>45337.70138887706</v>
      </c>
      <c r="F3460" s="41">
        <v>11.225159572555352</v>
      </c>
      <c r="G3460" s="41">
        <v>17.472342537814093</v>
      </c>
      <c r="H3460" s="42"/>
      <c r="I3460" s="42"/>
      <c r="J3460" s="42"/>
    </row>
    <row r="3461" spans="5:10">
      <c r="E3461" s="43">
        <v>45337.704861099279</v>
      </c>
      <c r="F3461" s="41">
        <v>11.225159572555352</v>
      </c>
      <c r="G3461" s="41">
        <v>17.472342537814093</v>
      </c>
      <c r="H3461" s="42"/>
      <c r="I3461" s="42"/>
      <c r="J3461" s="42"/>
    </row>
    <row r="3462" spans="5:10">
      <c r="E3462" s="43">
        <v>45337.708333321498</v>
      </c>
      <c r="F3462" s="41">
        <v>11.225159572555352</v>
      </c>
      <c r="G3462" s="41">
        <v>17.472342537814093</v>
      </c>
      <c r="H3462" s="42"/>
      <c r="I3462" s="42"/>
      <c r="J3462" s="42"/>
    </row>
    <row r="3463" spans="5:10">
      <c r="E3463" s="43">
        <v>45337.711805543717</v>
      </c>
      <c r="F3463" s="41">
        <v>11.225159572555352</v>
      </c>
      <c r="G3463" s="41">
        <v>17.472342537814093</v>
      </c>
      <c r="H3463" s="42"/>
      <c r="I3463" s="42"/>
      <c r="J3463" s="42"/>
    </row>
    <row r="3464" spans="5:10">
      <c r="E3464" s="43">
        <v>45337.715277765936</v>
      </c>
      <c r="F3464" s="41">
        <v>11.225159572555352</v>
      </c>
      <c r="G3464" s="41">
        <v>17.472342537814093</v>
      </c>
      <c r="H3464" s="42"/>
      <c r="I3464" s="42"/>
      <c r="J3464" s="42"/>
    </row>
    <row r="3465" spans="5:10">
      <c r="E3465" s="43">
        <v>45337.718749988155</v>
      </c>
      <c r="F3465" s="41">
        <v>11.225159572555352</v>
      </c>
      <c r="G3465" s="41">
        <v>17.472342537814093</v>
      </c>
      <c r="H3465" s="42"/>
      <c r="I3465" s="42"/>
      <c r="J3465" s="42"/>
    </row>
    <row r="3466" spans="5:10">
      <c r="E3466" s="43">
        <v>45337.722222210374</v>
      </c>
      <c r="F3466" s="41">
        <v>11.225159572555352</v>
      </c>
      <c r="G3466" s="41">
        <v>17.472342537814093</v>
      </c>
      <c r="H3466" s="42"/>
      <c r="I3466" s="42"/>
      <c r="J3466" s="42"/>
    </row>
    <row r="3467" spans="5:10">
      <c r="E3467" s="43">
        <v>45337.725694432593</v>
      </c>
      <c r="F3467" s="41">
        <v>11.225159572555352</v>
      </c>
      <c r="G3467" s="41">
        <v>17.472342537814093</v>
      </c>
      <c r="H3467" s="42"/>
      <c r="I3467" s="42"/>
      <c r="J3467" s="42"/>
    </row>
    <row r="3468" spans="5:10">
      <c r="E3468" s="43">
        <v>45337.729166654812</v>
      </c>
      <c r="F3468" s="41">
        <v>11.225159572555352</v>
      </c>
      <c r="G3468" s="41">
        <v>17.472342537814093</v>
      </c>
      <c r="H3468" s="42"/>
      <c r="I3468" s="42"/>
      <c r="J3468" s="42"/>
    </row>
    <row r="3469" spans="5:10">
      <c r="E3469" s="43">
        <v>45337.732638877031</v>
      </c>
      <c r="F3469" s="41">
        <v>11.225159572555352</v>
      </c>
      <c r="G3469" s="41">
        <v>17.472342537814093</v>
      </c>
      <c r="H3469" s="42"/>
      <c r="I3469" s="42"/>
      <c r="J3469" s="42"/>
    </row>
    <row r="3470" spans="5:10">
      <c r="E3470" s="43">
        <v>45337.73611109925</v>
      </c>
      <c r="F3470" s="41">
        <v>11.225159572555352</v>
      </c>
      <c r="G3470" s="41">
        <v>17.472342537814093</v>
      </c>
      <c r="H3470" s="42"/>
      <c r="I3470" s="42"/>
      <c r="J3470" s="42"/>
    </row>
    <row r="3471" spans="5:10">
      <c r="E3471" s="43">
        <v>45337.739583321469</v>
      </c>
      <c r="F3471" s="41">
        <v>11.225159572555352</v>
      </c>
      <c r="G3471" s="41">
        <v>17.472342537814093</v>
      </c>
      <c r="H3471" s="42"/>
      <c r="I3471" s="42"/>
      <c r="J3471" s="42"/>
    </row>
    <row r="3472" spans="5:10">
      <c r="E3472" s="43">
        <v>45337.743055543688</v>
      </c>
      <c r="F3472" s="41">
        <v>11.225159572555352</v>
      </c>
      <c r="G3472" s="41">
        <v>17.472342537814093</v>
      </c>
      <c r="H3472" s="42"/>
      <c r="I3472" s="42"/>
      <c r="J3472" s="42"/>
    </row>
    <row r="3473" spans="5:10">
      <c r="E3473" s="43">
        <v>45337.746527765907</v>
      </c>
      <c r="F3473" s="41">
        <v>11.225159572555352</v>
      </c>
      <c r="G3473" s="41">
        <v>17.472342537814093</v>
      </c>
      <c r="H3473" s="42"/>
      <c r="I3473" s="42"/>
      <c r="J3473" s="42"/>
    </row>
    <row r="3474" spans="5:10">
      <c r="E3474" s="43">
        <v>45337.749999988126</v>
      </c>
      <c r="F3474" s="41">
        <v>11.225159572555352</v>
      </c>
      <c r="G3474" s="41">
        <v>17.472342537814093</v>
      </c>
      <c r="H3474" s="42"/>
      <c r="I3474" s="42"/>
      <c r="J3474" s="42"/>
    </row>
    <row r="3475" spans="5:10">
      <c r="E3475" s="43">
        <v>45337.753472210345</v>
      </c>
      <c r="F3475" s="41">
        <v>11.225159572555352</v>
      </c>
      <c r="G3475" s="41">
        <v>17.472342537814093</v>
      </c>
      <c r="H3475" s="42"/>
      <c r="I3475" s="42"/>
      <c r="J3475" s="42"/>
    </row>
    <row r="3476" spans="5:10">
      <c r="E3476" s="43">
        <v>45337.756944432564</v>
      </c>
      <c r="F3476" s="41">
        <v>11.225159572555352</v>
      </c>
      <c r="G3476" s="41">
        <v>17.472342537814093</v>
      </c>
      <c r="H3476" s="42"/>
      <c r="I3476" s="42"/>
      <c r="J3476" s="42"/>
    </row>
    <row r="3477" spans="5:10">
      <c r="E3477" s="43">
        <v>45337.760416654783</v>
      </c>
      <c r="F3477" s="41">
        <v>11.225159572555352</v>
      </c>
      <c r="G3477" s="41">
        <v>17.472342537814093</v>
      </c>
      <c r="H3477" s="42"/>
      <c r="I3477" s="42"/>
      <c r="J3477" s="42"/>
    </row>
    <row r="3478" spans="5:10">
      <c r="E3478" s="43">
        <v>45337.763888877002</v>
      </c>
      <c r="F3478" s="41">
        <v>11.225159572555352</v>
      </c>
      <c r="G3478" s="41">
        <v>17.472342537814093</v>
      </c>
      <c r="H3478" s="42"/>
      <c r="I3478" s="42"/>
      <c r="J3478" s="42"/>
    </row>
    <row r="3479" spans="5:10">
      <c r="E3479" s="43">
        <v>45337.767361099221</v>
      </c>
      <c r="F3479" s="41">
        <v>11.225159572555352</v>
      </c>
      <c r="G3479" s="41">
        <v>17.472342537814093</v>
      </c>
      <c r="H3479" s="42"/>
      <c r="I3479" s="42"/>
      <c r="J3479" s="42"/>
    </row>
    <row r="3480" spans="5:10">
      <c r="E3480" s="43">
        <v>45337.77083332144</v>
      </c>
      <c r="F3480" s="41">
        <v>11.225159572555352</v>
      </c>
      <c r="G3480" s="41">
        <v>17.472342537814093</v>
      </c>
      <c r="H3480" s="42"/>
      <c r="I3480" s="42"/>
      <c r="J3480" s="42"/>
    </row>
    <row r="3481" spans="5:10">
      <c r="E3481" s="43">
        <v>45337.774305543659</v>
      </c>
      <c r="F3481" s="41">
        <v>11.225159572555352</v>
      </c>
      <c r="G3481" s="41">
        <v>17.472342537814093</v>
      </c>
      <c r="H3481" s="42"/>
      <c r="I3481" s="42"/>
      <c r="J3481" s="42"/>
    </row>
    <row r="3482" spans="5:10">
      <c r="E3482" s="43">
        <v>45337.777777765878</v>
      </c>
      <c r="F3482" s="41">
        <v>11.225159572555352</v>
      </c>
      <c r="G3482" s="41">
        <v>17.472342537814093</v>
      </c>
      <c r="H3482" s="42"/>
      <c r="I3482" s="42"/>
      <c r="J3482" s="42"/>
    </row>
    <row r="3483" spans="5:10">
      <c r="E3483" s="43">
        <v>45337.781249988097</v>
      </c>
      <c r="F3483" s="41">
        <v>11.225159572555352</v>
      </c>
      <c r="G3483" s="41">
        <v>17.472342537814093</v>
      </c>
      <c r="H3483" s="42"/>
      <c r="I3483" s="42"/>
      <c r="J3483" s="42"/>
    </row>
    <row r="3484" spans="5:10">
      <c r="E3484" s="43">
        <v>45337.784722210316</v>
      </c>
      <c r="F3484" s="41">
        <v>11.225159572555352</v>
      </c>
      <c r="G3484" s="41">
        <v>17.472342537814093</v>
      </c>
      <c r="H3484" s="42"/>
      <c r="I3484" s="42"/>
      <c r="J3484" s="42"/>
    </row>
    <row r="3485" spans="5:10">
      <c r="E3485" s="43">
        <v>45337.788194432535</v>
      </c>
      <c r="F3485" s="41">
        <v>11.225159572555352</v>
      </c>
      <c r="G3485" s="41">
        <v>17.472342537814093</v>
      </c>
      <c r="H3485" s="42"/>
      <c r="I3485" s="42"/>
      <c r="J3485" s="42"/>
    </row>
    <row r="3486" spans="5:10">
      <c r="E3486" s="43">
        <v>45337.791666654753</v>
      </c>
      <c r="F3486" s="41">
        <v>11.225159572555352</v>
      </c>
      <c r="G3486" s="41">
        <v>17.472342537814093</v>
      </c>
      <c r="H3486" s="42"/>
      <c r="I3486" s="42"/>
      <c r="J3486" s="42"/>
    </row>
    <row r="3487" spans="5:10">
      <c r="E3487" s="43">
        <v>45337.795138876972</v>
      </c>
      <c r="F3487" s="41">
        <v>11.225159572555352</v>
      </c>
      <c r="G3487" s="41">
        <v>17.472342537814093</v>
      </c>
      <c r="H3487" s="42"/>
      <c r="I3487" s="42"/>
      <c r="J3487" s="42"/>
    </row>
    <row r="3488" spans="5:10">
      <c r="E3488" s="43">
        <v>45337.798611099191</v>
      </c>
      <c r="F3488" s="41">
        <v>11.225159572555352</v>
      </c>
      <c r="G3488" s="41">
        <v>0</v>
      </c>
      <c r="H3488" s="42"/>
      <c r="I3488" s="42"/>
      <c r="J3488" s="42"/>
    </row>
    <row r="3489" spans="5:10">
      <c r="E3489" s="43">
        <v>45337.80208332141</v>
      </c>
      <c r="F3489" s="41">
        <v>11.225159572555352</v>
      </c>
      <c r="G3489" s="41">
        <v>0</v>
      </c>
      <c r="H3489" s="42"/>
      <c r="I3489" s="42"/>
      <c r="J3489" s="42"/>
    </row>
    <row r="3490" spans="5:10">
      <c r="E3490" s="43">
        <v>45337.805555543629</v>
      </c>
      <c r="F3490" s="41">
        <v>11.225159572555352</v>
      </c>
      <c r="G3490" s="41">
        <v>0</v>
      </c>
      <c r="H3490" s="42"/>
      <c r="I3490" s="42"/>
      <c r="J3490" s="42"/>
    </row>
    <row r="3491" spans="5:10">
      <c r="E3491" s="43">
        <v>45337.809027765848</v>
      </c>
      <c r="F3491" s="41">
        <v>11.225159572555352</v>
      </c>
      <c r="G3491" s="41">
        <v>0</v>
      </c>
      <c r="H3491" s="42"/>
      <c r="I3491" s="42"/>
      <c r="J3491" s="42"/>
    </row>
    <row r="3492" spans="5:10">
      <c r="E3492" s="43">
        <v>45337.812499988067</v>
      </c>
      <c r="F3492" s="41">
        <v>11.225159572555352</v>
      </c>
      <c r="G3492" s="41">
        <v>0</v>
      </c>
      <c r="H3492" s="42"/>
      <c r="I3492" s="42"/>
      <c r="J3492" s="42"/>
    </row>
    <row r="3493" spans="5:10">
      <c r="E3493" s="43">
        <v>45337.815972210286</v>
      </c>
      <c r="F3493" s="41">
        <v>11.225159572555352</v>
      </c>
      <c r="G3493" s="41">
        <v>0</v>
      </c>
      <c r="H3493" s="42"/>
      <c r="I3493" s="42"/>
      <c r="J3493" s="42"/>
    </row>
    <row r="3494" spans="5:10">
      <c r="E3494" s="43">
        <v>45337.819444432505</v>
      </c>
      <c r="F3494" s="41">
        <v>11.225159572555352</v>
      </c>
      <c r="G3494" s="41">
        <v>0</v>
      </c>
      <c r="H3494" s="42"/>
      <c r="I3494" s="42"/>
      <c r="J3494" s="42"/>
    </row>
    <row r="3495" spans="5:10">
      <c r="E3495" s="43">
        <v>45337.822916654724</v>
      </c>
      <c r="F3495" s="41">
        <v>11.225159572555352</v>
      </c>
      <c r="G3495" s="41">
        <v>0</v>
      </c>
      <c r="H3495" s="42"/>
      <c r="I3495" s="42"/>
      <c r="J3495" s="42"/>
    </row>
    <row r="3496" spans="5:10">
      <c r="E3496" s="43">
        <v>45337.826388876943</v>
      </c>
      <c r="F3496" s="41">
        <v>11.225159572555352</v>
      </c>
      <c r="G3496" s="41">
        <v>0</v>
      </c>
      <c r="H3496" s="42"/>
      <c r="I3496" s="42"/>
      <c r="J3496" s="42"/>
    </row>
    <row r="3497" spans="5:10">
      <c r="E3497" s="43">
        <v>45337.829861099162</v>
      </c>
      <c r="F3497" s="41">
        <v>11.225159572555352</v>
      </c>
      <c r="G3497" s="41">
        <v>0</v>
      </c>
      <c r="H3497" s="42"/>
      <c r="I3497" s="42"/>
      <c r="J3497" s="42"/>
    </row>
    <row r="3498" spans="5:10">
      <c r="E3498" s="43">
        <v>45337.833333321381</v>
      </c>
      <c r="F3498" s="41">
        <v>11.225159572555352</v>
      </c>
      <c r="G3498" s="41">
        <v>0</v>
      </c>
      <c r="H3498" s="42"/>
      <c r="I3498" s="42"/>
      <c r="J3498" s="42"/>
    </row>
    <row r="3499" spans="5:10">
      <c r="E3499" s="43">
        <v>45337.8368055436</v>
      </c>
      <c r="F3499" s="41">
        <v>11.225159572555352</v>
      </c>
      <c r="G3499" s="41">
        <v>0</v>
      </c>
      <c r="H3499" s="42"/>
      <c r="I3499" s="42"/>
      <c r="J3499" s="42"/>
    </row>
    <row r="3500" spans="5:10">
      <c r="E3500" s="43">
        <v>45337.840277765819</v>
      </c>
      <c r="F3500" s="41">
        <v>11.225159572555352</v>
      </c>
      <c r="G3500" s="41">
        <v>0</v>
      </c>
      <c r="H3500" s="42"/>
      <c r="I3500" s="42"/>
      <c r="J3500" s="42"/>
    </row>
    <row r="3501" spans="5:10">
      <c r="E3501" s="43">
        <v>45337.843749988038</v>
      </c>
      <c r="F3501" s="41">
        <v>11.225159572555352</v>
      </c>
      <c r="G3501" s="41">
        <v>0</v>
      </c>
      <c r="H3501" s="42"/>
      <c r="I3501" s="42"/>
      <c r="J3501" s="42"/>
    </row>
    <row r="3502" spans="5:10">
      <c r="E3502" s="43">
        <v>45337.847222210257</v>
      </c>
      <c r="F3502" s="41">
        <v>11.225159572555352</v>
      </c>
      <c r="G3502" s="41">
        <v>0</v>
      </c>
      <c r="H3502" s="42"/>
      <c r="I3502" s="42"/>
      <c r="J3502" s="42"/>
    </row>
    <row r="3503" spans="5:10">
      <c r="E3503" s="43">
        <v>45337.850694432476</v>
      </c>
      <c r="F3503" s="41">
        <v>11.225159572555352</v>
      </c>
      <c r="G3503" s="41">
        <v>0</v>
      </c>
      <c r="H3503" s="42"/>
      <c r="I3503" s="42"/>
      <c r="J3503" s="42"/>
    </row>
    <row r="3504" spans="5:10">
      <c r="E3504" s="43">
        <v>45337.854166654695</v>
      </c>
      <c r="F3504" s="41">
        <v>11.225159572555352</v>
      </c>
      <c r="G3504" s="41">
        <v>0</v>
      </c>
      <c r="H3504" s="42"/>
      <c r="I3504" s="42"/>
      <c r="J3504" s="42"/>
    </row>
    <row r="3505" spans="5:10">
      <c r="E3505" s="43">
        <v>45337.857638876914</v>
      </c>
      <c r="F3505" s="41">
        <v>11.225159572555352</v>
      </c>
      <c r="G3505" s="41">
        <v>0</v>
      </c>
      <c r="H3505" s="42"/>
      <c r="I3505" s="42"/>
      <c r="J3505" s="42"/>
    </row>
    <row r="3506" spans="5:10">
      <c r="E3506" s="43">
        <v>45337.861111099133</v>
      </c>
      <c r="F3506" s="41">
        <v>11.225159572555352</v>
      </c>
      <c r="G3506" s="41">
        <v>0</v>
      </c>
      <c r="H3506" s="42"/>
      <c r="I3506" s="42"/>
      <c r="J3506" s="42"/>
    </row>
    <row r="3507" spans="5:10">
      <c r="E3507" s="43">
        <v>45337.864583321352</v>
      </c>
      <c r="F3507" s="41">
        <v>11.225159572555352</v>
      </c>
      <c r="G3507" s="41">
        <v>0</v>
      </c>
      <c r="H3507" s="42"/>
      <c r="I3507" s="42"/>
      <c r="J3507" s="42"/>
    </row>
    <row r="3508" spans="5:10">
      <c r="E3508" s="43">
        <v>45337.868055543571</v>
      </c>
      <c r="F3508" s="41">
        <v>11.225159572555352</v>
      </c>
      <c r="G3508" s="41">
        <v>0</v>
      </c>
      <c r="H3508" s="42"/>
      <c r="I3508" s="42"/>
      <c r="J3508" s="42"/>
    </row>
    <row r="3509" spans="5:10">
      <c r="E3509" s="43">
        <v>45337.87152776579</v>
      </c>
      <c r="F3509" s="41">
        <v>11.225159572555352</v>
      </c>
      <c r="G3509" s="41">
        <v>0</v>
      </c>
      <c r="H3509" s="42"/>
      <c r="I3509" s="42"/>
      <c r="J3509" s="42"/>
    </row>
    <row r="3510" spans="5:10">
      <c r="E3510" s="43">
        <v>45337.874999988009</v>
      </c>
      <c r="F3510" s="41">
        <v>11.225159572555352</v>
      </c>
      <c r="G3510" s="41">
        <v>0</v>
      </c>
      <c r="H3510" s="42"/>
      <c r="I3510" s="42"/>
      <c r="J3510" s="42"/>
    </row>
    <row r="3511" spans="5:10">
      <c r="E3511" s="43">
        <v>45337.878472210228</v>
      </c>
      <c r="F3511" s="41">
        <v>4.8499446095546848</v>
      </c>
      <c r="G3511" s="41">
        <v>0</v>
      </c>
      <c r="H3511" s="42"/>
      <c r="I3511" s="42"/>
      <c r="J3511" s="42"/>
    </row>
    <row r="3512" spans="5:10">
      <c r="E3512" s="43">
        <v>45337.881944432447</v>
      </c>
      <c r="F3512" s="41">
        <v>4.8499446095546848</v>
      </c>
      <c r="G3512" s="41">
        <v>0</v>
      </c>
      <c r="H3512" s="42"/>
      <c r="I3512" s="42"/>
      <c r="J3512" s="42"/>
    </row>
    <row r="3513" spans="5:10">
      <c r="E3513" s="43">
        <v>45337.885416654666</v>
      </c>
      <c r="F3513" s="41">
        <v>4.8499446095546848</v>
      </c>
      <c r="G3513" s="41">
        <v>0</v>
      </c>
      <c r="H3513" s="42"/>
      <c r="I3513" s="42"/>
      <c r="J3513" s="42"/>
    </row>
    <row r="3514" spans="5:10">
      <c r="E3514" s="43">
        <v>45337.888888876885</v>
      </c>
      <c r="F3514" s="41">
        <v>4.8499446095546848</v>
      </c>
      <c r="G3514" s="41">
        <v>0</v>
      </c>
      <c r="H3514" s="42"/>
      <c r="I3514" s="42"/>
      <c r="J3514" s="42"/>
    </row>
    <row r="3515" spans="5:10">
      <c r="E3515" s="43">
        <v>45337.892361099104</v>
      </c>
      <c r="F3515" s="41">
        <v>4.8499446095546848</v>
      </c>
      <c r="G3515" s="41">
        <v>0</v>
      </c>
      <c r="H3515" s="42"/>
      <c r="I3515" s="42"/>
      <c r="J3515" s="42"/>
    </row>
    <row r="3516" spans="5:10">
      <c r="E3516" s="43">
        <v>45337.895833321323</v>
      </c>
      <c r="F3516" s="41">
        <v>4.8499446095546848</v>
      </c>
      <c r="G3516" s="41">
        <v>0</v>
      </c>
      <c r="H3516" s="42"/>
      <c r="I3516" s="42"/>
      <c r="J3516" s="42"/>
    </row>
    <row r="3517" spans="5:10">
      <c r="E3517" s="43">
        <v>45337.899305543542</v>
      </c>
      <c r="F3517" s="41">
        <v>4.8499446095546848</v>
      </c>
      <c r="G3517" s="41">
        <v>0</v>
      </c>
      <c r="H3517" s="42"/>
      <c r="I3517" s="42"/>
      <c r="J3517" s="42"/>
    </row>
    <row r="3518" spans="5:10">
      <c r="E3518" s="43">
        <v>45337.902777765761</v>
      </c>
      <c r="F3518" s="41">
        <v>4.8499446095546848</v>
      </c>
      <c r="G3518" s="41">
        <v>0</v>
      </c>
      <c r="H3518" s="42"/>
      <c r="I3518" s="42"/>
      <c r="J3518" s="42"/>
    </row>
    <row r="3519" spans="5:10">
      <c r="E3519" s="43">
        <v>45337.90624998798</v>
      </c>
      <c r="F3519" s="41">
        <v>4.8499446095546848</v>
      </c>
      <c r="G3519" s="41">
        <v>0</v>
      </c>
      <c r="H3519" s="42"/>
      <c r="I3519" s="42"/>
      <c r="J3519" s="42"/>
    </row>
    <row r="3520" spans="5:10">
      <c r="E3520" s="43">
        <v>45337.909722210199</v>
      </c>
      <c r="F3520" s="41">
        <v>4.8499446095546848</v>
      </c>
      <c r="G3520" s="41">
        <v>0</v>
      </c>
      <c r="H3520" s="42"/>
      <c r="I3520" s="42"/>
      <c r="J3520" s="42"/>
    </row>
    <row r="3521" spans="5:10">
      <c r="E3521" s="43">
        <v>45337.913194432418</v>
      </c>
      <c r="F3521" s="41">
        <v>4.8499446095546848</v>
      </c>
      <c r="G3521" s="41">
        <v>0</v>
      </c>
      <c r="H3521" s="42"/>
      <c r="I3521" s="42"/>
      <c r="J3521" s="42"/>
    </row>
    <row r="3522" spans="5:10">
      <c r="E3522" s="43">
        <v>45337.916666654637</v>
      </c>
      <c r="F3522" s="41">
        <v>8.837802186066277</v>
      </c>
      <c r="G3522" s="41">
        <v>0</v>
      </c>
      <c r="H3522" s="42"/>
      <c r="I3522" s="42"/>
      <c r="J3522" s="42"/>
    </row>
    <row r="3523" spans="5:10">
      <c r="E3523" s="43">
        <v>45337.920138876856</v>
      </c>
      <c r="F3523" s="41">
        <v>8.837802186066277</v>
      </c>
      <c r="G3523" s="41">
        <v>0</v>
      </c>
      <c r="H3523" s="42"/>
      <c r="I3523" s="42"/>
      <c r="J3523" s="42"/>
    </row>
    <row r="3524" spans="5:10">
      <c r="E3524" s="43">
        <v>45337.923611099075</v>
      </c>
      <c r="F3524" s="41">
        <v>8.837802186066277</v>
      </c>
      <c r="G3524" s="41">
        <v>0</v>
      </c>
      <c r="H3524" s="42"/>
      <c r="I3524" s="42"/>
      <c r="J3524" s="42"/>
    </row>
    <row r="3525" spans="5:10">
      <c r="E3525" s="43">
        <v>45337.927083321294</v>
      </c>
      <c r="F3525" s="41">
        <v>8.837802186066277</v>
      </c>
      <c r="G3525" s="41">
        <v>0</v>
      </c>
      <c r="H3525" s="42"/>
      <c r="I3525" s="42"/>
      <c r="J3525" s="42"/>
    </row>
    <row r="3526" spans="5:10">
      <c r="E3526" s="43">
        <v>45337.930555543513</v>
      </c>
      <c r="F3526" s="41">
        <v>8.837802186066277</v>
      </c>
      <c r="G3526" s="41">
        <v>0</v>
      </c>
      <c r="H3526" s="42"/>
      <c r="I3526" s="42"/>
      <c r="J3526" s="42"/>
    </row>
    <row r="3527" spans="5:10">
      <c r="E3527" s="43">
        <v>45337.934027765732</v>
      </c>
      <c r="F3527" s="41">
        <v>8.837802186066277</v>
      </c>
      <c r="G3527" s="41">
        <v>0</v>
      </c>
      <c r="H3527" s="42"/>
      <c r="I3527" s="42"/>
      <c r="J3527" s="42"/>
    </row>
    <row r="3528" spans="5:10">
      <c r="E3528" s="43">
        <v>45337.937499987951</v>
      </c>
      <c r="F3528" s="41">
        <v>8.837802186066277</v>
      </c>
      <c r="G3528" s="41">
        <v>0</v>
      </c>
      <c r="H3528" s="42"/>
      <c r="I3528" s="42"/>
      <c r="J3528" s="42"/>
    </row>
    <row r="3529" spans="5:10">
      <c r="E3529" s="43">
        <v>45337.94097221017</v>
      </c>
      <c r="F3529" s="41">
        <v>8.837802186066277</v>
      </c>
      <c r="G3529" s="41">
        <v>0</v>
      </c>
      <c r="H3529" s="42"/>
      <c r="I3529" s="42"/>
      <c r="J3529" s="42"/>
    </row>
    <row r="3530" spans="5:10">
      <c r="E3530" s="43">
        <v>45337.944444432389</v>
      </c>
      <c r="F3530" s="41">
        <v>8.837802186066277</v>
      </c>
      <c r="G3530" s="41">
        <v>0</v>
      </c>
      <c r="H3530" s="42"/>
      <c r="I3530" s="42"/>
      <c r="J3530" s="42"/>
    </row>
    <row r="3531" spans="5:10">
      <c r="E3531" s="43">
        <v>45337.947916654608</v>
      </c>
      <c r="F3531" s="41">
        <v>8.837802186066277</v>
      </c>
      <c r="G3531" s="41">
        <v>0</v>
      </c>
      <c r="H3531" s="42"/>
      <c r="I3531" s="42"/>
      <c r="J3531" s="42"/>
    </row>
    <row r="3532" spans="5:10">
      <c r="E3532" s="43">
        <v>45337.951388876827</v>
      </c>
      <c r="F3532" s="41">
        <v>8.837802186066277</v>
      </c>
      <c r="G3532" s="41">
        <v>0</v>
      </c>
      <c r="H3532" s="42"/>
      <c r="I3532" s="42"/>
      <c r="J3532" s="42"/>
    </row>
    <row r="3533" spans="5:10">
      <c r="E3533" s="43">
        <v>45337.954861099046</v>
      </c>
      <c r="F3533" s="41">
        <v>8.837802186066277</v>
      </c>
      <c r="G3533" s="41">
        <v>0</v>
      </c>
      <c r="H3533" s="42"/>
      <c r="I3533" s="42"/>
      <c r="J3533" s="42"/>
    </row>
    <row r="3534" spans="5:10">
      <c r="E3534" s="43">
        <v>45337.958333321265</v>
      </c>
      <c r="F3534" s="41">
        <v>16.631043588741736</v>
      </c>
      <c r="G3534" s="41">
        <v>0</v>
      </c>
      <c r="H3534" s="42"/>
      <c r="I3534" s="42"/>
      <c r="J3534" s="42"/>
    </row>
    <row r="3535" spans="5:10">
      <c r="E3535" s="43">
        <v>45337.961805543484</v>
      </c>
      <c r="F3535" s="41">
        <v>11.78109897918705</v>
      </c>
      <c r="G3535" s="41">
        <v>0</v>
      </c>
      <c r="H3535" s="42"/>
      <c r="I3535" s="42"/>
      <c r="J3535" s="42"/>
    </row>
    <row r="3536" spans="5:10">
      <c r="E3536" s="43">
        <v>45337.965277765703</v>
      </c>
      <c r="F3536" s="41">
        <v>11.78109897918705</v>
      </c>
      <c r="G3536" s="41">
        <v>0</v>
      </c>
      <c r="H3536" s="42"/>
      <c r="I3536" s="42"/>
      <c r="J3536" s="42"/>
    </row>
    <row r="3537" spans="5:10">
      <c r="E3537" s="43">
        <v>45337.968749987922</v>
      </c>
      <c r="F3537" s="41">
        <v>11.78109897918705</v>
      </c>
      <c r="G3537" s="41">
        <v>0</v>
      </c>
      <c r="H3537" s="42"/>
      <c r="I3537" s="42"/>
      <c r="J3537" s="42"/>
    </row>
    <row r="3538" spans="5:10">
      <c r="E3538" s="43">
        <v>45337.972222210141</v>
      </c>
      <c r="F3538" s="41">
        <v>11.78109897918705</v>
      </c>
      <c r="G3538" s="41">
        <v>0</v>
      </c>
      <c r="H3538" s="42"/>
      <c r="I3538" s="42"/>
      <c r="J3538" s="42"/>
    </row>
    <row r="3539" spans="5:10">
      <c r="E3539" s="43">
        <v>45337.97569443236</v>
      </c>
      <c r="F3539" s="41">
        <v>11.78109897918705</v>
      </c>
      <c r="G3539" s="41">
        <v>0</v>
      </c>
      <c r="H3539" s="42"/>
      <c r="I3539" s="42"/>
      <c r="J3539" s="42"/>
    </row>
    <row r="3540" spans="5:10">
      <c r="E3540" s="43">
        <v>45337.979166654579</v>
      </c>
      <c r="F3540" s="41">
        <v>11.78109897918705</v>
      </c>
      <c r="G3540" s="41">
        <v>0</v>
      </c>
      <c r="H3540" s="42"/>
      <c r="I3540" s="42"/>
      <c r="J3540" s="42"/>
    </row>
    <row r="3541" spans="5:10">
      <c r="E3541" s="43">
        <v>45337.982638876798</v>
      </c>
      <c r="F3541" s="41">
        <v>11.78109897918705</v>
      </c>
      <c r="G3541" s="41">
        <v>0</v>
      </c>
      <c r="H3541" s="42"/>
      <c r="I3541" s="42"/>
      <c r="J3541" s="42"/>
    </row>
    <row r="3542" spans="5:10">
      <c r="E3542" s="43">
        <v>45337.986111099017</v>
      </c>
      <c r="F3542" s="41">
        <v>11.78109897918705</v>
      </c>
      <c r="G3542" s="41">
        <v>0</v>
      </c>
      <c r="H3542" s="42"/>
      <c r="I3542" s="42"/>
      <c r="J3542" s="42"/>
    </row>
    <row r="3543" spans="5:10">
      <c r="E3543" s="43">
        <v>45337.989583321236</v>
      </c>
      <c r="F3543" s="41">
        <v>11.78109897918705</v>
      </c>
      <c r="G3543" s="41">
        <v>0</v>
      </c>
      <c r="H3543" s="42"/>
      <c r="I3543" s="42"/>
      <c r="J3543" s="42"/>
    </row>
    <row r="3544" spans="5:10">
      <c r="E3544" s="43">
        <v>45337.993055543455</v>
      </c>
      <c r="F3544" s="41">
        <v>11.78109897918705</v>
      </c>
      <c r="G3544" s="41">
        <v>0</v>
      </c>
      <c r="H3544" s="42"/>
      <c r="I3544" s="42"/>
      <c r="J3544" s="42"/>
    </row>
    <row r="3545" spans="5:10">
      <c r="E3545" s="43">
        <v>45337.996527765674</v>
      </c>
      <c r="F3545" s="41">
        <v>11.78109897918705</v>
      </c>
      <c r="G3545" s="41">
        <v>0</v>
      </c>
      <c r="H3545" s="42"/>
      <c r="I3545" s="42"/>
      <c r="J3545" s="42"/>
    </row>
    <row r="3546" spans="5:10">
      <c r="E3546" s="43">
        <v>45337.999999987893</v>
      </c>
      <c r="F3546" s="41">
        <v>11.78109897918705</v>
      </c>
      <c r="G3546" s="41">
        <v>0</v>
      </c>
      <c r="H3546" s="42"/>
      <c r="I3546" s="42"/>
      <c r="J3546" s="42"/>
    </row>
    <row r="3547" spans="5:10">
      <c r="E3547" s="43">
        <v>45338.003472210112</v>
      </c>
      <c r="F3547" s="41">
        <v>11.78109897918705</v>
      </c>
      <c r="G3547" s="41">
        <v>0</v>
      </c>
      <c r="H3547" s="42"/>
      <c r="I3547" s="42"/>
      <c r="J3547" s="42"/>
    </row>
    <row r="3548" spans="5:10">
      <c r="E3548" s="43">
        <v>45338.006944432331</v>
      </c>
      <c r="F3548" s="41">
        <v>11.78109897918705</v>
      </c>
      <c r="G3548" s="41">
        <v>0</v>
      </c>
      <c r="H3548" s="42"/>
      <c r="I3548" s="42"/>
      <c r="J3548" s="42"/>
    </row>
    <row r="3549" spans="5:10">
      <c r="E3549" s="43">
        <v>45338.01041665455</v>
      </c>
      <c r="F3549" s="41">
        <v>11.78109897918705</v>
      </c>
      <c r="G3549" s="41">
        <v>0</v>
      </c>
      <c r="H3549" s="42"/>
      <c r="I3549" s="42"/>
      <c r="J3549" s="42"/>
    </row>
    <row r="3550" spans="5:10">
      <c r="E3550" s="43">
        <v>45338.013888876769</v>
      </c>
      <c r="F3550" s="41">
        <v>11.78109897918705</v>
      </c>
      <c r="G3550" s="41">
        <v>0</v>
      </c>
      <c r="H3550" s="42"/>
      <c r="I3550" s="42"/>
      <c r="J3550" s="42"/>
    </row>
    <row r="3551" spans="5:10">
      <c r="E3551" s="43">
        <v>45338.017361098988</v>
      </c>
      <c r="F3551" s="41">
        <v>11.78109897918705</v>
      </c>
      <c r="G3551" s="41">
        <v>0</v>
      </c>
      <c r="H3551" s="42"/>
      <c r="I3551" s="42"/>
      <c r="J3551" s="42"/>
    </row>
    <row r="3552" spans="5:10">
      <c r="E3552" s="43">
        <v>45338.020833321207</v>
      </c>
      <c r="F3552" s="41">
        <v>11.78109897918705</v>
      </c>
      <c r="G3552" s="41">
        <v>0</v>
      </c>
      <c r="H3552" s="42"/>
      <c r="I3552" s="42"/>
      <c r="J3552" s="42"/>
    </row>
    <row r="3553" spans="5:10">
      <c r="E3553" s="43">
        <v>45338.024305543426</v>
      </c>
      <c r="F3553" s="41">
        <v>11.78109897918705</v>
      </c>
      <c r="G3553" s="41">
        <v>0</v>
      </c>
      <c r="H3553" s="42"/>
      <c r="I3553" s="42"/>
      <c r="J3553" s="42"/>
    </row>
    <row r="3554" spans="5:10">
      <c r="E3554" s="43">
        <v>45338.027777765645</v>
      </c>
      <c r="F3554" s="41">
        <v>11.78109897918705</v>
      </c>
      <c r="G3554" s="41">
        <v>0</v>
      </c>
      <c r="H3554" s="42"/>
      <c r="I3554" s="42"/>
      <c r="J3554" s="42"/>
    </row>
    <row r="3555" spans="5:10">
      <c r="E3555" s="43">
        <v>45338.031249987864</v>
      </c>
      <c r="F3555" s="41">
        <v>11.78109897918705</v>
      </c>
      <c r="G3555" s="41">
        <v>0</v>
      </c>
      <c r="H3555" s="42"/>
      <c r="I3555" s="42"/>
      <c r="J3555" s="42"/>
    </row>
    <row r="3556" spans="5:10">
      <c r="E3556" s="43">
        <v>45338.034722210083</v>
      </c>
      <c r="F3556" s="41">
        <v>11.78109897918705</v>
      </c>
      <c r="G3556" s="41">
        <v>0</v>
      </c>
      <c r="H3556" s="42"/>
      <c r="I3556" s="42"/>
      <c r="J3556" s="42"/>
    </row>
    <row r="3557" spans="5:10">
      <c r="E3557" s="43">
        <v>45338.038194432302</v>
      </c>
      <c r="F3557" s="41">
        <v>11.78109897918705</v>
      </c>
      <c r="G3557" s="41">
        <v>0</v>
      </c>
      <c r="H3557" s="42"/>
      <c r="I3557" s="42"/>
      <c r="J3557" s="42"/>
    </row>
    <row r="3558" spans="5:10">
      <c r="E3558" s="43">
        <v>45338.041666654521</v>
      </c>
      <c r="F3558" s="41">
        <v>11.78109897918705</v>
      </c>
      <c r="G3558" s="41">
        <v>0</v>
      </c>
      <c r="H3558" s="42"/>
      <c r="I3558" s="42"/>
      <c r="J3558" s="42"/>
    </row>
    <row r="3559" spans="5:10">
      <c r="E3559" s="43">
        <v>45338.04513887674</v>
      </c>
      <c r="F3559" s="41">
        <v>11.78109897918705</v>
      </c>
      <c r="G3559" s="41">
        <v>0</v>
      </c>
      <c r="H3559" s="42"/>
      <c r="I3559" s="42"/>
      <c r="J3559" s="42"/>
    </row>
    <row r="3560" spans="5:10">
      <c r="E3560" s="43">
        <v>45338.048611098959</v>
      </c>
      <c r="F3560" s="41">
        <v>11.78109897918705</v>
      </c>
      <c r="G3560" s="41">
        <v>0</v>
      </c>
      <c r="H3560" s="42"/>
      <c r="I3560" s="42"/>
      <c r="J3560" s="42"/>
    </row>
    <row r="3561" spans="5:10">
      <c r="E3561" s="43">
        <v>45338.052083321178</v>
      </c>
      <c r="F3561" s="41">
        <v>11.78109897918705</v>
      </c>
      <c r="G3561" s="41">
        <v>0</v>
      </c>
      <c r="H3561" s="42"/>
      <c r="I3561" s="42"/>
      <c r="J3561" s="42"/>
    </row>
    <row r="3562" spans="5:10">
      <c r="E3562" s="43">
        <v>45338.055555543397</v>
      </c>
      <c r="F3562" s="41">
        <v>11.78109897918705</v>
      </c>
      <c r="G3562" s="41">
        <v>0</v>
      </c>
      <c r="H3562" s="42"/>
      <c r="I3562" s="42"/>
      <c r="J3562" s="42"/>
    </row>
    <row r="3563" spans="5:10">
      <c r="E3563" s="43">
        <v>45338.059027765616</v>
      </c>
      <c r="F3563" s="41">
        <v>11.78109897918705</v>
      </c>
      <c r="G3563" s="41">
        <v>0</v>
      </c>
      <c r="H3563" s="42"/>
      <c r="I3563" s="42"/>
      <c r="J3563" s="42"/>
    </row>
    <row r="3564" spans="5:10">
      <c r="E3564" s="43">
        <v>45338.062499987835</v>
      </c>
      <c r="F3564" s="41">
        <v>11.78109897918705</v>
      </c>
      <c r="G3564" s="41">
        <v>0</v>
      </c>
      <c r="H3564" s="42"/>
      <c r="I3564" s="42"/>
      <c r="J3564" s="42"/>
    </row>
    <row r="3565" spans="5:10">
      <c r="E3565" s="43">
        <v>45338.065972210054</v>
      </c>
      <c r="F3565" s="41">
        <v>11.78109897918705</v>
      </c>
      <c r="G3565" s="41">
        <v>0</v>
      </c>
      <c r="H3565" s="42"/>
      <c r="I3565" s="42"/>
      <c r="J3565" s="42"/>
    </row>
    <row r="3566" spans="5:10">
      <c r="E3566" s="43">
        <v>45338.069444432273</v>
      </c>
      <c r="F3566" s="41">
        <v>11.78109897918705</v>
      </c>
      <c r="G3566" s="41">
        <v>0</v>
      </c>
      <c r="H3566" s="42"/>
      <c r="I3566" s="42"/>
      <c r="J3566" s="42"/>
    </row>
    <row r="3567" spans="5:10">
      <c r="E3567" s="43">
        <v>45338.072916654492</v>
      </c>
      <c r="F3567" s="41">
        <v>11.78109897918705</v>
      </c>
      <c r="G3567" s="41">
        <v>0</v>
      </c>
      <c r="H3567" s="42"/>
      <c r="I3567" s="42"/>
      <c r="J3567" s="42"/>
    </row>
    <row r="3568" spans="5:10">
      <c r="E3568" s="43">
        <v>45338.076388876711</v>
      </c>
      <c r="F3568" s="41">
        <v>11.78109897918705</v>
      </c>
      <c r="G3568" s="41">
        <v>0</v>
      </c>
      <c r="H3568" s="42"/>
      <c r="I3568" s="42"/>
      <c r="J3568" s="42"/>
    </row>
    <row r="3569" spans="5:10">
      <c r="E3569" s="43">
        <v>45338.07986109893</v>
      </c>
      <c r="F3569" s="41">
        <v>11.78109897918705</v>
      </c>
      <c r="G3569" s="41">
        <v>0</v>
      </c>
      <c r="H3569" s="42"/>
      <c r="I3569" s="42"/>
      <c r="J3569" s="42"/>
    </row>
    <row r="3570" spans="5:10">
      <c r="E3570" s="43">
        <v>45338.083333321149</v>
      </c>
      <c r="F3570" s="41">
        <v>11.78109897918705</v>
      </c>
      <c r="G3570" s="41">
        <v>0</v>
      </c>
      <c r="H3570" s="42"/>
      <c r="I3570" s="42"/>
      <c r="J3570" s="42"/>
    </row>
    <row r="3571" spans="5:10">
      <c r="E3571" s="43">
        <v>45338.086805543368</v>
      </c>
      <c r="F3571" s="41">
        <v>11.78109897918705</v>
      </c>
      <c r="G3571" s="41">
        <v>0</v>
      </c>
      <c r="H3571" s="42"/>
      <c r="I3571" s="42"/>
      <c r="J3571" s="42"/>
    </row>
    <row r="3572" spans="5:10">
      <c r="E3572" s="43">
        <v>45338.090277765587</v>
      </c>
      <c r="F3572" s="41">
        <v>11.78109897918705</v>
      </c>
      <c r="G3572" s="41">
        <v>0</v>
      </c>
      <c r="H3572" s="42"/>
      <c r="I3572" s="42"/>
      <c r="J3572" s="42"/>
    </row>
    <row r="3573" spans="5:10">
      <c r="E3573" s="43">
        <v>45338.093749987805</v>
      </c>
      <c r="F3573" s="41">
        <v>11.78109897918705</v>
      </c>
      <c r="G3573" s="41">
        <v>0</v>
      </c>
      <c r="H3573" s="42"/>
      <c r="I3573" s="42"/>
      <c r="J3573" s="42"/>
    </row>
    <row r="3574" spans="5:10">
      <c r="E3574" s="43">
        <v>45338.097222210024</v>
      </c>
      <c r="F3574" s="41">
        <v>11.78109897918705</v>
      </c>
      <c r="G3574" s="41">
        <v>0</v>
      </c>
      <c r="H3574" s="42"/>
      <c r="I3574" s="42"/>
      <c r="J3574" s="42"/>
    </row>
    <row r="3575" spans="5:10">
      <c r="E3575" s="43">
        <v>45338.100694432243</v>
      </c>
      <c r="F3575" s="41">
        <v>11.78109897918705</v>
      </c>
      <c r="G3575" s="41">
        <v>0</v>
      </c>
      <c r="H3575" s="42"/>
      <c r="I3575" s="42"/>
      <c r="J3575" s="42"/>
    </row>
    <row r="3576" spans="5:10">
      <c r="E3576" s="43">
        <v>45338.104166654462</v>
      </c>
      <c r="F3576" s="41">
        <v>11.78109897918705</v>
      </c>
      <c r="G3576" s="41">
        <v>0</v>
      </c>
      <c r="H3576" s="42"/>
      <c r="I3576" s="42"/>
      <c r="J3576" s="42"/>
    </row>
    <row r="3577" spans="5:10">
      <c r="E3577" s="43">
        <v>45338.107638876681</v>
      </c>
      <c r="F3577" s="41">
        <v>11.78109897918705</v>
      </c>
      <c r="G3577" s="41">
        <v>0</v>
      </c>
      <c r="H3577" s="42"/>
      <c r="I3577" s="42"/>
      <c r="J3577" s="42"/>
    </row>
    <row r="3578" spans="5:10">
      <c r="E3578" s="43">
        <v>45338.1111110989</v>
      </c>
      <c r="F3578" s="41">
        <v>11.78109897918705</v>
      </c>
      <c r="G3578" s="41">
        <v>0</v>
      </c>
      <c r="H3578" s="42"/>
      <c r="I3578" s="42"/>
      <c r="J3578" s="42"/>
    </row>
    <row r="3579" spans="5:10">
      <c r="E3579" s="43">
        <v>45338.114583321119</v>
      </c>
      <c r="F3579" s="41">
        <v>11.78109897918705</v>
      </c>
      <c r="G3579" s="41">
        <v>0</v>
      </c>
      <c r="H3579" s="42"/>
      <c r="I3579" s="42"/>
      <c r="J3579" s="42"/>
    </row>
    <row r="3580" spans="5:10">
      <c r="E3580" s="43">
        <v>45338.118055543338</v>
      </c>
      <c r="F3580" s="41">
        <v>11.78109897918705</v>
      </c>
      <c r="G3580" s="41">
        <v>0</v>
      </c>
      <c r="H3580" s="42"/>
      <c r="I3580" s="42"/>
      <c r="J3580" s="42"/>
    </row>
    <row r="3581" spans="5:10">
      <c r="E3581" s="43">
        <v>45338.121527765557</v>
      </c>
      <c r="F3581" s="41">
        <v>11.78109897918705</v>
      </c>
      <c r="G3581" s="41">
        <v>0</v>
      </c>
      <c r="H3581" s="42"/>
      <c r="I3581" s="42"/>
      <c r="J3581" s="42"/>
    </row>
    <row r="3582" spans="5:10">
      <c r="E3582" s="43">
        <v>45338.124999987776</v>
      </c>
      <c r="F3582" s="41">
        <v>11.78109897918705</v>
      </c>
      <c r="G3582" s="41">
        <v>0</v>
      </c>
      <c r="H3582" s="42"/>
      <c r="I3582" s="42"/>
      <c r="J3582" s="42"/>
    </row>
    <row r="3583" spans="5:10">
      <c r="E3583" s="43">
        <v>45338.128472209995</v>
      </c>
      <c r="F3583" s="41">
        <v>11.78109897918705</v>
      </c>
      <c r="G3583" s="41">
        <v>0</v>
      </c>
      <c r="H3583" s="42"/>
      <c r="I3583" s="42"/>
      <c r="J3583" s="42"/>
    </row>
    <row r="3584" spans="5:10">
      <c r="E3584" s="43">
        <v>45338.131944432214</v>
      </c>
      <c r="F3584" s="41">
        <v>11.78109897918705</v>
      </c>
      <c r="G3584" s="41">
        <v>0</v>
      </c>
      <c r="H3584" s="42"/>
      <c r="I3584" s="42"/>
      <c r="J3584" s="42"/>
    </row>
    <row r="3585" spans="5:10">
      <c r="E3585" s="43">
        <v>45338.135416654433</v>
      </c>
      <c r="F3585" s="41">
        <v>11.78109897918705</v>
      </c>
      <c r="G3585" s="41">
        <v>0</v>
      </c>
      <c r="H3585" s="42"/>
      <c r="I3585" s="42"/>
      <c r="J3585" s="42"/>
    </row>
    <row r="3586" spans="5:10">
      <c r="E3586" s="43">
        <v>45338.138888876652</v>
      </c>
      <c r="F3586" s="41">
        <v>11.78109897918705</v>
      </c>
      <c r="G3586" s="41">
        <v>0</v>
      </c>
      <c r="H3586" s="42"/>
      <c r="I3586" s="42"/>
      <c r="J3586" s="42"/>
    </row>
    <row r="3587" spans="5:10">
      <c r="E3587" s="43">
        <v>45338.142361098871</v>
      </c>
      <c r="F3587" s="41">
        <v>11.78109897918705</v>
      </c>
      <c r="G3587" s="41">
        <v>0</v>
      </c>
      <c r="H3587" s="42"/>
      <c r="I3587" s="42"/>
      <c r="J3587" s="42"/>
    </row>
    <row r="3588" spans="5:10">
      <c r="E3588" s="43">
        <v>45338.14583332109</v>
      </c>
      <c r="F3588" s="41">
        <v>11.78109897918705</v>
      </c>
      <c r="G3588" s="41">
        <v>0</v>
      </c>
      <c r="H3588" s="42"/>
      <c r="I3588" s="42"/>
      <c r="J3588" s="42"/>
    </row>
    <row r="3589" spans="5:10">
      <c r="E3589" s="43">
        <v>45338.149305543309</v>
      </c>
      <c r="F3589" s="41">
        <v>11.78109897918705</v>
      </c>
      <c r="G3589" s="41">
        <v>0</v>
      </c>
      <c r="H3589" s="42"/>
      <c r="I3589" s="42"/>
      <c r="J3589" s="42"/>
    </row>
    <row r="3590" spans="5:10">
      <c r="E3590" s="43">
        <v>45338.152777765528</v>
      </c>
      <c r="F3590" s="41">
        <v>11.78109897918705</v>
      </c>
      <c r="G3590" s="41">
        <v>0</v>
      </c>
      <c r="H3590" s="42"/>
      <c r="I3590" s="42"/>
      <c r="J3590" s="42"/>
    </row>
    <row r="3591" spans="5:10">
      <c r="E3591" s="43">
        <v>45338.156249987747</v>
      </c>
      <c r="F3591" s="41">
        <v>11.78109897918705</v>
      </c>
      <c r="G3591" s="41">
        <v>0</v>
      </c>
      <c r="H3591" s="42"/>
      <c r="I3591" s="42"/>
      <c r="J3591" s="42"/>
    </row>
    <row r="3592" spans="5:10">
      <c r="E3592" s="43">
        <v>45338.159722209966</v>
      </c>
      <c r="F3592" s="41">
        <v>11.78109897918705</v>
      </c>
      <c r="G3592" s="41">
        <v>0</v>
      </c>
      <c r="H3592" s="42"/>
      <c r="I3592" s="42"/>
      <c r="J3592" s="42"/>
    </row>
    <row r="3593" spans="5:10">
      <c r="E3593" s="43">
        <v>45338.163194432185</v>
      </c>
      <c r="F3593" s="41">
        <v>11.78109897918705</v>
      </c>
      <c r="G3593" s="41">
        <v>0</v>
      </c>
      <c r="H3593" s="42"/>
      <c r="I3593" s="42"/>
      <c r="J3593" s="42"/>
    </row>
    <row r="3594" spans="5:10">
      <c r="E3594" s="43">
        <v>45338.166666654404</v>
      </c>
      <c r="F3594" s="41">
        <v>11.78109897918705</v>
      </c>
      <c r="G3594" s="41">
        <v>0</v>
      </c>
      <c r="H3594" s="42"/>
      <c r="I3594" s="42"/>
      <c r="J3594" s="42"/>
    </row>
    <row r="3595" spans="5:10">
      <c r="E3595" s="43">
        <v>45338.170138876623</v>
      </c>
      <c r="F3595" s="41">
        <v>11.78109897918705</v>
      </c>
      <c r="G3595" s="41">
        <v>0</v>
      </c>
      <c r="H3595" s="42"/>
      <c r="I3595" s="42"/>
      <c r="J3595" s="42"/>
    </row>
    <row r="3596" spans="5:10">
      <c r="E3596" s="43">
        <v>45338.173611098842</v>
      </c>
      <c r="F3596" s="41">
        <v>11.78109897918705</v>
      </c>
      <c r="G3596" s="41">
        <v>0</v>
      </c>
      <c r="H3596" s="42"/>
      <c r="I3596" s="42"/>
      <c r="J3596" s="42"/>
    </row>
    <row r="3597" spans="5:10">
      <c r="E3597" s="43">
        <v>45338.177083321061</v>
      </c>
      <c r="F3597" s="41">
        <v>11.78109897918705</v>
      </c>
      <c r="G3597" s="41">
        <v>0</v>
      </c>
      <c r="H3597" s="42"/>
      <c r="I3597" s="42"/>
      <c r="J3597" s="42"/>
    </row>
    <row r="3598" spans="5:10">
      <c r="E3598" s="43">
        <v>45338.18055554328</v>
      </c>
      <c r="F3598" s="41">
        <v>11.78109897918705</v>
      </c>
      <c r="G3598" s="41">
        <v>0</v>
      </c>
      <c r="H3598" s="42"/>
      <c r="I3598" s="42"/>
      <c r="J3598" s="42"/>
    </row>
    <row r="3599" spans="5:10">
      <c r="E3599" s="43">
        <v>45338.184027765499</v>
      </c>
      <c r="F3599" s="41">
        <v>11.78109897918705</v>
      </c>
      <c r="G3599" s="41">
        <v>0</v>
      </c>
      <c r="H3599" s="42"/>
      <c r="I3599" s="42"/>
      <c r="J3599" s="42"/>
    </row>
    <row r="3600" spans="5:10">
      <c r="E3600" s="43">
        <v>45338.187499987718</v>
      </c>
      <c r="F3600" s="41">
        <v>11.78109897918705</v>
      </c>
      <c r="G3600" s="41">
        <v>0</v>
      </c>
      <c r="H3600" s="42"/>
      <c r="I3600" s="42"/>
      <c r="J3600" s="42"/>
    </row>
    <row r="3601" spans="5:10">
      <c r="E3601" s="43">
        <v>45338.190972209937</v>
      </c>
      <c r="F3601" s="41">
        <v>11.78109897918705</v>
      </c>
      <c r="G3601" s="41">
        <v>0</v>
      </c>
      <c r="H3601" s="42"/>
      <c r="I3601" s="42"/>
      <c r="J3601" s="42"/>
    </row>
    <row r="3602" spans="5:10">
      <c r="E3602" s="43">
        <v>45338.194444432156</v>
      </c>
      <c r="F3602" s="41">
        <v>11.78109897918705</v>
      </c>
      <c r="G3602" s="41">
        <v>0</v>
      </c>
      <c r="H3602" s="42"/>
      <c r="I3602" s="42"/>
      <c r="J3602" s="42"/>
    </row>
    <row r="3603" spans="5:10">
      <c r="E3603" s="43">
        <v>45338.197916654375</v>
      </c>
      <c r="F3603" s="41">
        <v>11.78109897918705</v>
      </c>
      <c r="G3603" s="41">
        <v>0</v>
      </c>
      <c r="H3603" s="42"/>
      <c r="I3603" s="42"/>
      <c r="J3603" s="42"/>
    </row>
    <row r="3604" spans="5:10">
      <c r="E3604" s="43">
        <v>45338.201388876594</v>
      </c>
      <c r="F3604" s="41">
        <v>11.78109897918705</v>
      </c>
      <c r="G3604" s="41">
        <v>0</v>
      </c>
      <c r="H3604" s="42"/>
      <c r="I3604" s="42"/>
      <c r="J3604" s="42"/>
    </row>
    <row r="3605" spans="5:10">
      <c r="E3605" s="43">
        <v>45338.204861098813</v>
      </c>
      <c r="F3605" s="41">
        <v>11.78109897918705</v>
      </c>
      <c r="G3605" s="41">
        <v>0</v>
      </c>
      <c r="H3605" s="42"/>
      <c r="I3605" s="42"/>
      <c r="J3605" s="42"/>
    </row>
    <row r="3606" spans="5:10">
      <c r="E3606" s="43">
        <v>45338.208333321032</v>
      </c>
      <c r="F3606" s="41">
        <v>11.78109897918705</v>
      </c>
      <c r="G3606" s="41">
        <v>0</v>
      </c>
      <c r="H3606" s="42"/>
      <c r="I3606" s="42"/>
      <c r="J3606" s="42"/>
    </row>
    <row r="3607" spans="5:10">
      <c r="E3607" s="43">
        <v>45338.211805543251</v>
      </c>
      <c r="F3607" s="41">
        <v>11.78109897918705</v>
      </c>
      <c r="G3607" s="41">
        <v>0</v>
      </c>
      <c r="H3607" s="42"/>
      <c r="I3607" s="42"/>
      <c r="J3607" s="42"/>
    </row>
    <row r="3608" spans="5:10">
      <c r="E3608" s="43">
        <v>45338.21527776547</v>
      </c>
      <c r="F3608" s="41">
        <v>11.78109897918705</v>
      </c>
      <c r="G3608" s="41">
        <v>0</v>
      </c>
      <c r="H3608" s="42"/>
      <c r="I3608" s="42"/>
      <c r="J3608" s="42"/>
    </row>
    <row r="3609" spans="5:10">
      <c r="E3609" s="43">
        <v>45338.218749987689</v>
      </c>
      <c r="F3609" s="41">
        <v>11.78109897918705</v>
      </c>
      <c r="G3609" s="41">
        <v>0</v>
      </c>
      <c r="H3609" s="42"/>
      <c r="I3609" s="42"/>
      <c r="J3609" s="42"/>
    </row>
    <row r="3610" spans="5:10">
      <c r="E3610" s="43">
        <v>45338.222222209908</v>
      </c>
      <c r="F3610" s="41">
        <v>11.78109897918705</v>
      </c>
      <c r="G3610" s="41">
        <v>0</v>
      </c>
      <c r="H3610" s="42"/>
      <c r="I3610" s="42"/>
      <c r="J3610" s="42"/>
    </row>
    <row r="3611" spans="5:10">
      <c r="E3611" s="43">
        <v>45338.225694432127</v>
      </c>
      <c r="F3611" s="41">
        <v>11.78109897918705</v>
      </c>
      <c r="G3611" s="41">
        <v>0</v>
      </c>
      <c r="H3611" s="42"/>
      <c r="I3611" s="42"/>
      <c r="J3611" s="42"/>
    </row>
    <row r="3612" spans="5:10">
      <c r="E3612" s="43">
        <v>45338.229166654346</v>
      </c>
      <c r="F3612" s="41">
        <v>11.78109897918705</v>
      </c>
      <c r="G3612" s="41">
        <v>0</v>
      </c>
      <c r="H3612" s="42"/>
      <c r="I3612" s="42"/>
      <c r="J3612" s="42"/>
    </row>
    <row r="3613" spans="5:10">
      <c r="E3613" s="43">
        <v>45338.232638876565</v>
      </c>
      <c r="F3613" s="41">
        <v>11.78109897918705</v>
      </c>
      <c r="G3613" s="41">
        <v>0</v>
      </c>
      <c r="H3613" s="42"/>
      <c r="I3613" s="42"/>
      <c r="J3613" s="42"/>
    </row>
    <row r="3614" spans="5:10">
      <c r="E3614" s="43">
        <v>45338.236111098784</v>
      </c>
      <c r="F3614" s="41">
        <v>11.78109897918705</v>
      </c>
      <c r="G3614" s="41">
        <v>0</v>
      </c>
      <c r="H3614" s="42"/>
      <c r="I3614" s="42"/>
      <c r="J3614" s="42"/>
    </row>
    <row r="3615" spans="5:10">
      <c r="E3615" s="43">
        <v>45338.239583321003</v>
      </c>
      <c r="F3615" s="41">
        <v>11.78109897918705</v>
      </c>
      <c r="G3615" s="41">
        <v>0</v>
      </c>
      <c r="H3615" s="42"/>
      <c r="I3615" s="42"/>
      <c r="J3615" s="42"/>
    </row>
    <row r="3616" spans="5:10">
      <c r="E3616" s="43">
        <v>45338.243055543222</v>
      </c>
      <c r="F3616" s="41">
        <v>11.78109897918705</v>
      </c>
      <c r="G3616" s="41">
        <v>0</v>
      </c>
      <c r="H3616" s="42"/>
      <c r="I3616" s="42"/>
      <c r="J3616" s="42"/>
    </row>
    <row r="3617" spans="5:10">
      <c r="E3617" s="43">
        <v>45338.246527765441</v>
      </c>
      <c r="F3617" s="41">
        <v>11.78109897918705</v>
      </c>
      <c r="G3617" s="41">
        <v>0</v>
      </c>
      <c r="H3617" s="42"/>
      <c r="I3617" s="42"/>
      <c r="J3617" s="42"/>
    </row>
    <row r="3618" spans="5:10">
      <c r="E3618" s="43">
        <v>45338.24999998766</v>
      </c>
      <c r="F3618" s="41">
        <v>11.78109897918705</v>
      </c>
      <c r="G3618" s="41">
        <v>0</v>
      </c>
      <c r="H3618" s="42"/>
      <c r="I3618" s="42"/>
      <c r="J3618" s="42"/>
    </row>
    <row r="3619" spans="5:10">
      <c r="E3619" s="43">
        <v>45338.253472209879</v>
      </c>
      <c r="F3619" s="41">
        <v>11.78109897918705</v>
      </c>
      <c r="G3619" s="41">
        <v>0</v>
      </c>
      <c r="H3619" s="42"/>
      <c r="I3619" s="42"/>
      <c r="J3619" s="42"/>
    </row>
    <row r="3620" spans="5:10">
      <c r="E3620" s="43">
        <v>45338.256944432098</v>
      </c>
      <c r="F3620" s="41">
        <v>11.78109897918705</v>
      </c>
      <c r="G3620" s="41">
        <v>0</v>
      </c>
      <c r="H3620" s="42"/>
      <c r="I3620" s="42"/>
      <c r="J3620" s="42"/>
    </row>
    <row r="3621" spans="5:10">
      <c r="E3621" s="43">
        <v>45338.260416654317</v>
      </c>
      <c r="F3621" s="41">
        <v>11.78109897918705</v>
      </c>
      <c r="G3621" s="41">
        <v>0</v>
      </c>
      <c r="H3621" s="42"/>
      <c r="I3621" s="42"/>
      <c r="J3621" s="42"/>
    </row>
    <row r="3622" spans="5:10">
      <c r="E3622" s="43">
        <v>45338.263888876536</v>
      </c>
      <c r="F3622" s="41">
        <v>11.78109897918705</v>
      </c>
      <c r="G3622" s="41">
        <v>0</v>
      </c>
      <c r="H3622" s="42"/>
      <c r="I3622" s="42"/>
      <c r="J3622" s="42"/>
    </row>
    <row r="3623" spans="5:10">
      <c r="E3623" s="43">
        <v>45338.267361098755</v>
      </c>
      <c r="F3623" s="41">
        <v>11.78109897918705</v>
      </c>
      <c r="G3623" s="41">
        <v>0</v>
      </c>
      <c r="H3623" s="42"/>
      <c r="I3623" s="42"/>
      <c r="J3623" s="42"/>
    </row>
    <row r="3624" spans="5:10">
      <c r="E3624" s="43">
        <v>45338.270833320974</v>
      </c>
      <c r="F3624" s="41">
        <v>11.78109897918705</v>
      </c>
      <c r="G3624" s="41">
        <v>0</v>
      </c>
      <c r="H3624" s="42"/>
      <c r="I3624" s="42"/>
      <c r="J3624" s="42"/>
    </row>
    <row r="3625" spans="5:10">
      <c r="E3625" s="43">
        <v>45338.274305543193</v>
      </c>
      <c r="F3625" s="41">
        <v>11.78109897918705</v>
      </c>
      <c r="G3625" s="41">
        <v>0</v>
      </c>
      <c r="H3625" s="42"/>
      <c r="I3625" s="42"/>
      <c r="J3625" s="42"/>
    </row>
    <row r="3626" spans="5:10">
      <c r="E3626" s="43">
        <v>45338.277777765412</v>
      </c>
      <c r="F3626" s="41">
        <v>11.78109897918705</v>
      </c>
      <c r="G3626" s="41">
        <v>0</v>
      </c>
      <c r="H3626" s="42"/>
      <c r="I3626" s="42"/>
      <c r="J3626" s="42"/>
    </row>
    <row r="3627" spans="5:10">
      <c r="E3627" s="43">
        <v>45338.281249987631</v>
      </c>
      <c r="F3627" s="41">
        <v>11.78109897918705</v>
      </c>
      <c r="G3627" s="41">
        <v>0</v>
      </c>
      <c r="H3627" s="42"/>
      <c r="I3627" s="42"/>
      <c r="J3627" s="42"/>
    </row>
    <row r="3628" spans="5:10">
      <c r="E3628" s="43">
        <v>45338.28472220985</v>
      </c>
      <c r="F3628" s="41">
        <v>11.78109897918705</v>
      </c>
      <c r="G3628" s="41">
        <v>0</v>
      </c>
      <c r="H3628" s="42"/>
      <c r="I3628" s="42"/>
      <c r="J3628" s="42"/>
    </row>
    <row r="3629" spans="5:10">
      <c r="E3629" s="43">
        <v>45338.288194432069</v>
      </c>
      <c r="F3629" s="41">
        <v>11.78109897918705</v>
      </c>
      <c r="G3629" s="41">
        <v>0</v>
      </c>
      <c r="H3629" s="42"/>
      <c r="I3629" s="42"/>
      <c r="J3629" s="42"/>
    </row>
    <row r="3630" spans="5:10">
      <c r="E3630" s="43">
        <v>45338.291666654288</v>
      </c>
      <c r="F3630" s="41">
        <v>11.78109897918705</v>
      </c>
      <c r="G3630" s="41">
        <v>0</v>
      </c>
      <c r="H3630" s="42"/>
      <c r="I3630" s="42"/>
      <c r="J3630" s="42"/>
    </row>
    <row r="3631" spans="5:10">
      <c r="E3631" s="43">
        <v>45338.295138876507</v>
      </c>
      <c r="F3631" s="41">
        <v>11.78109897918705</v>
      </c>
      <c r="G3631" s="41">
        <v>0</v>
      </c>
      <c r="H3631" s="42"/>
      <c r="I3631" s="42"/>
      <c r="J3631" s="42"/>
    </row>
    <row r="3632" spans="5:10">
      <c r="E3632" s="43">
        <v>45338.298611098726</v>
      </c>
      <c r="F3632" s="41">
        <v>11.78109897918705</v>
      </c>
      <c r="G3632" s="41">
        <v>0</v>
      </c>
      <c r="H3632" s="42"/>
      <c r="I3632" s="42"/>
      <c r="J3632" s="42"/>
    </row>
    <row r="3633" spans="5:10">
      <c r="E3633" s="43">
        <v>45338.302083320945</v>
      </c>
      <c r="F3633" s="41">
        <v>11.78109897918705</v>
      </c>
      <c r="G3633" s="41">
        <v>0</v>
      </c>
      <c r="H3633" s="42"/>
      <c r="I3633" s="42"/>
      <c r="J3633" s="42"/>
    </row>
    <row r="3634" spans="5:10">
      <c r="E3634" s="43">
        <v>45338.305555543164</v>
      </c>
      <c r="F3634" s="41">
        <v>11.78109897918705</v>
      </c>
      <c r="G3634" s="41">
        <v>0</v>
      </c>
      <c r="H3634" s="42"/>
      <c r="I3634" s="42"/>
      <c r="J3634" s="42"/>
    </row>
    <row r="3635" spans="5:10">
      <c r="E3635" s="43">
        <v>45338.309027765383</v>
      </c>
      <c r="F3635" s="41">
        <v>11.78109897918705</v>
      </c>
      <c r="G3635" s="41">
        <v>0</v>
      </c>
      <c r="H3635" s="42"/>
      <c r="I3635" s="42"/>
      <c r="J3635" s="42"/>
    </row>
    <row r="3636" spans="5:10">
      <c r="E3636" s="43">
        <v>45338.312499987602</v>
      </c>
      <c r="F3636" s="41">
        <v>11.78109897918705</v>
      </c>
      <c r="G3636" s="41">
        <v>0</v>
      </c>
      <c r="H3636" s="42"/>
      <c r="I3636" s="42"/>
      <c r="J3636" s="42"/>
    </row>
    <row r="3637" spans="5:10">
      <c r="E3637" s="43">
        <v>45338.315972209821</v>
      </c>
      <c r="F3637" s="41">
        <v>11.78109897918705</v>
      </c>
      <c r="G3637" s="41">
        <v>0</v>
      </c>
      <c r="H3637" s="42"/>
      <c r="I3637" s="42"/>
      <c r="J3637" s="42"/>
    </row>
    <row r="3638" spans="5:10">
      <c r="E3638" s="43">
        <v>45338.31944443204</v>
      </c>
      <c r="F3638" s="41">
        <v>11.78109897918705</v>
      </c>
      <c r="G3638" s="41">
        <v>0</v>
      </c>
      <c r="H3638" s="42"/>
      <c r="I3638" s="42"/>
      <c r="J3638" s="42"/>
    </row>
    <row r="3639" spans="5:10">
      <c r="E3639" s="43">
        <v>45338.322916654259</v>
      </c>
      <c r="F3639" s="41">
        <v>11.78109897918705</v>
      </c>
      <c r="G3639" s="41">
        <v>0</v>
      </c>
      <c r="H3639" s="42"/>
      <c r="I3639" s="42"/>
      <c r="J3639" s="42"/>
    </row>
    <row r="3640" spans="5:10">
      <c r="E3640" s="43">
        <v>45338.326388876478</v>
      </c>
      <c r="F3640" s="41">
        <v>11.78109897918705</v>
      </c>
      <c r="G3640" s="41">
        <v>0</v>
      </c>
      <c r="H3640" s="42"/>
      <c r="I3640" s="42"/>
      <c r="J3640" s="42"/>
    </row>
    <row r="3641" spans="5:10">
      <c r="E3641" s="43">
        <v>45338.329861098697</v>
      </c>
      <c r="F3641" s="41">
        <v>11.78109897918705</v>
      </c>
      <c r="G3641" s="41">
        <v>0</v>
      </c>
      <c r="H3641" s="42"/>
      <c r="I3641" s="42"/>
      <c r="J3641" s="42"/>
    </row>
    <row r="3642" spans="5:10">
      <c r="E3642" s="43">
        <v>45338.333333320916</v>
      </c>
      <c r="F3642" s="41">
        <v>11.78109897918705</v>
      </c>
      <c r="G3642" s="41">
        <v>0</v>
      </c>
      <c r="H3642" s="42"/>
      <c r="I3642" s="42"/>
      <c r="J3642" s="42"/>
    </row>
    <row r="3643" spans="5:10">
      <c r="E3643" s="43">
        <v>45338.336805543135</v>
      </c>
      <c r="F3643" s="41">
        <v>11.78109897918705</v>
      </c>
      <c r="G3643" s="41">
        <v>0</v>
      </c>
      <c r="H3643" s="42"/>
      <c r="I3643" s="42"/>
      <c r="J3643" s="42"/>
    </row>
    <row r="3644" spans="5:10">
      <c r="E3644" s="43">
        <v>45338.340277765354</v>
      </c>
      <c r="F3644" s="41">
        <v>11.78109897918705</v>
      </c>
      <c r="G3644" s="41">
        <v>0</v>
      </c>
      <c r="H3644" s="42"/>
      <c r="I3644" s="42"/>
      <c r="J3644" s="42"/>
    </row>
    <row r="3645" spans="5:10">
      <c r="E3645" s="43">
        <v>45338.343749987573</v>
      </c>
      <c r="F3645" s="41">
        <v>11.78109897918705</v>
      </c>
      <c r="G3645" s="41">
        <v>0</v>
      </c>
      <c r="H3645" s="42"/>
      <c r="I3645" s="42"/>
      <c r="J3645" s="42"/>
    </row>
    <row r="3646" spans="5:10">
      <c r="E3646" s="43">
        <v>45338.347222209792</v>
      </c>
      <c r="F3646" s="41">
        <v>11.78109897918705</v>
      </c>
      <c r="G3646" s="41">
        <v>0</v>
      </c>
      <c r="H3646" s="42"/>
      <c r="I3646" s="42"/>
      <c r="J3646" s="42"/>
    </row>
    <row r="3647" spans="5:10">
      <c r="E3647" s="43">
        <v>45338.350694432011</v>
      </c>
      <c r="F3647" s="41">
        <v>11.78109897918705</v>
      </c>
      <c r="G3647" s="41">
        <v>0</v>
      </c>
      <c r="H3647" s="42"/>
      <c r="I3647" s="42"/>
      <c r="J3647" s="42"/>
    </row>
    <row r="3648" spans="5:10">
      <c r="E3648" s="43">
        <v>45338.35416665423</v>
      </c>
      <c r="F3648" s="41">
        <v>11.78109897918705</v>
      </c>
      <c r="G3648" s="41">
        <v>0</v>
      </c>
      <c r="H3648" s="42"/>
      <c r="I3648" s="42"/>
      <c r="J3648" s="42"/>
    </row>
    <row r="3649" spans="5:10">
      <c r="E3649" s="43">
        <v>45338.357638876449</v>
      </c>
      <c r="F3649" s="41">
        <v>11.78109897918705</v>
      </c>
      <c r="G3649" s="41">
        <v>0</v>
      </c>
      <c r="H3649" s="42"/>
      <c r="I3649" s="42"/>
      <c r="J3649" s="42"/>
    </row>
    <row r="3650" spans="5:10">
      <c r="E3650" s="43">
        <v>45338.361111098668</v>
      </c>
      <c r="F3650" s="41">
        <v>11.78109897918705</v>
      </c>
      <c r="G3650" s="41">
        <v>0</v>
      </c>
      <c r="H3650" s="42"/>
      <c r="I3650" s="42"/>
      <c r="J3650" s="42"/>
    </row>
    <row r="3651" spans="5:10">
      <c r="E3651" s="43">
        <v>45338.364583320887</v>
      </c>
      <c r="F3651" s="41">
        <v>11.78109897918705</v>
      </c>
      <c r="G3651" s="41">
        <v>0</v>
      </c>
      <c r="H3651" s="42"/>
      <c r="I3651" s="42"/>
      <c r="J3651" s="42"/>
    </row>
    <row r="3652" spans="5:10">
      <c r="E3652" s="43">
        <v>45338.368055543106</v>
      </c>
      <c r="F3652" s="41">
        <v>11.78109897918705</v>
      </c>
      <c r="G3652" s="41">
        <v>0</v>
      </c>
      <c r="H3652" s="42"/>
      <c r="I3652" s="42"/>
      <c r="J3652" s="42"/>
    </row>
    <row r="3653" spans="5:10">
      <c r="E3653" s="43">
        <v>45338.371527765325</v>
      </c>
      <c r="F3653" s="41">
        <v>11.78109897918705</v>
      </c>
      <c r="G3653" s="41">
        <v>0</v>
      </c>
      <c r="H3653" s="42"/>
      <c r="I3653" s="42"/>
      <c r="J3653" s="42"/>
    </row>
    <row r="3654" spans="5:10">
      <c r="E3654" s="43">
        <v>45338.374999987544</v>
      </c>
      <c r="F3654" s="41">
        <v>11.78109897918705</v>
      </c>
      <c r="G3654" s="41">
        <v>0</v>
      </c>
      <c r="H3654" s="42"/>
      <c r="I3654" s="42"/>
      <c r="J3654" s="42"/>
    </row>
    <row r="3655" spans="5:10">
      <c r="E3655" s="43">
        <v>45338.378472209763</v>
      </c>
      <c r="F3655" s="41">
        <v>11.78109897918705</v>
      </c>
      <c r="G3655" s="41">
        <v>0</v>
      </c>
      <c r="H3655" s="42"/>
      <c r="I3655" s="42"/>
      <c r="J3655" s="42"/>
    </row>
    <row r="3656" spans="5:10">
      <c r="E3656" s="43">
        <v>45338.381944431982</v>
      </c>
      <c r="F3656" s="41">
        <v>11.78109897918705</v>
      </c>
      <c r="G3656" s="41">
        <v>0</v>
      </c>
      <c r="H3656" s="42"/>
      <c r="I3656" s="42"/>
      <c r="J3656" s="42"/>
    </row>
    <row r="3657" spans="5:10">
      <c r="E3657" s="43">
        <v>45338.385416654201</v>
      </c>
      <c r="F3657" s="41">
        <v>11.78109897918705</v>
      </c>
      <c r="G3657" s="41">
        <v>0</v>
      </c>
      <c r="H3657" s="42"/>
      <c r="I3657" s="42"/>
      <c r="J3657" s="42"/>
    </row>
    <row r="3658" spans="5:10">
      <c r="E3658" s="43">
        <v>45338.38888887642</v>
      </c>
      <c r="F3658" s="41">
        <v>11.78109897918705</v>
      </c>
      <c r="G3658" s="41">
        <v>0</v>
      </c>
      <c r="H3658" s="42"/>
      <c r="I3658" s="42"/>
      <c r="J3658" s="42"/>
    </row>
    <row r="3659" spans="5:10">
      <c r="E3659" s="43">
        <v>45338.392361098639</v>
      </c>
      <c r="F3659" s="41">
        <v>11.78109897918705</v>
      </c>
      <c r="G3659" s="41">
        <v>0</v>
      </c>
      <c r="H3659" s="42"/>
      <c r="I3659" s="42"/>
      <c r="J3659" s="42"/>
    </row>
    <row r="3660" spans="5:10">
      <c r="E3660" s="43">
        <v>45338.395833320857</v>
      </c>
      <c r="F3660" s="41">
        <v>11.78109897918705</v>
      </c>
      <c r="G3660" s="41">
        <v>0</v>
      </c>
      <c r="H3660" s="42"/>
      <c r="I3660" s="42"/>
      <c r="J3660" s="42"/>
    </row>
    <row r="3661" spans="5:10">
      <c r="E3661" s="43">
        <v>45338.399305543076</v>
      </c>
      <c r="F3661" s="41">
        <v>11.78109897918705</v>
      </c>
      <c r="G3661" s="41">
        <v>0</v>
      </c>
      <c r="H3661" s="42"/>
      <c r="I3661" s="42"/>
      <c r="J3661" s="42"/>
    </row>
    <row r="3662" spans="5:10">
      <c r="E3662" s="43">
        <v>45338.402777765295</v>
      </c>
      <c r="F3662" s="41">
        <v>11.78109897918705</v>
      </c>
      <c r="G3662" s="41">
        <v>0</v>
      </c>
      <c r="H3662" s="42"/>
      <c r="I3662" s="42"/>
      <c r="J3662" s="42"/>
    </row>
    <row r="3663" spans="5:10">
      <c r="E3663" s="43">
        <v>45338.406249987514</v>
      </c>
      <c r="F3663" s="41">
        <v>11.78109897918705</v>
      </c>
      <c r="G3663" s="41">
        <v>0</v>
      </c>
      <c r="H3663" s="42"/>
      <c r="I3663" s="42"/>
      <c r="J3663" s="42"/>
    </row>
    <row r="3664" spans="5:10">
      <c r="E3664" s="43">
        <v>45338.409722209733</v>
      </c>
      <c r="F3664" s="41">
        <v>11.78109897918705</v>
      </c>
      <c r="G3664" s="41">
        <v>0</v>
      </c>
      <c r="H3664" s="42"/>
      <c r="I3664" s="42"/>
      <c r="J3664" s="42"/>
    </row>
    <row r="3665" spans="5:10">
      <c r="E3665" s="43">
        <v>45338.413194431952</v>
      </c>
      <c r="F3665" s="41">
        <v>11.78109897918705</v>
      </c>
      <c r="G3665" s="41">
        <v>0</v>
      </c>
      <c r="H3665" s="42"/>
      <c r="I3665" s="42"/>
      <c r="J3665" s="42"/>
    </row>
    <row r="3666" spans="5:10">
      <c r="E3666" s="43">
        <v>45338.416666654171</v>
      </c>
      <c r="F3666" s="41">
        <v>11.78109897918705</v>
      </c>
      <c r="G3666" s="41">
        <v>0</v>
      </c>
      <c r="H3666" s="42"/>
      <c r="I3666" s="42"/>
      <c r="J3666" s="42"/>
    </row>
    <row r="3667" spans="5:10">
      <c r="E3667" s="43">
        <v>45338.42013887639</v>
      </c>
      <c r="F3667" s="41">
        <v>11.78109897918705</v>
      </c>
      <c r="G3667" s="41">
        <v>0</v>
      </c>
      <c r="H3667" s="42"/>
      <c r="I3667" s="42"/>
      <c r="J3667" s="42"/>
    </row>
    <row r="3668" spans="5:10">
      <c r="E3668" s="43">
        <v>45338.423611098609</v>
      </c>
      <c r="F3668" s="41">
        <v>11.78109897918705</v>
      </c>
      <c r="G3668" s="41">
        <v>0</v>
      </c>
      <c r="H3668" s="42"/>
      <c r="I3668" s="42"/>
      <c r="J3668" s="42"/>
    </row>
    <row r="3669" spans="5:10">
      <c r="E3669" s="43">
        <v>45338.427083320828</v>
      </c>
      <c r="F3669" s="41">
        <v>11.78109897918705</v>
      </c>
      <c r="G3669" s="41">
        <v>0</v>
      </c>
      <c r="H3669" s="42"/>
      <c r="I3669" s="42"/>
      <c r="J3669" s="42"/>
    </row>
    <row r="3670" spans="5:10">
      <c r="E3670" s="43">
        <v>45338.430555543047</v>
      </c>
      <c r="F3670" s="41">
        <v>11.78109897918705</v>
      </c>
      <c r="G3670" s="41">
        <v>0</v>
      </c>
      <c r="H3670" s="42"/>
      <c r="I3670" s="42"/>
      <c r="J3670" s="42"/>
    </row>
    <row r="3671" spans="5:10">
      <c r="E3671" s="43">
        <v>45338.434027765266</v>
      </c>
      <c r="F3671" s="41">
        <v>11.78109897918705</v>
      </c>
      <c r="G3671" s="41">
        <v>0</v>
      </c>
      <c r="H3671" s="42"/>
      <c r="I3671" s="42"/>
      <c r="J3671" s="42"/>
    </row>
    <row r="3672" spans="5:10">
      <c r="E3672" s="43">
        <v>45338.437499987485</v>
      </c>
      <c r="F3672" s="41">
        <v>11.78109897918705</v>
      </c>
      <c r="G3672" s="41">
        <v>0</v>
      </c>
      <c r="H3672" s="42"/>
      <c r="I3672" s="42"/>
      <c r="J3672" s="42"/>
    </row>
    <row r="3673" spans="5:10">
      <c r="E3673" s="43">
        <v>45338.440972209704</v>
      </c>
      <c r="F3673" s="41">
        <v>11.78109897918705</v>
      </c>
      <c r="G3673" s="41">
        <v>0</v>
      </c>
      <c r="H3673" s="42"/>
      <c r="I3673" s="42"/>
      <c r="J3673" s="42"/>
    </row>
    <row r="3674" spans="5:10">
      <c r="E3674" s="43">
        <v>45338.444444431923</v>
      </c>
      <c r="F3674" s="41">
        <v>11.78109897918705</v>
      </c>
      <c r="G3674" s="41">
        <v>0</v>
      </c>
      <c r="H3674" s="42"/>
      <c r="I3674" s="42"/>
      <c r="J3674" s="42"/>
    </row>
    <row r="3675" spans="5:10">
      <c r="E3675" s="43">
        <v>45338.447916654142</v>
      </c>
      <c r="F3675" s="41">
        <v>11.78109897918705</v>
      </c>
      <c r="G3675" s="41">
        <v>0</v>
      </c>
      <c r="H3675" s="42"/>
      <c r="I3675" s="42"/>
      <c r="J3675" s="42"/>
    </row>
    <row r="3676" spans="5:10">
      <c r="E3676" s="43">
        <v>45338.451388876361</v>
      </c>
      <c r="F3676" s="41">
        <v>11.78109897918705</v>
      </c>
      <c r="G3676" s="41">
        <v>0</v>
      </c>
      <c r="H3676" s="42"/>
      <c r="I3676" s="42"/>
      <c r="J3676" s="42"/>
    </row>
    <row r="3677" spans="5:10">
      <c r="E3677" s="43">
        <v>45338.45486109858</v>
      </c>
      <c r="F3677" s="41">
        <v>11.78109897918705</v>
      </c>
      <c r="G3677" s="41">
        <v>0</v>
      </c>
      <c r="H3677" s="42"/>
      <c r="I3677" s="42"/>
      <c r="J3677" s="42"/>
    </row>
    <row r="3678" spans="5:10">
      <c r="E3678" s="43">
        <v>45338.458333320799</v>
      </c>
      <c r="F3678" s="41">
        <v>11.78109897918705</v>
      </c>
      <c r="G3678" s="41">
        <v>0</v>
      </c>
      <c r="H3678" s="42"/>
      <c r="I3678" s="42"/>
      <c r="J3678" s="42"/>
    </row>
    <row r="3679" spans="5:10">
      <c r="E3679" s="43">
        <v>45338.461805543018</v>
      </c>
      <c r="F3679" s="41">
        <v>11.78109897918705</v>
      </c>
      <c r="G3679" s="41">
        <v>0</v>
      </c>
      <c r="H3679" s="42"/>
      <c r="I3679" s="42"/>
      <c r="J3679" s="42"/>
    </row>
    <row r="3680" spans="5:10">
      <c r="E3680" s="43">
        <v>45338.465277765237</v>
      </c>
      <c r="F3680" s="41">
        <v>11.78109897918705</v>
      </c>
      <c r="G3680" s="41">
        <v>0</v>
      </c>
      <c r="H3680" s="42"/>
      <c r="I3680" s="42"/>
      <c r="J3680" s="42"/>
    </row>
    <row r="3681" spans="5:10">
      <c r="E3681" s="43">
        <v>45338.468749987456</v>
      </c>
      <c r="F3681" s="41">
        <v>11.78109897918705</v>
      </c>
      <c r="G3681" s="41">
        <v>0</v>
      </c>
      <c r="H3681" s="42"/>
      <c r="I3681" s="42"/>
      <c r="J3681" s="42"/>
    </row>
    <row r="3682" spans="5:10">
      <c r="E3682" s="43">
        <v>45338.472222209675</v>
      </c>
      <c r="F3682" s="41">
        <v>11.78109897918705</v>
      </c>
      <c r="G3682" s="41">
        <v>0</v>
      </c>
      <c r="H3682" s="42"/>
      <c r="I3682" s="42"/>
      <c r="J3682" s="42"/>
    </row>
    <row r="3683" spans="5:10">
      <c r="E3683" s="43">
        <v>45338.475694431894</v>
      </c>
      <c r="F3683" s="41">
        <v>11.78109897918705</v>
      </c>
      <c r="G3683" s="41">
        <v>0</v>
      </c>
      <c r="H3683" s="42"/>
      <c r="I3683" s="42"/>
      <c r="J3683" s="42"/>
    </row>
    <row r="3684" spans="5:10">
      <c r="E3684" s="43">
        <v>45338.479166654113</v>
      </c>
      <c r="F3684" s="41">
        <v>11.78109897918705</v>
      </c>
      <c r="G3684" s="41">
        <v>0</v>
      </c>
      <c r="H3684" s="42"/>
      <c r="I3684" s="42"/>
      <c r="J3684" s="42"/>
    </row>
    <row r="3685" spans="5:10">
      <c r="E3685" s="43">
        <v>45338.482638876332</v>
      </c>
      <c r="F3685" s="41">
        <v>11.78109897918705</v>
      </c>
      <c r="G3685" s="41">
        <v>0</v>
      </c>
      <c r="H3685" s="42"/>
      <c r="I3685" s="42"/>
      <c r="J3685" s="42"/>
    </row>
    <row r="3686" spans="5:10">
      <c r="E3686" s="43">
        <v>45338.486111098551</v>
      </c>
      <c r="F3686" s="41">
        <v>11.78109897918705</v>
      </c>
      <c r="G3686" s="41">
        <v>0</v>
      </c>
      <c r="H3686" s="42"/>
      <c r="I3686" s="42"/>
      <c r="J3686" s="42"/>
    </row>
    <row r="3687" spans="5:10">
      <c r="E3687" s="43">
        <v>45338.48958332077</v>
      </c>
      <c r="F3687" s="41">
        <v>11.78109897918705</v>
      </c>
      <c r="G3687" s="41">
        <v>0</v>
      </c>
      <c r="H3687" s="42"/>
      <c r="I3687" s="42"/>
      <c r="J3687" s="42"/>
    </row>
    <row r="3688" spans="5:10">
      <c r="E3688" s="43">
        <v>45338.493055542989</v>
      </c>
      <c r="F3688" s="41">
        <v>11.78109897918705</v>
      </c>
      <c r="G3688" s="41">
        <v>0</v>
      </c>
      <c r="H3688" s="42"/>
      <c r="I3688" s="42"/>
      <c r="J3688" s="42"/>
    </row>
    <row r="3689" spans="5:10">
      <c r="E3689" s="43">
        <v>45338.496527765208</v>
      </c>
      <c r="F3689" s="41">
        <v>11.78109897918705</v>
      </c>
      <c r="G3689" s="41">
        <v>0</v>
      </c>
      <c r="H3689" s="42"/>
      <c r="I3689" s="42"/>
      <c r="J3689" s="42"/>
    </row>
    <row r="3690" spans="5:10">
      <c r="E3690" s="43">
        <v>45338.499999987427</v>
      </c>
      <c r="F3690" s="41">
        <v>11.78109897918705</v>
      </c>
      <c r="G3690" s="41">
        <v>0</v>
      </c>
      <c r="H3690" s="42"/>
      <c r="I3690" s="42"/>
      <c r="J3690" s="42"/>
    </row>
    <row r="3691" spans="5:10">
      <c r="E3691" s="43">
        <v>45338.503472209646</v>
      </c>
      <c r="F3691" s="41">
        <v>11.78109897918705</v>
      </c>
      <c r="G3691" s="41">
        <v>0</v>
      </c>
      <c r="H3691" s="42"/>
      <c r="I3691" s="42"/>
      <c r="J3691" s="42"/>
    </row>
    <row r="3692" spans="5:10">
      <c r="E3692" s="43">
        <v>45338.506944431865</v>
      </c>
      <c r="F3692" s="41">
        <v>11.78109897918705</v>
      </c>
      <c r="G3692" s="41">
        <v>0</v>
      </c>
      <c r="H3692" s="42"/>
      <c r="I3692" s="42"/>
      <c r="J3692" s="42"/>
    </row>
    <row r="3693" spans="5:10">
      <c r="E3693" s="43">
        <v>45338.510416654084</v>
      </c>
      <c r="F3693" s="41">
        <v>11.78109897918705</v>
      </c>
      <c r="G3693" s="41">
        <v>0</v>
      </c>
      <c r="H3693" s="42"/>
      <c r="I3693" s="42"/>
      <c r="J3693" s="42"/>
    </row>
    <row r="3694" spans="5:10">
      <c r="E3694" s="43">
        <v>45338.513888876303</v>
      </c>
      <c r="F3694" s="41">
        <v>11.78109897918705</v>
      </c>
      <c r="G3694" s="41">
        <v>0</v>
      </c>
      <c r="H3694" s="42"/>
      <c r="I3694" s="42"/>
      <c r="J3694" s="42"/>
    </row>
    <row r="3695" spans="5:10">
      <c r="E3695" s="43">
        <v>45338.517361098522</v>
      </c>
      <c r="F3695" s="41">
        <v>11.78109897918705</v>
      </c>
      <c r="G3695" s="41">
        <v>0</v>
      </c>
      <c r="H3695" s="42"/>
      <c r="I3695" s="42"/>
      <c r="J3695" s="42"/>
    </row>
    <row r="3696" spans="5:10">
      <c r="E3696" s="43">
        <v>45338.520833320741</v>
      </c>
      <c r="F3696" s="41">
        <v>11.78109897918705</v>
      </c>
      <c r="G3696" s="41">
        <v>0</v>
      </c>
      <c r="H3696" s="42"/>
      <c r="I3696" s="42"/>
      <c r="J3696" s="42"/>
    </row>
    <row r="3697" spans="5:10">
      <c r="E3697" s="43">
        <v>45338.52430554296</v>
      </c>
      <c r="F3697" s="41">
        <v>11.78109897918705</v>
      </c>
      <c r="G3697" s="41">
        <v>0</v>
      </c>
      <c r="H3697" s="42"/>
      <c r="I3697" s="42"/>
      <c r="J3697" s="42"/>
    </row>
    <row r="3698" spans="5:10">
      <c r="E3698" s="43">
        <v>45338.527777765179</v>
      </c>
      <c r="F3698" s="41">
        <v>11.78109897918705</v>
      </c>
      <c r="G3698" s="41">
        <v>0</v>
      </c>
      <c r="H3698" s="42"/>
      <c r="I3698" s="42"/>
      <c r="J3698" s="42"/>
    </row>
    <row r="3699" spans="5:10">
      <c r="E3699" s="43">
        <v>45338.531249987398</v>
      </c>
      <c r="F3699" s="41">
        <v>11.78109897918705</v>
      </c>
      <c r="G3699" s="41">
        <v>0</v>
      </c>
      <c r="H3699" s="42"/>
      <c r="I3699" s="42"/>
      <c r="J3699" s="42"/>
    </row>
    <row r="3700" spans="5:10">
      <c r="E3700" s="43">
        <v>45338.534722209617</v>
      </c>
      <c r="F3700" s="41">
        <v>11.78109897918705</v>
      </c>
      <c r="G3700" s="41">
        <v>0</v>
      </c>
      <c r="H3700" s="42"/>
      <c r="I3700" s="42"/>
      <c r="J3700" s="42"/>
    </row>
    <row r="3701" spans="5:10">
      <c r="E3701" s="43">
        <v>45338.538194431836</v>
      </c>
      <c r="F3701" s="41">
        <v>11.78109897918705</v>
      </c>
      <c r="G3701" s="41">
        <v>0</v>
      </c>
      <c r="H3701" s="42"/>
      <c r="I3701" s="42"/>
      <c r="J3701" s="42"/>
    </row>
    <row r="3702" spans="5:10">
      <c r="E3702" s="43">
        <v>45338.541666654055</v>
      </c>
      <c r="F3702" s="41">
        <v>11.78109897918705</v>
      </c>
      <c r="G3702" s="41">
        <v>0</v>
      </c>
      <c r="H3702" s="42"/>
      <c r="I3702" s="42"/>
      <c r="J3702" s="42"/>
    </row>
    <row r="3703" spans="5:10">
      <c r="E3703" s="43">
        <v>45338.545138876274</v>
      </c>
      <c r="F3703" s="41">
        <v>11.78109897918705</v>
      </c>
      <c r="G3703" s="41">
        <v>0</v>
      </c>
      <c r="H3703" s="42"/>
      <c r="I3703" s="42"/>
      <c r="J3703" s="42"/>
    </row>
    <row r="3704" spans="5:10">
      <c r="E3704" s="43">
        <v>45338.548611098493</v>
      </c>
      <c r="F3704" s="41">
        <v>11.78109897918705</v>
      </c>
      <c r="G3704" s="41">
        <v>0</v>
      </c>
      <c r="H3704" s="42"/>
      <c r="I3704" s="42"/>
      <c r="J3704" s="42"/>
    </row>
    <row r="3705" spans="5:10">
      <c r="E3705" s="43">
        <v>45338.552083320712</v>
      </c>
      <c r="F3705" s="41">
        <v>11.78109897918705</v>
      </c>
      <c r="G3705" s="41">
        <v>0</v>
      </c>
      <c r="H3705" s="42"/>
      <c r="I3705" s="42"/>
      <c r="J3705" s="42"/>
    </row>
    <row r="3706" spans="5:10">
      <c r="E3706" s="43">
        <v>45338.555555542931</v>
      </c>
      <c r="F3706" s="41">
        <v>11.78109897918705</v>
      </c>
      <c r="G3706" s="41">
        <v>0</v>
      </c>
      <c r="H3706" s="42"/>
      <c r="I3706" s="42"/>
      <c r="J3706" s="42"/>
    </row>
    <row r="3707" spans="5:10">
      <c r="E3707" s="43">
        <v>45338.55902776515</v>
      </c>
      <c r="F3707" s="41">
        <v>11.78109897918705</v>
      </c>
      <c r="G3707" s="41">
        <v>0</v>
      </c>
      <c r="H3707" s="42"/>
      <c r="I3707" s="42"/>
      <c r="J3707" s="42"/>
    </row>
    <row r="3708" spans="5:10">
      <c r="E3708" s="43">
        <v>45338.562499987369</v>
      </c>
      <c r="F3708" s="41">
        <v>11.78109897918705</v>
      </c>
      <c r="G3708" s="41">
        <v>0</v>
      </c>
      <c r="H3708" s="42"/>
      <c r="I3708" s="42"/>
      <c r="J3708" s="42"/>
    </row>
    <row r="3709" spans="5:10">
      <c r="E3709" s="43">
        <v>45338.565972209588</v>
      </c>
      <c r="F3709" s="41">
        <v>11.78109897918705</v>
      </c>
      <c r="G3709" s="41">
        <v>0</v>
      </c>
      <c r="H3709" s="42"/>
      <c r="I3709" s="42"/>
      <c r="J3709" s="42"/>
    </row>
    <row r="3710" spans="5:10">
      <c r="E3710" s="43">
        <v>45338.569444431807</v>
      </c>
      <c r="F3710" s="41">
        <v>11.78109897918705</v>
      </c>
      <c r="G3710" s="41">
        <v>0</v>
      </c>
      <c r="H3710" s="42"/>
      <c r="I3710" s="42"/>
      <c r="J3710" s="42"/>
    </row>
    <row r="3711" spans="5:10">
      <c r="E3711" s="43">
        <v>45338.572916654026</v>
      </c>
      <c r="F3711" s="41">
        <v>11.78109897918705</v>
      </c>
      <c r="G3711" s="41">
        <v>0</v>
      </c>
      <c r="H3711" s="42"/>
      <c r="I3711" s="42"/>
      <c r="J3711" s="42"/>
    </row>
    <row r="3712" spans="5:10">
      <c r="E3712" s="43">
        <v>45338.576388876245</v>
      </c>
      <c r="F3712" s="41">
        <v>11.78109897918705</v>
      </c>
      <c r="G3712" s="41">
        <v>0</v>
      </c>
      <c r="H3712" s="42"/>
      <c r="I3712" s="42"/>
      <c r="J3712" s="42"/>
    </row>
    <row r="3713" spans="5:10">
      <c r="E3713" s="43">
        <v>45338.579861098464</v>
      </c>
      <c r="F3713" s="41">
        <v>11.78109897918705</v>
      </c>
      <c r="G3713" s="41">
        <v>0</v>
      </c>
      <c r="H3713" s="42"/>
      <c r="I3713" s="42"/>
      <c r="J3713" s="42"/>
    </row>
    <row r="3714" spans="5:10">
      <c r="E3714" s="43">
        <v>45338.583333320683</v>
      </c>
      <c r="F3714" s="41">
        <v>11.78109897918705</v>
      </c>
      <c r="G3714" s="41">
        <v>0</v>
      </c>
      <c r="H3714" s="42"/>
      <c r="I3714" s="42"/>
      <c r="J3714" s="42"/>
    </row>
    <row r="3715" spans="5:10">
      <c r="E3715" s="43">
        <v>45338.586805542902</v>
      </c>
      <c r="F3715" s="41">
        <v>11.78109897918705</v>
      </c>
      <c r="G3715" s="41">
        <v>0</v>
      </c>
      <c r="H3715" s="42"/>
      <c r="I3715" s="42"/>
      <c r="J3715" s="42"/>
    </row>
    <row r="3716" spans="5:10">
      <c r="E3716" s="43">
        <v>45338.590277765121</v>
      </c>
      <c r="F3716" s="41">
        <v>11.78109897918705</v>
      </c>
      <c r="G3716" s="41">
        <v>0</v>
      </c>
      <c r="H3716" s="42"/>
      <c r="I3716" s="42"/>
      <c r="J3716" s="42"/>
    </row>
    <row r="3717" spans="5:10">
      <c r="E3717" s="43">
        <v>45338.59374998734</v>
      </c>
      <c r="F3717" s="41">
        <v>11.78109897918705</v>
      </c>
      <c r="G3717" s="41">
        <v>0</v>
      </c>
      <c r="H3717" s="42"/>
      <c r="I3717" s="42"/>
      <c r="J3717" s="42"/>
    </row>
    <row r="3718" spans="5:10">
      <c r="E3718" s="43">
        <v>45338.597222209559</v>
      </c>
      <c r="F3718" s="41">
        <v>11.78109897918705</v>
      </c>
      <c r="G3718" s="41">
        <v>0</v>
      </c>
      <c r="H3718" s="42"/>
      <c r="I3718" s="42"/>
      <c r="J3718" s="42"/>
    </row>
    <row r="3719" spans="5:10">
      <c r="E3719" s="43">
        <v>45338.600694431778</v>
      </c>
      <c r="F3719" s="41">
        <v>11.78109897918705</v>
      </c>
      <c r="G3719" s="41">
        <v>0</v>
      </c>
      <c r="H3719" s="42"/>
      <c r="I3719" s="42"/>
      <c r="J3719" s="42"/>
    </row>
    <row r="3720" spans="5:10">
      <c r="E3720" s="43">
        <v>45338.604166653997</v>
      </c>
      <c r="F3720" s="41">
        <v>11.78109897918705</v>
      </c>
      <c r="G3720" s="41">
        <v>0</v>
      </c>
      <c r="H3720" s="42"/>
      <c r="I3720" s="42"/>
      <c r="J3720" s="42"/>
    </row>
    <row r="3721" spans="5:10">
      <c r="E3721" s="43">
        <v>45338.607638876216</v>
      </c>
      <c r="F3721" s="41">
        <v>11.78109897918705</v>
      </c>
      <c r="G3721" s="41">
        <v>0</v>
      </c>
      <c r="H3721" s="42"/>
      <c r="I3721" s="42"/>
      <c r="J3721" s="42"/>
    </row>
    <row r="3722" spans="5:10">
      <c r="E3722" s="43">
        <v>45338.611111098435</v>
      </c>
      <c r="F3722" s="41">
        <v>11.78109897918705</v>
      </c>
      <c r="G3722" s="41">
        <v>0</v>
      </c>
      <c r="H3722" s="42"/>
      <c r="I3722" s="42"/>
      <c r="J3722" s="42"/>
    </row>
    <row r="3723" spans="5:10">
      <c r="E3723" s="43">
        <v>45338.614583320654</v>
      </c>
      <c r="F3723" s="41">
        <v>11.78109897918705</v>
      </c>
      <c r="G3723" s="41">
        <v>0</v>
      </c>
      <c r="H3723" s="42"/>
      <c r="I3723" s="42"/>
      <c r="J3723" s="42"/>
    </row>
    <row r="3724" spans="5:10">
      <c r="E3724" s="43">
        <v>45338.618055542873</v>
      </c>
      <c r="F3724" s="41">
        <v>11.78109897918705</v>
      </c>
      <c r="G3724" s="41">
        <v>0</v>
      </c>
      <c r="H3724" s="42"/>
      <c r="I3724" s="42"/>
      <c r="J3724" s="42"/>
    </row>
    <row r="3725" spans="5:10">
      <c r="E3725" s="43">
        <v>45338.621527765092</v>
      </c>
      <c r="F3725" s="41">
        <v>11.78109897918705</v>
      </c>
      <c r="G3725" s="41">
        <v>0</v>
      </c>
      <c r="H3725" s="42"/>
      <c r="I3725" s="42"/>
      <c r="J3725" s="42"/>
    </row>
    <row r="3726" spans="5:10">
      <c r="E3726" s="43">
        <v>45338.624999987311</v>
      </c>
      <c r="F3726" s="41">
        <v>11.78109897918705</v>
      </c>
      <c r="G3726" s="41">
        <v>0</v>
      </c>
      <c r="H3726" s="42"/>
      <c r="I3726" s="42"/>
      <c r="J3726" s="42"/>
    </row>
    <row r="3727" spans="5:10">
      <c r="E3727" s="43">
        <v>45338.62847220953</v>
      </c>
      <c r="F3727" s="41">
        <v>11.78109897918705</v>
      </c>
      <c r="G3727" s="41">
        <v>0</v>
      </c>
      <c r="H3727" s="42"/>
      <c r="I3727" s="42"/>
      <c r="J3727" s="42"/>
    </row>
    <row r="3728" spans="5:10">
      <c r="E3728" s="43">
        <v>45338.631944431749</v>
      </c>
      <c r="F3728" s="41">
        <v>11.78109897918705</v>
      </c>
      <c r="G3728" s="41">
        <v>0</v>
      </c>
      <c r="H3728" s="42"/>
      <c r="I3728" s="42"/>
      <c r="J3728" s="42"/>
    </row>
    <row r="3729" spans="5:10">
      <c r="E3729" s="43">
        <v>45338.635416653968</v>
      </c>
      <c r="F3729" s="41">
        <v>11.78109897918705</v>
      </c>
      <c r="G3729" s="41">
        <v>0</v>
      </c>
      <c r="H3729" s="42"/>
      <c r="I3729" s="42"/>
      <c r="J3729" s="42"/>
    </row>
    <row r="3730" spans="5:10">
      <c r="E3730" s="43">
        <v>45338.638888876187</v>
      </c>
      <c r="F3730" s="41">
        <v>11.78109897918705</v>
      </c>
      <c r="G3730" s="41">
        <v>0</v>
      </c>
      <c r="H3730" s="42"/>
      <c r="I3730" s="42"/>
      <c r="J3730" s="42"/>
    </row>
    <row r="3731" spans="5:10">
      <c r="E3731" s="43">
        <v>45338.642361098406</v>
      </c>
      <c r="F3731" s="41">
        <v>11.78109897918705</v>
      </c>
      <c r="G3731" s="41">
        <v>0</v>
      </c>
      <c r="H3731" s="42"/>
      <c r="I3731" s="42"/>
      <c r="J3731" s="42"/>
    </row>
    <row r="3732" spans="5:10">
      <c r="E3732" s="43">
        <v>45338.645833320625</v>
      </c>
      <c r="F3732" s="41">
        <v>11.78109897918705</v>
      </c>
      <c r="G3732" s="41">
        <v>0</v>
      </c>
      <c r="H3732" s="42"/>
      <c r="I3732" s="42"/>
      <c r="J3732" s="42"/>
    </row>
    <row r="3733" spans="5:10">
      <c r="E3733" s="43">
        <v>45338.649305542844</v>
      </c>
      <c r="F3733" s="41">
        <v>11.78109897918705</v>
      </c>
      <c r="G3733" s="41">
        <v>0</v>
      </c>
      <c r="H3733" s="42"/>
      <c r="I3733" s="42"/>
      <c r="J3733" s="42"/>
    </row>
    <row r="3734" spans="5:10">
      <c r="E3734" s="43">
        <v>45338.652777765063</v>
      </c>
      <c r="F3734" s="41">
        <v>11.78109897918705</v>
      </c>
      <c r="G3734" s="41">
        <v>0</v>
      </c>
      <c r="H3734" s="42"/>
      <c r="I3734" s="42"/>
      <c r="J3734" s="42"/>
    </row>
    <row r="3735" spans="5:10">
      <c r="E3735" s="43">
        <v>45338.656249987282</v>
      </c>
      <c r="F3735" s="41">
        <v>11.78109897918705</v>
      </c>
      <c r="G3735" s="41">
        <v>0</v>
      </c>
      <c r="H3735" s="42"/>
      <c r="I3735" s="42"/>
      <c r="J3735" s="42"/>
    </row>
    <row r="3736" spans="5:10">
      <c r="E3736" s="43">
        <v>45338.659722209501</v>
      </c>
      <c r="F3736" s="41">
        <v>11.78109897918705</v>
      </c>
      <c r="G3736" s="41">
        <v>0</v>
      </c>
      <c r="H3736" s="42"/>
      <c r="I3736" s="42"/>
      <c r="J3736" s="42"/>
    </row>
    <row r="3737" spans="5:10">
      <c r="E3737" s="43">
        <v>45338.66319443172</v>
      </c>
      <c r="F3737" s="41">
        <v>11.78109897918705</v>
      </c>
      <c r="G3737" s="41">
        <v>0</v>
      </c>
      <c r="H3737" s="42"/>
      <c r="I3737" s="42"/>
      <c r="J3737" s="42"/>
    </row>
    <row r="3738" spans="5:10">
      <c r="E3738" s="43">
        <v>45338.666666653939</v>
      </c>
      <c r="F3738" s="41">
        <v>11.78109897918705</v>
      </c>
      <c r="G3738" s="41">
        <v>0</v>
      </c>
      <c r="H3738" s="42"/>
      <c r="I3738" s="42"/>
      <c r="J3738" s="42"/>
    </row>
    <row r="3739" spans="5:10">
      <c r="E3739" s="43">
        <v>45338.670138876158</v>
      </c>
      <c r="F3739" s="41">
        <v>11.78109897918705</v>
      </c>
      <c r="G3739" s="41">
        <v>0</v>
      </c>
      <c r="H3739" s="42"/>
      <c r="I3739" s="42"/>
      <c r="J3739" s="42"/>
    </row>
    <row r="3740" spans="5:10">
      <c r="E3740" s="43">
        <v>45338.673611098377</v>
      </c>
      <c r="F3740" s="41">
        <v>11.78109897918705</v>
      </c>
      <c r="G3740" s="41">
        <v>0</v>
      </c>
      <c r="H3740" s="42"/>
      <c r="I3740" s="42"/>
      <c r="J3740" s="42"/>
    </row>
    <row r="3741" spans="5:10">
      <c r="E3741" s="43">
        <v>45338.677083320596</v>
      </c>
      <c r="F3741" s="41">
        <v>11.78109897918705</v>
      </c>
      <c r="G3741" s="41">
        <v>0</v>
      </c>
      <c r="H3741" s="42"/>
      <c r="I3741" s="42"/>
      <c r="J3741" s="42"/>
    </row>
    <row r="3742" spans="5:10">
      <c r="E3742" s="43">
        <v>45338.680555542815</v>
      </c>
      <c r="F3742" s="41">
        <v>11.78109897918705</v>
      </c>
      <c r="G3742" s="41">
        <v>0</v>
      </c>
      <c r="H3742" s="42"/>
      <c r="I3742" s="42"/>
      <c r="J3742" s="42"/>
    </row>
    <row r="3743" spans="5:10">
      <c r="E3743" s="43">
        <v>45338.684027765034</v>
      </c>
      <c r="F3743" s="41">
        <v>11.78109897918705</v>
      </c>
      <c r="G3743" s="41">
        <v>0</v>
      </c>
      <c r="H3743" s="42"/>
      <c r="I3743" s="42"/>
      <c r="J3743" s="42"/>
    </row>
    <row r="3744" spans="5:10">
      <c r="E3744" s="43">
        <v>45338.687499987253</v>
      </c>
      <c r="F3744" s="41">
        <v>17.69101892446092</v>
      </c>
      <c r="G3744" s="41">
        <v>0</v>
      </c>
      <c r="H3744" s="42"/>
      <c r="I3744" s="42"/>
      <c r="J3744" s="42"/>
    </row>
    <row r="3745" spans="5:10">
      <c r="E3745" s="43">
        <v>45338.690972209472</v>
      </c>
      <c r="F3745" s="41">
        <v>9.8977775217854642</v>
      </c>
      <c r="G3745" s="41">
        <v>0</v>
      </c>
      <c r="H3745" s="42"/>
      <c r="I3745" s="42"/>
      <c r="J3745" s="42"/>
    </row>
    <row r="3746" spans="5:10">
      <c r="E3746" s="43">
        <v>45338.69444443169</v>
      </c>
      <c r="F3746" s="41">
        <v>9.8977775217854642</v>
      </c>
      <c r="G3746" s="41">
        <v>0</v>
      </c>
      <c r="H3746" s="42"/>
      <c r="I3746" s="42"/>
      <c r="J3746" s="42"/>
    </row>
    <row r="3747" spans="5:10">
      <c r="E3747" s="43">
        <v>45338.697916653909</v>
      </c>
      <c r="F3747" s="41">
        <v>9.8977775217854642</v>
      </c>
      <c r="G3747" s="41">
        <v>0</v>
      </c>
      <c r="H3747" s="42"/>
      <c r="I3747" s="42"/>
      <c r="J3747" s="42"/>
    </row>
    <row r="3748" spans="5:10">
      <c r="E3748" s="43">
        <v>45338.701388876128</v>
      </c>
      <c r="F3748" s="41">
        <v>9.8977775217854642</v>
      </c>
      <c r="G3748" s="41">
        <v>0</v>
      </c>
      <c r="H3748" s="42"/>
      <c r="I3748" s="42"/>
      <c r="J3748" s="42"/>
    </row>
    <row r="3749" spans="5:10">
      <c r="E3749" s="43">
        <v>45338.704861098347</v>
      </c>
      <c r="F3749" s="41">
        <v>9.8977775217854642</v>
      </c>
      <c r="G3749" s="41">
        <v>0</v>
      </c>
      <c r="H3749" s="42"/>
      <c r="I3749" s="42"/>
      <c r="J3749" s="42"/>
    </row>
    <row r="3750" spans="5:10">
      <c r="E3750" s="43">
        <v>45338.708333320566</v>
      </c>
      <c r="F3750" s="41">
        <v>9.8977775217854642</v>
      </c>
      <c r="G3750" s="41">
        <v>0</v>
      </c>
      <c r="H3750" s="42"/>
      <c r="I3750" s="42"/>
      <c r="J3750" s="42"/>
    </row>
    <row r="3751" spans="5:10">
      <c r="E3751" s="43">
        <v>45338.711805542785</v>
      </c>
      <c r="F3751" s="41">
        <v>9.8977775217854642</v>
      </c>
      <c r="G3751" s="41">
        <v>0</v>
      </c>
      <c r="H3751" s="42"/>
      <c r="I3751" s="42"/>
      <c r="J3751" s="42"/>
    </row>
    <row r="3752" spans="5:10">
      <c r="E3752" s="43">
        <v>45338.715277765004</v>
      </c>
      <c r="F3752" s="41">
        <v>9.8977775217854642</v>
      </c>
      <c r="G3752" s="41">
        <v>0</v>
      </c>
      <c r="H3752" s="42"/>
      <c r="I3752" s="42"/>
      <c r="J3752" s="42"/>
    </row>
    <row r="3753" spans="5:10">
      <c r="E3753" s="43">
        <v>45338.718749987223</v>
      </c>
      <c r="F3753" s="41">
        <v>9.8977775217854642</v>
      </c>
      <c r="G3753" s="41">
        <v>0</v>
      </c>
      <c r="H3753" s="42"/>
      <c r="I3753" s="42"/>
      <c r="J3753" s="42"/>
    </row>
    <row r="3754" spans="5:10">
      <c r="E3754" s="43">
        <v>45338.722222209442</v>
      </c>
      <c r="F3754" s="41">
        <v>9.8977775217854642</v>
      </c>
      <c r="G3754" s="41">
        <v>0</v>
      </c>
      <c r="H3754" s="42"/>
      <c r="I3754" s="42"/>
      <c r="J3754" s="42"/>
    </row>
    <row r="3755" spans="5:10">
      <c r="E3755" s="43">
        <v>45338.725694431661</v>
      </c>
      <c r="F3755" s="41">
        <v>9.8977775217854642</v>
      </c>
      <c r="G3755" s="41">
        <v>0</v>
      </c>
      <c r="H3755" s="42"/>
      <c r="I3755" s="42"/>
      <c r="J3755" s="42"/>
    </row>
    <row r="3756" spans="5:10">
      <c r="E3756" s="43">
        <v>45338.72916665388</v>
      </c>
      <c r="F3756" s="41">
        <v>9.8977775217854642</v>
      </c>
      <c r="G3756" s="41">
        <v>0</v>
      </c>
      <c r="H3756" s="42"/>
      <c r="I3756" s="42"/>
      <c r="J3756" s="42"/>
    </row>
    <row r="3757" spans="5:10">
      <c r="E3757" s="43">
        <v>45338.732638876099</v>
      </c>
      <c r="F3757" s="41">
        <v>9.8977775217854642</v>
      </c>
      <c r="G3757" s="41">
        <v>0</v>
      </c>
      <c r="H3757" s="42"/>
      <c r="I3757" s="42"/>
      <c r="J3757" s="42"/>
    </row>
    <row r="3758" spans="5:10">
      <c r="E3758" s="43">
        <v>45338.736111098318</v>
      </c>
      <c r="F3758" s="41">
        <v>9.8977775217854642</v>
      </c>
      <c r="G3758" s="41">
        <v>0</v>
      </c>
      <c r="H3758" s="42"/>
      <c r="I3758" s="42"/>
      <c r="J3758" s="42"/>
    </row>
    <row r="3759" spans="5:10">
      <c r="E3759" s="43">
        <v>45338.739583320537</v>
      </c>
      <c r="F3759" s="41">
        <v>9.8977775217854642</v>
      </c>
      <c r="G3759" s="41">
        <v>0</v>
      </c>
      <c r="H3759" s="42"/>
      <c r="I3759" s="42"/>
      <c r="J3759" s="42"/>
    </row>
    <row r="3760" spans="5:10">
      <c r="E3760" s="43">
        <v>45338.743055542756</v>
      </c>
      <c r="F3760" s="41">
        <v>9.8977775217854642</v>
      </c>
      <c r="G3760" s="41">
        <v>0</v>
      </c>
      <c r="H3760" s="42"/>
      <c r="I3760" s="42"/>
      <c r="J3760" s="42"/>
    </row>
    <row r="3761" spans="5:10">
      <c r="E3761" s="43">
        <v>45338.746527764975</v>
      </c>
      <c r="F3761" s="41">
        <v>9.8977775217854642</v>
      </c>
      <c r="G3761" s="41">
        <v>0</v>
      </c>
      <c r="H3761" s="42"/>
      <c r="I3761" s="42"/>
      <c r="J3761" s="42"/>
    </row>
    <row r="3762" spans="5:10">
      <c r="E3762" s="43">
        <v>45338.749999987194</v>
      </c>
      <c r="F3762" s="41">
        <v>9.8977775217854642</v>
      </c>
      <c r="G3762" s="41">
        <v>0</v>
      </c>
      <c r="H3762" s="42"/>
      <c r="I3762" s="42"/>
      <c r="J3762" s="42"/>
    </row>
    <row r="3763" spans="5:10">
      <c r="E3763" s="43">
        <v>45338.753472209413</v>
      </c>
      <c r="F3763" s="41">
        <v>9.8977775217854642</v>
      </c>
      <c r="G3763" s="41">
        <v>0</v>
      </c>
      <c r="H3763" s="42"/>
      <c r="I3763" s="42"/>
      <c r="J3763" s="42"/>
    </row>
    <row r="3764" spans="5:10">
      <c r="E3764" s="43">
        <v>45338.756944431632</v>
      </c>
      <c r="F3764" s="41">
        <v>9.8977775217854642</v>
      </c>
      <c r="G3764" s="41">
        <v>0</v>
      </c>
      <c r="H3764" s="42"/>
      <c r="I3764" s="42"/>
      <c r="J3764" s="42"/>
    </row>
    <row r="3765" spans="5:10">
      <c r="E3765" s="43">
        <v>45338.760416653851</v>
      </c>
      <c r="F3765" s="41">
        <v>9.8977775217854642</v>
      </c>
      <c r="G3765" s="41">
        <v>0</v>
      </c>
      <c r="H3765" s="42"/>
      <c r="I3765" s="42"/>
      <c r="J3765" s="42"/>
    </row>
    <row r="3766" spans="5:10">
      <c r="E3766" s="43">
        <v>45338.76388887607</v>
      </c>
      <c r="F3766" s="41">
        <v>9.8977775217854642</v>
      </c>
      <c r="G3766" s="41">
        <v>0</v>
      </c>
      <c r="H3766" s="42"/>
      <c r="I3766" s="42"/>
      <c r="J3766" s="42"/>
    </row>
    <row r="3767" spans="5:10">
      <c r="E3767" s="43">
        <v>45338.767361098289</v>
      </c>
      <c r="F3767" s="41">
        <v>9.8977775217854642</v>
      </c>
      <c r="G3767" s="41">
        <v>0</v>
      </c>
      <c r="H3767" s="42"/>
      <c r="I3767" s="42"/>
      <c r="J3767" s="42"/>
    </row>
    <row r="3768" spans="5:10">
      <c r="E3768" s="43">
        <v>45338.770833320508</v>
      </c>
      <c r="F3768" s="41">
        <v>9.8977775217854642</v>
      </c>
      <c r="G3768" s="41">
        <v>0</v>
      </c>
      <c r="H3768" s="42"/>
      <c r="I3768" s="42"/>
      <c r="J3768" s="42"/>
    </row>
    <row r="3769" spans="5:10">
      <c r="E3769" s="43">
        <v>45338.774305542727</v>
      </c>
      <c r="F3769" s="41">
        <v>9.8977775217854642</v>
      </c>
      <c r="G3769" s="41">
        <v>0</v>
      </c>
      <c r="H3769" s="42"/>
      <c r="I3769" s="42"/>
      <c r="J3769" s="42"/>
    </row>
    <row r="3770" spans="5:10">
      <c r="E3770" s="43">
        <v>45338.777777764946</v>
      </c>
      <c r="F3770" s="41">
        <v>9.8977775217854642</v>
      </c>
      <c r="G3770" s="41">
        <v>0</v>
      </c>
      <c r="H3770" s="42"/>
      <c r="I3770" s="42"/>
      <c r="J3770" s="42"/>
    </row>
    <row r="3771" spans="5:10">
      <c r="E3771" s="43">
        <v>45338.781249987165</v>
      </c>
      <c r="F3771" s="41">
        <v>9.8977775217854642</v>
      </c>
      <c r="G3771" s="41">
        <v>0</v>
      </c>
      <c r="H3771" s="42"/>
      <c r="I3771" s="42"/>
      <c r="J3771" s="42"/>
    </row>
    <row r="3772" spans="5:10">
      <c r="E3772" s="43">
        <v>45338.784722209384</v>
      </c>
      <c r="F3772" s="41">
        <v>9.8977775217854642</v>
      </c>
      <c r="G3772" s="41">
        <v>0</v>
      </c>
      <c r="H3772" s="42"/>
      <c r="I3772" s="42"/>
      <c r="J3772" s="42"/>
    </row>
    <row r="3773" spans="5:10">
      <c r="E3773" s="43">
        <v>45338.788194431603</v>
      </c>
      <c r="F3773" s="41">
        <v>9.8977775217854642</v>
      </c>
      <c r="G3773" s="41">
        <v>0</v>
      </c>
      <c r="H3773" s="42"/>
      <c r="I3773" s="42"/>
      <c r="J3773" s="42"/>
    </row>
    <row r="3774" spans="5:10">
      <c r="E3774" s="43">
        <v>45338.791666653822</v>
      </c>
      <c r="F3774" s="41">
        <v>9.8977775217854642</v>
      </c>
      <c r="G3774" s="41">
        <v>0</v>
      </c>
      <c r="H3774" s="42"/>
      <c r="I3774" s="42"/>
      <c r="J3774" s="42"/>
    </row>
    <row r="3775" spans="5:10">
      <c r="E3775" s="43">
        <v>45338.795138876041</v>
      </c>
      <c r="F3775" s="41">
        <v>9.8977775217854642</v>
      </c>
      <c r="G3775" s="41">
        <v>0</v>
      </c>
      <c r="H3775" s="42"/>
      <c r="I3775" s="42"/>
      <c r="J3775" s="42"/>
    </row>
    <row r="3776" spans="5:10">
      <c r="E3776" s="43">
        <v>45338.79861109826</v>
      </c>
      <c r="F3776" s="41">
        <v>9.8977775217854642</v>
      </c>
      <c r="G3776" s="41">
        <v>0</v>
      </c>
      <c r="H3776" s="42"/>
      <c r="I3776" s="42"/>
      <c r="J3776" s="42"/>
    </row>
    <row r="3777" spans="5:10">
      <c r="E3777" s="43">
        <v>45338.802083320479</v>
      </c>
      <c r="F3777" s="41">
        <v>9.8977775217854642</v>
      </c>
      <c r="G3777" s="41">
        <v>0</v>
      </c>
      <c r="H3777" s="42"/>
      <c r="I3777" s="42"/>
      <c r="J3777" s="42"/>
    </row>
    <row r="3778" spans="5:10">
      <c r="E3778" s="43">
        <v>45338.805555542698</v>
      </c>
      <c r="F3778" s="41">
        <v>9.8977775217854642</v>
      </c>
      <c r="G3778" s="41">
        <v>0</v>
      </c>
      <c r="H3778" s="42"/>
      <c r="I3778" s="42"/>
      <c r="J3778" s="42"/>
    </row>
    <row r="3779" spans="5:10">
      <c r="E3779" s="43">
        <v>45338.809027764917</v>
      </c>
      <c r="F3779" s="41">
        <v>9.8977775217854642</v>
      </c>
      <c r="G3779" s="41">
        <v>0</v>
      </c>
      <c r="H3779" s="42"/>
      <c r="I3779" s="42"/>
      <c r="J3779" s="42"/>
    </row>
    <row r="3780" spans="5:10">
      <c r="E3780" s="43">
        <v>45338.812499987136</v>
      </c>
      <c r="F3780" s="41">
        <v>9.8977775217854642</v>
      </c>
      <c r="G3780" s="41">
        <v>0</v>
      </c>
      <c r="H3780" s="42"/>
      <c r="I3780" s="42"/>
      <c r="J3780" s="42"/>
    </row>
    <row r="3781" spans="5:10">
      <c r="E3781" s="43">
        <v>45338.815972209355</v>
      </c>
      <c r="F3781" s="41">
        <v>9.8977775217854642</v>
      </c>
      <c r="G3781" s="41">
        <v>0</v>
      </c>
      <c r="H3781" s="42"/>
      <c r="I3781" s="42"/>
      <c r="J3781" s="42"/>
    </row>
    <row r="3782" spans="5:10">
      <c r="E3782" s="43">
        <v>45338.819444431574</v>
      </c>
      <c r="F3782" s="41">
        <v>9.8977775217854642</v>
      </c>
      <c r="G3782" s="41">
        <v>0</v>
      </c>
      <c r="H3782" s="42"/>
      <c r="I3782" s="42"/>
      <c r="J3782" s="42"/>
    </row>
    <row r="3783" spans="5:10">
      <c r="E3783" s="43">
        <v>45338.822916653793</v>
      </c>
      <c r="F3783" s="41">
        <v>9.8977775217854642</v>
      </c>
      <c r="G3783" s="41">
        <v>0</v>
      </c>
      <c r="H3783" s="42"/>
      <c r="I3783" s="42"/>
      <c r="J3783" s="42"/>
    </row>
    <row r="3784" spans="5:10">
      <c r="E3784" s="43">
        <v>45338.826388876012</v>
      </c>
      <c r="F3784" s="41">
        <v>9.8977775217854642</v>
      </c>
      <c r="G3784" s="41">
        <v>0</v>
      </c>
      <c r="H3784" s="42"/>
      <c r="I3784" s="42"/>
      <c r="J3784" s="42"/>
    </row>
    <row r="3785" spans="5:10">
      <c r="E3785" s="43">
        <v>45338.829861098231</v>
      </c>
      <c r="F3785" s="41">
        <v>9.8977775217854642</v>
      </c>
      <c r="G3785" s="41">
        <v>0</v>
      </c>
      <c r="H3785" s="42"/>
      <c r="I3785" s="42"/>
      <c r="J3785" s="42"/>
    </row>
    <row r="3786" spans="5:10">
      <c r="E3786" s="43">
        <v>45338.83333332045</v>
      </c>
      <c r="F3786" s="41">
        <v>9.8977775217854642</v>
      </c>
      <c r="G3786" s="41">
        <v>0</v>
      </c>
      <c r="H3786" s="42"/>
      <c r="I3786" s="42"/>
      <c r="J3786" s="42"/>
    </row>
    <row r="3787" spans="5:10">
      <c r="E3787" s="43">
        <v>45338.836805542669</v>
      </c>
      <c r="F3787" s="41">
        <v>9.8977775217854642</v>
      </c>
      <c r="G3787" s="41">
        <v>0</v>
      </c>
      <c r="H3787" s="42"/>
      <c r="I3787" s="42"/>
      <c r="J3787" s="42"/>
    </row>
    <row r="3788" spans="5:10">
      <c r="E3788" s="43">
        <v>45338.840277764888</v>
      </c>
      <c r="F3788" s="41">
        <v>9.8977775217854642</v>
      </c>
      <c r="G3788" s="41">
        <v>0</v>
      </c>
      <c r="H3788" s="42"/>
      <c r="I3788" s="42"/>
      <c r="J3788" s="42"/>
    </row>
    <row r="3789" spans="5:10">
      <c r="E3789" s="43">
        <v>45338.843749987107</v>
      </c>
      <c r="F3789" s="41">
        <v>9.8977775217854642</v>
      </c>
      <c r="G3789" s="41">
        <v>0</v>
      </c>
      <c r="H3789" s="42"/>
      <c r="I3789" s="42"/>
      <c r="J3789" s="42"/>
    </row>
    <row r="3790" spans="5:10">
      <c r="E3790" s="43">
        <v>45338.847222209326</v>
      </c>
      <c r="F3790" s="41">
        <v>9.8977775217854642</v>
      </c>
      <c r="G3790" s="41">
        <v>0</v>
      </c>
      <c r="H3790" s="42"/>
      <c r="I3790" s="42"/>
      <c r="J3790" s="42"/>
    </row>
    <row r="3791" spans="5:10">
      <c r="E3791" s="43">
        <v>45338.850694431545</v>
      </c>
      <c r="F3791" s="41">
        <v>9.8977775217854642</v>
      </c>
      <c r="G3791" s="41">
        <v>0</v>
      </c>
      <c r="H3791" s="42"/>
      <c r="I3791" s="42"/>
      <c r="J3791" s="42"/>
    </row>
    <row r="3792" spans="5:10">
      <c r="E3792" s="43">
        <v>45338.854166653764</v>
      </c>
      <c r="F3792" s="41">
        <v>9.8977775217854642</v>
      </c>
      <c r="G3792" s="41">
        <v>0</v>
      </c>
      <c r="H3792" s="42"/>
      <c r="I3792" s="42"/>
      <c r="J3792" s="42"/>
    </row>
    <row r="3793" spans="5:10">
      <c r="E3793" s="43">
        <v>45338.857638875983</v>
      </c>
      <c r="F3793" s="41">
        <v>9.8977775217854642</v>
      </c>
      <c r="G3793" s="41">
        <v>0</v>
      </c>
      <c r="H3793" s="42"/>
      <c r="I3793" s="42"/>
      <c r="J3793" s="42"/>
    </row>
    <row r="3794" spans="5:10">
      <c r="E3794" s="43">
        <v>45338.861111098202</v>
      </c>
      <c r="F3794" s="41">
        <v>9.8977775217854642</v>
      </c>
      <c r="G3794" s="41">
        <v>0</v>
      </c>
      <c r="H3794" s="42"/>
      <c r="I3794" s="42"/>
      <c r="J3794" s="42"/>
    </row>
    <row r="3795" spans="5:10">
      <c r="E3795" s="43">
        <v>45338.864583320421</v>
      </c>
      <c r="F3795" s="41">
        <v>9.8977775217854642</v>
      </c>
      <c r="G3795" s="41">
        <v>0</v>
      </c>
      <c r="H3795" s="42"/>
      <c r="I3795" s="42"/>
      <c r="J3795" s="42"/>
    </row>
    <row r="3796" spans="5:10">
      <c r="E3796" s="43">
        <v>45338.86805554264</v>
      </c>
      <c r="F3796" s="41">
        <v>9.8977775217854642</v>
      </c>
      <c r="G3796" s="41">
        <v>0</v>
      </c>
      <c r="H3796" s="42"/>
      <c r="I3796" s="42"/>
      <c r="J3796" s="42"/>
    </row>
    <row r="3797" spans="5:10">
      <c r="E3797" s="43">
        <v>45338.871527764859</v>
      </c>
      <c r="F3797" s="41">
        <v>9.8977775217854642</v>
      </c>
      <c r="G3797" s="41">
        <v>0</v>
      </c>
      <c r="H3797" s="42"/>
      <c r="I3797" s="42"/>
      <c r="J3797" s="42"/>
    </row>
    <row r="3798" spans="5:10">
      <c r="E3798" s="43">
        <v>45338.874999987078</v>
      </c>
      <c r="F3798" s="41">
        <v>9.8977775217854642</v>
      </c>
      <c r="G3798" s="41">
        <v>0</v>
      </c>
      <c r="H3798" s="42"/>
      <c r="I3798" s="42"/>
      <c r="J3798" s="42"/>
    </row>
    <row r="3799" spans="5:10">
      <c r="E3799" s="43">
        <v>45338.878472209297</v>
      </c>
      <c r="F3799" s="41">
        <v>9.8977775217854642</v>
      </c>
      <c r="G3799" s="41">
        <v>0</v>
      </c>
      <c r="H3799" s="42"/>
      <c r="I3799" s="42"/>
      <c r="J3799" s="42"/>
    </row>
    <row r="3800" spans="5:10">
      <c r="E3800" s="43">
        <v>45338.881944431516</v>
      </c>
      <c r="F3800" s="41">
        <v>9.8977775217854642</v>
      </c>
      <c r="G3800" s="41">
        <v>0</v>
      </c>
      <c r="H3800" s="42"/>
      <c r="I3800" s="42"/>
      <c r="J3800" s="42"/>
    </row>
    <row r="3801" spans="5:10">
      <c r="E3801" s="43">
        <v>45338.885416653735</v>
      </c>
      <c r="F3801" s="41">
        <v>9.8977775217854642</v>
      </c>
      <c r="G3801" s="41">
        <v>0</v>
      </c>
      <c r="H3801" s="42"/>
      <c r="I3801" s="42"/>
      <c r="J3801" s="42"/>
    </row>
    <row r="3802" spans="5:10">
      <c r="E3802" s="43">
        <v>45338.888888875954</v>
      </c>
      <c r="F3802" s="41">
        <v>9.8977775217854642</v>
      </c>
      <c r="G3802" s="41">
        <v>0</v>
      </c>
      <c r="H3802" s="42"/>
      <c r="I3802" s="42"/>
      <c r="J3802" s="42"/>
    </row>
    <row r="3803" spans="5:10">
      <c r="E3803" s="43">
        <v>45338.892361098173</v>
      </c>
      <c r="F3803" s="41">
        <v>9.8977775217854642</v>
      </c>
      <c r="G3803" s="41">
        <v>0</v>
      </c>
      <c r="H3803" s="42"/>
      <c r="I3803" s="42"/>
      <c r="J3803" s="42"/>
    </row>
    <row r="3804" spans="5:10">
      <c r="E3804" s="43">
        <v>45338.895833320392</v>
      </c>
      <c r="F3804" s="41">
        <v>9.8977775217854642</v>
      </c>
      <c r="G3804" s="41">
        <v>0</v>
      </c>
      <c r="H3804" s="42"/>
      <c r="I3804" s="42"/>
      <c r="J3804" s="42"/>
    </row>
    <row r="3805" spans="5:10">
      <c r="E3805" s="43">
        <v>45338.899305542611</v>
      </c>
      <c r="F3805" s="41">
        <v>9.8977775217854642</v>
      </c>
      <c r="G3805" s="41">
        <v>0</v>
      </c>
      <c r="H3805" s="42"/>
      <c r="I3805" s="42"/>
      <c r="J3805" s="42"/>
    </row>
    <row r="3806" spans="5:10">
      <c r="E3806" s="43">
        <v>45338.90277776483</v>
      </c>
      <c r="F3806" s="41">
        <v>9.8977775217854642</v>
      </c>
      <c r="G3806" s="41">
        <v>0</v>
      </c>
      <c r="H3806" s="42"/>
      <c r="I3806" s="42"/>
      <c r="J3806" s="42"/>
    </row>
    <row r="3807" spans="5:10">
      <c r="E3807" s="43">
        <v>45338.906249987049</v>
      </c>
      <c r="F3807" s="41">
        <v>9.8977775217854642</v>
      </c>
      <c r="G3807" s="41">
        <v>0</v>
      </c>
      <c r="H3807" s="42"/>
      <c r="I3807" s="42"/>
      <c r="J3807" s="42"/>
    </row>
    <row r="3808" spans="5:10">
      <c r="E3808" s="43">
        <v>45338.909722209268</v>
      </c>
      <c r="F3808" s="41">
        <v>9.8977775217854642</v>
      </c>
      <c r="G3808" s="41">
        <v>0</v>
      </c>
      <c r="H3808" s="42"/>
      <c r="I3808" s="42"/>
      <c r="J3808" s="42"/>
    </row>
    <row r="3809" spans="5:10">
      <c r="E3809" s="43">
        <v>45338.913194431487</v>
      </c>
      <c r="F3809" s="41">
        <v>9.8977775217854642</v>
      </c>
      <c r="G3809" s="41">
        <v>0</v>
      </c>
      <c r="H3809" s="42"/>
      <c r="I3809" s="42"/>
      <c r="J3809" s="42"/>
    </row>
    <row r="3810" spans="5:10">
      <c r="E3810" s="43">
        <v>45338.916666653706</v>
      </c>
      <c r="F3810" s="41">
        <v>9.8977775217854642</v>
      </c>
      <c r="G3810" s="41">
        <v>0</v>
      </c>
      <c r="H3810" s="42"/>
      <c r="I3810" s="42"/>
      <c r="J3810" s="42"/>
    </row>
    <row r="3811" spans="5:10">
      <c r="E3811" s="43">
        <v>45338.920138875925</v>
      </c>
      <c r="F3811" s="41">
        <v>9.8977775217854642</v>
      </c>
      <c r="G3811" s="41">
        <v>0</v>
      </c>
      <c r="H3811" s="42"/>
      <c r="I3811" s="42"/>
      <c r="J3811" s="42"/>
    </row>
    <row r="3812" spans="5:10">
      <c r="E3812" s="43">
        <v>45338.923611098144</v>
      </c>
      <c r="F3812" s="41">
        <v>9.8977775217854642</v>
      </c>
      <c r="G3812" s="41">
        <v>0</v>
      </c>
      <c r="H3812" s="42"/>
      <c r="I3812" s="42"/>
      <c r="J3812" s="42"/>
    </row>
    <row r="3813" spans="5:10">
      <c r="E3813" s="43">
        <v>45338.927083320363</v>
      </c>
      <c r="F3813" s="41">
        <v>9.8977775217854642</v>
      </c>
      <c r="G3813" s="41">
        <v>0</v>
      </c>
      <c r="H3813" s="42"/>
      <c r="I3813" s="42"/>
      <c r="J3813" s="42"/>
    </row>
    <row r="3814" spans="5:10">
      <c r="E3814" s="43">
        <v>45338.930555542582</v>
      </c>
      <c r="F3814" s="41">
        <v>9.8977775217854642</v>
      </c>
      <c r="G3814" s="41">
        <v>0</v>
      </c>
      <c r="H3814" s="42"/>
      <c r="I3814" s="42"/>
      <c r="J3814" s="42"/>
    </row>
    <row r="3815" spans="5:10">
      <c r="E3815" s="43">
        <v>45338.934027764801</v>
      </c>
      <c r="F3815" s="41">
        <v>9.8977775217854642</v>
      </c>
      <c r="G3815" s="41">
        <v>0</v>
      </c>
      <c r="H3815" s="42"/>
      <c r="I3815" s="42"/>
      <c r="J3815" s="42"/>
    </row>
    <row r="3816" spans="5:10">
      <c r="E3816" s="43">
        <v>45338.93749998702</v>
      </c>
      <c r="F3816" s="41">
        <v>9.8977775217854642</v>
      </c>
      <c r="G3816" s="41">
        <v>0</v>
      </c>
      <c r="H3816" s="42"/>
      <c r="I3816" s="42"/>
      <c r="J3816" s="42"/>
    </row>
    <row r="3817" spans="5:10">
      <c r="E3817" s="43">
        <v>45338.940972209239</v>
      </c>
      <c r="F3817" s="41">
        <v>9.8977775217854642</v>
      </c>
      <c r="G3817" s="41">
        <v>0</v>
      </c>
      <c r="H3817" s="42"/>
      <c r="I3817" s="42"/>
      <c r="J3817" s="42"/>
    </row>
    <row r="3818" spans="5:10">
      <c r="E3818" s="43">
        <v>45338.944444431458</v>
      </c>
      <c r="F3818" s="41">
        <v>9.8977775217854642</v>
      </c>
      <c r="G3818" s="41">
        <v>0</v>
      </c>
      <c r="H3818" s="42"/>
      <c r="I3818" s="42"/>
      <c r="J3818" s="42"/>
    </row>
    <row r="3819" spans="5:10">
      <c r="E3819" s="43">
        <v>45338.947916653677</v>
      </c>
      <c r="F3819" s="41">
        <v>9.8977775217854642</v>
      </c>
      <c r="G3819" s="41">
        <v>0</v>
      </c>
      <c r="H3819" s="42"/>
      <c r="I3819" s="42"/>
      <c r="J3819" s="42"/>
    </row>
    <row r="3820" spans="5:10">
      <c r="E3820" s="43">
        <v>45338.951388875896</v>
      </c>
      <c r="F3820" s="41">
        <v>9.8977775217854642</v>
      </c>
      <c r="G3820" s="41">
        <v>0</v>
      </c>
      <c r="H3820" s="42"/>
      <c r="I3820" s="42"/>
      <c r="J3820" s="42"/>
    </row>
    <row r="3821" spans="5:10">
      <c r="E3821" s="43">
        <v>45338.954861098115</v>
      </c>
      <c r="F3821" s="41">
        <v>9.8977775217854642</v>
      </c>
      <c r="G3821" s="41">
        <v>0</v>
      </c>
      <c r="H3821" s="42"/>
      <c r="I3821" s="42"/>
      <c r="J3821" s="42"/>
    </row>
    <row r="3822" spans="5:10">
      <c r="E3822" s="43">
        <v>45338.958333320334</v>
      </c>
      <c r="F3822" s="41">
        <v>9.8977775217854642</v>
      </c>
      <c r="G3822" s="41">
        <v>0</v>
      </c>
      <c r="H3822" s="42"/>
      <c r="I3822" s="42"/>
      <c r="J3822" s="42"/>
    </row>
    <row r="3823" spans="5:10">
      <c r="E3823" s="43">
        <v>45338.961805542553</v>
      </c>
      <c r="F3823" s="41">
        <v>9.8977775217854642</v>
      </c>
      <c r="G3823" s="41">
        <v>0</v>
      </c>
      <c r="H3823" s="42"/>
      <c r="I3823" s="42"/>
      <c r="J3823" s="42"/>
    </row>
    <row r="3824" spans="5:10">
      <c r="E3824" s="43">
        <v>45338.965277764772</v>
      </c>
      <c r="F3824" s="41">
        <v>9.8977775217854642</v>
      </c>
      <c r="G3824" s="41">
        <v>0</v>
      </c>
      <c r="H3824" s="42"/>
      <c r="I3824" s="42"/>
      <c r="J3824" s="42"/>
    </row>
    <row r="3825" spans="5:10">
      <c r="E3825" s="43">
        <v>45338.968749986991</v>
      </c>
      <c r="F3825" s="41">
        <v>9.8977775217854642</v>
      </c>
      <c r="G3825" s="41">
        <v>0</v>
      </c>
      <c r="H3825" s="42"/>
      <c r="I3825" s="42"/>
      <c r="J3825" s="42"/>
    </row>
    <row r="3826" spans="5:10">
      <c r="E3826" s="43">
        <v>45338.97222220921</v>
      </c>
      <c r="F3826" s="41">
        <v>9.8977775217854642</v>
      </c>
      <c r="G3826" s="41">
        <v>0</v>
      </c>
      <c r="H3826" s="42"/>
      <c r="I3826" s="42"/>
      <c r="J3826" s="42"/>
    </row>
    <row r="3827" spans="5:10">
      <c r="E3827" s="43">
        <v>45338.975694431429</v>
      </c>
      <c r="F3827" s="41">
        <v>9.8977775217854642</v>
      </c>
      <c r="G3827" s="41">
        <v>0</v>
      </c>
      <c r="H3827" s="42"/>
      <c r="I3827" s="42"/>
      <c r="J3827" s="42"/>
    </row>
    <row r="3828" spans="5:10">
      <c r="E3828" s="43">
        <v>45338.979166653648</v>
      </c>
      <c r="F3828" s="41">
        <v>9.8977775217854642</v>
      </c>
      <c r="G3828" s="41">
        <v>0</v>
      </c>
      <c r="H3828" s="42"/>
      <c r="I3828" s="42"/>
      <c r="J3828" s="42"/>
    </row>
    <row r="3829" spans="5:10">
      <c r="E3829" s="43">
        <v>45338.982638875867</v>
      </c>
      <c r="F3829" s="41">
        <v>5.909919945273872</v>
      </c>
      <c r="G3829" s="41">
        <v>0</v>
      </c>
      <c r="H3829" s="42"/>
      <c r="I3829" s="42"/>
      <c r="J3829" s="42"/>
    </row>
    <row r="3830" spans="5:10">
      <c r="E3830" s="43">
        <v>45338.986111098086</v>
      </c>
      <c r="F3830" s="41">
        <v>5.909919945273872</v>
      </c>
      <c r="G3830" s="41">
        <v>0</v>
      </c>
      <c r="H3830" s="42"/>
      <c r="I3830" s="42"/>
      <c r="J3830" s="42"/>
    </row>
    <row r="3831" spans="5:10">
      <c r="E3831" s="43">
        <v>45338.989583320305</v>
      </c>
      <c r="F3831" s="41">
        <v>5.909919945273872</v>
      </c>
      <c r="G3831" s="41">
        <v>0</v>
      </c>
      <c r="H3831" s="42"/>
      <c r="I3831" s="42"/>
      <c r="J3831" s="42"/>
    </row>
    <row r="3832" spans="5:10">
      <c r="E3832" s="43">
        <v>45338.993055542524</v>
      </c>
      <c r="F3832" s="41">
        <v>5.909919945273872</v>
      </c>
      <c r="G3832" s="41">
        <v>0</v>
      </c>
      <c r="H3832" s="42"/>
      <c r="I3832" s="42"/>
      <c r="J3832" s="42"/>
    </row>
    <row r="3833" spans="5:10">
      <c r="E3833" s="43">
        <v>45338.996527764742</v>
      </c>
      <c r="F3833" s="41">
        <v>5.909919945273872</v>
      </c>
      <c r="G3833" s="41">
        <v>0</v>
      </c>
      <c r="H3833" s="42"/>
      <c r="I3833" s="42"/>
      <c r="J3833" s="42"/>
    </row>
    <row r="3834" spans="5:10">
      <c r="E3834" s="43">
        <v>45338.999999986961</v>
      </c>
      <c r="F3834" s="41">
        <v>5.909919945273872</v>
      </c>
      <c r="G3834" s="41">
        <v>0</v>
      </c>
      <c r="H3834" s="42"/>
      <c r="I3834" s="42"/>
      <c r="J3834" s="42"/>
    </row>
    <row r="3835" spans="5:10">
      <c r="E3835" s="43">
        <v>45339.00347220918</v>
      </c>
      <c r="F3835" s="41">
        <v>5.909919945273872</v>
      </c>
      <c r="G3835" s="41">
        <v>0</v>
      </c>
      <c r="H3835" s="42"/>
      <c r="I3835" s="42"/>
      <c r="J3835" s="42"/>
    </row>
    <row r="3836" spans="5:10">
      <c r="E3836" s="43">
        <v>45339.006944431399</v>
      </c>
      <c r="F3836" s="41">
        <v>5.909919945273872</v>
      </c>
      <c r="G3836" s="41">
        <v>0</v>
      </c>
      <c r="H3836" s="42"/>
      <c r="I3836" s="42"/>
      <c r="J3836" s="42"/>
    </row>
    <row r="3837" spans="5:10">
      <c r="E3837" s="43">
        <v>45339.010416653618</v>
      </c>
      <c r="F3837" s="41">
        <v>5.909919945273872</v>
      </c>
      <c r="G3837" s="41">
        <v>0</v>
      </c>
      <c r="H3837" s="42"/>
      <c r="I3837" s="42"/>
      <c r="J3837" s="42"/>
    </row>
    <row r="3838" spans="5:10">
      <c r="E3838" s="43">
        <v>45339.013888875837</v>
      </c>
      <c r="F3838" s="41">
        <v>5.909919945273872</v>
      </c>
      <c r="G3838" s="41">
        <v>0</v>
      </c>
      <c r="H3838" s="42"/>
      <c r="I3838" s="42"/>
      <c r="J3838" s="42"/>
    </row>
    <row r="3839" spans="5:10">
      <c r="E3839" s="43">
        <v>45339.017361098056</v>
      </c>
      <c r="F3839" s="41">
        <v>5.909919945273872</v>
      </c>
      <c r="G3839" s="41">
        <v>0</v>
      </c>
      <c r="H3839" s="42"/>
      <c r="I3839" s="42"/>
      <c r="J3839" s="42"/>
    </row>
    <row r="3840" spans="5:10">
      <c r="E3840" s="43">
        <v>45339.020833320275</v>
      </c>
      <c r="F3840" s="41">
        <v>5.909919945273872</v>
      </c>
      <c r="G3840" s="41">
        <v>0</v>
      </c>
      <c r="H3840" s="42"/>
      <c r="I3840" s="42"/>
      <c r="J3840" s="42"/>
    </row>
    <row r="3841" spans="5:10">
      <c r="E3841" s="43">
        <v>45339.024305542494</v>
      </c>
      <c r="F3841" s="41">
        <v>5.909919945273872</v>
      </c>
      <c r="G3841" s="41">
        <v>0</v>
      </c>
      <c r="H3841" s="42"/>
      <c r="I3841" s="42"/>
      <c r="J3841" s="42"/>
    </row>
    <row r="3842" spans="5:10">
      <c r="E3842" s="43">
        <v>45339.027777764713</v>
      </c>
      <c r="F3842" s="41">
        <v>5.909919945273872</v>
      </c>
      <c r="G3842" s="41">
        <v>0</v>
      </c>
      <c r="H3842" s="42"/>
      <c r="I3842" s="42"/>
      <c r="J3842" s="42"/>
    </row>
    <row r="3843" spans="5:10">
      <c r="E3843" s="43">
        <v>45339.031249986932</v>
      </c>
      <c r="F3843" s="41">
        <v>5.909919945273872</v>
      </c>
      <c r="G3843" s="41">
        <v>0</v>
      </c>
      <c r="H3843" s="42"/>
      <c r="I3843" s="42"/>
      <c r="J3843" s="42"/>
    </row>
    <row r="3844" spans="5:10">
      <c r="E3844" s="43">
        <v>45339.034722209151</v>
      </c>
      <c r="F3844" s="41">
        <v>5.909919945273872</v>
      </c>
      <c r="G3844" s="41">
        <v>0</v>
      </c>
      <c r="H3844" s="42"/>
      <c r="I3844" s="42"/>
      <c r="J3844" s="42"/>
    </row>
    <row r="3845" spans="5:10">
      <c r="E3845" s="43">
        <v>45339.03819443137</v>
      </c>
      <c r="F3845" s="41">
        <v>5.909919945273872</v>
      </c>
      <c r="G3845" s="41">
        <v>0</v>
      </c>
      <c r="H3845" s="42"/>
      <c r="I3845" s="42"/>
      <c r="J3845" s="42"/>
    </row>
    <row r="3846" spans="5:10">
      <c r="E3846" s="43">
        <v>45339.041666653589</v>
      </c>
      <c r="F3846" s="41">
        <v>5.909919945273872</v>
      </c>
      <c r="G3846" s="41">
        <v>0</v>
      </c>
      <c r="H3846" s="42"/>
      <c r="I3846" s="42"/>
      <c r="J3846" s="42"/>
    </row>
    <row r="3847" spans="5:10">
      <c r="E3847" s="43">
        <v>45339.045138875808</v>
      </c>
      <c r="F3847" s="41">
        <v>5.909919945273872</v>
      </c>
      <c r="G3847" s="41">
        <v>0</v>
      </c>
      <c r="H3847" s="42"/>
      <c r="I3847" s="42"/>
      <c r="J3847" s="42"/>
    </row>
    <row r="3848" spans="5:10">
      <c r="E3848" s="43">
        <v>45339.048611098027</v>
      </c>
      <c r="F3848" s="41">
        <v>5.909919945273872</v>
      </c>
      <c r="G3848" s="41">
        <v>0</v>
      </c>
      <c r="H3848" s="42"/>
      <c r="I3848" s="42"/>
      <c r="J3848" s="42"/>
    </row>
    <row r="3849" spans="5:10">
      <c r="E3849" s="43">
        <v>45339.052083320246</v>
      </c>
      <c r="F3849" s="41">
        <v>5.909919945273872</v>
      </c>
      <c r="G3849" s="41">
        <v>0</v>
      </c>
      <c r="H3849" s="42"/>
      <c r="I3849" s="42"/>
      <c r="J3849" s="42"/>
    </row>
    <row r="3850" spans="5:10">
      <c r="E3850" s="43">
        <v>45339.055555542465</v>
      </c>
      <c r="F3850" s="41">
        <v>5.909919945273872</v>
      </c>
      <c r="G3850" s="41">
        <v>0</v>
      </c>
      <c r="H3850" s="42"/>
      <c r="I3850" s="42"/>
      <c r="J3850" s="42"/>
    </row>
    <row r="3851" spans="5:10">
      <c r="E3851" s="43">
        <v>45339.059027764684</v>
      </c>
      <c r="F3851" s="41">
        <v>5.909919945273872</v>
      </c>
      <c r="G3851" s="41">
        <v>0</v>
      </c>
      <c r="H3851" s="42"/>
      <c r="I3851" s="42"/>
      <c r="J3851" s="42"/>
    </row>
    <row r="3852" spans="5:10">
      <c r="E3852" s="43">
        <v>45339.062499986903</v>
      </c>
      <c r="F3852" s="41">
        <v>5.909919945273872</v>
      </c>
      <c r="G3852" s="41">
        <v>0</v>
      </c>
      <c r="H3852" s="42"/>
      <c r="I3852" s="42"/>
      <c r="J3852" s="42"/>
    </row>
    <row r="3853" spans="5:10">
      <c r="E3853" s="43">
        <v>45339.065972209122</v>
      </c>
      <c r="F3853" s="41">
        <v>5.909919945273872</v>
      </c>
      <c r="G3853" s="41">
        <v>0</v>
      </c>
      <c r="H3853" s="42"/>
      <c r="I3853" s="42"/>
      <c r="J3853" s="42"/>
    </row>
    <row r="3854" spans="5:10">
      <c r="E3854" s="43">
        <v>45339.069444431341</v>
      </c>
      <c r="F3854" s="41">
        <v>5.909919945273872</v>
      </c>
      <c r="G3854" s="41">
        <v>0</v>
      </c>
      <c r="H3854" s="42"/>
      <c r="I3854" s="42"/>
      <c r="J3854" s="42"/>
    </row>
    <row r="3855" spans="5:10">
      <c r="E3855" s="43">
        <v>45339.07291665356</v>
      </c>
      <c r="F3855" s="41">
        <v>5.909919945273872</v>
      </c>
      <c r="G3855" s="41">
        <v>0</v>
      </c>
      <c r="H3855" s="42"/>
      <c r="I3855" s="42"/>
      <c r="J3855" s="42"/>
    </row>
    <row r="3856" spans="5:10">
      <c r="E3856" s="43">
        <v>45339.076388875779</v>
      </c>
      <c r="F3856" s="41">
        <v>5.909919945273872</v>
      </c>
      <c r="G3856" s="41">
        <v>0</v>
      </c>
      <c r="H3856" s="42"/>
      <c r="I3856" s="42"/>
      <c r="J3856" s="42"/>
    </row>
    <row r="3857" spans="5:10">
      <c r="E3857" s="43">
        <v>45339.079861097998</v>
      </c>
      <c r="F3857" s="41">
        <v>5.909919945273872</v>
      </c>
      <c r="G3857" s="41">
        <v>0</v>
      </c>
      <c r="H3857" s="42"/>
      <c r="I3857" s="42"/>
      <c r="J3857" s="42"/>
    </row>
    <row r="3858" spans="5:10">
      <c r="E3858" s="43">
        <v>45339.083333320217</v>
      </c>
      <c r="F3858" s="41">
        <v>5.909919945273872</v>
      </c>
      <c r="G3858" s="41">
        <v>0</v>
      </c>
      <c r="H3858" s="42"/>
      <c r="I3858" s="42"/>
      <c r="J3858" s="42"/>
    </row>
    <row r="3859" spans="5:10">
      <c r="E3859" s="43">
        <v>45339.086805542436</v>
      </c>
      <c r="F3859" s="41">
        <v>5.909919945273872</v>
      </c>
      <c r="G3859" s="41">
        <v>0</v>
      </c>
      <c r="H3859" s="42"/>
      <c r="I3859" s="42"/>
      <c r="J3859" s="42"/>
    </row>
    <row r="3860" spans="5:10">
      <c r="E3860" s="43">
        <v>45339.090277764655</v>
      </c>
      <c r="F3860" s="41">
        <v>5.909919945273872</v>
      </c>
      <c r="G3860" s="41">
        <v>0</v>
      </c>
      <c r="H3860" s="42"/>
      <c r="I3860" s="42"/>
      <c r="J3860" s="42"/>
    </row>
    <row r="3861" spans="5:10">
      <c r="E3861" s="43">
        <v>45339.093749986874</v>
      </c>
      <c r="F3861" s="41">
        <v>5.909919945273872</v>
      </c>
      <c r="G3861" s="41">
        <v>0</v>
      </c>
      <c r="H3861" s="42"/>
      <c r="I3861" s="42"/>
      <c r="J3861" s="42"/>
    </row>
    <row r="3862" spans="5:10">
      <c r="E3862" s="43">
        <v>45339.097222209093</v>
      </c>
      <c r="F3862" s="41">
        <v>5.909919945273872</v>
      </c>
      <c r="G3862" s="41">
        <v>0</v>
      </c>
      <c r="H3862" s="42"/>
      <c r="I3862" s="42"/>
      <c r="J3862" s="42"/>
    </row>
    <row r="3863" spans="5:10">
      <c r="E3863" s="43">
        <v>45339.100694431312</v>
      </c>
      <c r="F3863" s="41">
        <v>5.909919945273872</v>
      </c>
      <c r="G3863" s="41">
        <v>0</v>
      </c>
      <c r="H3863" s="42"/>
      <c r="I3863" s="42"/>
      <c r="J3863" s="42"/>
    </row>
    <row r="3864" spans="5:10">
      <c r="E3864" s="43">
        <v>45339.104166653531</v>
      </c>
      <c r="F3864" s="41">
        <v>5.909919945273872</v>
      </c>
      <c r="G3864" s="41">
        <v>0</v>
      </c>
      <c r="H3864" s="42"/>
      <c r="I3864" s="42"/>
      <c r="J3864" s="42"/>
    </row>
    <row r="3865" spans="5:10">
      <c r="E3865" s="43">
        <v>45339.10763887575</v>
      </c>
      <c r="F3865" s="41">
        <v>5.909919945273872</v>
      </c>
      <c r="G3865" s="41">
        <v>0</v>
      </c>
      <c r="H3865" s="42"/>
      <c r="I3865" s="42"/>
      <c r="J3865" s="42"/>
    </row>
    <row r="3866" spans="5:10">
      <c r="E3866" s="43">
        <v>45339.111111097969</v>
      </c>
      <c r="F3866" s="41">
        <v>5.909919945273872</v>
      </c>
      <c r="G3866" s="41">
        <v>0</v>
      </c>
      <c r="H3866" s="42"/>
      <c r="I3866" s="42"/>
      <c r="J3866" s="42"/>
    </row>
    <row r="3867" spans="5:10">
      <c r="E3867" s="43">
        <v>45339.114583320188</v>
      </c>
      <c r="F3867" s="41">
        <v>5.909919945273872</v>
      </c>
      <c r="G3867" s="41">
        <v>0</v>
      </c>
      <c r="H3867" s="42"/>
      <c r="I3867" s="42"/>
      <c r="J3867" s="42"/>
    </row>
    <row r="3868" spans="5:10">
      <c r="E3868" s="43">
        <v>45339.118055542407</v>
      </c>
      <c r="F3868" s="41">
        <v>5.909919945273872</v>
      </c>
      <c r="G3868" s="41">
        <v>0</v>
      </c>
      <c r="H3868" s="42"/>
      <c r="I3868" s="42"/>
      <c r="J3868" s="42"/>
    </row>
    <row r="3869" spans="5:10">
      <c r="E3869" s="43">
        <v>45339.121527764626</v>
      </c>
      <c r="F3869" s="41">
        <v>5.909919945273872</v>
      </c>
      <c r="G3869" s="41">
        <v>0</v>
      </c>
      <c r="H3869" s="42"/>
      <c r="I3869" s="42"/>
      <c r="J3869" s="42"/>
    </row>
    <row r="3870" spans="5:10">
      <c r="E3870" s="43">
        <v>45339.124999986845</v>
      </c>
      <c r="F3870" s="41">
        <v>5.909919945273872</v>
      </c>
      <c r="G3870" s="41">
        <v>0</v>
      </c>
      <c r="H3870" s="42"/>
      <c r="I3870" s="42"/>
      <c r="J3870" s="42"/>
    </row>
    <row r="3871" spans="5:10">
      <c r="E3871" s="43">
        <v>45339.128472209064</v>
      </c>
      <c r="F3871" s="41">
        <v>5.909919945273872</v>
      </c>
      <c r="G3871" s="41">
        <v>0</v>
      </c>
      <c r="H3871" s="42"/>
      <c r="I3871" s="42"/>
      <c r="J3871" s="42"/>
    </row>
    <row r="3872" spans="5:10">
      <c r="E3872" s="43">
        <v>45339.131944431283</v>
      </c>
      <c r="F3872" s="41">
        <v>5.909919945273872</v>
      </c>
      <c r="G3872" s="41">
        <v>0</v>
      </c>
      <c r="H3872" s="42"/>
      <c r="I3872" s="42"/>
      <c r="J3872" s="42"/>
    </row>
    <row r="3873" spans="5:10">
      <c r="E3873" s="43">
        <v>45339.135416653502</v>
      </c>
      <c r="F3873" s="41">
        <v>5.909919945273872</v>
      </c>
      <c r="G3873" s="41">
        <v>0</v>
      </c>
      <c r="H3873" s="42"/>
      <c r="I3873" s="42"/>
      <c r="J3873" s="42"/>
    </row>
    <row r="3874" spans="5:10">
      <c r="E3874" s="43">
        <v>45339.138888875721</v>
      </c>
      <c r="F3874" s="41">
        <v>5.909919945273872</v>
      </c>
      <c r="G3874" s="41">
        <v>0</v>
      </c>
      <c r="H3874" s="42"/>
      <c r="I3874" s="42"/>
      <c r="J3874" s="42"/>
    </row>
    <row r="3875" spans="5:10">
      <c r="E3875" s="43">
        <v>45339.14236109794</v>
      </c>
      <c r="F3875" s="41">
        <v>5.909919945273872</v>
      </c>
      <c r="G3875" s="41">
        <v>0</v>
      </c>
      <c r="H3875" s="42"/>
      <c r="I3875" s="42"/>
      <c r="J3875" s="42"/>
    </row>
    <row r="3876" spans="5:10">
      <c r="E3876" s="43">
        <v>45339.145833320159</v>
      </c>
      <c r="F3876" s="41">
        <v>5.909919945273872</v>
      </c>
      <c r="G3876" s="41">
        <v>0</v>
      </c>
      <c r="H3876" s="42"/>
      <c r="I3876" s="42"/>
      <c r="J3876" s="42"/>
    </row>
    <row r="3877" spans="5:10">
      <c r="E3877" s="43">
        <v>45339.149305542378</v>
      </c>
      <c r="F3877" s="41">
        <v>5.909919945273872</v>
      </c>
      <c r="G3877" s="41">
        <v>0</v>
      </c>
      <c r="H3877" s="42"/>
      <c r="I3877" s="42"/>
      <c r="J3877" s="42"/>
    </row>
    <row r="3878" spans="5:10">
      <c r="E3878" s="43">
        <v>45339.152777764597</v>
      </c>
      <c r="F3878" s="41">
        <v>5.909919945273872</v>
      </c>
      <c r="G3878" s="41">
        <v>0</v>
      </c>
      <c r="H3878" s="42"/>
      <c r="I3878" s="42"/>
      <c r="J3878" s="42"/>
    </row>
    <row r="3879" spans="5:10">
      <c r="E3879" s="43">
        <v>45339.156249986816</v>
      </c>
      <c r="F3879" s="41">
        <v>5.909919945273872</v>
      </c>
      <c r="G3879" s="41">
        <v>0</v>
      </c>
      <c r="H3879" s="42"/>
      <c r="I3879" s="42"/>
      <c r="J3879" s="42"/>
    </row>
    <row r="3880" spans="5:10">
      <c r="E3880" s="43">
        <v>45339.159722209035</v>
      </c>
      <c r="F3880" s="41">
        <v>5.909919945273872</v>
      </c>
      <c r="G3880" s="41">
        <v>0</v>
      </c>
      <c r="H3880" s="42"/>
      <c r="I3880" s="42"/>
      <c r="J3880" s="42"/>
    </row>
    <row r="3881" spans="5:10">
      <c r="E3881" s="43">
        <v>45339.163194431254</v>
      </c>
      <c r="F3881" s="41">
        <v>5.909919945273872</v>
      </c>
      <c r="G3881" s="41">
        <v>0</v>
      </c>
      <c r="H3881" s="42"/>
      <c r="I3881" s="42"/>
      <c r="J3881" s="42"/>
    </row>
    <row r="3882" spans="5:10">
      <c r="E3882" s="43">
        <v>45339.166666653473</v>
      </c>
      <c r="F3882" s="41">
        <v>5.909919945273872</v>
      </c>
      <c r="G3882" s="41">
        <v>0</v>
      </c>
      <c r="H3882" s="42"/>
      <c r="I3882" s="42"/>
      <c r="J3882" s="42"/>
    </row>
    <row r="3883" spans="5:10">
      <c r="E3883" s="43">
        <v>45339.170138875692</v>
      </c>
      <c r="F3883" s="41">
        <v>5.909919945273872</v>
      </c>
      <c r="G3883" s="41">
        <v>0</v>
      </c>
      <c r="H3883" s="42"/>
      <c r="I3883" s="42"/>
      <c r="J3883" s="42"/>
    </row>
    <row r="3884" spans="5:10">
      <c r="E3884" s="43">
        <v>45339.173611097911</v>
      </c>
      <c r="F3884" s="41">
        <v>5.909919945273872</v>
      </c>
      <c r="G3884" s="41">
        <v>0</v>
      </c>
      <c r="H3884" s="42"/>
      <c r="I3884" s="42"/>
      <c r="J3884" s="42"/>
    </row>
    <row r="3885" spans="5:10">
      <c r="E3885" s="43">
        <v>45339.17708332013</v>
      </c>
      <c r="F3885" s="41">
        <v>5.909919945273872</v>
      </c>
      <c r="G3885" s="41">
        <v>0</v>
      </c>
      <c r="H3885" s="42"/>
      <c r="I3885" s="42"/>
      <c r="J3885" s="42"/>
    </row>
    <row r="3886" spans="5:10">
      <c r="E3886" s="43">
        <v>45339.180555542349</v>
      </c>
      <c r="F3886" s="41">
        <v>5.909919945273872</v>
      </c>
      <c r="G3886" s="41">
        <v>0</v>
      </c>
      <c r="H3886" s="42"/>
      <c r="I3886" s="42"/>
      <c r="J3886" s="42"/>
    </row>
    <row r="3887" spans="5:10">
      <c r="E3887" s="43">
        <v>45339.184027764568</v>
      </c>
      <c r="F3887" s="41">
        <v>5.909919945273872</v>
      </c>
      <c r="G3887" s="41">
        <v>0</v>
      </c>
      <c r="H3887" s="42"/>
      <c r="I3887" s="42"/>
      <c r="J3887" s="42"/>
    </row>
    <row r="3888" spans="5:10">
      <c r="E3888" s="43">
        <v>45339.187499986787</v>
      </c>
      <c r="F3888" s="41">
        <v>5.909919945273872</v>
      </c>
      <c r="G3888" s="41">
        <v>0</v>
      </c>
      <c r="H3888" s="42"/>
      <c r="I3888" s="42"/>
      <c r="J3888" s="42"/>
    </row>
    <row r="3889" spans="5:10">
      <c r="E3889" s="43">
        <v>45339.190972209006</v>
      </c>
      <c r="F3889" s="41">
        <v>5.909919945273872</v>
      </c>
      <c r="G3889" s="41">
        <v>0</v>
      </c>
      <c r="H3889" s="42"/>
      <c r="I3889" s="42"/>
      <c r="J3889" s="42"/>
    </row>
    <row r="3890" spans="5:10">
      <c r="E3890" s="43">
        <v>45339.194444431225</v>
      </c>
      <c r="F3890" s="41">
        <v>5.909919945273872</v>
      </c>
      <c r="G3890" s="41">
        <v>0</v>
      </c>
      <c r="H3890" s="42"/>
      <c r="I3890" s="42"/>
      <c r="J3890" s="42"/>
    </row>
    <row r="3891" spans="5:10">
      <c r="E3891" s="43">
        <v>45339.197916653444</v>
      </c>
      <c r="F3891" s="41">
        <v>5.909919945273872</v>
      </c>
      <c r="G3891" s="41">
        <v>0</v>
      </c>
      <c r="H3891" s="42"/>
      <c r="I3891" s="42"/>
      <c r="J3891" s="42"/>
    </row>
    <row r="3892" spans="5:10">
      <c r="E3892" s="43">
        <v>45339.201388875663</v>
      </c>
      <c r="F3892" s="41">
        <v>5.909919945273872</v>
      </c>
      <c r="G3892" s="41">
        <v>0</v>
      </c>
      <c r="H3892" s="42"/>
      <c r="I3892" s="42"/>
      <c r="J3892" s="42"/>
    </row>
    <row r="3893" spans="5:10">
      <c r="E3893" s="43">
        <v>45339.204861097882</v>
      </c>
      <c r="F3893" s="41">
        <v>5.909919945273872</v>
      </c>
      <c r="G3893" s="41">
        <v>0</v>
      </c>
      <c r="H3893" s="42"/>
      <c r="I3893" s="42"/>
      <c r="J3893" s="42"/>
    </row>
    <row r="3894" spans="5:10">
      <c r="E3894" s="43">
        <v>45339.208333320101</v>
      </c>
      <c r="F3894" s="41">
        <v>5.909919945273872</v>
      </c>
      <c r="G3894" s="41">
        <v>0</v>
      </c>
      <c r="H3894" s="42"/>
      <c r="I3894" s="42"/>
      <c r="J3894" s="42"/>
    </row>
    <row r="3895" spans="5:10">
      <c r="E3895" s="43">
        <v>45339.21180554232</v>
      </c>
      <c r="F3895" s="41">
        <v>5.909919945273872</v>
      </c>
      <c r="G3895" s="41">
        <v>0</v>
      </c>
      <c r="H3895" s="42"/>
      <c r="I3895" s="42"/>
      <c r="J3895" s="42"/>
    </row>
    <row r="3896" spans="5:10">
      <c r="E3896" s="43">
        <v>45339.215277764539</v>
      </c>
      <c r="F3896" s="41">
        <v>5.909919945273872</v>
      </c>
      <c r="G3896" s="41">
        <v>0</v>
      </c>
      <c r="H3896" s="42"/>
      <c r="I3896" s="42"/>
      <c r="J3896" s="42"/>
    </row>
    <row r="3897" spans="5:10">
      <c r="E3897" s="43">
        <v>45339.218749986758</v>
      </c>
      <c r="F3897" s="41">
        <v>5.909919945273872</v>
      </c>
      <c r="G3897" s="41">
        <v>0</v>
      </c>
      <c r="H3897" s="42"/>
      <c r="I3897" s="42"/>
      <c r="J3897" s="42"/>
    </row>
    <row r="3898" spans="5:10">
      <c r="E3898" s="43">
        <v>45339.222222208977</v>
      </c>
      <c r="F3898" s="41">
        <v>5.909919945273872</v>
      </c>
      <c r="G3898" s="41">
        <v>0</v>
      </c>
      <c r="H3898" s="42"/>
      <c r="I3898" s="42"/>
      <c r="J3898" s="42"/>
    </row>
    <row r="3899" spans="5:10">
      <c r="E3899" s="43">
        <v>45339.225694431196</v>
      </c>
      <c r="F3899" s="41">
        <v>5.909919945273872</v>
      </c>
      <c r="G3899" s="41">
        <v>0</v>
      </c>
      <c r="H3899" s="42"/>
      <c r="I3899" s="42"/>
      <c r="J3899" s="42"/>
    </row>
    <row r="3900" spans="5:10">
      <c r="E3900" s="43">
        <v>45339.229166653415</v>
      </c>
      <c r="F3900" s="41">
        <v>5.909919945273872</v>
      </c>
      <c r="G3900" s="41">
        <v>0</v>
      </c>
      <c r="H3900" s="42"/>
      <c r="I3900" s="42"/>
      <c r="J3900" s="42"/>
    </row>
    <row r="3901" spans="5:10">
      <c r="E3901" s="43">
        <v>45339.232638875634</v>
      </c>
      <c r="F3901" s="41">
        <v>5.909919945273872</v>
      </c>
      <c r="G3901" s="41">
        <v>0</v>
      </c>
      <c r="H3901" s="42"/>
      <c r="I3901" s="42"/>
      <c r="J3901" s="42"/>
    </row>
    <row r="3902" spans="5:10">
      <c r="E3902" s="43">
        <v>45339.236111097853</v>
      </c>
      <c r="F3902" s="41">
        <v>5.909919945273872</v>
      </c>
      <c r="G3902" s="41">
        <v>0</v>
      </c>
      <c r="H3902" s="42"/>
      <c r="I3902" s="42"/>
      <c r="J3902" s="42"/>
    </row>
    <row r="3903" spans="5:10">
      <c r="E3903" s="43">
        <v>45339.239583320072</v>
      </c>
      <c r="F3903" s="41">
        <v>5.909919945273872</v>
      </c>
      <c r="G3903" s="41">
        <v>0</v>
      </c>
      <c r="H3903" s="42"/>
      <c r="I3903" s="42"/>
      <c r="J3903" s="42"/>
    </row>
    <row r="3904" spans="5:10">
      <c r="E3904" s="43">
        <v>45339.243055542291</v>
      </c>
      <c r="F3904" s="41">
        <v>5.909919945273872</v>
      </c>
      <c r="G3904" s="41">
        <v>0</v>
      </c>
      <c r="H3904" s="42"/>
      <c r="I3904" s="42"/>
      <c r="J3904" s="42"/>
    </row>
    <row r="3905" spans="5:10">
      <c r="E3905" s="43">
        <v>45339.24652776451</v>
      </c>
      <c r="F3905" s="41">
        <v>5.909919945273872</v>
      </c>
      <c r="G3905" s="41">
        <v>0</v>
      </c>
      <c r="H3905" s="42"/>
      <c r="I3905" s="42"/>
      <c r="J3905" s="42"/>
    </row>
    <row r="3906" spans="5:10">
      <c r="E3906" s="43">
        <v>45339.249999986729</v>
      </c>
      <c r="F3906" s="41">
        <v>5.909919945273872</v>
      </c>
      <c r="G3906" s="41">
        <v>0</v>
      </c>
      <c r="H3906" s="42"/>
      <c r="I3906" s="42"/>
      <c r="J3906" s="42"/>
    </row>
    <row r="3907" spans="5:10">
      <c r="E3907" s="43">
        <v>45339.253472208948</v>
      </c>
      <c r="F3907" s="41">
        <v>5.909919945273872</v>
      </c>
      <c r="G3907" s="41">
        <v>0</v>
      </c>
      <c r="H3907" s="42"/>
      <c r="I3907" s="42"/>
      <c r="J3907" s="42"/>
    </row>
    <row r="3908" spans="5:10">
      <c r="E3908" s="43">
        <v>45339.256944431167</v>
      </c>
      <c r="F3908" s="41">
        <v>5.909919945273872</v>
      </c>
      <c r="G3908" s="41">
        <v>0</v>
      </c>
      <c r="H3908" s="42"/>
      <c r="I3908" s="42"/>
      <c r="J3908" s="42"/>
    </row>
    <row r="3909" spans="5:10">
      <c r="E3909" s="43">
        <v>45339.260416653386</v>
      </c>
      <c r="F3909" s="41">
        <v>5.909919945273872</v>
      </c>
      <c r="G3909" s="41">
        <v>0</v>
      </c>
      <c r="H3909" s="42"/>
      <c r="I3909" s="42"/>
      <c r="J3909" s="42"/>
    </row>
    <row r="3910" spans="5:10">
      <c r="E3910" s="43">
        <v>45339.263888875605</v>
      </c>
      <c r="F3910" s="41">
        <v>5.909919945273872</v>
      </c>
      <c r="G3910" s="41">
        <v>0</v>
      </c>
      <c r="H3910" s="42"/>
      <c r="I3910" s="42"/>
      <c r="J3910" s="42"/>
    </row>
    <row r="3911" spans="5:10">
      <c r="E3911" s="43">
        <v>45339.267361097824</v>
      </c>
      <c r="F3911" s="41">
        <v>5.909919945273872</v>
      </c>
      <c r="G3911" s="41">
        <v>0</v>
      </c>
      <c r="H3911" s="42"/>
      <c r="I3911" s="42"/>
      <c r="J3911" s="42"/>
    </row>
    <row r="3912" spans="5:10">
      <c r="E3912" s="43">
        <v>45339.270833320043</v>
      </c>
      <c r="F3912" s="41">
        <v>5.909919945273872</v>
      </c>
      <c r="G3912" s="41">
        <v>0</v>
      </c>
      <c r="H3912" s="42"/>
      <c r="I3912" s="42"/>
      <c r="J3912" s="42"/>
    </row>
    <row r="3913" spans="5:10">
      <c r="E3913" s="43">
        <v>45339.274305542262</v>
      </c>
      <c r="F3913" s="41">
        <v>5.909919945273872</v>
      </c>
      <c r="G3913" s="41">
        <v>0</v>
      </c>
      <c r="H3913" s="42"/>
      <c r="I3913" s="42"/>
      <c r="J3913" s="42"/>
    </row>
    <row r="3914" spans="5:10">
      <c r="E3914" s="43">
        <v>45339.277777764481</v>
      </c>
      <c r="F3914" s="41">
        <v>5.909919945273872</v>
      </c>
      <c r="G3914" s="41">
        <v>0</v>
      </c>
      <c r="H3914" s="42"/>
      <c r="I3914" s="42"/>
      <c r="J3914" s="42"/>
    </row>
    <row r="3915" spans="5:10">
      <c r="E3915" s="43">
        <v>45339.2812499867</v>
      </c>
      <c r="F3915" s="41">
        <v>5.909919945273872</v>
      </c>
      <c r="G3915" s="41">
        <v>0</v>
      </c>
      <c r="H3915" s="42"/>
      <c r="I3915" s="42"/>
      <c r="J3915" s="42"/>
    </row>
    <row r="3916" spans="5:10">
      <c r="E3916" s="43">
        <v>45339.284722208919</v>
      </c>
      <c r="F3916" s="41">
        <v>5.909919945273872</v>
      </c>
      <c r="G3916" s="41">
        <v>0</v>
      </c>
      <c r="H3916" s="42"/>
      <c r="I3916" s="42"/>
      <c r="J3916" s="42"/>
    </row>
    <row r="3917" spans="5:10">
      <c r="E3917" s="43">
        <v>45339.288194431138</v>
      </c>
      <c r="F3917" s="41">
        <v>5.909919945273872</v>
      </c>
      <c r="G3917" s="41">
        <v>0</v>
      </c>
      <c r="H3917" s="42"/>
      <c r="I3917" s="42"/>
      <c r="J3917" s="42"/>
    </row>
    <row r="3918" spans="5:10">
      <c r="E3918" s="43">
        <v>45339.291666653357</v>
      </c>
      <c r="F3918" s="41">
        <v>5.909919945273872</v>
      </c>
      <c r="G3918" s="41">
        <v>0</v>
      </c>
      <c r="H3918" s="42"/>
      <c r="I3918" s="42"/>
      <c r="J3918" s="42"/>
    </row>
    <row r="3919" spans="5:10">
      <c r="E3919" s="43">
        <v>45339.295138875576</v>
      </c>
      <c r="F3919" s="41">
        <v>5.909919945273872</v>
      </c>
      <c r="G3919" s="41">
        <v>0</v>
      </c>
      <c r="H3919" s="42"/>
      <c r="I3919" s="42"/>
      <c r="J3919" s="42"/>
    </row>
    <row r="3920" spans="5:10">
      <c r="E3920" s="43">
        <v>45339.298611097794</v>
      </c>
      <c r="F3920" s="41">
        <v>5.909919945273872</v>
      </c>
      <c r="G3920" s="41">
        <v>0</v>
      </c>
      <c r="H3920" s="42"/>
      <c r="I3920" s="42"/>
      <c r="J3920" s="42"/>
    </row>
    <row r="3921" spans="5:10">
      <c r="E3921" s="43">
        <v>45339.302083320013</v>
      </c>
      <c r="F3921" s="41">
        <v>5.909919945273872</v>
      </c>
      <c r="G3921" s="41">
        <v>0</v>
      </c>
      <c r="H3921" s="42"/>
      <c r="I3921" s="42"/>
      <c r="J3921" s="42"/>
    </row>
    <row r="3922" spans="5:10">
      <c r="E3922" s="43">
        <v>45339.305555542232</v>
      </c>
      <c r="F3922" s="41">
        <v>5.909919945273872</v>
      </c>
      <c r="G3922" s="41">
        <v>0</v>
      </c>
      <c r="H3922" s="42"/>
      <c r="I3922" s="42"/>
      <c r="J3922" s="42"/>
    </row>
    <row r="3923" spans="5:10">
      <c r="E3923" s="43">
        <v>45339.309027764451</v>
      </c>
      <c r="F3923" s="41">
        <v>5.909919945273872</v>
      </c>
      <c r="G3923" s="41">
        <v>0</v>
      </c>
      <c r="H3923" s="42"/>
      <c r="I3923" s="42"/>
      <c r="J3923" s="42"/>
    </row>
    <row r="3924" spans="5:10">
      <c r="E3924" s="43">
        <v>45339.31249998667</v>
      </c>
      <c r="F3924" s="41">
        <v>5.909919945273872</v>
      </c>
      <c r="G3924" s="41">
        <v>0</v>
      </c>
      <c r="H3924" s="42"/>
      <c r="I3924" s="42"/>
      <c r="J3924" s="42"/>
    </row>
    <row r="3925" spans="5:10">
      <c r="E3925" s="43">
        <v>45339.315972208889</v>
      </c>
      <c r="F3925" s="41">
        <v>5.909919945273872</v>
      </c>
      <c r="G3925" s="41">
        <v>0</v>
      </c>
      <c r="H3925" s="42"/>
      <c r="I3925" s="42"/>
      <c r="J3925" s="42"/>
    </row>
    <row r="3926" spans="5:10">
      <c r="E3926" s="43">
        <v>45339.319444431108</v>
      </c>
      <c r="F3926" s="41">
        <v>5.909919945273872</v>
      </c>
      <c r="G3926" s="41">
        <v>0</v>
      </c>
      <c r="H3926" s="42"/>
      <c r="I3926" s="42"/>
      <c r="J3926" s="42"/>
    </row>
    <row r="3927" spans="5:10">
      <c r="E3927" s="43">
        <v>45339.322916653327</v>
      </c>
      <c r="F3927" s="41">
        <v>5.909919945273872</v>
      </c>
      <c r="G3927" s="41">
        <v>0</v>
      </c>
      <c r="H3927" s="42"/>
      <c r="I3927" s="42"/>
      <c r="J3927" s="42"/>
    </row>
    <row r="3928" spans="5:10">
      <c r="E3928" s="43">
        <v>45339.326388875546</v>
      </c>
      <c r="F3928" s="41">
        <v>5.909919945273872</v>
      </c>
      <c r="G3928" s="41">
        <v>0</v>
      </c>
      <c r="H3928" s="42"/>
      <c r="I3928" s="42"/>
      <c r="J3928" s="42"/>
    </row>
    <row r="3929" spans="5:10">
      <c r="E3929" s="43">
        <v>45339.329861097765</v>
      </c>
      <c r="F3929" s="41">
        <v>5.909919945273872</v>
      </c>
      <c r="G3929" s="41">
        <v>0</v>
      </c>
      <c r="H3929" s="42"/>
      <c r="I3929" s="42"/>
      <c r="J3929" s="42"/>
    </row>
    <row r="3930" spans="5:10">
      <c r="E3930" s="43">
        <v>45339.333333319984</v>
      </c>
      <c r="F3930" s="41">
        <v>5.909919945273872</v>
      </c>
      <c r="G3930" s="41">
        <v>0</v>
      </c>
      <c r="H3930" s="42"/>
      <c r="I3930" s="42"/>
      <c r="J3930" s="42"/>
    </row>
    <row r="3931" spans="5:10">
      <c r="E3931" s="43">
        <v>45339.336805542203</v>
      </c>
      <c r="F3931" s="41">
        <v>5.909919945273872</v>
      </c>
      <c r="G3931" s="41">
        <v>0</v>
      </c>
      <c r="H3931" s="42"/>
      <c r="I3931" s="42"/>
      <c r="J3931" s="42"/>
    </row>
    <row r="3932" spans="5:10">
      <c r="E3932" s="43">
        <v>45339.340277764422</v>
      </c>
      <c r="F3932" s="41">
        <v>5.909919945273872</v>
      </c>
      <c r="G3932" s="41">
        <v>0</v>
      </c>
      <c r="H3932" s="42"/>
      <c r="I3932" s="42"/>
      <c r="J3932" s="42"/>
    </row>
    <row r="3933" spans="5:10">
      <c r="E3933" s="43">
        <v>45339.343749986641</v>
      </c>
      <c r="F3933" s="41">
        <v>5.909919945273872</v>
      </c>
      <c r="G3933" s="41">
        <v>0</v>
      </c>
      <c r="H3933" s="42"/>
      <c r="I3933" s="42"/>
      <c r="J3933" s="42"/>
    </row>
    <row r="3934" spans="5:10">
      <c r="E3934" s="43">
        <v>45339.34722220886</v>
      </c>
      <c r="F3934" s="41">
        <v>5.909919945273872</v>
      </c>
      <c r="G3934" s="41">
        <v>0</v>
      </c>
      <c r="H3934" s="42"/>
      <c r="I3934" s="42"/>
      <c r="J3934" s="42"/>
    </row>
    <row r="3935" spans="5:10">
      <c r="E3935" s="43">
        <v>45339.350694431079</v>
      </c>
      <c r="F3935" s="41">
        <v>5.909919945273872</v>
      </c>
      <c r="G3935" s="41">
        <v>0</v>
      </c>
      <c r="H3935" s="42"/>
      <c r="I3935" s="42"/>
      <c r="J3935" s="42"/>
    </row>
    <row r="3936" spans="5:10">
      <c r="E3936" s="43">
        <v>45339.354166653298</v>
      </c>
      <c r="F3936" s="41">
        <v>5.909919945273872</v>
      </c>
      <c r="G3936" s="41">
        <v>0</v>
      </c>
      <c r="H3936" s="42"/>
      <c r="I3936" s="42"/>
      <c r="J3936" s="42"/>
    </row>
    <row r="3937" spans="5:10">
      <c r="E3937" s="43">
        <v>45339.357638875517</v>
      </c>
      <c r="F3937" s="41">
        <v>5.909919945273872</v>
      </c>
      <c r="G3937" s="41">
        <v>0</v>
      </c>
      <c r="H3937" s="42"/>
      <c r="I3937" s="42"/>
      <c r="J3937" s="42"/>
    </row>
    <row r="3938" spans="5:10">
      <c r="E3938" s="43">
        <v>45339.361111097736</v>
      </c>
      <c r="F3938" s="41">
        <v>5.909919945273872</v>
      </c>
      <c r="G3938" s="41">
        <v>0</v>
      </c>
      <c r="H3938" s="42"/>
      <c r="I3938" s="42"/>
      <c r="J3938" s="42"/>
    </row>
    <row r="3939" spans="5:10">
      <c r="E3939" s="43">
        <v>45339.364583319955</v>
      </c>
      <c r="F3939" s="41">
        <v>5.909919945273872</v>
      </c>
      <c r="G3939" s="41">
        <v>0</v>
      </c>
      <c r="H3939" s="42"/>
      <c r="I3939" s="42"/>
      <c r="J3939" s="42"/>
    </row>
    <row r="3940" spans="5:10">
      <c r="E3940" s="43">
        <v>45339.368055542174</v>
      </c>
      <c r="F3940" s="41">
        <v>5.909919945273872</v>
      </c>
      <c r="G3940" s="41">
        <v>0</v>
      </c>
      <c r="H3940" s="42"/>
      <c r="I3940" s="42"/>
      <c r="J3940" s="42"/>
    </row>
    <row r="3941" spans="5:10">
      <c r="E3941" s="43">
        <v>45339.371527764393</v>
      </c>
      <c r="F3941" s="41">
        <v>5.909919945273872</v>
      </c>
      <c r="G3941" s="41">
        <v>0</v>
      </c>
      <c r="H3941" s="42"/>
      <c r="I3941" s="42"/>
      <c r="J3941" s="42"/>
    </row>
    <row r="3942" spans="5:10">
      <c r="E3942" s="43">
        <v>45339.374999986612</v>
      </c>
      <c r="F3942" s="41">
        <v>5.909919945273872</v>
      </c>
      <c r="G3942" s="41">
        <v>0</v>
      </c>
      <c r="H3942" s="42"/>
      <c r="I3942" s="42"/>
      <c r="J3942" s="42"/>
    </row>
    <row r="3943" spans="5:10">
      <c r="E3943" s="43">
        <v>45339.378472208831</v>
      </c>
      <c r="F3943" s="41">
        <v>5.909919945273872</v>
      </c>
      <c r="G3943" s="41">
        <v>0</v>
      </c>
      <c r="H3943" s="42"/>
      <c r="I3943" s="42"/>
      <c r="J3943" s="42"/>
    </row>
    <row r="3944" spans="5:10">
      <c r="E3944" s="43">
        <v>45339.38194443105</v>
      </c>
      <c r="F3944" s="41">
        <v>5.909919945273872</v>
      </c>
      <c r="G3944" s="41">
        <v>0</v>
      </c>
      <c r="H3944" s="42"/>
      <c r="I3944" s="42"/>
      <c r="J3944" s="42"/>
    </row>
    <row r="3945" spans="5:10">
      <c r="E3945" s="43">
        <v>45339.385416653269</v>
      </c>
      <c r="F3945" s="41">
        <v>5.909919945273872</v>
      </c>
      <c r="G3945" s="41">
        <v>0</v>
      </c>
      <c r="H3945" s="42"/>
      <c r="I3945" s="42"/>
      <c r="J3945" s="42"/>
    </row>
    <row r="3946" spans="5:10">
      <c r="E3946" s="43">
        <v>45339.388888875488</v>
      </c>
      <c r="F3946" s="41">
        <v>5.909919945273872</v>
      </c>
      <c r="G3946" s="41">
        <v>0</v>
      </c>
      <c r="H3946" s="42"/>
      <c r="I3946" s="42"/>
      <c r="J3946" s="42"/>
    </row>
    <row r="3947" spans="5:10">
      <c r="E3947" s="43">
        <v>45339.392361097707</v>
      </c>
      <c r="F3947" s="41">
        <v>5.909919945273872</v>
      </c>
      <c r="G3947" s="41">
        <v>0</v>
      </c>
      <c r="H3947" s="42"/>
      <c r="I3947" s="42"/>
      <c r="J3947" s="42"/>
    </row>
    <row r="3948" spans="5:10">
      <c r="E3948" s="43">
        <v>45339.395833319926</v>
      </c>
      <c r="F3948" s="41">
        <v>5.909919945273872</v>
      </c>
      <c r="G3948" s="41">
        <v>0</v>
      </c>
      <c r="H3948" s="42"/>
      <c r="I3948" s="42"/>
      <c r="J3948" s="42"/>
    </row>
    <row r="3949" spans="5:10">
      <c r="E3949" s="43">
        <v>45339.399305542145</v>
      </c>
      <c r="F3949" s="41">
        <v>5.909919945273872</v>
      </c>
      <c r="G3949" s="41">
        <v>0</v>
      </c>
      <c r="H3949" s="42"/>
      <c r="I3949" s="42"/>
      <c r="J3949" s="42"/>
    </row>
    <row r="3950" spans="5:10">
      <c r="E3950" s="43">
        <v>45339.402777764364</v>
      </c>
      <c r="F3950" s="41">
        <v>5.909919945273872</v>
      </c>
      <c r="G3950" s="41">
        <v>0</v>
      </c>
      <c r="H3950" s="42"/>
      <c r="I3950" s="42"/>
      <c r="J3950" s="42"/>
    </row>
    <row r="3951" spans="5:10">
      <c r="E3951" s="43">
        <v>45339.406249986583</v>
      </c>
      <c r="F3951" s="41">
        <v>5.909919945273872</v>
      </c>
      <c r="G3951" s="41">
        <v>0</v>
      </c>
      <c r="H3951" s="42"/>
      <c r="I3951" s="42"/>
      <c r="J3951" s="42"/>
    </row>
    <row r="3952" spans="5:10">
      <c r="E3952" s="43">
        <v>45339.409722208802</v>
      </c>
      <c r="F3952" s="41">
        <v>5.909919945273872</v>
      </c>
      <c r="G3952" s="41">
        <v>0</v>
      </c>
      <c r="H3952" s="42"/>
      <c r="I3952" s="42"/>
      <c r="J3952" s="42"/>
    </row>
    <row r="3953" spans="5:10">
      <c r="E3953" s="43">
        <v>45339.413194431021</v>
      </c>
      <c r="F3953" s="41">
        <v>5.909919945273872</v>
      </c>
      <c r="G3953" s="41">
        <v>0</v>
      </c>
      <c r="H3953" s="42"/>
      <c r="I3953" s="42"/>
      <c r="J3953" s="42"/>
    </row>
    <row r="3954" spans="5:10">
      <c r="E3954" s="43">
        <v>45339.41666665324</v>
      </c>
      <c r="F3954" s="41">
        <v>5.909919945273872</v>
      </c>
      <c r="G3954" s="41">
        <v>0</v>
      </c>
      <c r="H3954" s="42"/>
      <c r="I3954" s="42"/>
      <c r="J3954" s="42"/>
    </row>
    <row r="3955" spans="5:10">
      <c r="E3955" s="43">
        <v>45339.420138875459</v>
      </c>
      <c r="F3955" s="41">
        <v>5.909919945273872</v>
      </c>
      <c r="G3955" s="41">
        <v>0</v>
      </c>
      <c r="H3955" s="42"/>
      <c r="I3955" s="42"/>
      <c r="J3955" s="42"/>
    </row>
    <row r="3956" spans="5:10">
      <c r="E3956" s="43">
        <v>45339.423611097678</v>
      </c>
      <c r="F3956" s="41">
        <v>5.909919945273872</v>
      </c>
      <c r="G3956" s="41">
        <v>0</v>
      </c>
      <c r="H3956" s="42"/>
      <c r="I3956" s="42"/>
      <c r="J3956" s="42"/>
    </row>
    <row r="3957" spans="5:10">
      <c r="E3957" s="43">
        <v>45339.427083319897</v>
      </c>
      <c r="F3957" s="41">
        <v>5.909919945273872</v>
      </c>
      <c r="G3957" s="41">
        <v>0</v>
      </c>
      <c r="H3957" s="42"/>
      <c r="I3957" s="42"/>
      <c r="J3957" s="42"/>
    </row>
    <row r="3958" spans="5:10">
      <c r="E3958" s="43">
        <v>45339.430555542116</v>
      </c>
      <c r="F3958" s="41">
        <v>5.909919945273872</v>
      </c>
      <c r="G3958" s="41">
        <v>0</v>
      </c>
      <c r="H3958" s="42"/>
      <c r="I3958" s="42"/>
      <c r="J3958" s="42"/>
    </row>
    <row r="3959" spans="5:10">
      <c r="E3959" s="43">
        <v>45339.434027764335</v>
      </c>
      <c r="F3959" s="41">
        <v>5.909919945273872</v>
      </c>
      <c r="G3959" s="41">
        <v>0</v>
      </c>
      <c r="H3959" s="42"/>
      <c r="I3959" s="42"/>
      <c r="J3959" s="42"/>
    </row>
    <row r="3960" spans="5:10">
      <c r="E3960" s="43">
        <v>45339.437499986554</v>
      </c>
      <c r="F3960" s="41">
        <v>5.909919945273872</v>
      </c>
      <c r="G3960" s="41">
        <v>0</v>
      </c>
      <c r="H3960" s="42"/>
      <c r="I3960" s="42"/>
      <c r="J3960" s="42"/>
    </row>
    <row r="3961" spans="5:10">
      <c r="E3961" s="43">
        <v>45339.440972208773</v>
      </c>
      <c r="F3961" s="41">
        <v>5.909919945273872</v>
      </c>
      <c r="G3961" s="41">
        <v>0</v>
      </c>
      <c r="H3961" s="42"/>
      <c r="I3961" s="42"/>
      <c r="J3961" s="42"/>
    </row>
    <row r="3962" spans="5:10">
      <c r="E3962" s="43">
        <v>45339.444444430992</v>
      </c>
      <c r="F3962" s="41">
        <v>5.909919945273872</v>
      </c>
      <c r="G3962" s="41">
        <v>0</v>
      </c>
      <c r="H3962" s="42"/>
      <c r="I3962" s="42"/>
      <c r="J3962" s="42"/>
    </row>
    <row r="3963" spans="5:10">
      <c r="E3963" s="43">
        <v>45339.447916653211</v>
      </c>
      <c r="F3963" s="41">
        <v>5.909919945273872</v>
      </c>
      <c r="G3963" s="41">
        <v>0</v>
      </c>
      <c r="H3963" s="42"/>
      <c r="I3963" s="42"/>
      <c r="J3963" s="42"/>
    </row>
    <row r="3964" spans="5:10">
      <c r="E3964" s="43">
        <v>45339.45138887543</v>
      </c>
      <c r="F3964" s="41">
        <v>5.909919945273872</v>
      </c>
      <c r="G3964" s="41">
        <v>0</v>
      </c>
      <c r="H3964" s="42"/>
      <c r="I3964" s="42"/>
      <c r="J3964" s="42"/>
    </row>
    <row r="3965" spans="5:10">
      <c r="E3965" s="43">
        <v>45339.454861097649</v>
      </c>
      <c r="F3965" s="41">
        <v>5.909919945273872</v>
      </c>
      <c r="G3965" s="41">
        <v>0</v>
      </c>
      <c r="H3965" s="42"/>
      <c r="I3965" s="42"/>
      <c r="J3965" s="42"/>
    </row>
    <row r="3966" spans="5:10">
      <c r="E3966" s="43">
        <v>45339.458333319868</v>
      </c>
      <c r="F3966" s="41">
        <v>5.909919945273872</v>
      </c>
      <c r="G3966" s="41">
        <v>0</v>
      </c>
      <c r="H3966" s="42"/>
      <c r="I3966" s="42"/>
      <c r="J3966" s="42"/>
    </row>
    <row r="3967" spans="5:10">
      <c r="E3967" s="43">
        <v>45339.461805542087</v>
      </c>
      <c r="F3967" s="41">
        <v>5.909919945273872</v>
      </c>
      <c r="G3967" s="41">
        <v>0</v>
      </c>
      <c r="H3967" s="42"/>
      <c r="I3967" s="42"/>
      <c r="J3967" s="42"/>
    </row>
    <row r="3968" spans="5:10">
      <c r="E3968" s="43">
        <v>45339.465277764306</v>
      </c>
      <c r="F3968" s="41">
        <v>5.909919945273872</v>
      </c>
      <c r="G3968" s="41">
        <v>0</v>
      </c>
      <c r="H3968" s="42"/>
      <c r="I3968" s="42"/>
      <c r="J3968" s="42"/>
    </row>
    <row r="3969" spans="5:10">
      <c r="E3969" s="43">
        <v>45339.468749986525</v>
      </c>
      <c r="F3969" s="41">
        <v>5.909919945273872</v>
      </c>
      <c r="G3969" s="41">
        <v>0</v>
      </c>
      <c r="H3969" s="42"/>
      <c r="I3969" s="42"/>
      <c r="J3969" s="42"/>
    </row>
    <row r="3970" spans="5:10">
      <c r="E3970" s="43">
        <v>45339.472222208744</v>
      </c>
      <c r="F3970" s="41">
        <v>5.909919945273872</v>
      </c>
      <c r="G3970" s="41">
        <v>0</v>
      </c>
      <c r="H3970" s="42"/>
      <c r="I3970" s="42"/>
      <c r="J3970" s="42"/>
    </row>
    <row r="3971" spans="5:10">
      <c r="E3971" s="43">
        <v>45339.475694430963</v>
      </c>
      <c r="F3971" s="41">
        <v>5.909919945273872</v>
      </c>
      <c r="G3971" s="41">
        <v>0</v>
      </c>
      <c r="H3971" s="42"/>
      <c r="I3971" s="42"/>
      <c r="J3971" s="42"/>
    </row>
    <row r="3972" spans="5:10">
      <c r="E3972" s="43">
        <v>45339.479166653182</v>
      </c>
      <c r="F3972" s="41">
        <v>5.909919945273872</v>
      </c>
      <c r="G3972" s="41">
        <v>0</v>
      </c>
      <c r="H3972" s="42"/>
      <c r="I3972" s="42"/>
      <c r="J3972" s="42"/>
    </row>
    <row r="3973" spans="5:10">
      <c r="E3973" s="43">
        <v>45339.482638875401</v>
      </c>
      <c r="F3973" s="41">
        <v>5.909919945273872</v>
      </c>
      <c r="G3973" s="41">
        <v>0</v>
      </c>
      <c r="H3973" s="42"/>
      <c r="I3973" s="42"/>
      <c r="J3973" s="42"/>
    </row>
    <row r="3974" spans="5:10">
      <c r="E3974" s="43">
        <v>45339.48611109762</v>
      </c>
      <c r="F3974" s="41">
        <v>5.909919945273872</v>
      </c>
      <c r="G3974" s="41">
        <v>0</v>
      </c>
      <c r="H3974" s="42"/>
      <c r="I3974" s="42"/>
      <c r="J3974" s="42"/>
    </row>
    <row r="3975" spans="5:10">
      <c r="E3975" s="43">
        <v>45339.489583319839</v>
      </c>
      <c r="F3975" s="41">
        <v>5.909919945273872</v>
      </c>
      <c r="G3975" s="41">
        <v>0</v>
      </c>
      <c r="H3975" s="42"/>
      <c r="I3975" s="42"/>
      <c r="J3975" s="42"/>
    </row>
    <row r="3976" spans="5:10">
      <c r="E3976" s="43">
        <v>45339.493055542058</v>
      </c>
      <c r="F3976" s="41">
        <v>5.909919945273872</v>
      </c>
      <c r="G3976" s="41">
        <v>0</v>
      </c>
      <c r="H3976" s="42"/>
      <c r="I3976" s="42"/>
      <c r="J3976" s="42"/>
    </row>
    <row r="3977" spans="5:10">
      <c r="E3977" s="43">
        <v>45339.496527764277</v>
      </c>
      <c r="F3977" s="41">
        <v>5.909919945273872</v>
      </c>
      <c r="G3977" s="41">
        <v>0</v>
      </c>
      <c r="H3977" s="42"/>
      <c r="I3977" s="42"/>
      <c r="J3977" s="42"/>
    </row>
    <row r="3978" spans="5:10">
      <c r="E3978" s="43">
        <v>45339.499999986496</v>
      </c>
      <c r="F3978" s="41">
        <v>5.909919945273872</v>
      </c>
      <c r="G3978" s="41">
        <v>0</v>
      </c>
      <c r="H3978" s="42"/>
      <c r="I3978" s="42"/>
      <c r="J3978" s="42"/>
    </row>
    <row r="3979" spans="5:10">
      <c r="E3979" s="43">
        <v>45339.503472208715</v>
      </c>
      <c r="F3979" s="41">
        <v>5.909919945273872</v>
      </c>
      <c r="G3979" s="41">
        <v>0</v>
      </c>
      <c r="H3979" s="42"/>
      <c r="I3979" s="42"/>
      <c r="J3979" s="42"/>
    </row>
    <row r="3980" spans="5:10">
      <c r="E3980" s="43">
        <v>45339.506944430934</v>
      </c>
      <c r="F3980" s="41">
        <v>5.909919945273872</v>
      </c>
      <c r="G3980" s="41">
        <v>0</v>
      </c>
      <c r="H3980" s="42"/>
      <c r="I3980" s="42"/>
      <c r="J3980" s="42"/>
    </row>
    <row r="3981" spans="5:10">
      <c r="E3981" s="43">
        <v>45339.510416653153</v>
      </c>
      <c r="F3981" s="41">
        <v>5.909919945273872</v>
      </c>
      <c r="G3981" s="41">
        <v>0</v>
      </c>
      <c r="H3981" s="42"/>
      <c r="I3981" s="42"/>
      <c r="J3981" s="42"/>
    </row>
    <row r="3982" spans="5:10">
      <c r="E3982" s="43">
        <v>45339.513888875372</v>
      </c>
      <c r="F3982" s="41">
        <v>5.909919945273872</v>
      </c>
      <c r="G3982" s="41">
        <v>0</v>
      </c>
      <c r="H3982" s="42"/>
      <c r="I3982" s="42"/>
      <c r="J3982" s="42"/>
    </row>
    <row r="3983" spans="5:10">
      <c r="E3983" s="43">
        <v>45339.517361097591</v>
      </c>
      <c r="F3983" s="41">
        <v>5.909919945273872</v>
      </c>
      <c r="G3983" s="41">
        <v>0</v>
      </c>
      <c r="H3983" s="42"/>
      <c r="I3983" s="42"/>
      <c r="J3983" s="42"/>
    </row>
    <row r="3984" spans="5:10">
      <c r="E3984" s="43">
        <v>45339.52083331981</v>
      </c>
      <c r="F3984" s="41">
        <v>5.909919945273872</v>
      </c>
      <c r="G3984" s="41">
        <v>0</v>
      </c>
      <c r="H3984" s="42"/>
      <c r="I3984" s="42"/>
      <c r="J3984" s="42"/>
    </row>
    <row r="3985" spans="5:10">
      <c r="E3985" s="43">
        <v>45339.524305542029</v>
      </c>
      <c r="F3985" s="41">
        <v>5.909919945273872</v>
      </c>
      <c r="G3985" s="41">
        <v>0</v>
      </c>
      <c r="H3985" s="42"/>
      <c r="I3985" s="42"/>
      <c r="J3985" s="42"/>
    </row>
    <row r="3986" spans="5:10">
      <c r="E3986" s="43">
        <v>45339.527777764248</v>
      </c>
      <c r="F3986" s="41">
        <v>5.909919945273872</v>
      </c>
      <c r="G3986" s="41">
        <v>0</v>
      </c>
      <c r="H3986" s="42"/>
      <c r="I3986" s="42"/>
      <c r="J3986" s="42"/>
    </row>
    <row r="3987" spans="5:10">
      <c r="E3987" s="43">
        <v>45339.531249986467</v>
      </c>
      <c r="F3987" s="41">
        <v>5.909919945273872</v>
      </c>
      <c r="G3987" s="41">
        <v>0</v>
      </c>
      <c r="H3987" s="42"/>
      <c r="I3987" s="42"/>
      <c r="J3987" s="42"/>
    </row>
    <row r="3988" spans="5:10">
      <c r="E3988" s="43">
        <v>45339.534722208686</v>
      </c>
      <c r="F3988" s="41">
        <v>5.909919945273872</v>
      </c>
      <c r="G3988" s="41">
        <v>0</v>
      </c>
      <c r="H3988" s="42"/>
      <c r="I3988" s="42"/>
      <c r="J3988" s="42"/>
    </row>
    <row r="3989" spans="5:10">
      <c r="E3989" s="43">
        <v>45339.538194430905</v>
      </c>
      <c r="F3989" s="41">
        <v>5.909919945273872</v>
      </c>
      <c r="G3989" s="41">
        <v>0</v>
      </c>
      <c r="H3989" s="42"/>
      <c r="I3989" s="42"/>
      <c r="J3989" s="42"/>
    </row>
    <row r="3990" spans="5:10">
      <c r="E3990" s="43">
        <v>45339.541666653124</v>
      </c>
      <c r="F3990" s="41">
        <v>5.909919945273872</v>
      </c>
      <c r="G3990" s="41">
        <v>0</v>
      </c>
      <c r="H3990" s="42"/>
      <c r="I3990" s="42"/>
      <c r="J3990" s="42"/>
    </row>
    <row r="3991" spans="5:10">
      <c r="E3991" s="43">
        <v>45339.545138875343</v>
      </c>
      <c r="F3991" s="41">
        <v>5.909919945273872</v>
      </c>
      <c r="G3991" s="41">
        <v>0</v>
      </c>
      <c r="H3991" s="42"/>
      <c r="I3991" s="42"/>
      <c r="J3991" s="42"/>
    </row>
    <row r="3992" spans="5:10">
      <c r="E3992" s="43">
        <v>45339.548611097562</v>
      </c>
      <c r="F3992" s="41">
        <v>5.909919945273872</v>
      </c>
      <c r="G3992" s="41">
        <v>0</v>
      </c>
      <c r="H3992" s="42"/>
      <c r="I3992" s="42"/>
      <c r="J3992" s="42"/>
    </row>
    <row r="3993" spans="5:10">
      <c r="E3993" s="43">
        <v>45339.552083319781</v>
      </c>
      <c r="F3993" s="41">
        <v>5.909919945273872</v>
      </c>
      <c r="G3993" s="41">
        <v>0</v>
      </c>
      <c r="H3993" s="42"/>
      <c r="I3993" s="42"/>
      <c r="J3993" s="42"/>
    </row>
    <row r="3994" spans="5:10">
      <c r="E3994" s="43">
        <v>45339.555555542</v>
      </c>
      <c r="F3994" s="41">
        <v>5.909919945273872</v>
      </c>
      <c r="G3994" s="41">
        <v>0</v>
      </c>
      <c r="H3994" s="42"/>
      <c r="I3994" s="42"/>
      <c r="J3994" s="42"/>
    </row>
    <row r="3995" spans="5:10">
      <c r="E3995" s="43">
        <v>45339.559027764219</v>
      </c>
      <c r="F3995" s="41">
        <v>5.909919945273872</v>
      </c>
      <c r="G3995" s="41">
        <v>0</v>
      </c>
      <c r="H3995" s="42"/>
      <c r="I3995" s="42"/>
      <c r="J3995" s="42"/>
    </row>
    <row r="3996" spans="5:10">
      <c r="E3996" s="43">
        <v>45339.562499986438</v>
      </c>
      <c r="F3996" s="41">
        <v>5.909919945273872</v>
      </c>
      <c r="G3996" s="41">
        <v>0</v>
      </c>
      <c r="H3996" s="42"/>
      <c r="I3996" s="42"/>
      <c r="J3996" s="42"/>
    </row>
    <row r="3997" spans="5:10">
      <c r="E3997" s="43">
        <v>45339.565972208657</v>
      </c>
      <c r="F3997" s="41">
        <v>5.909919945273872</v>
      </c>
      <c r="G3997" s="41">
        <v>0</v>
      </c>
      <c r="H3997" s="42"/>
      <c r="I3997" s="42"/>
      <c r="J3997" s="42"/>
    </row>
    <row r="3998" spans="5:10">
      <c r="E3998" s="43">
        <v>45339.569444430876</v>
      </c>
      <c r="F3998" s="41">
        <v>5.909919945273872</v>
      </c>
      <c r="G3998" s="41">
        <v>0</v>
      </c>
      <c r="H3998" s="42"/>
      <c r="I3998" s="42"/>
      <c r="J3998" s="42"/>
    </row>
    <row r="3999" spans="5:10">
      <c r="E3999" s="43">
        <v>45339.572916653095</v>
      </c>
      <c r="F3999" s="41">
        <v>5.909919945273872</v>
      </c>
      <c r="G3999" s="41">
        <v>0</v>
      </c>
      <c r="H3999" s="42"/>
      <c r="I3999" s="42"/>
      <c r="J3999" s="42"/>
    </row>
    <row r="4000" spans="5:10">
      <c r="E4000" s="43">
        <v>45339.576388875314</v>
      </c>
      <c r="F4000" s="41">
        <v>5.909919945273872</v>
      </c>
      <c r="G4000" s="41">
        <v>0</v>
      </c>
      <c r="H4000" s="42"/>
      <c r="I4000" s="42"/>
      <c r="J4000" s="42"/>
    </row>
    <row r="4001" spans="5:10">
      <c r="E4001" s="43">
        <v>45339.579861097533</v>
      </c>
      <c r="F4001" s="41">
        <v>5.909919945273872</v>
      </c>
      <c r="G4001" s="41">
        <v>0</v>
      </c>
      <c r="H4001" s="42"/>
      <c r="I4001" s="42"/>
      <c r="J4001" s="42"/>
    </row>
    <row r="4002" spans="5:10">
      <c r="E4002" s="43">
        <v>45339.583333319752</v>
      </c>
      <c r="F4002" s="41">
        <v>5.909919945273872</v>
      </c>
      <c r="G4002" s="41">
        <v>0</v>
      </c>
      <c r="H4002" s="42"/>
      <c r="I4002" s="42"/>
      <c r="J4002" s="42"/>
    </row>
    <row r="4003" spans="5:10">
      <c r="E4003" s="43">
        <v>45339.586805541971</v>
      </c>
      <c r="F4003" s="41">
        <v>5.909919945273872</v>
      </c>
      <c r="G4003" s="41">
        <v>0</v>
      </c>
      <c r="H4003" s="42"/>
      <c r="I4003" s="42"/>
      <c r="J4003" s="42"/>
    </row>
    <row r="4004" spans="5:10">
      <c r="E4004" s="43">
        <v>45339.59027776419</v>
      </c>
      <c r="F4004" s="41">
        <v>5.909919945273872</v>
      </c>
      <c r="G4004" s="41">
        <v>0</v>
      </c>
      <c r="H4004" s="42"/>
      <c r="I4004" s="42"/>
      <c r="J4004" s="42"/>
    </row>
    <row r="4005" spans="5:10">
      <c r="E4005" s="43">
        <v>45339.593749986409</v>
      </c>
      <c r="F4005" s="41">
        <v>5.909919945273872</v>
      </c>
      <c r="G4005" s="41">
        <v>0</v>
      </c>
      <c r="H4005" s="42"/>
      <c r="I4005" s="42"/>
      <c r="J4005" s="42"/>
    </row>
    <row r="4006" spans="5:10">
      <c r="E4006" s="43">
        <v>45339.597222208627</v>
      </c>
      <c r="F4006" s="41">
        <v>5.909919945273872</v>
      </c>
      <c r="G4006" s="41">
        <v>0</v>
      </c>
      <c r="H4006" s="42"/>
      <c r="I4006" s="42"/>
      <c r="J4006" s="42"/>
    </row>
    <row r="4007" spans="5:10">
      <c r="E4007" s="43">
        <v>45339.600694430846</v>
      </c>
      <c r="F4007" s="41">
        <v>5.909919945273872</v>
      </c>
      <c r="G4007" s="41">
        <v>0</v>
      </c>
      <c r="H4007" s="42"/>
      <c r="I4007" s="42"/>
      <c r="J4007" s="42"/>
    </row>
    <row r="4008" spans="5:10">
      <c r="E4008" s="43">
        <v>45339.604166653065</v>
      </c>
      <c r="F4008" s="41">
        <v>5.909919945273872</v>
      </c>
      <c r="G4008" s="41">
        <v>0</v>
      </c>
      <c r="H4008" s="42"/>
      <c r="I4008" s="42"/>
      <c r="J4008" s="42"/>
    </row>
    <row r="4009" spans="5:10">
      <c r="E4009" s="43">
        <v>45339.607638875284</v>
      </c>
      <c r="F4009" s="41">
        <v>2.7914623277053541</v>
      </c>
      <c r="G4009" s="41">
        <v>0</v>
      </c>
      <c r="H4009" s="42"/>
      <c r="I4009" s="42"/>
      <c r="J4009" s="42"/>
    </row>
    <row r="4010" spans="5:10">
      <c r="E4010" s="43">
        <v>45339.611111097503</v>
      </c>
      <c r="F4010" s="41">
        <v>2.7914623277053541</v>
      </c>
      <c r="G4010" s="41">
        <v>0</v>
      </c>
      <c r="H4010" s="42"/>
      <c r="I4010" s="42"/>
      <c r="J4010" s="42"/>
    </row>
    <row r="4011" spans="5:10">
      <c r="E4011" s="43">
        <v>45339.614583319722</v>
      </c>
      <c r="F4011" s="41">
        <v>2.7914623277053541</v>
      </c>
      <c r="G4011" s="41">
        <v>0</v>
      </c>
      <c r="H4011" s="42"/>
      <c r="I4011" s="42"/>
      <c r="J4011" s="42"/>
    </row>
    <row r="4012" spans="5:10">
      <c r="E4012" s="43">
        <v>45339.618055541941</v>
      </c>
      <c r="F4012" s="41">
        <v>2.7914623277053541</v>
      </c>
      <c r="G4012" s="41">
        <v>0</v>
      </c>
      <c r="H4012" s="42"/>
      <c r="I4012" s="42"/>
      <c r="J4012" s="42"/>
    </row>
    <row r="4013" spans="5:10">
      <c r="E4013" s="43">
        <v>45339.62152776416</v>
      </c>
      <c r="F4013" s="41">
        <v>2.7914623277053541</v>
      </c>
      <c r="G4013" s="41">
        <v>0</v>
      </c>
      <c r="H4013" s="42"/>
      <c r="I4013" s="42"/>
      <c r="J4013" s="42"/>
    </row>
    <row r="4014" spans="5:10">
      <c r="E4014" s="43">
        <v>45339.624999986379</v>
      </c>
      <c r="F4014" s="41">
        <v>7.0528443508713909</v>
      </c>
      <c r="G4014" s="41">
        <v>0</v>
      </c>
      <c r="H4014" s="42"/>
      <c r="I4014" s="42"/>
      <c r="J4014" s="42"/>
    </row>
    <row r="4015" spans="5:10">
      <c r="E4015" s="43">
        <v>45339.628472208598</v>
      </c>
      <c r="F4015" s="41">
        <v>7.0528443508713909</v>
      </c>
      <c r="G4015" s="41">
        <v>0</v>
      </c>
      <c r="H4015" s="42"/>
      <c r="I4015" s="42"/>
      <c r="J4015" s="42"/>
    </row>
    <row r="4016" spans="5:10">
      <c r="E4016" s="43">
        <v>45339.631944430817</v>
      </c>
      <c r="F4016" s="41">
        <v>7.0528443508713909</v>
      </c>
      <c r="G4016" s="41">
        <v>0</v>
      </c>
      <c r="H4016" s="42"/>
      <c r="I4016" s="42"/>
      <c r="J4016" s="42"/>
    </row>
    <row r="4017" spans="5:10">
      <c r="E4017" s="43">
        <v>45339.635416653036</v>
      </c>
      <c r="F4017" s="41">
        <v>7.0528443508713909</v>
      </c>
      <c r="G4017" s="41">
        <v>0</v>
      </c>
      <c r="H4017" s="42"/>
      <c r="I4017" s="42"/>
      <c r="J4017" s="42"/>
    </row>
    <row r="4018" spans="5:10">
      <c r="E4018" s="43">
        <v>45339.638888875255</v>
      </c>
      <c r="F4018" s="41">
        <v>7.0528443508713909</v>
      </c>
      <c r="G4018" s="41">
        <v>0</v>
      </c>
      <c r="H4018" s="42"/>
      <c r="I4018" s="42"/>
      <c r="J4018" s="42"/>
    </row>
    <row r="4019" spans="5:10">
      <c r="E4019" s="43">
        <v>45339.642361097474</v>
      </c>
      <c r="F4019" s="41">
        <v>7.0528443508713909</v>
      </c>
      <c r="G4019" s="41">
        <v>0</v>
      </c>
      <c r="H4019" s="42"/>
      <c r="I4019" s="42"/>
      <c r="J4019" s="42"/>
    </row>
    <row r="4020" spans="5:10">
      <c r="E4020" s="43">
        <v>45339.645833319693</v>
      </c>
      <c r="F4020" s="41">
        <v>7.0528443508713909</v>
      </c>
      <c r="G4020" s="41">
        <v>0</v>
      </c>
      <c r="H4020" s="42"/>
      <c r="I4020" s="42"/>
      <c r="J4020" s="42"/>
    </row>
    <row r="4021" spans="5:10">
      <c r="E4021" s="43">
        <v>45339.649305541912</v>
      </c>
      <c r="F4021" s="41">
        <v>7.0528443508713909</v>
      </c>
      <c r="G4021" s="41">
        <v>0</v>
      </c>
      <c r="H4021" s="42"/>
      <c r="I4021" s="42"/>
      <c r="J4021" s="42"/>
    </row>
    <row r="4022" spans="5:10">
      <c r="E4022" s="43">
        <v>45339.652777764131</v>
      </c>
      <c r="F4022" s="41">
        <v>7.0528443508713909</v>
      </c>
      <c r="G4022" s="41">
        <v>0</v>
      </c>
      <c r="H4022" s="42"/>
      <c r="I4022" s="42"/>
      <c r="J4022" s="42"/>
    </row>
    <row r="4023" spans="5:10">
      <c r="E4023" s="43">
        <v>45339.65624998635</v>
      </c>
      <c r="F4023" s="41">
        <v>7.0528443508713909</v>
      </c>
      <c r="G4023" s="41">
        <v>0</v>
      </c>
      <c r="H4023" s="42"/>
      <c r="I4023" s="42"/>
      <c r="J4023" s="42"/>
    </row>
    <row r="4024" spans="5:10">
      <c r="E4024" s="43">
        <v>45339.659722208569</v>
      </c>
      <c r="F4024" s="41">
        <v>7.0528443508713909</v>
      </c>
      <c r="G4024" s="41">
        <v>0</v>
      </c>
      <c r="H4024" s="42"/>
      <c r="I4024" s="42"/>
      <c r="J4024" s="42"/>
    </row>
    <row r="4025" spans="5:10">
      <c r="E4025" s="43">
        <v>45339.663194430788</v>
      </c>
      <c r="F4025" s="41">
        <v>7.0528443508713909</v>
      </c>
      <c r="G4025" s="41">
        <v>0</v>
      </c>
      <c r="H4025" s="42"/>
      <c r="I4025" s="42"/>
      <c r="J4025" s="42"/>
    </row>
    <row r="4026" spans="5:10">
      <c r="E4026" s="43">
        <v>45339.666666653007</v>
      </c>
      <c r="F4026" s="41">
        <v>7.0528443508713909</v>
      </c>
      <c r="G4026" s="41">
        <v>0</v>
      </c>
      <c r="H4026" s="42"/>
      <c r="I4026" s="42"/>
      <c r="J4026" s="42"/>
    </row>
    <row r="4027" spans="5:10">
      <c r="E4027" s="43">
        <v>45339.670138875226</v>
      </c>
      <c r="F4027" s="41">
        <v>4.2613820231660364</v>
      </c>
      <c r="G4027" s="41">
        <v>0</v>
      </c>
      <c r="H4027" s="42"/>
      <c r="I4027" s="42"/>
      <c r="J4027" s="42"/>
    </row>
    <row r="4028" spans="5:10">
      <c r="E4028" s="43">
        <v>45339.673611097445</v>
      </c>
      <c r="F4028" s="41">
        <v>4.2613820231660364</v>
      </c>
      <c r="G4028" s="41">
        <v>0</v>
      </c>
      <c r="H4028" s="42"/>
      <c r="I4028" s="42"/>
      <c r="J4028" s="42"/>
    </row>
    <row r="4029" spans="5:10">
      <c r="E4029" s="43">
        <v>45339.677083319664</v>
      </c>
      <c r="F4029" s="41">
        <v>4.2613820231660364</v>
      </c>
      <c r="G4029" s="41">
        <v>0</v>
      </c>
      <c r="H4029" s="42"/>
      <c r="I4029" s="42"/>
      <c r="J4029" s="42"/>
    </row>
    <row r="4030" spans="5:10">
      <c r="E4030" s="43">
        <v>45339.680555541883</v>
      </c>
      <c r="F4030" s="41">
        <v>4.2613820231660364</v>
      </c>
      <c r="G4030" s="41">
        <v>0</v>
      </c>
      <c r="H4030" s="42"/>
      <c r="I4030" s="42"/>
      <c r="J4030" s="42"/>
    </row>
    <row r="4031" spans="5:10">
      <c r="E4031" s="43">
        <v>45339.684027764102</v>
      </c>
      <c r="F4031" s="41">
        <v>4.2613820231660364</v>
      </c>
      <c r="G4031" s="41">
        <v>0</v>
      </c>
      <c r="H4031" s="42"/>
      <c r="I4031" s="42"/>
      <c r="J4031" s="42"/>
    </row>
    <row r="4032" spans="5:10">
      <c r="E4032" s="43">
        <v>45339.687499986321</v>
      </c>
      <c r="F4032" s="41">
        <v>4.2613820231660364</v>
      </c>
      <c r="G4032" s="41">
        <v>0</v>
      </c>
      <c r="H4032" s="42"/>
      <c r="I4032" s="42"/>
      <c r="J4032" s="42"/>
    </row>
    <row r="4033" spans="5:10">
      <c r="E4033" s="43">
        <v>45339.69097220854</v>
      </c>
      <c r="F4033" s="41">
        <v>4.2613820231660364</v>
      </c>
      <c r="G4033" s="41">
        <v>0</v>
      </c>
      <c r="H4033" s="42"/>
      <c r="I4033" s="42"/>
      <c r="J4033" s="42"/>
    </row>
    <row r="4034" spans="5:10">
      <c r="E4034" s="43">
        <v>45339.694444430759</v>
      </c>
      <c r="F4034" s="41">
        <v>4.2613820231660364</v>
      </c>
      <c r="G4034" s="41">
        <v>0</v>
      </c>
      <c r="H4034" s="42"/>
      <c r="I4034" s="42"/>
      <c r="J4034" s="42"/>
    </row>
    <row r="4035" spans="5:10">
      <c r="E4035" s="43">
        <v>45339.697916652978</v>
      </c>
      <c r="F4035" s="41">
        <v>4.2613820231660364</v>
      </c>
      <c r="G4035" s="41">
        <v>0</v>
      </c>
      <c r="H4035" s="42"/>
      <c r="I4035" s="42"/>
      <c r="J4035" s="42"/>
    </row>
    <row r="4036" spans="5:10">
      <c r="E4036" s="43">
        <v>45339.701388875197</v>
      </c>
      <c r="F4036" s="41">
        <v>4.2613820231660364</v>
      </c>
      <c r="G4036" s="41">
        <v>0</v>
      </c>
      <c r="H4036" s="42"/>
      <c r="I4036" s="42"/>
      <c r="J4036" s="42"/>
    </row>
    <row r="4037" spans="5:10">
      <c r="E4037" s="43">
        <v>45339.704861097416</v>
      </c>
      <c r="F4037" s="41">
        <v>4.2613820231660364</v>
      </c>
      <c r="G4037" s="41">
        <v>0</v>
      </c>
      <c r="H4037" s="42"/>
      <c r="I4037" s="42"/>
      <c r="J4037" s="42"/>
    </row>
    <row r="4038" spans="5:10">
      <c r="E4038" s="43">
        <v>45339.708333319635</v>
      </c>
      <c r="F4038" s="41">
        <v>4.2613820231660364</v>
      </c>
      <c r="G4038" s="41">
        <v>0</v>
      </c>
      <c r="H4038" s="42"/>
      <c r="I4038" s="42"/>
      <c r="J4038" s="42"/>
    </row>
    <row r="4039" spans="5:10">
      <c r="E4039" s="43">
        <v>45339.711805541854</v>
      </c>
      <c r="F4039" s="41">
        <v>4.2613820231660364</v>
      </c>
      <c r="G4039" s="41">
        <v>0</v>
      </c>
      <c r="H4039" s="42"/>
      <c r="I4039" s="42"/>
      <c r="J4039" s="42"/>
    </row>
    <row r="4040" spans="5:10">
      <c r="E4040" s="43">
        <v>45339.715277764073</v>
      </c>
      <c r="F4040" s="41">
        <v>4.2613820231660364</v>
      </c>
      <c r="G4040" s="41">
        <v>0</v>
      </c>
      <c r="H4040" s="42"/>
      <c r="I4040" s="42"/>
      <c r="J4040" s="42"/>
    </row>
    <row r="4041" spans="5:10">
      <c r="E4041" s="43">
        <v>45339.718749986292</v>
      </c>
      <c r="F4041" s="41">
        <v>4.2613820231660364</v>
      </c>
      <c r="G4041" s="41">
        <v>0</v>
      </c>
      <c r="H4041" s="42"/>
      <c r="I4041" s="42"/>
      <c r="J4041" s="42"/>
    </row>
    <row r="4042" spans="5:10">
      <c r="E4042" s="43">
        <v>45339.722222208511</v>
      </c>
      <c r="F4042" s="41">
        <v>4.2613820231660364</v>
      </c>
      <c r="G4042" s="41">
        <v>0</v>
      </c>
      <c r="H4042" s="42"/>
      <c r="I4042" s="42"/>
      <c r="J4042" s="42"/>
    </row>
    <row r="4043" spans="5:10">
      <c r="E4043" s="43">
        <v>45339.72569443073</v>
      </c>
      <c r="F4043" s="41">
        <v>4.2613820231660364</v>
      </c>
      <c r="G4043" s="41">
        <v>0</v>
      </c>
      <c r="H4043" s="42"/>
      <c r="I4043" s="42"/>
      <c r="J4043" s="42"/>
    </row>
    <row r="4044" spans="5:10">
      <c r="E4044" s="43">
        <v>45339.729166652949</v>
      </c>
      <c r="F4044" s="41">
        <v>4.2613820231660364</v>
      </c>
      <c r="G4044" s="41">
        <v>0</v>
      </c>
      <c r="H4044" s="42"/>
      <c r="I4044" s="42"/>
      <c r="J4044" s="42"/>
    </row>
    <row r="4045" spans="5:10">
      <c r="E4045" s="43">
        <v>45339.732638875168</v>
      </c>
      <c r="F4045" s="41">
        <v>4.2613820231660364</v>
      </c>
      <c r="G4045" s="41">
        <v>0</v>
      </c>
      <c r="H4045" s="42"/>
      <c r="I4045" s="42"/>
      <c r="J4045" s="42"/>
    </row>
    <row r="4046" spans="5:10">
      <c r="E4046" s="43">
        <v>45339.736111097387</v>
      </c>
      <c r="F4046" s="41">
        <v>4.2613820231660364</v>
      </c>
      <c r="G4046" s="41">
        <v>0</v>
      </c>
      <c r="H4046" s="42"/>
      <c r="I4046" s="42"/>
      <c r="J4046" s="42"/>
    </row>
    <row r="4047" spans="5:10">
      <c r="E4047" s="43">
        <v>45339.739583319606</v>
      </c>
      <c r="F4047" s="41">
        <v>4.2613820231660364</v>
      </c>
      <c r="G4047" s="41">
        <v>0</v>
      </c>
      <c r="H4047" s="42"/>
      <c r="I4047" s="42"/>
      <c r="J4047" s="42"/>
    </row>
    <row r="4048" spans="5:10">
      <c r="E4048" s="43">
        <v>45339.743055541825</v>
      </c>
      <c r="F4048" s="41">
        <v>4.2613820231660364</v>
      </c>
      <c r="G4048" s="41">
        <v>0</v>
      </c>
      <c r="H4048" s="42"/>
      <c r="I4048" s="42"/>
      <c r="J4048" s="42"/>
    </row>
    <row r="4049" spans="5:10">
      <c r="E4049" s="43">
        <v>45339.746527764044</v>
      </c>
      <c r="F4049" s="41">
        <v>4.2613820231660364</v>
      </c>
      <c r="G4049" s="41">
        <v>0</v>
      </c>
      <c r="H4049" s="42"/>
      <c r="I4049" s="42"/>
      <c r="J4049" s="42"/>
    </row>
    <row r="4050" spans="5:10">
      <c r="E4050" s="43">
        <v>45339.749999986263</v>
      </c>
      <c r="F4050" s="41">
        <v>4.2613820231660364</v>
      </c>
      <c r="G4050" s="41">
        <v>0</v>
      </c>
      <c r="H4050" s="42"/>
      <c r="I4050" s="42"/>
      <c r="J4050" s="42"/>
    </row>
    <row r="4051" spans="5:10">
      <c r="E4051" s="43">
        <v>45339.753472208482</v>
      </c>
      <c r="F4051" s="41">
        <v>4.2613820231660364</v>
      </c>
      <c r="G4051" s="41">
        <v>0</v>
      </c>
      <c r="H4051" s="42"/>
      <c r="I4051" s="42"/>
      <c r="J4051" s="42"/>
    </row>
    <row r="4052" spans="5:10">
      <c r="E4052" s="43">
        <v>45339.756944430701</v>
      </c>
      <c r="F4052" s="41">
        <v>4.2613820231660364</v>
      </c>
      <c r="G4052" s="41">
        <v>0</v>
      </c>
      <c r="H4052" s="42"/>
      <c r="I4052" s="42"/>
      <c r="J4052" s="42"/>
    </row>
    <row r="4053" spans="5:10">
      <c r="E4053" s="43">
        <v>45339.76041665292</v>
      </c>
      <c r="F4053" s="41">
        <v>4.2613820231660364</v>
      </c>
      <c r="G4053" s="41">
        <v>0</v>
      </c>
      <c r="H4053" s="42"/>
      <c r="I4053" s="42"/>
      <c r="J4053" s="42"/>
    </row>
    <row r="4054" spans="5:10">
      <c r="E4054" s="43">
        <v>45339.763888875139</v>
      </c>
      <c r="F4054" s="41">
        <v>4.2613820231660364</v>
      </c>
      <c r="G4054" s="41">
        <v>0</v>
      </c>
      <c r="H4054" s="42"/>
      <c r="I4054" s="42"/>
      <c r="J4054" s="42"/>
    </row>
    <row r="4055" spans="5:10">
      <c r="E4055" s="43">
        <v>45339.767361097358</v>
      </c>
      <c r="F4055" s="41">
        <v>4.2613820231660364</v>
      </c>
      <c r="G4055" s="41">
        <v>0</v>
      </c>
      <c r="H4055" s="42"/>
      <c r="I4055" s="42"/>
      <c r="J4055" s="42"/>
    </row>
    <row r="4056" spans="5:10">
      <c r="E4056" s="43">
        <v>45339.770833319577</v>
      </c>
      <c r="F4056" s="41">
        <v>4.2613820231660364</v>
      </c>
      <c r="G4056" s="41">
        <v>0</v>
      </c>
      <c r="H4056" s="42"/>
      <c r="I4056" s="42"/>
      <c r="J4056" s="42"/>
    </row>
    <row r="4057" spans="5:10">
      <c r="E4057" s="43">
        <v>45339.774305541796</v>
      </c>
      <c r="F4057" s="41">
        <v>4.2613820231660364</v>
      </c>
      <c r="G4057" s="41">
        <v>0</v>
      </c>
      <c r="H4057" s="42"/>
      <c r="I4057" s="42"/>
      <c r="J4057" s="42"/>
    </row>
    <row r="4058" spans="5:10">
      <c r="E4058" s="43">
        <v>45339.777777764015</v>
      </c>
      <c r="F4058" s="41">
        <v>4.2613820231660364</v>
      </c>
      <c r="G4058" s="41">
        <v>0</v>
      </c>
      <c r="H4058" s="42"/>
      <c r="I4058" s="42"/>
      <c r="J4058" s="42"/>
    </row>
    <row r="4059" spans="5:10">
      <c r="E4059" s="43">
        <v>45339.781249986234</v>
      </c>
      <c r="F4059" s="41">
        <v>4.2613820231660364</v>
      </c>
      <c r="G4059" s="41">
        <v>0</v>
      </c>
      <c r="H4059" s="42"/>
      <c r="I4059" s="42"/>
      <c r="J4059" s="42"/>
    </row>
    <row r="4060" spans="5:10">
      <c r="E4060" s="43">
        <v>45339.784722208453</v>
      </c>
      <c r="F4060" s="41">
        <v>4.2613820231660364</v>
      </c>
      <c r="G4060" s="41">
        <v>0</v>
      </c>
      <c r="H4060" s="42"/>
      <c r="I4060" s="42"/>
      <c r="J4060" s="42"/>
    </row>
    <row r="4061" spans="5:10">
      <c r="E4061" s="43">
        <v>45339.788194430672</v>
      </c>
      <c r="F4061" s="41">
        <v>4.2613820231660364</v>
      </c>
      <c r="G4061" s="41">
        <v>0</v>
      </c>
      <c r="H4061" s="42"/>
      <c r="I4061" s="42"/>
      <c r="J4061" s="42"/>
    </row>
    <row r="4062" spans="5:10">
      <c r="E4062" s="43">
        <v>45339.791666652891</v>
      </c>
      <c r="F4062" s="41">
        <v>4.2613820231660364</v>
      </c>
      <c r="G4062" s="41">
        <v>0</v>
      </c>
      <c r="H4062" s="42"/>
      <c r="I4062" s="42"/>
      <c r="J4062" s="42"/>
    </row>
    <row r="4063" spans="5:10">
      <c r="E4063" s="43">
        <v>45339.79513887511</v>
      </c>
      <c r="F4063" s="41">
        <v>4.2613820231660364</v>
      </c>
      <c r="G4063" s="41">
        <v>0</v>
      </c>
      <c r="H4063" s="42"/>
      <c r="I4063" s="42"/>
      <c r="J4063" s="42"/>
    </row>
    <row r="4064" spans="5:10">
      <c r="E4064" s="43">
        <v>45339.798611097329</v>
      </c>
      <c r="F4064" s="41">
        <v>4.2613820231660364</v>
      </c>
      <c r="G4064" s="41">
        <v>0</v>
      </c>
      <c r="H4064" s="42"/>
      <c r="I4064" s="42"/>
      <c r="J4064" s="42"/>
    </row>
    <row r="4065" spans="5:10">
      <c r="E4065" s="43">
        <v>45339.802083319548</v>
      </c>
      <c r="F4065" s="41">
        <v>4.2613820231660364</v>
      </c>
      <c r="G4065" s="41">
        <v>0</v>
      </c>
      <c r="H4065" s="42"/>
      <c r="I4065" s="42"/>
      <c r="J4065" s="42"/>
    </row>
    <row r="4066" spans="5:10">
      <c r="E4066" s="43">
        <v>45339.805555541767</v>
      </c>
      <c r="F4066" s="41">
        <v>4.2613820231660364</v>
      </c>
      <c r="G4066" s="41">
        <v>0</v>
      </c>
      <c r="H4066" s="42"/>
      <c r="I4066" s="42"/>
      <c r="J4066" s="42"/>
    </row>
    <row r="4067" spans="5:10">
      <c r="E4067" s="43">
        <v>45339.809027763986</v>
      </c>
      <c r="F4067" s="41">
        <v>4.2613820231660364</v>
      </c>
      <c r="G4067" s="41">
        <v>0</v>
      </c>
      <c r="H4067" s="42"/>
      <c r="I4067" s="42"/>
      <c r="J4067" s="42"/>
    </row>
    <row r="4068" spans="5:10">
      <c r="E4068" s="43">
        <v>45339.812499986205</v>
      </c>
      <c r="F4068" s="41">
        <v>4.2613820231660364</v>
      </c>
      <c r="G4068" s="41">
        <v>0</v>
      </c>
      <c r="H4068" s="42"/>
      <c r="I4068" s="42"/>
      <c r="J4068" s="42"/>
    </row>
    <row r="4069" spans="5:10">
      <c r="E4069" s="43">
        <v>45339.815972208424</v>
      </c>
      <c r="F4069" s="41">
        <v>4.2613820231660364</v>
      </c>
      <c r="G4069" s="41">
        <v>0</v>
      </c>
      <c r="H4069" s="42"/>
      <c r="I4069" s="42"/>
      <c r="J4069" s="42"/>
    </row>
    <row r="4070" spans="5:10">
      <c r="E4070" s="43">
        <v>45339.819444430643</v>
      </c>
      <c r="F4070" s="41">
        <v>4.2613820231660364</v>
      </c>
      <c r="G4070" s="41">
        <v>0</v>
      </c>
      <c r="H4070" s="42"/>
      <c r="I4070" s="42"/>
      <c r="J4070" s="42"/>
    </row>
    <row r="4071" spans="5:10">
      <c r="E4071" s="43">
        <v>45339.822916652862</v>
      </c>
      <c r="F4071" s="41">
        <v>4.2613820231660364</v>
      </c>
      <c r="G4071" s="41">
        <v>0</v>
      </c>
      <c r="H4071" s="42"/>
      <c r="I4071" s="42"/>
      <c r="J4071" s="42"/>
    </row>
    <row r="4072" spans="5:10">
      <c r="E4072" s="43">
        <v>45339.826388875081</v>
      </c>
      <c r="F4072" s="41">
        <v>4.2613820231660364</v>
      </c>
      <c r="G4072" s="41">
        <v>0</v>
      </c>
      <c r="H4072" s="42"/>
      <c r="I4072" s="42"/>
      <c r="J4072" s="42"/>
    </row>
    <row r="4073" spans="5:10">
      <c r="E4073" s="43">
        <v>45339.8298610973</v>
      </c>
      <c r="F4073" s="41">
        <v>4.2613820231660364</v>
      </c>
      <c r="G4073" s="41">
        <v>0</v>
      </c>
      <c r="H4073" s="42"/>
      <c r="I4073" s="42"/>
      <c r="J4073" s="42"/>
    </row>
    <row r="4074" spans="5:10">
      <c r="E4074" s="43">
        <v>45339.833333319519</v>
      </c>
      <c r="F4074" s="41">
        <v>4.2613820231660364</v>
      </c>
      <c r="G4074" s="41">
        <v>0</v>
      </c>
      <c r="H4074" s="42"/>
      <c r="I4074" s="42"/>
      <c r="J4074" s="42"/>
    </row>
    <row r="4075" spans="5:10">
      <c r="E4075" s="43">
        <v>45339.836805541738</v>
      </c>
      <c r="F4075" s="41">
        <v>4.2613820231660364</v>
      </c>
      <c r="G4075" s="41">
        <v>0</v>
      </c>
      <c r="H4075" s="42"/>
      <c r="I4075" s="42"/>
      <c r="J4075" s="42"/>
    </row>
    <row r="4076" spans="5:10">
      <c r="E4076" s="43">
        <v>45339.840277763957</v>
      </c>
      <c r="F4076" s="41">
        <v>4.2613820231660364</v>
      </c>
      <c r="G4076" s="41">
        <v>0</v>
      </c>
      <c r="H4076" s="42"/>
      <c r="I4076" s="42"/>
      <c r="J4076" s="42"/>
    </row>
    <row r="4077" spans="5:10">
      <c r="E4077" s="43">
        <v>45339.843749986176</v>
      </c>
      <c r="F4077" s="41">
        <v>4.2613820231660364</v>
      </c>
      <c r="G4077" s="41">
        <v>0</v>
      </c>
      <c r="H4077" s="42"/>
      <c r="I4077" s="42"/>
      <c r="J4077" s="42"/>
    </row>
    <row r="4078" spans="5:10">
      <c r="E4078" s="43">
        <v>45339.847222208395</v>
      </c>
      <c r="F4078" s="41">
        <v>4.2613820231660364</v>
      </c>
      <c r="G4078" s="41">
        <v>0</v>
      </c>
      <c r="H4078" s="42"/>
      <c r="I4078" s="42"/>
      <c r="J4078" s="42"/>
    </row>
    <row r="4079" spans="5:10">
      <c r="E4079" s="43">
        <v>45339.850694430614</v>
      </c>
      <c r="F4079" s="41">
        <v>4.2613820231660364</v>
      </c>
      <c r="G4079" s="41">
        <v>0</v>
      </c>
      <c r="H4079" s="42"/>
      <c r="I4079" s="42"/>
      <c r="J4079" s="42"/>
    </row>
    <row r="4080" spans="5:10">
      <c r="E4080" s="43">
        <v>45339.854166652833</v>
      </c>
      <c r="F4080" s="41">
        <v>4.2613820231660364</v>
      </c>
      <c r="G4080" s="41">
        <v>0</v>
      </c>
      <c r="H4080" s="42"/>
      <c r="I4080" s="42"/>
      <c r="J4080" s="42"/>
    </row>
    <row r="4081" spans="5:10">
      <c r="E4081" s="43">
        <v>45339.857638875052</v>
      </c>
      <c r="F4081" s="41">
        <v>4.2613820231660364</v>
      </c>
      <c r="G4081" s="41">
        <v>0</v>
      </c>
      <c r="H4081" s="42"/>
      <c r="I4081" s="42"/>
      <c r="J4081" s="42"/>
    </row>
    <row r="4082" spans="5:10">
      <c r="E4082" s="43">
        <v>45339.861111097271</v>
      </c>
      <c r="F4082" s="41">
        <v>4.2613820231660364</v>
      </c>
      <c r="G4082" s="41">
        <v>0</v>
      </c>
      <c r="H4082" s="42"/>
      <c r="I4082" s="42"/>
      <c r="J4082" s="42"/>
    </row>
    <row r="4083" spans="5:10">
      <c r="E4083" s="43">
        <v>45339.86458331949</v>
      </c>
      <c r="F4083" s="41">
        <v>4.2613820231660364</v>
      </c>
      <c r="G4083" s="41">
        <v>0</v>
      </c>
      <c r="H4083" s="42"/>
      <c r="I4083" s="42"/>
      <c r="J4083" s="42"/>
    </row>
    <row r="4084" spans="5:10">
      <c r="E4084" s="43">
        <v>45339.868055541709</v>
      </c>
      <c r="F4084" s="41">
        <v>4.2613820231660364</v>
      </c>
      <c r="G4084" s="41">
        <v>0</v>
      </c>
      <c r="H4084" s="42"/>
      <c r="I4084" s="42"/>
      <c r="J4084" s="42"/>
    </row>
    <row r="4085" spans="5:10">
      <c r="E4085" s="43">
        <v>45339.871527763928</v>
      </c>
      <c r="F4085" s="41">
        <v>4.2613820231660364</v>
      </c>
      <c r="G4085" s="41">
        <v>0</v>
      </c>
      <c r="H4085" s="42"/>
      <c r="I4085" s="42"/>
      <c r="J4085" s="42"/>
    </row>
    <row r="4086" spans="5:10">
      <c r="E4086" s="43">
        <v>45339.874999986147</v>
      </c>
      <c r="F4086" s="41">
        <v>4.2613820231660364</v>
      </c>
      <c r="G4086" s="41">
        <v>0</v>
      </c>
      <c r="H4086" s="42"/>
      <c r="I4086" s="42"/>
      <c r="J4086" s="42"/>
    </row>
    <row r="4087" spans="5:10">
      <c r="E4087" s="43">
        <v>45339.878472208366</v>
      </c>
      <c r="F4087" s="41">
        <v>4.2613820231660364</v>
      </c>
      <c r="G4087" s="41">
        <v>0</v>
      </c>
      <c r="H4087" s="42"/>
      <c r="I4087" s="42"/>
      <c r="J4087" s="42"/>
    </row>
    <row r="4088" spans="5:10">
      <c r="E4088" s="43">
        <v>45339.881944430585</v>
      </c>
      <c r="F4088" s="41">
        <v>4.2613820231660364</v>
      </c>
      <c r="G4088" s="41">
        <v>0</v>
      </c>
      <c r="H4088" s="42"/>
      <c r="I4088" s="42"/>
      <c r="J4088" s="42"/>
    </row>
    <row r="4089" spans="5:10">
      <c r="E4089" s="43">
        <v>45339.885416652804</v>
      </c>
      <c r="F4089" s="41">
        <v>4.2613820231660364</v>
      </c>
      <c r="G4089" s="41">
        <v>0</v>
      </c>
      <c r="H4089" s="42"/>
      <c r="I4089" s="42"/>
      <c r="J4089" s="42"/>
    </row>
    <row r="4090" spans="5:10">
      <c r="E4090" s="43">
        <v>45339.888888875023</v>
      </c>
      <c r="F4090" s="41">
        <v>4.2613820231660364</v>
      </c>
      <c r="G4090" s="41">
        <v>0</v>
      </c>
      <c r="H4090" s="42"/>
      <c r="I4090" s="42"/>
      <c r="J4090" s="42"/>
    </row>
    <row r="4091" spans="5:10">
      <c r="E4091" s="43">
        <v>45339.892361097242</v>
      </c>
      <c r="F4091" s="41">
        <v>4.2613820231660364</v>
      </c>
      <c r="G4091" s="41">
        <v>0</v>
      </c>
      <c r="H4091" s="42"/>
      <c r="I4091" s="42"/>
      <c r="J4091" s="42"/>
    </row>
    <row r="4092" spans="5:10">
      <c r="E4092" s="43">
        <v>45339.895833319461</v>
      </c>
      <c r="F4092" s="41">
        <v>4.2613820231660364</v>
      </c>
      <c r="G4092" s="41">
        <v>0</v>
      </c>
      <c r="H4092" s="42"/>
      <c r="I4092" s="42"/>
      <c r="J4092" s="42"/>
    </row>
    <row r="4093" spans="5:10">
      <c r="E4093" s="43">
        <v>45339.899305541679</v>
      </c>
      <c r="F4093" s="41">
        <v>4.2613820231660364</v>
      </c>
      <c r="G4093" s="41">
        <v>0</v>
      </c>
      <c r="H4093" s="42"/>
      <c r="I4093" s="42"/>
      <c r="J4093" s="42"/>
    </row>
    <row r="4094" spans="5:10">
      <c r="E4094" s="43">
        <v>45339.902777763898</v>
      </c>
      <c r="F4094" s="41">
        <v>4.2613820231660364</v>
      </c>
      <c r="G4094" s="41">
        <v>0</v>
      </c>
      <c r="H4094" s="42"/>
      <c r="I4094" s="42"/>
      <c r="J4094" s="42"/>
    </row>
    <row r="4095" spans="5:10">
      <c r="E4095" s="43">
        <v>45339.906249986117</v>
      </c>
      <c r="F4095" s="41">
        <v>4.2613820231660364</v>
      </c>
      <c r="G4095" s="41">
        <v>0</v>
      </c>
      <c r="H4095" s="42"/>
      <c r="I4095" s="42"/>
      <c r="J4095" s="42"/>
    </row>
    <row r="4096" spans="5:10">
      <c r="E4096" s="43">
        <v>45339.909722208336</v>
      </c>
      <c r="F4096" s="41">
        <v>4.2613820231660364</v>
      </c>
      <c r="G4096" s="41">
        <v>0</v>
      </c>
      <c r="H4096" s="42"/>
      <c r="I4096" s="42"/>
      <c r="J4096" s="42"/>
    </row>
    <row r="4097" spans="5:10">
      <c r="E4097" s="43">
        <v>45339.913194430555</v>
      </c>
      <c r="F4097" s="41">
        <v>4.2613820231660364</v>
      </c>
      <c r="G4097" s="41">
        <v>0</v>
      </c>
      <c r="H4097" s="42"/>
      <c r="I4097" s="42"/>
      <c r="J4097" s="42"/>
    </row>
    <row r="4098" spans="5:10">
      <c r="E4098" s="43">
        <v>45339.916666652774</v>
      </c>
      <c r="F4098" s="41">
        <v>4.2613820231660364</v>
      </c>
      <c r="G4098" s="41">
        <v>0</v>
      </c>
      <c r="H4098" s="42"/>
      <c r="I4098" s="42"/>
      <c r="J4098" s="42"/>
    </row>
    <row r="4099" spans="5:10">
      <c r="E4099" s="43">
        <v>45339.920138874993</v>
      </c>
      <c r="F4099" s="41">
        <v>4.2613820231660364</v>
      </c>
      <c r="G4099" s="41">
        <v>0</v>
      </c>
      <c r="H4099" s="42"/>
      <c r="I4099" s="42"/>
      <c r="J4099" s="42"/>
    </row>
    <row r="4100" spans="5:10">
      <c r="E4100" s="43">
        <v>45339.923611097212</v>
      </c>
      <c r="F4100" s="41">
        <v>4.2613820231660364</v>
      </c>
      <c r="G4100" s="41">
        <v>0</v>
      </c>
      <c r="H4100" s="42"/>
      <c r="I4100" s="42"/>
      <c r="J4100" s="42"/>
    </row>
    <row r="4101" spans="5:10">
      <c r="E4101" s="43">
        <v>45339.927083319431</v>
      </c>
      <c r="F4101" s="41">
        <v>4.2613820231660364</v>
      </c>
      <c r="G4101" s="41">
        <v>0</v>
      </c>
      <c r="H4101" s="42"/>
      <c r="I4101" s="42"/>
      <c r="J4101" s="42"/>
    </row>
    <row r="4102" spans="5:10">
      <c r="E4102" s="43">
        <v>45339.93055554165</v>
      </c>
      <c r="F4102" s="41">
        <v>4.2613820231660364</v>
      </c>
      <c r="G4102" s="41">
        <v>0</v>
      </c>
      <c r="H4102" s="42"/>
      <c r="I4102" s="42"/>
      <c r="J4102" s="42"/>
    </row>
    <row r="4103" spans="5:10">
      <c r="E4103" s="43">
        <v>45339.934027763869</v>
      </c>
      <c r="F4103" s="41">
        <v>4.2613820231660364</v>
      </c>
      <c r="G4103" s="41">
        <v>0</v>
      </c>
      <c r="H4103" s="42"/>
      <c r="I4103" s="42"/>
      <c r="J4103" s="42"/>
    </row>
    <row r="4104" spans="5:10">
      <c r="E4104" s="43">
        <v>45339.937499986088</v>
      </c>
      <c r="F4104" s="41">
        <v>4.2613820231660364</v>
      </c>
      <c r="G4104" s="41">
        <v>0</v>
      </c>
      <c r="H4104" s="42"/>
      <c r="I4104" s="42"/>
      <c r="J4104" s="42"/>
    </row>
    <row r="4105" spans="5:10">
      <c r="E4105" s="43">
        <v>45339.940972208307</v>
      </c>
      <c r="F4105" s="41">
        <v>4.2613820231660364</v>
      </c>
      <c r="G4105" s="41">
        <v>0</v>
      </c>
      <c r="H4105" s="42"/>
      <c r="I4105" s="42"/>
      <c r="J4105" s="42"/>
    </row>
    <row r="4106" spans="5:10">
      <c r="E4106" s="43">
        <v>45339.944444430526</v>
      </c>
      <c r="F4106" s="41">
        <v>4.2613820231660364</v>
      </c>
      <c r="G4106" s="41">
        <v>0</v>
      </c>
      <c r="H4106" s="42"/>
      <c r="I4106" s="42"/>
      <c r="J4106" s="42"/>
    </row>
    <row r="4107" spans="5:10">
      <c r="E4107" s="43">
        <v>45339.947916652745</v>
      </c>
      <c r="F4107" s="41">
        <v>4.2613820231660364</v>
      </c>
      <c r="G4107" s="41">
        <v>0</v>
      </c>
      <c r="H4107" s="42"/>
      <c r="I4107" s="42"/>
      <c r="J4107" s="42"/>
    </row>
    <row r="4108" spans="5:10">
      <c r="E4108" s="43">
        <v>45339.951388874964</v>
      </c>
      <c r="F4108" s="41">
        <v>4.2613820231660364</v>
      </c>
      <c r="G4108" s="41">
        <v>0</v>
      </c>
      <c r="H4108" s="42"/>
      <c r="I4108" s="42"/>
      <c r="J4108" s="42"/>
    </row>
    <row r="4109" spans="5:10">
      <c r="E4109" s="43">
        <v>45339.954861097183</v>
      </c>
      <c r="F4109" s="41">
        <v>4.2613820231660364</v>
      </c>
      <c r="G4109" s="41">
        <v>0</v>
      </c>
      <c r="H4109" s="42"/>
      <c r="I4109" s="42"/>
      <c r="J4109" s="42"/>
    </row>
    <row r="4110" spans="5:10">
      <c r="E4110" s="43">
        <v>45339.958333319402</v>
      </c>
      <c r="F4110" s="41">
        <v>4.2613820231660364</v>
      </c>
      <c r="G4110" s="41">
        <v>0</v>
      </c>
      <c r="H4110" s="42"/>
      <c r="I4110" s="42"/>
      <c r="J4110" s="42"/>
    </row>
    <row r="4111" spans="5:10">
      <c r="E4111" s="43">
        <v>45339.961805541621</v>
      </c>
      <c r="F4111" s="41">
        <v>4.2613820231660364</v>
      </c>
      <c r="G4111" s="41">
        <v>0</v>
      </c>
      <c r="H4111" s="42"/>
      <c r="I4111" s="42"/>
      <c r="J4111" s="42"/>
    </row>
    <row r="4112" spans="5:10">
      <c r="E4112" s="43">
        <v>45339.96527776384</v>
      </c>
      <c r="F4112" s="41">
        <v>4.2613820231660364</v>
      </c>
      <c r="G4112" s="41">
        <v>0</v>
      </c>
      <c r="H4112" s="42"/>
      <c r="I4112" s="42"/>
      <c r="J4112" s="42"/>
    </row>
    <row r="4113" spans="5:10">
      <c r="E4113" s="43">
        <v>45339.968749986059</v>
      </c>
      <c r="F4113" s="41">
        <v>4.2613820231660364</v>
      </c>
      <c r="G4113" s="41">
        <v>0</v>
      </c>
      <c r="H4113" s="42"/>
      <c r="I4113" s="42"/>
      <c r="J4113" s="42"/>
    </row>
    <row r="4114" spans="5:10">
      <c r="E4114" s="43">
        <v>45339.972222208278</v>
      </c>
      <c r="F4114" s="41">
        <v>4.2613820231660364</v>
      </c>
      <c r="G4114" s="41">
        <v>0</v>
      </c>
      <c r="H4114" s="42"/>
      <c r="I4114" s="42"/>
      <c r="J4114" s="42"/>
    </row>
    <row r="4115" spans="5:10">
      <c r="E4115" s="43">
        <v>45339.975694430497</v>
      </c>
      <c r="F4115" s="41">
        <v>4.2613820231660364</v>
      </c>
      <c r="G4115" s="41">
        <v>0</v>
      </c>
      <c r="H4115" s="42"/>
      <c r="I4115" s="42"/>
      <c r="J4115" s="42"/>
    </row>
    <row r="4116" spans="5:10">
      <c r="E4116" s="43">
        <v>45339.979166652716</v>
      </c>
      <c r="F4116" s="41">
        <v>4.2613820231660364</v>
      </c>
      <c r="G4116" s="41">
        <v>0</v>
      </c>
      <c r="H4116" s="42"/>
      <c r="I4116" s="42"/>
      <c r="J4116" s="42"/>
    </row>
    <row r="4117" spans="5:10">
      <c r="E4117" s="43">
        <v>45339.982638874935</v>
      </c>
      <c r="F4117" s="41">
        <v>4.2613820231660364</v>
      </c>
      <c r="G4117" s="41">
        <v>0</v>
      </c>
      <c r="H4117" s="42"/>
      <c r="I4117" s="42"/>
      <c r="J4117" s="42"/>
    </row>
    <row r="4118" spans="5:10">
      <c r="E4118" s="43">
        <v>45339.986111097154</v>
      </c>
      <c r="F4118" s="41">
        <v>4.2613820231660364</v>
      </c>
      <c r="G4118" s="41">
        <v>0</v>
      </c>
      <c r="H4118" s="42"/>
      <c r="I4118" s="42"/>
      <c r="J4118" s="42"/>
    </row>
    <row r="4119" spans="5:10">
      <c r="E4119" s="43">
        <v>45339.989583319373</v>
      </c>
      <c r="F4119" s="41">
        <v>4.2613820231660364</v>
      </c>
      <c r="G4119" s="41">
        <v>0</v>
      </c>
      <c r="H4119" s="42"/>
      <c r="I4119" s="42"/>
      <c r="J4119" s="42"/>
    </row>
    <row r="4120" spans="5:10">
      <c r="E4120" s="43">
        <v>45339.993055541592</v>
      </c>
      <c r="F4120" s="41">
        <v>4.2613820231660364</v>
      </c>
      <c r="G4120" s="41">
        <v>0</v>
      </c>
      <c r="H4120" s="42"/>
      <c r="I4120" s="42"/>
      <c r="J4120" s="42"/>
    </row>
    <row r="4121" spans="5:10">
      <c r="E4121" s="43">
        <v>45339.996527763811</v>
      </c>
      <c r="F4121" s="41">
        <v>4.2613820231660364</v>
      </c>
      <c r="G4121" s="41">
        <v>0</v>
      </c>
      <c r="H4121" s="42"/>
      <c r="I4121" s="42"/>
      <c r="J4121" s="42"/>
    </row>
    <row r="4122" spans="5:10">
      <c r="E4122" s="43">
        <v>45339.99999998603</v>
      </c>
      <c r="F4122" s="41">
        <v>4.2613820231660364</v>
      </c>
      <c r="G4122" s="41">
        <v>0</v>
      </c>
      <c r="H4122" s="42"/>
      <c r="I4122" s="42"/>
      <c r="J4122" s="42"/>
    </row>
    <row r="4123" spans="5:10">
      <c r="E4123" s="43">
        <v>45340.003472208249</v>
      </c>
      <c r="F4123" s="41">
        <v>4.2613820231660364</v>
      </c>
      <c r="G4123" s="41">
        <v>0</v>
      </c>
      <c r="H4123" s="42"/>
      <c r="I4123" s="42"/>
      <c r="J4123" s="42"/>
    </row>
    <row r="4124" spans="5:10">
      <c r="E4124" s="43">
        <v>45340.006944430468</v>
      </c>
      <c r="F4124" s="41">
        <v>4.2613820231660364</v>
      </c>
      <c r="G4124" s="41">
        <v>0</v>
      </c>
      <c r="H4124" s="42"/>
      <c r="I4124" s="42"/>
      <c r="J4124" s="42"/>
    </row>
    <row r="4125" spans="5:10">
      <c r="E4125" s="43">
        <v>45340.010416652687</v>
      </c>
      <c r="F4125" s="41">
        <v>4.2613820231660364</v>
      </c>
      <c r="G4125" s="41">
        <v>0</v>
      </c>
      <c r="H4125" s="42"/>
      <c r="I4125" s="42"/>
      <c r="J4125" s="42"/>
    </row>
    <row r="4126" spans="5:10">
      <c r="E4126" s="43">
        <v>45340.013888874906</v>
      </c>
      <c r="F4126" s="41">
        <v>4.2613820231660364</v>
      </c>
      <c r="G4126" s="41">
        <v>0</v>
      </c>
      <c r="H4126" s="42"/>
      <c r="I4126" s="42"/>
      <c r="J4126" s="42"/>
    </row>
    <row r="4127" spans="5:10">
      <c r="E4127" s="43">
        <v>45340.017361097125</v>
      </c>
      <c r="F4127" s="41">
        <v>4.2613820231660364</v>
      </c>
      <c r="G4127" s="41">
        <v>0</v>
      </c>
      <c r="H4127" s="42"/>
      <c r="I4127" s="42"/>
      <c r="J4127" s="42"/>
    </row>
    <row r="4128" spans="5:10">
      <c r="E4128" s="43">
        <v>45340.020833319344</v>
      </c>
      <c r="F4128" s="41">
        <v>4.2613820231660364</v>
      </c>
      <c r="G4128" s="41">
        <v>0</v>
      </c>
      <c r="H4128" s="42"/>
      <c r="I4128" s="42"/>
      <c r="J4128" s="42"/>
    </row>
    <row r="4129" spans="5:10">
      <c r="E4129" s="43">
        <v>45340.024305541563</v>
      </c>
      <c r="F4129" s="41">
        <v>4.2613820231660364</v>
      </c>
      <c r="G4129" s="41">
        <v>0</v>
      </c>
      <c r="H4129" s="42"/>
      <c r="I4129" s="42"/>
      <c r="J4129" s="42"/>
    </row>
    <row r="4130" spans="5:10">
      <c r="E4130" s="43">
        <v>45340.027777763782</v>
      </c>
      <c r="F4130" s="41">
        <v>4.2613820231660364</v>
      </c>
      <c r="G4130" s="41">
        <v>0</v>
      </c>
      <c r="H4130" s="42"/>
      <c r="I4130" s="42"/>
      <c r="J4130" s="42"/>
    </row>
    <row r="4131" spans="5:10">
      <c r="E4131" s="43">
        <v>45340.031249986001</v>
      </c>
      <c r="F4131" s="41">
        <v>4.2613820231660364</v>
      </c>
      <c r="G4131" s="41">
        <v>0</v>
      </c>
      <c r="H4131" s="42"/>
      <c r="I4131" s="42"/>
      <c r="J4131" s="42"/>
    </row>
    <row r="4132" spans="5:10">
      <c r="E4132" s="43">
        <v>45340.03472220822</v>
      </c>
      <c r="F4132" s="41">
        <v>4.2613820231660364</v>
      </c>
      <c r="G4132" s="41">
        <v>0</v>
      </c>
      <c r="H4132" s="42"/>
      <c r="I4132" s="42"/>
      <c r="J4132" s="42"/>
    </row>
    <row r="4133" spans="5:10">
      <c r="E4133" s="43">
        <v>45340.038194430439</v>
      </c>
      <c r="F4133" s="41">
        <v>4.2613820231660364</v>
      </c>
      <c r="G4133" s="41">
        <v>0</v>
      </c>
      <c r="H4133" s="42"/>
      <c r="I4133" s="42"/>
      <c r="J4133" s="42"/>
    </row>
    <row r="4134" spans="5:10">
      <c r="E4134" s="43">
        <v>45340.041666652658</v>
      </c>
      <c r="F4134" s="41">
        <v>4.2613820231660364</v>
      </c>
      <c r="G4134" s="41">
        <v>0</v>
      </c>
      <c r="H4134" s="42"/>
      <c r="I4134" s="42"/>
      <c r="J4134" s="42"/>
    </row>
    <row r="4135" spans="5:10">
      <c r="E4135" s="43">
        <v>45340.045138874877</v>
      </c>
      <c r="F4135" s="41">
        <v>4.2613820231660364</v>
      </c>
      <c r="G4135" s="41">
        <v>0</v>
      </c>
      <c r="H4135" s="42"/>
      <c r="I4135" s="42"/>
      <c r="J4135" s="42"/>
    </row>
    <row r="4136" spans="5:10">
      <c r="E4136" s="43">
        <v>45340.048611097096</v>
      </c>
      <c r="F4136" s="41">
        <v>4.2613820231660364</v>
      </c>
      <c r="G4136" s="41">
        <v>0</v>
      </c>
      <c r="H4136" s="42"/>
      <c r="I4136" s="42"/>
      <c r="J4136" s="42"/>
    </row>
    <row r="4137" spans="5:10">
      <c r="E4137" s="43">
        <v>45340.052083319315</v>
      </c>
      <c r="F4137" s="41">
        <v>4.2613820231660364</v>
      </c>
      <c r="G4137" s="41">
        <v>0</v>
      </c>
      <c r="H4137" s="42"/>
      <c r="I4137" s="42"/>
      <c r="J4137" s="42"/>
    </row>
    <row r="4138" spans="5:10">
      <c r="E4138" s="43">
        <v>45340.055555541534</v>
      </c>
      <c r="F4138" s="41">
        <v>4.2613820231660364</v>
      </c>
      <c r="G4138" s="41">
        <v>0</v>
      </c>
      <c r="H4138" s="42"/>
      <c r="I4138" s="42"/>
      <c r="J4138" s="42"/>
    </row>
    <row r="4139" spans="5:10">
      <c r="E4139" s="43">
        <v>45340.059027763753</v>
      </c>
      <c r="F4139" s="41">
        <v>4.2613820231660364</v>
      </c>
      <c r="G4139" s="41">
        <v>0</v>
      </c>
      <c r="H4139" s="42"/>
      <c r="I4139" s="42"/>
      <c r="J4139" s="42"/>
    </row>
    <row r="4140" spans="5:10">
      <c r="E4140" s="43">
        <v>45340.062499985972</v>
      </c>
      <c r="F4140" s="41">
        <v>4.2613820231660364</v>
      </c>
      <c r="G4140" s="41">
        <v>0</v>
      </c>
      <c r="H4140" s="42"/>
      <c r="I4140" s="42"/>
      <c r="J4140" s="42"/>
    </row>
    <row r="4141" spans="5:10">
      <c r="E4141" s="43">
        <v>45340.065972208191</v>
      </c>
      <c r="F4141" s="41">
        <v>4.2613820231660364</v>
      </c>
      <c r="G4141" s="41">
        <v>0</v>
      </c>
      <c r="H4141" s="42"/>
      <c r="I4141" s="42"/>
      <c r="J4141" s="42"/>
    </row>
    <row r="4142" spans="5:10">
      <c r="E4142" s="43">
        <v>45340.06944443041</v>
      </c>
      <c r="F4142" s="41">
        <v>4.2613820231660364</v>
      </c>
      <c r="G4142" s="41">
        <v>0</v>
      </c>
      <c r="H4142" s="42"/>
      <c r="I4142" s="42"/>
      <c r="J4142" s="42"/>
    </row>
    <row r="4143" spans="5:10">
      <c r="E4143" s="43">
        <v>45340.072916652629</v>
      </c>
      <c r="F4143" s="41">
        <v>4.2613820231660364</v>
      </c>
      <c r="G4143" s="41">
        <v>0</v>
      </c>
      <c r="H4143" s="42"/>
      <c r="I4143" s="42"/>
      <c r="J4143" s="42"/>
    </row>
    <row r="4144" spans="5:10">
      <c r="E4144" s="43">
        <v>45340.076388874848</v>
      </c>
      <c r="F4144" s="41">
        <v>4.2613820231660364</v>
      </c>
      <c r="G4144" s="41">
        <v>0</v>
      </c>
      <c r="H4144" s="42"/>
      <c r="I4144" s="42"/>
      <c r="J4144" s="42"/>
    </row>
    <row r="4145" spans="5:10">
      <c r="E4145" s="43">
        <v>45340.079861097067</v>
      </c>
      <c r="F4145" s="41">
        <v>4.2613820231660364</v>
      </c>
      <c r="G4145" s="41">
        <v>0</v>
      </c>
      <c r="H4145" s="42"/>
      <c r="I4145" s="42"/>
      <c r="J4145" s="42"/>
    </row>
    <row r="4146" spans="5:10">
      <c r="E4146" s="43">
        <v>45340.083333319286</v>
      </c>
      <c r="F4146" s="41">
        <v>4.2613820231660364</v>
      </c>
      <c r="G4146" s="41">
        <v>0</v>
      </c>
      <c r="H4146" s="42"/>
      <c r="I4146" s="42"/>
      <c r="J4146" s="42"/>
    </row>
    <row r="4147" spans="5:10">
      <c r="E4147" s="43">
        <v>45340.086805541505</v>
      </c>
      <c r="F4147" s="41">
        <v>4.2613820231660364</v>
      </c>
      <c r="G4147" s="41">
        <v>0</v>
      </c>
      <c r="H4147" s="42"/>
      <c r="I4147" s="42"/>
      <c r="J4147" s="42"/>
    </row>
    <row r="4148" spans="5:10">
      <c r="E4148" s="43">
        <v>45340.090277763724</v>
      </c>
      <c r="F4148" s="41">
        <v>4.2613820231660364</v>
      </c>
      <c r="G4148" s="41">
        <v>0</v>
      </c>
      <c r="H4148" s="42"/>
      <c r="I4148" s="42"/>
      <c r="J4148" s="42"/>
    </row>
    <row r="4149" spans="5:10">
      <c r="E4149" s="43">
        <v>45340.093749985943</v>
      </c>
      <c r="F4149" s="41">
        <v>4.2613820231660364</v>
      </c>
      <c r="G4149" s="41">
        <v>0</v>
      </c>
      <c r="H4149" s="42"/>
      <c r="I4149" s="42"/>
      <c r="J4149" s="42"/>
    </row>
    <row r="4150" spans="5:10">
      <c r="E4150" s="43">
        <v>45340.097222208162</v>
      </c>
      <c r="F4150" s="41">
        <v>4.2613820231660364</v>
      </c>
      <c r="G4150" s="41">
        <v>0</v>
      </c>
      <c r="H4150" s="42"/>
      <c r="I4150" s="42"/>
      <c r="J4150" s="42"/>
    </row>
    <row r="4151" spans="5:10">
      <c r="E4151" s="43">
        <v>45340.100694430381</v>
      </c>
      <c r="F4151" s="41">
        <v>4.2613820231660364</v>
      </c>
      <c r="G4151" s="41">
        <v>0</v>
      </c>
      <c r="H4151" s="42"/>
      <c r="I4151" s="42"/>
      <c r="J4151" s="42"/>
    </row>
    <row r="4152" spans="5:10">
      <c r="E4152" s="43">
        <v>45340.1041666526</v>
      </c>
      <c r="F4152" s="41">
        <v>4.2613820231660364</v>
      </c>
      <c r="G4152" s="41">
        <v>0</v>
      </c>
      <c r="H4152" s="42"/>
      <c r="I4152" s="42"/>
      <c r="J4152" s="42"/>
    </row>
    <row r="4153" spans="5:10">
      <c r="E4153" s="43">
        <v>45340.107638874819</v>
      </c>
      <c r="F4153" s="41">
        <v>4.2613820231660364</v>
      </c>
      <c r="G4153" s="41">
        <v>0</v>
      </c>
      <c r="H4153" s="42"/>
      <c r="I4153" s="42"/>
      <c r="J4153" s="42"/>
    </row>
    <row r="4154" spans="5:10">
      <c r="E4154" s="43">
        <v>45340.111111097038</v>
      </c>
      <c r="F4154" s="41">
        <v>4.2613820231660364</v>
      </c>
      <c r="G4154" s="41">
        <v>0</v>
      </c>
      <c r="H4154" s="42"/>
      <c r="I4154" s="42"/>
      <c r="J4154" s="42"/>
    </row>
    <row r="4155" spans="5:10">
      <c r="E4155" s="43">
        <v>45340.114583319257</v>
      </c>
      <c r="F4155" s="41">
        <v>4.2613820231660364</v>
      </c>
      <c r="G4155" s="41">
        <v>0</v>
      </c>
      <c r="H4155" s="42"/>
      <c r="I4155" s="42"/>
      <c r="J4155" s="42"/>
    </row>
    <row r="4156" spans="5:10">
      <c r="E4156" s="43">
        <v>45340.118055541476</v>
      </c>
      <c r="F4156" s="41">
        <v>4.2613820231660364</v>
      </c>
      <c r="G4156" s="41">
        <v>0</v>
      </c>
      <c r="H4156" s="42"/>
      <c r="I4156" s="42"/>
      <c r="J4156" s="42"/>
    </row>
    <row r="4157" spans="5:10">
      <c r="E4157" s="43">
        <v>45340.121527763695</v>
      </c>
      <c r="F4157" s="41">
        <v>4.2613820231660364</v>
      </c>
      <c r="G4157" s="41">
        <v>0</v>
      </c>
      <c r="H4157" s="42"/>
      <c r="I4157" s="42"/>
      <c r="J4157" s="42"/>
    </row>
    <row r="4158" spans="5:10">
      <c r="E4158" s="43">
        <v>45340.124999985914</v>
      </c>
      <c r="F4158" s="41">
        <v>4.2613820231660364</v>
      </c>
      <c r="G4158" s="41">
        <v>0</v>
      </c>
      <c r="H4158" s="42"/>
      <c r="I4158" s="42"/>
      <c r="J4158" s="42"/>
    </row>
    <row r="4159" spans="5:10">
      <c r="E4159" s="43">
        <v>45340.128472208133</v>
      </c>
      <c r="F4159" s="41">
        <v>4.2613820231660364</v>
      </c>
      <c r="G4159" s="41">
        <v>0</v>
      </c>
      <c r="H4159" s="42"/>
      <c r="I4159" s="42"/>
      <c r="J4159" s="42"/>
    </row>
    <row r="4160" spans="5:10">
      <c r="E4160" s="43">
        <v>45340.131944430352</v>
      </c>
      <c r="F4160" s="41">
        <v>4.2613820231660364</v>
      </c>
      <c r="G4160" s="41">
        <v>0</v>
      </c>
      <c r="H4160" s="42"/>
      <c r="I4160" s="42"/>
      <c r="J4160" s="42"/>
    </row>
    <row r="4161" spans="5:10">
      <c r="E4161" s="43">
        <v>45340.135416652571</v>
      </c>
      <c r="F4161" s="41">
        <v>4.2613820231660364</v>
      </c>
      <c r="G4161" s="41">
        <v>0</v>
      </c>
      <c r="H4161" s="42"/>
      <c r="I4161" s="42"/>
      <c r="J4161" s="42"/>
    </row>
    <row r="4162" spans="5:10">
      <c r="E4162" s="43">
        <v>45340.13888887479</v>
      </c>
      <c r="F4162" s="41">
        <v>4.2613820231660364</v>
      </c>
      <c r="G4162" s="41">
        <v>0</v>
      </c>
      <c r="H4162" s="42"/>
      <c r="I4162" s="42"/>
      <c r="J4162" s="42"/>
    </row>
    <row r="4163" spans="5:10">
      <c r="E4163" s="43">
        <v>45340.142361097009</v>
      </c>
      <c r="F4163" s="41">
        <v>4.2613820231660364</v>
      </c>
      <c r="G4163" s="41">
        <v>0</v>
      </c>
      <c r="H4163" s="42"/>
      <c r="I4163" s="42"/>
      <c r="J4163" s="42"/>
    </row>
    <row r="4164" spans="5:10">
      <c r="E4164" s="43">
        <v>45340.145833319228</v>
      </c>
      <c r="F4164" s="41">
        <v>4.2613820231660364</v>
      </c>
      <c r="G4164" s="41">
        <v>0</v>
      </c>
      <c r="H4164" s="42"/>
      <c r="I4164" s="42"/>
      <c r="J4164" s="42"/>
    </row>
    <row r="4165" spans="5:10">
      <c r="E4165" s="43">
        <v>45340.149305541447</v>
      </c>
      <c r="F4165" s="41">
        <v>4.2613820231660364</v>
      </c>
      <c r="G4165" s="41">
        <v>0</v>
      </c>
      <c r="H4165" s="42"/>
      <c r="I4165" s="42"/>
      <c r="J4165" s="42"/>
    </row>
    <row r="4166" spans="5:10">
      <c r="E4166" s="43">
        <v>45340.152777763666</v>
      </c>
      <c r="F4166" s="41">
        <v>4.2613820231660364</v>
      </c>
      <c r="G4166" s="41">
        <v>0</v>
      </c>
      <c r="H4166" s="42"/>
      <c r="I4166" s="42"/>
      <c r="J4166" s="42"/>
    </row>
    <row r="4167" spans="5:10">
      <c r="E4167" s="43">
        <v>45340.156249985885</v>
      </c>
      <c r="F4167" s="41">
        <v>4.2613820231660364</v>
      </c>
      <c r="G4167" s="41">
        <v>0</v>
      </c>
      <c r="H4167" s="42"/>
      <c r="I4167" s="42"/>
      <c r="J4167" s="42"/>
    </row>
    <row r="4168" spans="5:10">
      <c r="E4168" s="43">
        <v>45340.159722208104</v>
      </c>
      <c r="F4168" s="41">
        <v>4.2613820231660364</v>
      </c>
      <c r="G4168" s="41">
        <v>0</v>
      </c>
      <c r="H4168" s="42"/>
      <c r="I4168" s="42"/>
      <c r="J4168" s="42"/>
    </row>
    <row r="4169" spans="5:10">
      <c r="E4169" s="43">
        <v>45340.163194430323</v>
      </c>
      <c r="F4169" s="41">
        <v>4.2613820231660364</v>
      </c>
      <c r="G4169" s="41">
        <v>0</v>
      </c>
      <c r="H4169" s="42"/>
      <c r="I4169" s="42"/>
      <c r="J4169" s="42"/>
    </row>
    <row r="4170" spans="5:10">
      <c r="E4170" s="43">
        <v>45340.166666652542</v>
      </c>
      <c r="F4170" s="41">
        <v>4.2613820231660364</v>
      </c>
      <c r="G4170" s="41">
        <v>0</v>
      </c>
      <c r="H4170" s="42"/>
      <c r="I4170" s="42"/>
      <c r="J4170" s="42"/>
    </row>
    <row r="4171" spans="5:10">
      <c r="E4171" s="43">
        <v>45340.170138874761</v>
      </c>
      <c r="F4171" s="41">
        <v>4.2613820231660364</v>
      </c>
      <c r="G4171" s="41">
        <v>0</v>
      </c>
      <c r="H4171" s="42"/>
      <c r="I4171" s="42"/>
      <c r="J4171" s="42"/>
    </row>
    <row r="4172" spans="5:10">
      <c r="E4172" s="43">
        <v>45340.17361109698</v>
      </c>
      <c r="F4172" s="41">
        <v>4.2613820231660364</v>
      </c>
      <c r="G4172" s="41">
        <v>0</v>
      </c>
      <c r="H4172" s="42"/>
      <c r="I4172" s="42"/>
      <c r="J4172" s="42"/>
    </row>
    <row r="4173" spans="5:10">
      <c r="E4173" s="43">
        <v>45340.177083319199</v>
      </c>
      <c r="F4173" s="41">
        <v>4.2613820231660364</v>
      </c>
      <c r="G4173" s="41">
        <v>0</v>
      </c>
      <c r="H4173" s="42"/>
      <c r="I4173" s="42"/>
      <c r="J4173" s="42"/>
    </row>
    <row r="4174" spans="5:10">
      <c r="E4174" s="43">
        <v>45340.180555541418</v>
      </c>
      <c r="F4174" s="41">
        <v>4.2613820231660364</v>
      </c>
      <c r="G4174" s="41">
        <v>0</v>
      </c>
      <c r="H4174" s="42"/>
      <c r="I4174" s="42"/>
      <c r="J4174" s="42"/>
    </row>
    <row r="4175" spans="5:10">
      <c r="E4175" s="43">
        <v>45340.184027763637</v>
      </c>
      <c r="F4175" s="41">
        <v>4.2613820231660364</v>
      </c>
      <c r="G4175" s="41">
        <v>0</v>
      </c>
      <c r="H4175" s="42"/>
      <c r="I4175" s="42"/>
      <c r="J4175" s="42"/>
    </row>
    <row r="4176" spans="5:10">
      <c r="E4176" s="43">
        <v>45340.187499985856</v>
      </c>
      <c r="F4176" s="41">
        <v>4.2613820231660364</v>
      </c>
      <c r="G4176" s="41">
        <v>0</v>
      </c>
      <c r="H4176" s="42"/>
      <c r="I4176" s="42"/>
      <c r="J4176" s="42"/>
    </row>
    <row r="4177" spans="5:10">
      <c r="E4177" s="43">
        <v>45340.190972208075</v>
      </c>
      <c r="F4177" s="41">
        <v>4.2613820231660364</v>
      </c>
      <c r="G4177" s="41">
        <v>0</v>
      </c>
      <c r="H4177" s="42"/>
      <c r="I4177" s="42"/>
      <c r="J4177" s="42"/>
    </row>
    <row r="4178" spans="5:10">
      <c r="E4178" s="43">
        <v>45340.194444430294</v>
      </c>
      <c r="F4178" s="41">
        <v>4.2613820231660364</v>
      </c>
      <c r="G4178" s="41">
        <v>0</v>
      </c>
      <c r="H4178" s="42"/>
      <c r="I4178" s="42"/>
      <c r="J4178" s="42"/>
    </row>
    <row r="4179" spans="5:10">
      <c r="E4179" s="43">
        <v>45340.197916652513</v>
      </c>
      <c r="F4179" s="41">
        <v>4.2613820231660364</v>
      </c>
      <c r="G4179" s="41">
        <v>0</v>
      </c>
      <c r="H4179" s="42"/>
      <c r="I4179" s="42"/>
      <c r="J4179" s="42"/>
    </row>
    <row r="4180" spans="5:10">
      <c r="E4180" s="43">
        <v>45340.201388874731</v>
      </c>
      <c r="F4180" s="41">
        <v>4.2613820231660364</v>
      </c>
      <c r="G4180" s="41">
        <v>0</v>
      </c>
      <c r="H4180" s="42"/>
      <c r="I4180" s="42"/>
      <c r="J4180" s="42"/>
    </row>
    <row r="4181" spans="5:10">
      <c r="E4181" s="43">
        <v>45340.20486109695</v>
      </c>
      <c r="F4181" s="41">
        <v>4.2613820231660364</v>
      </c>
      <c r="G4181" s="41">
        <v>0</v>
      </c>
      <c r="H4181" s="42"/>
      <c r="I4181" s="42"/>
      <c r="J4181" s="42"/>
    </row>
    <row r="4182" spans="5:10">
      <c r="E4182" s="43">
        <v>45340.208333319169</v>
      </c>
      <c r="F4182" s="41">
        <v>4.2613820231660364</v>
      </c>
      <c r="G4182" s="41">
        <v>0</v>
      </c>
      <c r="H4182" s="42"/>
      <c r="I4182" s="42"/>
      <c r="J4182" s="42"/>
    </row>
    <row r="4183" spans="5:10">
      <c r="E4183" s="43">
        <v>45340.211805541388</v>
      </c>
      <c r="F4183" s="41">
        <v>4.2613820231660364</v>
      </c>
      <c r="G4183" s="41">
        <v>0</v>
      </c>
      <c r="H4183" s="42"/>
      <c r="I4183" s="42"/>
      <c r="J4183" s="42"/>
    </row>
    <row r="4184" spans="5:10">
      <c r="E4184" s="43">
        <v>45340.215277763607</v>
      </c>
      <c r="F4184" s="41">
        <v>4.2613820231660364</v>
      </c>
      <c r="G4184" s="41">
        <v>0</v>
      </c>
      <c r="H4184" s="42"/>
      <c r="I4184" s="42"/>
      <c r="J4184" s="42"/>
    </row>
    <row r="4185" spans="5:10">
      <c r="E4185" s="43">
        <v>45340.218749985826</v>
      </c>
      <c r="F4185" s="41">
        <v>4.2613820231660364</v>
      </c>
      <c r="G4185" s="41">
        <v>0</v>
      </c>
      <c r="H4185" s="42"/>
      <c r="I4185" s="42"/>
      <c r="J4185" s="42"/>
    </row>
    <row r="4186" spans="5:10">
      <c r="E4186" s="43">
        <v>45340.222222208045</v>
      </c>
      <c r="F4186" s="41">
        <v>4.2613820231660364</v>
      </c>
      <c r="G4186" s="41">
        <v>0</v>
      </c>
      <c r="H4186" s="42"/>
      <c r="I4186" s="42"/>
      <c r="J4186" s="42"/>
    </row>
    <row r="4187" spans="5:10">
      <c r="E4187" s="43">
        <v>45340.225694430264</v>
      </c>
      <c r="F4187" s="41">
        <v>4.2613820231660364</v>
      </c>
      <c r="G4187" s="41">
        <v>0</v>
      </c>
      <c r="H4187" s="42"/>
      <c r="I4187" s="42"/>
      <c r="J4187" s="42"/>
    </row>
    <row r="4188" spans="5:10">
      <c r="E4188" s="43">
        <v>45340.229166652483</v>
      </c>
      <c r="F4188" s="41">
        <v>4.2613820231660364</v>
      </c>
      <c r="G4188" s="41">
        <v>0</v>
      </c>
      <c r="H4188" s="42"/>
      <c r="I4188" s="42"/>
      <c r="J4188" s="42"/>
    </row>
    <row r="4189" spans="5:10">
      <c r="E4189" s="43">
        <v>45340.232638874702</v>
      </c>
      <c r="F4189" s="41">
        <v>4.2613820231660364</v>
      </c>
      <c r="G4189" s="41">
        <v>0</v>
      </c>
      <c r="H4189" s="42"/>
      <c r="I4189" s="42"/>
      <c r="J4189" s="42"/>
    </row>
    <row r="4190" spans="5:10">
      <c r="E4190" s="43">
        <v>45340.236111096921</v>
      </c>
      <c r="F4190" s="41">
        <v>4.2613820231660364</v>
      </c>
      <c r="G4190" s="41">
        <v>0</v>
      </c>
      <c r="H4190" s="42"/>
      <c r="I4190" s="42"/>
      <c r="J4190" s="42"/>
    </row>
    <row r="4191" spans="5:10">
      <c r="E4191" s="43">
        <v>45340.23958331914</v>
      </c>
      <c r="F4191" s="41">
        <v>4.2613820231660364</v>
      </c>
      <c r="G4191" s="41">
        <v>0</v>
      </c>
      <c r="H4191" s="42"/>
      <c r="I4191" s="42"/>
      <c r="J4191" s="42"/>
    </row>
    <row r="4192" spans="5:10">
      <c r="E4192" s="43">
        <v>45340.243055541359</v>
      </c>
      <c r="F4192" s="41">
        <v>4.2613820231660364</v>
      </c>
      <c r="G4192" s="41">
        <v>0</v>
      </c>
      <c r="H4192" s="42"/>
      <c r="I4192" s="42"/>
      <c r="J4192" s="42"/>
    </row>
    <row r="4193" spans="5:10">
      <c r="E4193" s="43">
        <v>45340.246527763578</v>
      </c>
      <c r="F4193" s="41">
        <v>4.2613820231660364</v>
      </c>
      <c r="G4193" s="41">
        <v>0</v>
      </c>
      <c r="H4193" s="42"/>
      <c r="I4193" s="42"/>
      <c r="J4193" s="42"/>
    </row>
    <row r="4194" spans="5:10">
      <c r="E4194" s="43">
        <v>45340.249999985797</v>
      </c>
      <c r="F4194" s="41">
        <v>4.2613820231660364</v>
      </c>
      <c r="G4194" s="41">
        <v>0</v>
      </c>
      <c r="H4194" s="42"/>
      <c r="I4194" s="42"/>
      <c r="J4194" s="42"/>
    </row>
    <row r="4195" spans="5:10">
      <c r="E4195" s="43">
        <v>45340.253472208016</v>
      </c>
      <c r="F4195" s="41">
        <v>4.2613820231660364</v>
      </c>
      <c r="G4195" s="41">
        <v>0</v>
      </c>
      <c r="H4195" s="42"/>
      <c r="I4195" s="42"/>
      <c r="J4195" s="42"/>
    </row>
    <row r="4196" spans="5:10">
      <c r="E4196" s="43">
        <v>45340.256944430235</v>
      </c>
      <c r="F4196" s="41">
        <v>4.2613820231660364</v>
      </c>
      <c r="G4196" s="41">
        <v>0</v>
      </c>
      <c r="H4196" s="42"/>
      <c r="I4196" s="42"/>
      <c r="J4196" s="42"/>
    </row>
    <row r="4197" spans="5:10">
      <c r="E4197" s="43">
        <v>45340.260416652454</v>
      </c>
      <c r="F4197" s="41">
        <v>4.2613820231660364</v>
      </c>
      <c r="G4197" s="41">
        <v>0</v>
      </c>
      <c r="H4197" s="42"/>
      <c r="I4197" s="42"/>
      <c r="J4197" s="42"/>
    </row>
    <row r="4198" spans="5:10">
      <c r="E4198" s="43">
        <v>45340.263888874673</v>
      </c>
      <c r="F4198" s="41">
        <v>4.2613820231660364</v>
      </c>
      <c r="G4198" s="41">
        <v>0</v>
      </c>
      <c r="H4198" s="42"/>
      <c r="I4198" s="42"/>
      <c r="J4198" s="42"/>
    </row>
    <row r="4199" spans="5:10">
      <c r="E4199" s="43">
        <v>45340.267361096892</v>
      </c>
      <c r="F4199" s="41">
        <v>4.2613820231660364</v>
      </c>
      <c r="G4199" s="41">
        <v>0</v>
      </c>
      <c r="H4199" s="42"/>
      <c r="I4199" s="42"/>
      <c r="J4199" s="42"/>
    </row>
    <row r="4200" spans="5:10">
      <c r="E4200" s="43">
        <v>45340.270833319111</v>
      </c>
      <c r="F4200" s="41">
        <v>4.2613820231660364</v>
      </c>
      <c r="G4200" s="41">
        <v>0</v>
      </c>
      <c r="H4200" s="42"/>
      <c r="I4200" s="42"/>
      <c r="J4200" s="42"/>
    </row>
    <row r="4201" spans="5:10">
      <c r="E4201" s="43">
        <v>45340.27430554133</v>
      </c>
      <c r="F4201" s="41">
        <v>4.2613820231660364</v>
      </c>
      <c r="G4201" s="41">
        <v>0</v>
      </c>
      <c r="H4201" s="42"/>
      <c r="I4201" s="42"/>
      <c r="J4201" s="42"/>
    </row>
    <row r="4202" spans="5:10">
      <c r="E4202" s="43">
        <v>45340.277777763549</v>
      </c>
      <c r="F4202" s="41">
        <v>4.2613820231660364</v>
      </c>
      <c r="G4202" s="41">
        <v>0</v>
      </c>
      <c r="H4202" s="42"/>
      <c r="I4202" s="42"/>
      <c r="J4202" s="42"/>
    </row>
    <row r="4203" spans="5:10">
      <c r="E4203" s="43">
        <v>45340.281249985768</v>
      </c>
      <c r="F4203" s="41">
        <v>4.2613820231660364</v>
      </c>
      <c r="G4203" s="41">
        <v>0</v>
      </c>
      <c r="H4203" s="42"/>
      <c r="I4203" s="42"/>
      <c r="J4203" s="42"/>
    </row>
    <row r="4204" spans="5:10">
      <c r="E4204" s="43">
        <v>45340.284722207987</v>
      </c>
      <c r="F4204" s="41">
        <v>4.2613820231660364</v>
      </c>
      <c r="G4204" s="41">
        <v>0</v>
      </c>
      <c r="H4204" s="42"/>
      <c r="I4204" s="42"/>
      <c r="J4204" s="42"/>
    </row>
    <row r="4205" spans="5:10">
      <c r="E4205" s="43">
        <v>45340.288194430206</v>
      </c>
      <c r="F4205" s="41">
        <v>4.2613820231660364</v>
      </c>
      <c r="G4205" s="41">
        <v>0</v>
      </c>
      <c r="H4205" s="42"/>
      <c r="I4205" s="42"/>
      <c r="J4205" s="42"/>
    </row>
    <row r="4206" spans="5:10">
      <c r="E4206" s="43">
        <v>45340.291666652425</v>
      </c>
      <c r="F4206" s="41">
        <v>4.2613820231660364</v>
      </c>
      <c r="G4206" s="41">
        <v>0</v>
      </c>
      <c r="H4206" s="42"/>
      <c r="I4206" s="42"/>
      <c r="J4206" s="42"/>
    </row>
    <row r="4207" spans="5:10">
      <c r="E4207" s="43">
        <v>45340.295138874644</v>
      </c>
      <c r="F4207" s="41">
        <v>4.2613820231660364</v>
      </c>
      <c r="G4207" s="41">
        <v>0</v>
      </c>
      <c r="H4207" s="42"/>
      <c r="I4207" s="42"/>
      <c r="J4207" s="42"/>
    </row>
    <row r="4208" spans="5:10">
      <c r="E4208" s="43">
        <v>45340.298611096863</v>
      </c>
      <c r="F4208" s="41">
        <v>4.2613820231660364</v>
      </c>
      <c r="G4208" s="41">
        <v>0</v>
      </c>
      <c r="H4208" s="42"/>
      <c r="I4208" s="42"/>
      <c r="J4208" s="42"/>
    </row>
    <row r="4209" spans="5:10">
      <c r="E4209" s="43">
        <v>45340.302083319082</v>
      </c>
      <c r="F4209" s="41">
        <v>4.2613820231660364</v>
      </c>
      <c r="G4209" s="41">
        <v>0</v>
      </c>
      <c r="H4209" s="42"/>
      <c r="I4209" s="42"/>
      <c r="J4209" s="42"/>
    </row>
    <row r="4210" spans="5:10">
      <c r="E4210" s="43">
        <v>45340.305555541301</v>
      </c>
      <c r="F4210" s="41">
        <v>4.2613820231660364</v>
      </c>
      <c r="G4210" s="41">
        <v>0</v>
      </c>
      <c r="H4210" s="42"/>
      <c r="I4210" s="42"/>
      <c r="J4210" s="42"/>
    </row>
    <row r="4211" spans="5:10">
      <c r="E4211" s="43">
        <v>45340.30902776352</v>
      </c>
      <c r="F4211" s="41">
        <v>4.2613820231660364</v>
      </c>
      <c r="G4211" s="41">
        <v>0</v>
      </c>
      <c r="H4211" s="42"/>
      <c r="I4211" s="42"/>
      <c r="J4211" s="42"/>
    </row>
    <row r="4212" spans="5:10">
      <c r="E4212" s="43">
        <v>45340.312499985739</v>
      </c>
      <c r="F4212" s="41">
        <v>4.2613820231660364</v>
      </c>
      <c r="G4212" s="41">
        <v>0</v>
      </c>
      <c r="H4212" s="42"/>
      <c r="I4212" s="42"/>
      <c r="J4212" s="42"/>
    </row>
    <row r="4213" spans="5:10">
      <c r="E4213" s="43">
        <v>45340.315972207958</v>
      </c>
      <c r="F4213" s="41">
        <v>4.2613820231660364</v>
      </c>
      <c r="G4213" s="41">
        <v>0</v>
      </c>
      <c r="H4213" s="42"/>
      <c r="I4213" s="42"/>
      <c r="J4213" s="42"/>
    </row>
    <row r="4214" spans="5:10">
      <c r="E4214" s="43">
        <v>45340.319444430177</v>
      </c>
      <c r="F4214" s="41">
        <v>4.2613820231660364</v>
      </c>
      <c r="G4214" s="41">
        <v>0</v>
      </c>
      <c r="H4214" s="42"/>
      <c r="I4214" s="42"/>
      <c r="J4214" s="42"/>
    </row>
    <row r="4215" spans="5:10">
      <c r="E4215" s="43">
        <v>45340.322916652396</v>
      </c>
      <c r="F4215" s="41">
        <v>4.2613820231660364</v>
      </c>
      <c r="G4215" s="41">
        <v>0</v>
      </c>
      <c r="H4215" s="42"/>
      <c r="I4215" s="42"/>
      <c r="J4215" s="42"/>
    </row>
    <row r="4216" spans="5:10">
      <c r="E4216" s="43">
        <v>45340.326388874615</v>
      </c>
      <c r="F4216" s="41">
        <v>4.2613820231660364</v>
      </c>
      <c r="G4216" s="41">
        <v>0</v>
      </c>
      <c r="H4216" s="42"/>
      <c r="I4216" s="42"/>
      <c r="J4216" s="42"/>
    </row>
    <row r="4217" spans="5:10">
      <c r="E4217" s="43">
        <v>45340.329861096834</v>
      </c>
      <c r="F4217" s="41">
        <v>4.2613820231660364</v>
      </c>
      <c r="G4217" s="41">
        <v>0</v>
      </c>
      <c r="H4217" s="42"/>
      <c r="I4217" s="42"/>
      <c r="J4217" s="42"/>
    </row>
    <row r="4218" spans="5:10">
      <c r="E4218" s="43">
        <v>45340.333333319053</v>
      </c>
      <c r="F4218" s="41">
        <v>4.2613820231660364</v>
      </c>
      <c r="G4218" s="41">
        <v>0</v>
      </c>
      <c r="H4218" s="42"/>
      <c r="I4218" s="42"/>
      <c r="J4218" s="42"/>
    </row>
    <row r="4219" spans="5:10">
      <c r="E4219" s="43">
        <v>45340.336805541272</v>
      </c>
      <c r="F4219" s="41">
        <v>4.2613820231660364</v>
      </c>
      <c r="G4219" s="41">
        <v>0</v>
      </c>
      <c r="H4219" s="42"/>
      <c r="I4219" s="42"/>
      <c r="J4219" s="42"/>
    </row>
    <row r="4220" spans="5:10">
      <c r="E4220" s="43">
        <v>45340.340277763491</v>
      </c>
      <c r="F4220" s="41">
        <v>4.2613820231660364</v>
      </c>
      <c r="G4220" s="41">
        <v>0</v>
      </c>
      <c r="H4220" s="42"/>
      <c r="I4220" s="42"/>
      <c r="J4220" s="42"/>
    </row>
    <row r="4221" spans="5:10">
      <c r="E4221" s="43">
        <v>45340.34374998571</v>
      </c>
      <c r="F4221" s="41">
        <v>4.2613820231660364</v>
      </c>
      <c r="G4221" s="41">
        <v>0</v>
      </c>
      <c r="H4221" s="42"/>
      <c r="I4221" s="42"/>
      <c r="J4221" s="42"/>
    </row>
    <row r="4222" spans="5:10">
      <c r="E4222" s="43">
        <v>45340.347222207929</v>
      </c>
      <c r="F4222" s="41">
        <v>4.2613820231660364</v>
      </c>
      <c r="G4222" s="41">
        <v>0</v>
      </c>
      <c r="H4222" s="42"/>
      <c r="I4222" s="42"/>
      <c r="J4222" s="42"/>
    </row>
    <row r="4223" spans="5:10">
      <c r="E4223" s="43">
        <v>45340.350694430148</v>
      </c>
      <c r="F4223" s="41">
        <v>4.2613820231660364</v>
      </c>
      <c r="G4223" s="41">
        <v>0</v>
      </c>
      <c r="H4223" s="42"/>
      <c r="I4223" s="42"/>
      <c r="J4223" s="42"/>
    </row>
    <row r="4224" spans="5:10">
      <c r="E4224" s="43">
        <v>45340.354166652367</v>
      </c>
      <c r="F4224" s="41">
        <v>4.2613820231660364</v>
      </c>
      <c r="G4224" s="41">
        <v>0</v>
      </c>
      <c r="H4224" s="42"/>
      <c r="I4224" s="42"/>
      <c r="J4224" s="42"/>
    </row>
    <row r="4225" spans="5:10">
      <c r="E4225" s="43">
        <v>45340.357638874586</v>
      </c>
      <c r="F4225" s="41">
        <v>4.2613820231660364</v>
      </c>
      <c r="G4225" s="41">
        <v>0</v>
      </c>
      <c r="H4225" s="42"/>
      <c r="I4225" s="42"/>
      <c r="J4225" s="42"/>
    </row>
    <row r="4226" spans="5:10">
      <c r="E4226" s="43">
        <v>45340.361111096805</v>
      </c>
      <c r="F4226" s="41">
        <v>4.2613820231660364</v>
      </c>
      <c r="G4226" s="41">
        <v>0</v>
      </c>
      <c r="H4226" s="42"/>
      <c r="I4226" s="42"/>
      <c r="J4226" s="42"/>
    </row>
    <row r="4227" spans="5:10">
      <c r="E4227" s="43">
        <v>45340.364583319024</v>
      </c>
      <c r="F4227" s="41">
        <v>4.2613820231660364</v>
      </c>
      <c r="G4227" s="41">
        <v>0</v>
      </c>
      <c r="H4227" s="42"/>
      <c r="I4227" s="42"/>
      <c r="J4227" s="42"/>
    </row>
    <row r="4228" spans="5:10">
      <c r="E4228" s="43">
        <v>45340.368055541243</v>
      </c>
      <c r="F4228" s="41">
        <v>4.2613820231660364</v>
      </c>
      <c r="G4228" s="41">
        <v>0</v>
      </c>
      <c r="H4228" s="42"/>
      <c r="I4228" s="42"/>
      <c r="J4228" s="42"/>
    </row>
    <row r="4229" spans="5:10">
      <c r="E4229" s="43">
        <v>45340.371527763462</v>
      </c>
      <c r="F4229" s="41">
        <v>4.2613820231660364</v>
      </c>
      <c r="G4229" s="41">
        <v>0</v>
      </c>
      <c r="H4229" s="42"/>
      <c r="I4229" s="42"/>
      <c r="J4229" s="42"/>
    </row>
    <row r="4230" spans="5:10">
      <c r="E4230" s="43">
        <v>45340.374999985681</v>
      </c>
      <c r="F4230" s="41">
        <v>4.2613820231660364</v>
      </c>
      <c r="G4230" s="41">
        <v>0</v>
      </c>
      <c r="H4230" s="42"/>
      <c r="I4230" s="42"/>
      <c r="J4230" s="42"/>
    </row>
    <row r="4231" spans="5:10">
      <c r="E4231" s="43">
        <v>45340.3784722079</v>
      </c>
      <c r="F4231" s="41">
        <v>4.2613820231660364</v>
      </c>
      <c r="G4231" s="41">
        <v>0</v>
      </c>
      <c r="H4231" s="42"/>
      <c r="I4231" s="42"/>
      <c r="J4231" s="42"/>
    </row>
    <row r="4232" spans="5:10">
      <c r="E4232" s="43">
        <v>45340.381944430119</v>
      </c>
      <c r="F4232" s="41">
        <v>4.2613820231660364</v>
      </c>
      <c r="G4232" s="41">
        <v>0</v>
      </c>
      <c r="H4232" s="42"/>
      <c r="I4232" s="42"/>
      <c r="J4232" s="42"/>
    </row>
    <row r="4233" spans="5:10">
      <c r="E4233" s="43">
        <v>45340.385416652338</v>
      </c>
      <c r="F4233" s="41">
        <v>4.2613820231660364</v>
      </c>
      <c r="G4233" s="41">
        <v>0</v>
      </c>
      <c r="H4233" s="42"/>
      <c r="I4233" s="42"/>
      <c r="J4233" s="42"/>
    </row>
    <row r="4234" spans="5:10">
      <c r="E4234" s="43">
        <v>45340.388888874557</v>
      </c>
      <c r="F4234" s="41">
        <v>4.2613820231660364</v>
      </c>
      <c r="G4234" s="41">
        <v>0</v>
      </c>
      <c r="H4234" s="42"/>
      <c r="I4234" s="42"/>
      <c r="J4234" s="42"/>
    </row>
    <row r="4235" spans="5:10">
      <c r="E4235" s="43">
        <v>45340.392361096776</v>
      </c>
      <c r="F4235" s="41">
        <v>4.2613820231660364</v>
      </c>
      <c r="G4235" s="41">
        <v>0</v>
      </c>
      <c r="H4235" s="42"/>
      <c r="I4235" s="42"/>
      <c r="J4235" s="42"/>
    </row>
    <row r="4236" spans="5:10">
      <c r="E4236" s="43">
        <v>45340.395833318995</v>
      </c>
      <c r="F4236" s="41">
        <v>4.2613820231660364</v>
      </c>
      <c r="G4236" s="41">
        <v>0</v>
      </c>
      <c r="H4236" s="42"/>
      <c r="I4236" s="42"/>
      <c r="J4236" s="42"/>
    </row>
    <row r="4237" spans="5:10">
      <c r="E4237" s="43">
        <v>45340.399305541214</v>
      </c>
      <c r="F4237" s="41">
        <v>4.2613820231660364</v>
      </c>
      <c r="G4237" s="41">
        <v>0</v>
      </c>
      <c r="H4237" s="42"/>
      <c r="I4237" s="42"/>
      <c r="J4237" s="42"/>
    </row>
    <row r="4238" spans="5:10">
      <c r="E4238" s="43">
        <v>45340.402777763433</v>
      </c>
      <c r="F4238" s="41">
        <v>4.2613820231660364</v>
      </c>
      <c r="G4238" s="41">
        <v>0</v>
      </c>
      <c r="H4238" s="42"/>
      <c r="I4238" s="42"/>
      <c r="J4238" s="42"/>
    </row>
    <row r="4239" spans="5:10">
      <c r="E4239" s="43">
        <v>45340.406249985652</v>
      </c>
      <c r="F4239" s="41">
        <v>4.2613820231660364</v>
      </c>
      <c r="G4239" s="41">
        <v>0</v>
      </c>
      <c r="H4239" s="42"/>
      <c r="I4239" s="42"/>
      <c r="J4239" s="42"/>
    </row>
    <row r="4240" spans="5:10">
      <c r="E4240" s="43">
        <v>45340.409722207871</v>
      </c>
      <c r="F4240" s="41">
        <v>4.2613820231660364</v>
      </c>
      <c r="G4240" s="41">
        <v>0</v>
      </c>
      <c r="H4240" s="42"/>
      <c r="I4240" s="42"/>
      <c r="J4240" s="42"/>
    </row>
    <row r="4241" spans="5:10">
      <c r="E4241" s="43">
        <v>45340.41319443009</v>
      </c>
      <c r="F4241" s="41">
        <v>4.2613820231660364</v>
      </c>
      <c r="G4241" s="41">
        <v>0</v>
      </c>
      <c r="H4241" s="42"/>
      <c r="I4241" s="42"/>
      <c r="J4241" s="42"/>
    </row>
    <row r="4242" spans="5:10">
      <c r="E4242" s="43">
        <v>45340.416666652309</v>
      </c>
      <c r="F4242" s="41">
        <v>4.2613820231660364</v>
      </c>
      <c r="G4242" s="41">
        <v>0</v>
      </c>
      <c r="H4242" s="42"/>
      <c r="I4242" s="42"/>
      <c r="J4242" s="42"/>
    </row>
    <row r="4243" spans="5:10">
      <c r="E4243" s="43">
        <v>45340.420138874528</v>
      </c>
      <c r="F4243" s="41">
        <v>4.2613820231660364</v>
      </c>
      <c r="G4243" s="41">
        <v>0</v>
      </c>
      <c r="H4243" s="42"/>
      <c r="I4243" s="42"/>
      <c r="J4243" s="42"/>
    </row>
    <row r="4244" spans="5:10">
      <c r="E4244" s="43">
        <v>45340.423611096747</v>
      </c>
      <c r="F4244" s="41">
        <v>4.2613820231660364</v>
      </c>
      <c r="G4244" s="41">
        <v>0</v>
      </c>
      <c r="H4244" s="42"/>
      <c r="I4244" s="42"/>
      <c r="J4244" s="42"/>
    </row>
    <row r="4245" spans="5:10">
      <c r="E4245" s="43">
        <v>45340.427083318966</v>
      </c>
      <c r="F4245" s="41">
        <v>4.2613820231660364</v>
      </c>
      <c r="G4245" s="41">
        <v>0</v>
      </c>
      <c r="H4245" s="42"/>
      <c r="I4245" s="42"/>
      <c r="J4245" s="42"/>
    </row>
    <row r="4246" spans="5:10">
      <c r="E4246" s="43">
        <v>45340.430555541185</v>
      </c>
      <c r="F4246" s="41">
        <v>4.2613820231660364</v>
      </c>
      <c r="G4246" s="41">
        <v>0</v>
      </c>
      <c r="H4246" s="42"/>
      <c r="I4246" s="42"/>
      <c r="J4246" s="42"/>
    </row>
    <row r="4247" spans="5:10">
      <c r="E4247" s="43">
        <v>45340.434027763404</v>
      </c>
      <c r="F4247" s="41">
        <v>4.2613820231660364</v>
      </c>
      <c r="G4247" s="41">
        <v>0</v>
      </c>
      <c r="H4247" s="42"/>
      <c r="I4247" s="42"/>
      <c r="J4247" s="42"/>
    </row>
    <row r="4248" spans="5:10">
      <c r="E4248" s="43">
        <v>45340.437499985623</v>
      </c>
      <c r="F4248" s="41">
        <v>4.2613820231660364</v>
      </c>
      <c r="G4248" s="41">
        <v>0</v>
      </c>
      <c r="H4248" s="42"/>
      <c r="I4248" s="42"/>
      <c r="J4248" s="42"/>
    </row>
    <row r="4249" spans="5:10">
      <c r="E4249" s="43">
        <v>45340.440972207842</v>
      </c>
      <c r="F4249" s="41">
        <v>4.2613820231660364</v>
      </c>
      <c r="G4249" s="41">
        <v>0</v>
      </c>
      <c r="H4249" s="42"/>
      <c r="I4249" s="42"/>
      <c r="J4249" s="42"/>
    </row>
    <row r="4250" spans="5:10">
      <c r="E4250" s="43">
        <v>45340.444444430061</v>
      </c>
      <c r="F4250" s="41">
        <v>4.2613820231660364</v>
      </c>
      <c r="G4250" s="41">
        <v>0</v>
      </c>
      <c r="H4250" s="42"/>
      <c r="I4250" s="42"/>
      <c r="J4250" s="42"/>
    </row>
    <row r="4251" spans="5:10">
      <c r="E4251" s="43">
        <v>45340.44791665228</v>
      </c>
      <c r="F4251" s="41">
        <v>4.2613820231660364</v>
      </c>
      <c r="G4251" s="41">
        <v>0</v>
      </c>
      <c r="H4251" s="42"/>
      <c r="I4251" s="42"/>
      <c r="J4251" s="42"/>
    </row>
    <row r="4252" spans="5:10">
      <c r="E4252" s="43">
        <v>45340.451388874499</v>
      </c>
      <c r="F4252" s="41">
        <v>4.2613820231660364</v>
      </c>
      <c r="G4252" s="41">
        <v>0</v>
      </c>
      <c r="H4252" s="42"/>
      <c r="I4252" s="42"/>
      <c r="J4252" s="42"/>
    </row>
    <row r="4253" spans="5:10">
      <c r="E4253" s="43">
        <v>45340.454861096718</v>
      </c>
      <c r="F4253" s="41">
        <v>4.2613820231660364</v>
      </c>
      <c r="G4253" s="41">
        <v>0</v>
      </c>
      <c r="H4253" s="42"/>
      <c r="I4253" s="42"/>
      <c r="J4253" s="42"/>
    </row>
    <row r="4254" spans="5:10">
      <c r="E4254" s="43">
        <v>45340.458333318937</v>
      </c>
      <c r="F4254" s="41">
        <v>4.2613820231660364</v>
      </c>
      <c r="G4254" s="41">
        <v>0</v>
      </c>
      <c r="H4254" s="42"/>
      <c r="I4254" s="42"/>
      <c r="J4254" s="42"/>
    </row>
    <row r="4255" spans="5:10">
      <c r="E4255" s="43">
        <v>45340.461805541156</v>
      </c>
      <c r="F4255" s="41">
        <v>4.2613820231660364</v>
      </c>
      <c r="G4255" s="41">
        <v>0</v>
      </c>
      <c r="H4255" s="42"/>
      <c r="I4255" s="42"/>
      <c r="J4255" s="42"/>
    </row>
    <row r="4256" spans="5:10">
      <c r="E4256" s="43">
        <v>45340.465277763375</v>
      </c>
      <c r="F4256" s="41">
        <v>4.2613820231660364</v>
      </c>
      <c r="G4256" s="41">
        <v>0</v>
      </c>
      <c r="H4256" s="42"/>
      <c r="I4256" s="42"/>
      <c r="J4256" s="42"/>
    </row>
    <row r="4257" spans="5:10">
      <c r="E4257" s="43">
        <v>45340.468749985594</v>
      </c>
      <c r="F4257" s="41">
        <v>4.2613820231660364</v>
      </c>
      <c r="G4257" s="41">
        <v>0</v>
      </c>
      <c r="H4257" s="42"/>
      <c r="I4257" s="42"/>
      <c r="J4257" s="42"/>
    </row>
    <row r="4258" spans="5:10">
      <c r="E4258" s="43">
        <v>45340.472222207813</v>
      </c>
      <c r="F4258" s="41">
        <v>4.2613820231660364</v>
      </c>
      <c r="G4258" s="41">
        <v>0</v>
      </c>
      <c r="H4258" s="42"/>
      <c r="I4258" s="42"/>
      <c r="J4258" s="42"/>
    </row>
    <row r="4259" spans="5:10">
      <c r="E4259" s="43">
        <v>45340.475694430032</v>
      </c>
      <c r="F4259" s="41">
        <v>4.2613820231660364</v>
      </c>
      <c r="G4259" s="41">
        <v>0</v>
      </c>
      <c r="H4259" s="42"/>
      <c r="I4259" s="42"/>
      <c r="J4259" s="42"/>
    </row>
    <row r="4260" spans="5:10">
      <c r="E4260" s="43">
        <v>45340.479166652251</v>
      </c>
      <c r="F4260" s="41">
        <v>4.2613820231660364</v>
      </c>
      <c r="G4260" s="41">
        <v>0</v>
      </c>
      <c r="H4260" s="42"/>
      <c r="I4260" s="42"/>
      <c r="J4260" s="42"/>
    </row>
    <row r="4261" spans="5:10">
      <c r="E4261" s="43">
        <v>45340.48263887447</v>
      </c>
      <c r="F4261" s="41">
        <v>4.2613820231660364</v>
      </c>
      <c r="G4261" s="41">
        <v>0</v>
      </c>
      <c r="H4261" s="42"/>
      <c r="I4261" s="42"/>
      <c r="J4261" s="42"/>
    </row>
    <row r="4262" spans="5:10">
      <c r="E4262" s="43">
        <v>45340.486111096689</v>
      </c>
      <c r="F4262" s="41">
        <v>4.2613820231660364</v>
      </c>
      <c r="G4262" s="41">
        <v>0</v>
      </c>
      <c r="H4262" s="42"/>
      <c r="I4262" s="42"/>
      <c r="J4262" s="42"/>
    </row>
    <row r="4263" spans="5:10">
      <c r="E4263" s="43">
        <v>45340.489583318908</v>
      </c>
      <c r="F4263" s="41">
        <v>4.2613820231660364</v>
      </c>
      <c r="G4263" s="41">
        <v>0</v>
      </c>
      <c r="H4263" s="42"/>
      <c r="I4263" s="42"/>
      <c r="J4263" s="42"/>
    </row>
    <row r="4264" spans="5:10">
      <c r="E4264" s="43">
        <v>45340.493055541127</v>
      </c>
      <c r="F4264" s="41">
        <v>4.2613820231660364</v>
      </c>
      <c r="G4264" s="41">
        <v>0</v>
      </c>
      <c r="H4264" s="42"/>
      <c r="I4264" s="42"/>
      <c r="J4264" s="42"/>
    </row>
    <row r="4265" spans="5:10">
      <c r="E4265" s="43">
        <v>45340.496527763346</v>
      </c>
      <c r="F4265" s="41">
        <v>4.2613820231660364</v>
      </c>
      <c r="G4265" s="41">
        <v>0</v>
      </c>
      <c r="H4265" s="42"/>
      <c r="I4265" s="42"/>
      <c r="J4265" s="42"/>
    </row>
    <row r="4266" spans="5:10">
      <c r="E4266" s="43">
        <v>45340.499999985565</v>
      </c>
      <c r="F4266" s="41">
        <v>4.2613820231660364</v>
      </c>
      <c r="G4266" s="41">
        <v>0</v>
      </c>
      <c r="H4266" s="42"/>
      <c r="I4266" s="42"/>
      <c r="J4266" s="42"/>
    </row>
    <row r="4267" spans="5:10">
      <c r="E4267" s="43">
        <v>45340.503472207783</v>
      </c>
      <c r="F4267" s="41">
        <v>4.2613820231660364</v>
      </c>
      <c r="G4267" s="41">
        <v>0</v>
      </c>
      <c r="H4267" s="42"/>
      <c r="I4267" s="42"/>
      <c r="J4267" s="42"/>
    </row>
    <row r="4268" spans="5:10">
      <c r="E4268" s="43">
        <v>45340.506944430002</v>
      </c>
      <c r="F4268" s="41">
        <v>4.2613820231660364</v>
      </c>
      <c r="G4268" s="41">
        <v>0</v>
      </c>
      <c r="H4268" s="42"/>
      <c r="I4268" s="42"/>
      <c r="J4268" s="42"/>
    </row>
    <row r="4269" spans="5:10">
      <c r="E4269" s="43">
        <v>45340.510416652221</v>
      </c>
      <c r="F4269" s="41">
        <v>4.2613820231660364</v>
      </c>
      <c r="G4269" s="41">
        <v>0</v>
      </c>
      <c r="H4269" s="42"/>
      <c r="I4269" s="42"/>
      <c r="J4269" s="42"/>
    </row>
    <row r="4270" spans="5:10">
      <c r="E4270" s="43">
        <v>45340.51388887444</v>
      </c>
      <c r="F4270" s="41">
        <v>4.2613820231660364</v>
      </c>
      <c r="G4270" s="41">
        <v>0</v>
      </c>
      <c r="H4270" s="42"/>
      <c r="I4270" s="42"/>
      <c r="J4270" s="42"/>
    </row>
    <row r="4271" spans="5:10">
      <c r="E4271" s="43">
        <v>45340.517361096659</v>
      </c>
      <c r="F4271" s="41">
        <v>4.2613820231660364</v>
      </c>
      <c r="G4271" s="41">
        <v>0</v>
      </c>
      <c r="H4271" s="42"/>
      <c r="I4271" s="42"/>
      <c r="J4271" s="42"/>
    </row>
    <row r="4272" spans="5:10">
      <c r="E4272" s="43">
        <v>45340.520833318878</v>
      </c>
      <c r="F4272" s="41">
        <v>4.2613820231660364</v>
      </c>
      <c r="G4272" s="41">
        <v>0</v>
      </c>
      <c r="H4272" s="42"/>
      <c r="I4272" s="42"/>
      <c r="J4272" s="42"/>
    </row>
    <row r="4273" spans="5:10">
      <c r="E4273" s="43">
        <v>45340.524305541097</v>
      </c>
      <c r="F4273" s="41">
        <v>4.2613820231660364</v>
      </c>
      <c r="G4273" s="41">
        <v>0</v>
      </c>
      <c r="H4273" s="42"/>
      <c r="I4273" s="42"/>
      <c r="J4273" s="42"/>
    </row>
    <row r="4274" spans="5:10">
      <c r="E4274" s="43">
        <v>45340.527777763316</v>
      </c>
      <c r="F4274" s="41">
        <v>4.2613820231660364</v>
      </c>
      <c r="G4274" s="41">
        <v>0</v>
      </c>
      <c r="H4274" s="42"/>
      <c r="I4274" s="42"/>
      <c r="J4274" s="42"/>
    </row>
    <row r="4275" spans="5:10">
      <c r="E4275" s="43">
        <v>45340.531249985535</v>
      </c>
      <c r="F4275" s="41">
        <v>4.2613820231660364</v>
      </c>
      <c r="G4275" s="41">
        <v>0</v>
      </c>
      <c r="H4275" s="42"/>
      <c r="I4275" s="42"/>
      <c r="J4275" s="42"/>
    </row>
    <row r="4276" spans="5:10">
      <c r="E4276" s="43">
        <v>45340.534722207754</v>
      </c>
      <c r="F4276" s="41">
        <v>4.2613820231660364</v>
      </c>
      <c r="G4276" s="41">
        <v>0</v>
      </c>
      <c r="H4276" s="42"/>
      <c r="I4276" s="42"/>
      <c r="J4276" s="42"/>
    </row>
    <row r="4277" spans="5:10">
      <c r="E4277" s="43">
        <v>45340.538194429973</v>
      </c>
      <c r="F4277" s="41">
        <v>4.2613820231660364</v>
      </c>
      <c r="G4277" s="41">
        <v>0</v>
      </c>
      <c r="H4277" s="42"/>
      <c r="I4277" s="42"/>
      <c r="J4277" s="42"/>
    </row>
    <row r="4278" spans="5:10">
      <c r="E4278" s="43">
        <v>45340.541666652192</v>
      </c>
      <c r="F4278" s="41">
        <v>4.2613820231660364</v>
      </c>
      <c r="G4278" s="41">
        <v>0</v>
      </c>
      <c r="H4278" s="42"/>
      <c r="I4278" s="42"/>
      <c r="J4278" s="42"/>
    </row>
    <row r="4279" spans="5:10">
      <c r="E4279" s="43">
        <v>45340.545138874411</v>
      </c>
      <c r="F4279" s="41">
        <v>4.2613820231660364</v>
      </c>
      <c r="G4279" s="41">
        <v>0</v>
      </c>
      <c r="H4279" s="42"/>
      <c r="I4279" s="42"/>
      <c r="J4279" s="42"/>
    </row>
    <row r="4280" spans="5:10">
      <c r="E4280" s="43">
        <v>45340.54861109663</v>
      </c>
      <c r="F4280" s="41">
        <v>4.2613820231660364</v>
      </c>
      <c r="G4280" s="41">
        <v>0</v>
      </c>
      <c r="H4280" s="42"/>
      <c r="I4280" s="42"/>
      <c r="J4280" s="42"/>
    </row>
    <row r="4281" spans="5:10">
      <c r="E4281" s="43">
        <v>45340.552083318849</v>
      </c>
      <c r="F4281" s="41">
        <v>4.2613820231660364</v>
      </c>
      <c r="G4281" s="41">
        <v>0</v>
      </c>
      <c r="H4281" s="42"/>
      <c r="I4281" s="42"/>
      <c r="J4281" s="42"/>
    </row>
    <row r="4282" spans="5:10">
      <c r="E4282" s="43">
        <v>45340.555555541068</v>
      </c>
      <c r="F4282" s="41">
        <v>4.2613820231660364</v>
      </c>
      <c r="G4282" s="41">
        <v>0</v>
      </c>
      <c r="H4282" s="42"/>
      <c r="I4282" s="42"/>
      <c r="J4282" s="42"/>
    </row>
    <row r="4283" spans="5:10">
      <c r="E4283" s="43">
        <v>45340.559027763287</v>
      </c>
      <c r="F4283" s="41">
        <v>4.2613820231660364</v>
      </c>
      <c r="G4283" s="41">
        <v>0</v>
      </c>
      <c r="H4283" s="42"/>
      <c r="I4283" s="42"/>
      <c r="J4283" s="42"/>
    </row>
    <row r="4284" spans="5:10">
      <c r="E4284" s="43">
        <v>45340.562499985506</v>
      </c>
      <c r="F4284" s="41">
        <v>4.2613820231660364</v>
      </c>
      <c r="G4284" s="41">
        <v>0</v>
      </c>
      <c r="H4284" s="42"/>
      <c r="I4284" s="42"/>
      <c r="J4284" s="42"/>
    </row>
    <row r="4285" spans="5:10">
      <c r="E4285" s="43">
        <v>45340.565972207725</v>
      </c>
      <c r="F4285" s="41">
        <v>4.2613820231660364</v>
      </c>
      <c r="G4285" s="41">
        <v>0</v>
      </c>
      <c r="H4285" s="42"/>
      <c r="I4285" s="42"/>
      <c r="J4285" s="42"/>
    </row>
    <row r="4286" spans="5:10">
      <c r="E4286" s="43">
        <v>45340.569444429944</v>
      </c>
      <c r="F4286" s="41">
        <v>4.2613820231660364</v>
      </c>
      <c r="G4286" s="41">
        <v>0</v>
      </c>
      <c r="H4286" s="42"/>
      <c r="I4286" s="42"/>
      <c r="J4286" s="42"/>
    </row>
    <row r="4287" spans="5:10">
      <c r="E4287" s="43">
        <v>45340.572916652163</v>
      </c>
      <c r="F4287" s="41">
        <v>4.2613820231660364</v>
      </c>
      <c r="G4287" s="41">
        <v>0</v>
      </c>
      <c r="H4287" s="42"/>
      <c r="I4287" s="42"/>
      <c r="J4287" s="42"/>
    </row>
    <row r="4288" spans="5:10">
      <c r="E4288" s="43">
        <v>45340.576388874382</v>
      </c>
      <c r="F4288" s="41">
        <v>4.2613820231660364</v>
      </c>
      <c r="G4288" s="41">
        <v>0</v>
      </c>
      <c r="H4288" s="42"/>
      <c r="I4288" s="42"/>
      <c r="J4288" s="42"/>
    </row>
    <row r="4289" spans="5:10">
      <c r="E4289" s="43">
        <v>45340.579861096601</v>
      </c>
      <c r="F4289" s="41">
        <v>4.2613820231660364</v>
      </c>
      <c r="G4289" s="41">
        <v>0</v>
      </c>
      <c r="H4289" s="42"/>
      <c r="I4289" s="42"/>
      <c r="J4289" s="42"/>
    </row>
    <row r="4290" spans="5:10">
      <c r="E4290" s="43">
        <v>45340.58333331882</v>
      </c>
      <c r="F4290" s="41">
        <v>4.2613820231660364</v>
      </c>
      <c r="G4290" s="41">
        <v>0</v>
      </c>
      <c r="H4290" s="42"/>
      <c r="I4290" s="42"/>
      <c r="J4290" s="42"/>
    </row>
    <row r="4291" spans="5:10">
      <c r="E4291" s="43">
        <v>45340.586805541039</v>
      </c>
      <c r="F4291" s="41">
        <v>4.2613820231660364</v>
      </c>
      <c r="G4291" s="41">
        <v>0</v>
      </c>
      <c r="H4291" s="42"/>
      <c r="I4291" s="42"/>
      <c r="J4291" s="42"/>
    </row>
    <row r="4292" spans="5:10">
      <c r="E4292" s="43">
        <v>45340.590277763258</v>
      </c>
      <c r="F4292" s="41">
        <v>4.2613820231660364</v>
      </c>
      <c r="G4292" s="41">
        <v>0</v>
      </c>
      <c r="H4292" s="42"/>
      <c r="I4292" s="42"/>
      <c r="J4292" s="42"/>
    </row>
    <row r="4293" spans="5:10">
      <c r="E4293" s="43">
        <v>45340.593749985477</v>
      </c>
      <c r="F4293" s="41">
        <v>4.2613820231660364</v>
      </c>
      <c r="G4293" s="41">
        <v>0</v>
      </c>
      <c r="H4293" s="42"/>
      <c r="I4293" s="42"/>
      <c r="J4293" s="42"/>
    </row>
    <row r="4294" spans="5:10">
      <c r="E4294" s="43">
        <v>45340.597222207696</v>
      </c>
      <c r="F4294" s="41">
        <v>4.2613820231660364</v>
      </c>
      <c r="G4294" s="41">
        <v>0</v>
      </c>
      <c r="H4294" s="42"/>
      <c r="I4294" s="42"/>
      <c r="J4294" s="42"/>
    </row>
    <row r="4295" spans="5:10">
      <c r="E4295" s="43">
        <v>45340.600694429915</v>
      </c>
      <c r="F4295" s="41">
        <v>4.2613820231660364</v>
      </c>
      <c r="G4295" s="41">
        <v>0</v>
      </c>
      <c r="H4295" s="42"/>
      <c r="I4295" s="42"/>
      <c r="J4295" s="42"/>
    </row>
    <row r="4296" spans="5:10">
      <c r="E4296" s="43">
        <v>45340.604166652134</v>
      </c>
      <c r="F4296" s="41">
        <v>4.2613820231660364</v>
      </c>
      <c r="G4296" s="41">
        <v>0</v>
      </c>
      <c r="H4296" s="42"/>
      <c r="I4296" s="42"/>
      <c r="J4296" s="42"/>
    </row>
    <row r="4297" spans="5:10">
      <c r="E4297" s="43">
        <v>45340.607638874353</v>
      </c>
      <c r="F4297" s="41">
        <v>4.2613820231660364</v>
      </c>
      <c r="G4297" s="41">
        <v>0</v>
      </c>
      <c r="H4297" s="42"/>
      <c r="I4297" s="42"/>
      <c r="J4297" s="42"/>
    </row>
    <row r="4298" spans="5:10">
      <c r="E4298" s="43">
        <v>45340.611111096572</v>
      </c>
      <c r="F4298" s="41">
        <v>4.2613820231660364</v>
      </c>
      <c r="G4298" s="41">
        <v>0</v>
      </c>
      <c r="H4298" s="42"/>
      <c r="I4298" s="42"/>
      <c r="J4298" s="42"/>
    </row>
    <row r="4299" spans="5:10">
      <c r="E4299" s="43">
        <v>45340.614583318791</v>
      </c>
      <c r="F4299" s="41">
        <v>4.2613820231660364</v>
      </c>
      <c r="G4299" s="41">
        <v>0</v>
      </c>
      <c r="H4299" s="42"/>
      <c r="I4299" s="42"/>
      <c r="J4299" s="42"/>
    </row>
    <row r="4300" spans="5:10">
      <c r="E4300" s="43">
        <v>45340.61805554101</v>
      </c>
      <c r="F4300" s="41">
        <v>4.2613820231660364</v>
      </c>
      <c r="G4300" s="41">
        <v>0</v>
      </c>
      <c r="H4300" s="42"/>
      <c r="I4300" s="42"/>
      <c r="J4300" s="42"/>
    </row>
    <row r="4301" spans="5:10">
      <c r="E4301" s="43">
        <v>45340.621527763229</v>
      </c>
      <c r="F4301" s="41">
        <v>4.2613820231660364</v>
      </c>
      <c r="G4301" s="41">
        <v>0</v>
      </c>
      <c r="H4301" s="42"/>
      <c r="I4301" s="42"/>
      <c r="J4301" s="42"/>
    </row>
    <row r="4302" spans="5:10">
      <c r="E4302" s="43">
        <v>45340.624999985448</v>
      </c>
      <c r="F4302" s="41">
        <v>4.2613820231660364</v>
      </c>
      <c r="G4302" s="41">
        <v>0</v>
      </c>
      <c r="H4302" s="42"/>
      <c r="I4302" s="42"/>
      <c r="J4302" s="42"/>
    </row>
    <row r="4303" spans="5:10">
      <c r="E4303" s="43">
        <v>45340.628472207667</v>
      </c>
      <c r="F4303" s="41">
        <v>4.2613820231660364</v>
      </c>
      <c r="G4303" s="41">
        <v>0</v>
      </c>
      <c r="H4303" s="42"/>
      <c r="I4303" s="42"/>
      <c r="J4303" s="42"/>
    </row>
    <row r="4304" spans="5:10">
      <c r="E4304" s="43">
        <v>45340.631944429886</v>
      </c>
      <c r="F4304" s="41">
        <v>4.2613820231660364</v>
      </c>
      <c r="G4304" s="41">
        <v>0</v>
      </c>
      <c r="H4304" s="42"/>
      <c r="I4304" s="42"/>
      <c r="J4304" s="42"/>
    </row>
    <row r="4305" spans="5:10">
      <c r="E4305" s="43">
        <v>45340.635416652105</v>
      </c>
      <c r="F4305" s="41">
        <v>4.2613820231660364</v>
      </c>
      <c r="G4305" s="41">
        <v>0</v>
      </c>
      <c r="H4305" s="42"/>
      <c r="I4305" s="42"/>
      <c r="J4305" s="42"/>
    </row>
    <row r="4306" spans="5:10">
      <c r="E4306" s="43">
        <v>45340.638888874324</v>
      </c>
      <c r="F4306" s="41">
        <v>4.2613820231660364</v>
      </c>
      <c r="G4306" s="41">
        <v>0</v>
      </c>
      <c r="H4306" s="42"/>
      <c r="I4306" s="42"/>
      <c r="J4306" s="42"/>
    </row>
    <row r="4307" spans="5:10">
      <c r="E4307" s="43">
        <v>45340.642361096543</v>
      </c>
      <c r="F4307" s="41">
        <v>4.2613820231660364</v>
      </c>
      <c r="G4307" s="41">
        <v>0</v>
      </c>
      <c r="H4307" s="42"/>
      <c r="I4307" s="42"/>
      <c r="J4307" s="42"/>
    </row>
    <row r="4308" spans="5:10">
      <c r="E4308" s="43">
        <v>45340.645833318762</v>
      </c>
      <c r="F4308" s="41">
        <v>4.2613820231660364</v>
      </c>
      <c r="G4308" s="41">
        <v>0</v>
      </c>
      <c r="H4308" s="42"/>
      <c r="I4308" s="42"/>
      <c r="J4308" s="42"/>
    </row>
    <row r="4309" spans="5:10">
      <c r="E4309" s="43">
        <v>45340.649305540981</v>
      </c>
      <c r="F4309" s="41">
        <v>0</v>
      </c>
      <c r="G4309" s="41">
        <v>0</v>
      </c>
      <c r="H4309" s="42"/>
      <c r="I4309" s="42"/>
      <c r="J4309" s="42"/>
    </row>
    <row r="4310" spans="5:10">
      <c r="E4310" s="43">
        <v>45340.6527777632</v>
      </c>
      <c r="F4310" s="41">
        <v>0</v>
      </c>
      <c r="G4310" s="41">
        <v>0</v>
      </c>
      <c r="H4310" s="42"/>
      <c r="I4310" s="42"/>
      <c r="J4310" s="42"/>
    </row>
    <row r="4311" spans="5:10">
      <c r="E4311" s="43">
        <v>45340.656249985419</v>
      </c>
      <c r="F4311" s="41">
        <v>0</v>
      </c>
      <c r="G4311" s="41">
        <v>0</v>
      </c>
      <c r="H4311" s="42"/>
      <c r="I4311" s="42"/>
      <c r="J4311" s="42"/>
    </row>
    <row r="4312" spans="5:10">
      <c r="E4312" s="43">
        <v>45340.659722207638</v>
      </c>
      <c r="F4312" s="41">
        <v>0</v>
      </c>
      <c r="G4312" s="41">
        <v>0</v>
      </c>
      <c r="H4312" s="42"/>
      <c r="I4312" s="42"/>
      <c r="J4312" s="42"/>
    </row>
    <row r="4313" spans="5:10">
      <c r="E4313" s="43">
        <v>45340.663194429857</v>
      </c>
      <c r="F4313" s="41">
        <v>0</v>
      </c>
      <c r="G4313" s="41">
        <v>0</v>
      </c>
      <c r="H4313" s="42"/>
      <c r="I4313" s="42"/>
      <c r="J4313" s="42"/>
    </row>
    <row r="4314" spans="5:10">
      <c r="E4314" s="43">
        <v>45340.666666652076</v>
      </c>
      <c r="F4314" s="41">
        <v>0</v>
      </c>
      <c r="G4314" s="41">
        <v>0</v>
      </c>
      <c r="H4314" s="42"/>
      <c r="I4314" s="42"/>
      <c r="J4314" s="42"/>
    </row>
    <row r="4315" spans="5:10">
      <c r="E4315" s="43">
        <v>45340.670138874295</v>
      </c>
      <c r="F4315" s="41">
        <v>0</v>
      </c>
      <c r="G4315" s="41">
        <v>0</v>
      </c>
      <c r="H4315" s="42"/>
      <c r="I4315" s="42"/>
      <c r="J4315" s="42"/>
    </row>
    <row r="4316" spans="5:10">
      <c r="E4316" s="43">
        <v>45340.673611096514</v>
      </c>
      <c r="F4316" s="41">
        <v>0</v>
      </c>
      <c r="G4316" s="41">
        <v>0</v>
      </c>
      <c r="H4316" s="42"/>
      <c r="I4316" s="42"/>
      <c r="J4316" s="42"/>
    </row>
    <row r="4317" spans="5:10">
      <c r="E4317" s="43">
        <v>45340.677083318733</v>
      </c>
      <c r="F4317" s="41">
        <v>0</v>
      </c>
      <c r="G4317" s="41">
        <v>0</v>
      </c>
      <c r="H4317" s="42"/>
      <c r="I4317" s="42"/>
      <c r="J4317" s="42"/>
    </row>
    <row r="4318" spans="5:10">
      <c r="E4318" s="43">
        <v>45340.680555540952</v>
      </c>
      <c r="F4318" s="41">
        <v>0</v>
      </c>
      <c r="G4318" s="41">
        <v>0</v>
      </c>
      <c r="H4318" s="42"/>
      <c r="I4318" s="42"/>
      <c r="J4318" s="42"/>
    </row>
    <row r="4319" spans="5:10">
      <c r="E4319" s="43">
        <v>45340.684027763171</v>
      </c>
      <c r="F4319" s="41">
        <v>0</v>
      </c>
      <c r="G4319" s="41">
        <v>0</v>
      </c>
      <c r="H4319" s="42"/>
      <c r="I4319" s="42"/>
      <c r="J4319" s="42"/>
    </row>
    <row r="4320" spans="5:10">
      <c r="E4320" s="43">
        <v>45340.68749998539</v>
      </c>
      <c r="F4320" s="41">
        <v>0</v>
      </c>
      <c r="G4320" s="41">
        <v>0</v>
      </c>
      <c r="H4320" s="42"/>
      <c r="I4320" s="42"/>
      <c r="J4320" s="42"/>
    </row>
    <row r="4321" spans="5:10">
      <c r="E4321" s="43">
        <v>45340.690972207609</v>
      </c>
      <c r="F4321" s="41">
        <v>0</v>
      </c>
      <c r="G4321" s="41">
        <v>0</v>
      </c>
      <c r="H4321" s="42"/>
      <c r="I4321" s="42"/>
      <c r="J4321" s="42"/>
    </row>
    <row r="4322" spans="5:10">
      <c r="E4322" s="43">
        <v>45340.694444429828</v>
      </c>
      <c r="F4322" s="41">
        <v>0</v>
      </c>
      <c r="G4322" s="41">
        <v>0</v>
      </c>
      <c r="H4322" s="42"/>
      <c r="I4322" s="42"/>
      <c r="J4322" s="42"/>
    </row>
    <row r="4323" spans="5:10">
      <c r="E4323" s="43">
        <v>45340.697916652047</v>
      </c>
      <c r="F4323" s="41">
        <v>0</v>
      </c>
      <c r="G4323" s="41">
        <v>0</v>
      </c>
      <c r="H4323" s="42"/>
      <c r="I4323" s="42"/>
      <c r="J4323" s="42"/>
    </row>
    <row r="4324" spans="5:10">
      <c r="E4324" s="43">
        <v>45340.701388874266</v>
      </c>
      <c r="F4324" s="41">
        <v>0</v>
      </c>
      <c r="G4324" s="41">
        <v>0</v>
      </c>
      <c r="H4324" s="42"/>
      <c r="I4324" s="42"/>
      <c r="J4324" s="42"/>
    </row>
    <row r="4325" spans="5:10">
      <c r="E4325" s="43">
        <v>45340.704861096485</v>
      </c>
      <c r="F4325" s="41">
        <v>0</v>
      </c>
      <c r="G4325" s="41">
        <v>0</v>
      </c>
      <c r="H4325" s="42"/>
      <c r="I4325" s="42"/>
      <c r="J4325" s="42"/>
    </row>
    <row r="4326" spans="5:10">
      <c r="E4326" s="43">
        <v>45340.708333318704</v>
      </c>
      <c r="F4326" s="41">
        <v>0</v>
      </c>
      <c r="G4326" s="41">
        <v>0</v>
      </c>
      <c r="H4326" s="42"/>
      <c r="I4326" s="42"/>
      <c r="J4326" s="42"/>
    </row>
    <row r="4327" spans="5:10">
      <c r="E4327" s="43">
        <v>45340.711805540923</v>
      </c>
      <c r="F4327" s="41">
        <v>0</v>
      </c>
      <c r="G4327" s="41">
        <v>0</v>
      </c>
      <c r="H4327" s="42"/>
      <c r="I4327" s="42"/>
      <c r="J4327" s="42"/>
    </row>
    <row r="4328" spans="5:10">
      <c r="E4328" s="43">
        <v>45340.715277763142</v>
      </c>
      <c r="F4328" s="41">
        <v>0</v>
      </c>
      <c r="G4328" s="41">
        <v>0</v>
      </c>
      <c r="H4328" s="42"/>
      <c r="I4328" s="42"/>
      <c r="J4328" s="42"/>
    </row>
    <row r="4329" spans="5:10">
      <c r="E4329" s="43">
        <v>45340.718749985361</v>
      </c>
      <c r="F4329" s="41">
        <v>0</v>
      </c>
      <c r="G4329" s="41">
        <v>0</v>
      </c>
      <c r="H4329" s="42"/>
      <c r="I4329" s="42"/>
      <c r="J4329" s="42"/>
    </row>
    <row r="4330" spans="5:10">
      <c r="E4330" s="43">
        <v>45340.72222220758</v>
      </c>
      <c r="F4330" s="41">
        <v>0</v>
      </c>
      <c r="G4330" s="41">
        <v>0</v>
      </c>
      <c r="H4330" s="42"/>
      <c r="I4330" s="42"/>
      <c r="J4330" s="42"/>
    </row>
    <row r="4331" spans="5:10">
      <c r="E4331" s="43">
        <v>45340.725694429799</v>
      </c>
      <c r="F4331" s="41">
        <v>0</v>
      </c>
      <c r="G4331" s="41">
        <v>0</v>
      </c>
      <c r="H4331" s="42"/>
      <c r="I4331" s="42"/>
      <c r="J4331" s="42"/>
    </row>
    <row r="4332" spans="5:10">
      <c r="E4332" s="43">
        <v>45340.729166652018</v>
      </c>
      <c r="F4332" s="41">
        <v>0</v>
      </c>
      <c r="G4332" s="41">
        <v>0</v>
      </c>
      <c r="H4332" s="42"/>
      <c r="I4332" s="42"/>
      <c r="J4332" s="42"/>
    </row>
    <row r="4333" spans="5:10">
      <c r="E4333" s="43">
        <v>45340.732638874237</v>
      </c>
      <c r="F4333" s="41">
        <v>0</v>
      </c>
      <c r="G4333" s="41">
        <v>0</v>
      </c>
      <c r="H4333" s="42"/>
      <c r="I4333" s="42"/>
      <c r="J4333" s="42"/>
    </row>
    <row r="4334" spans="5:10">
      <c r="E4334" s="43">
        <v>45340.736111096456</v>
      </c>
      <c r="F4334" s="41">
        <v>0</v>
      </c>
      <c r="G4334" s="41">
        <v>0</v>
      </c>
      <c r="H4334" s="42"/>
      <c r="I4334" s="42"/>
      <c r="J4334" s="42"/>
    </row>
    <row r="4335" spans="5:10">
      <c r="E4335" s="43">
        <v>45340.739583318675</v>
      </c>
      <c r="F4335" s="41">
        <v>0</v>
      </c>
      <c r="G4335" s="41">
        <v>0</v>
      </c>
      <c r="H4335" s="42"/>
      <c r="I4335" s="42"/>
      <c r="J4335" s="42"/>
    </row>
    <row r="4336" spans="5:10">
      <c r="E4336" s="43">
        <v>45340.743055540894</v>
      </c>
      <c r="F4336" s="41">
        <v>0</v>
      </c>
      <c r="G4336" s="41">
        <v>0</v>
      </c>
      <c r="H4336" s="42"/>
      <c r="I4336" s="42"/>
      <c r="J4336" s="42"/>
    </row>
    <row r="4337" spans="5:10">
      <c r="E4337" s="43">
        <v>45340.746527763113</v>
      </c>
      <c r="F4337" s="41">
        <v>0</v>
      </c>
      <c r="G4337" s="41">
        <v>0</v>
      </c>
      <c r="H4337" s="42"/>
      <c r="I4337" s="42"/>
      <c r="J4337" s="42"/>
    </row>
    <row r="4338" spans="5:10">
      <c r="E4338" s="43">
        <v>45340.749999985332</v>
      </c>
      <c r="F4338" s="41">
        <v>0</v>
      </c>
      <c r="G4338" s="41">
        <v>0</v>
      </c>
      <c r="H4338" s="42"/>
      <c r="I4338" s="42"/>
      <c r="J4338" s="42"/>
    </row>
    <row r="4339" spans="5:10">
      <c r="E4339" s="43">
        <v>45340.753472207551</v>
      </c>
      <c r="F4339" s="41">
        <v>0</v>
      </c>
      <c r="G4339" s="41">
        <v>0</v>
      </c>
      <c r="H4339" s="42"/>
      <c r="I4339" s="42"/>
      <c r="J4339" s="42"/>
    </row>
    <row r="4340" spans="5:10">
      <c r="E4340" s="43">
        <v>45340.75694442977</v>
      </c>
      <c r="F4340" s="41">
        <v>0</v>
      </c>
      <c r="G4340" s="41">
        <v>0</v>
      </c>
      <c r="H4340" s="42"/>
      <c r="I4340" s="42"/>
      <c r="J4340" s="42"/>
    </row>
    <row r="4341" spans="5:10">
      <c r="E4341" s="43">
        <v>45340.760416651989</v>
      </c>
      <c r="F4341" s="41">
        <v>0</v>
      </c>
      <c r="G4341" s="41">
        <v>0</v>
      </c>
      <c r="H4341" s="42"/>
      <c r="I4341" s="42"/>
      <c r="J4341" s="42"/>
    </row>
    <row r="4342" spans="5:10">
      <c r="E4342" s="43">
        <v>45340.763888874208</v>
      </c>
      <c r="F4342" s="41">
        <v>0</v>
      </c>
      <c r="G4342" s="41">
        <v>0</v>
      </c>
      <c r="H4342" s="42"/>
      <c r="I4342" s="42"/>
      <c r="J4342" s="42"/>
    </row>
    <row r="4343" spans="5:10">
      <c r="E4343" s="43">
        <v>45340.767361096427</v>
      </c>
      <c r="F4343" s="41">
        <v>0</v>
      </c>
      <c r="G4343" s="41">
        <v>0</v>
      </c>
      <c r="H4343" s="42"/>
      <c r="I4343" s="42"/>
      <c r="J4343" s="42"/>
    </row>
    <row r="4344" spans="5:10">
      <c r="E4344" s="43">
        <v>45340.770833318646</v>
      </c>
      <c r="F4344" s="41">
        <v>0</v>
      </c>
      <c r="G4344" s="41">
        <v>0</v>
      </c>
      <c r="H4344" s="42"/>
      <c r="I4344" s="42"/>
      <c r="J4344" s="42"/>
    </row>
    <row r="4345" spans="5:10">
      <c r="E4345" s="43">
        <v>45340.774305540865</v>
      </c>
      <c r="F4345" s="41">
        <v>0</v>
      </c>
      <c r="G4345" s="41">
        <v>0</v>
      </c>
      <c r="H4345" s="42"/>
      <c r="I4345" s="42"/>
      <c r="J4345" s="42"/>
    </row>
    <row r="4346" spans="5:10">
      <c r="E4346" s="43">
        <v>45340.777777763084</v>
      </c>
      <c r="F4346" s="41">
        <v>0</v>
      </c>
      <c r="G4346" s="41">
        <v>0</v>
      </c>
      <c r="H4346" s="42"/>
      <c r="I4346" s="42"/>
      <c r="J4346" s="42"/>
    </row>
    <row r="4347" spans="5:10">
      <c r="E4347" s="43">
        <v>45340.781249985303</v>
      </c>
      <c r="F4347" s="41">
        <v>0</v>
      </c>
      <c r="G4347" s="41">
        <v>0</v>
      </c>
      <c r="H4347" s="42"/>
      <c r="I4347" s="42"/>
      <c r="J4347" s="42"/>
    </row>
    <row r="4348" spans="5:10">
      <c r="E4348" s="43">
        <v>45340.784722207522</v>
      </c>
      <c r="F4348" s="41">
        <v>0</v>
      </c>
      <c r="G4348" s="41">
        <v>0</v>
      </c>
      <c r="H4348" s="42"/>
      <c r="I4348" s="42"/>
      <c r="J4348" s="42"/>
    </row>
    <row r="4349" spans="5:10">
      <c r="E4349" s="43">
        <v>45340.788194429741</v>
      </c>
      <c r="F4349" s="41">
        <v>0</v>
      </c>
      <c r="G4349" s="41">
        <v>0</v>
      </c>
      <c r="H4349" s="42"/>
      <c r="I4349" s="42"/>
      <c r="J4349" s="42"/>
    </row>
    <row r="4350" spans="5:10">
      <c r="E4350" s="43">
        <v>45340.79166665196</v>
      </c>
      <c r="F4350" s="41">
        <v>0</v>
      </c>
      <c r="G4350" s="41">
        <v>0</v>
      </c>
      <c r="H4350" s="42"/>
      <c r="I4350" s="42"/>
      <c r="J4350" s="42"/>
    </row>
    <row r="4351" spans="5:10">
      <c r="E4351" s="43">
        <v>45340.795138874179</v>
      </c>
      <c r="F4351" s="41">
        <v>0</v>
      </c>
      <c r="G4351" s="41">
        <v>0</v>
      </c>
      <c r="H4351" s="42"/>
      <c r="I4351" s="42"/>
      <c r="J4351" s="42"/>
    </row>
    <row r="4352" spans="5:10">
      <c r="E4352" s="43">
        <v>45340.798611096398</v>
      </c>
      <c r="F4352" s="41">
        <v>0</v>
      </c>
      <c r="G4352" s="41">
        <v>0</v>
      </c>
      <c r="H4352" s="42"/>
      <c r="I4352" s="42"/>
      <c r="J4352" s="42"/>
    </row>
    <row r="4353" spans="5:10">
      <c r="E4353" s="43">
        <v>45340.802083318616</v>
      </c>
      <c r="F4353" s="41">
        <v>0</v>
      </c>
      <c r="G4353" s="41">
        <v>0</v>
      </c>
      <c r="H4353" s="42"/>
      <c r="I4353" s="42"/>
      <c r="J4353" s="42"/>
    </row>
    <row r="4354" spans="5:10">
      <c r="E4354" s="43">
        <v>45340.805555540835</v>
      </c>
      <c r="F4354" s="41">
        <v>0</v>
      </c>
      <c r="G4354" s="41">
        <v>0</v>
      </c>
      <c r="H4354" s="42"/>
      <c r="I4354" s="42"/>
      <c r="J4354" s="42"/>
    </row>
    <row r="4355" spans="5:10">
      <c r="E4355" s="43">
        <v>45340.809027763054</v>
      </c>
      <c r="F4355" s="41">
        <v>0</v>
      </c>
      <c r="G4355" s="41">
        <v>0</v>
      </c>
      <c r="H4355" s="42"/>
      <c r="I4355" s="42"/>
      <c r="J4355" s="42"/>
    </row>
    <row r="4356" spans="5:10">
      <c r="E4356" s="43">
        <v>45340.812499985273</v>
      </c>
      <c r="F4356" s="41">
        <v>0</v>
      </c>
      <c r="G4356" s="41">
        <v>0</v>
      </c>
      <c r="H4356" s="42"/>
      <c r="I4356" s="42"/>
      <c r="J4356" s="42"/>
    </row>
    <row r="4357" spans="5:10">
      <c r="E4357" s="43">
        <v>45340.815972207492</v>
      </c>
      <c r="F4357" s="41">
        <v>0</v>
      </c>
      <c r="G4357" s="41">
        <v>0</v>
      </c>
      <c r="H4357" s="42"/>
      <c r="I4357" s="42"/>
      <c r="J4357" s="42"/>
    </row>
    <row r="4358" spans="5:10">
      <c r="E4358" s="43">
        <v>45340.819444429711</v>
      </c>
      <c r="F4358" s="41">
        <v>0</v>
      </c>
      <c r="G4358" s="41">
        <v>0</v>
      </c>
      <c r="H4358" s="42"/>
      <c r="I4358" s="42"/>
      <c r="J4358" s="42"/>
    </row>
    <row r="4359" spans="5:10">
      <c r="E4359" s="43">
        <v>45340.82291665193</v>
      </c>
      <c r="F4359" s="41">
        <v>0</v>
      </c>
      <c r="G4359" s="41">
        <v>0</v>
      </c>
      <c r="H4359" s="42"/>
      <c r="I4359" s="42"/>
      <c r="J4359" s="42"/>
    </row>
    <row r="4360" spans="5:10">
      <c r="E4360" s="43">
        <v>45340.826388874149</v>
      </c>
      <c r="F4360" s="41">
        <v>0</v>
      </c>
      <c r="G4360" s="41">
        <v>0</v>
      </c>
      <c r="H4360" s="42"/>
      <c r="I4360" s="42"/>
      <c r="J4360" s="42"/>
    </row>
    <row r="4361" spans="5:10">
      <c r="E4361" s="43">
        <v>45340.829861096368</v>
      </c>
      <c r="F4361" s="41">
        <v>0</v>
      </c>
      <c r="G4361" s="41">
        <v>0</v>
      </c>
      <c r="H4361" s="42"/>
      <c r="I4361" s="42"/>
      <c r="J4361" s="42"/>
    </row>
    <row r="4362" spans="5:10">
      <c r="E4362" s="43">
        <v>45340.833333318587</v>
      </c>
      <c r="F4362" s="41">
        <v>0</v>
      </c>
      <c r="G4362" s="41">
        <v>0</v>
      </c>
      <c r="H4362" s="42"/>
      <c r="I4362" s="42"/>
      <c r="J4362" s="42"/>
    </row>
    <row r="4363" spans="5:10">
      <c r="E4363" s="43">
        <v>45340.836805540806</v>
      </c>
      <c r="F4363" s="41">
        <v>0</v>
      </c>
      <c r="G4363" s="41">
        <v>0</v>
      </c>
      <c r="H4363" s="42"/>
      <c r="I4363" s="42"/>
      <c r="J4363" s="42"/>
    </row>
    <row r="4364" spans="5:10">
      <c r="E4364" s="43">
        <v>45340.840277763025</v>
      </c>
      <c r="F4364" s="41">
        <v>0</v>
      </c>
      <c r="G4364" s="41">
        <v>0</v>
      </c>
      <c r="H4364" s="42"/>
      <c r="I4364" s="42"/>
      <c r="J4364" s="42"/>
    </row>
    <row r="4365" spans="5:10">
      <c r="E4365" s="43">
        <v>45340.843749985244</v>
      </c>
      <c r="F4365" s="41">
        <v>0</v>
      </c>
      <c r="G4365" s="41">
        <v>0</v>
      </c>
      <c r="H4365" s="42"/>
      <c r="I4365" s="42"/>
      <c r="J4365" s="42"/>
    </row>
    <row r="4366" spans="5:10">
      <c r="E4366" s="43">
        <v>45340.847222207463</v>
      </c>
      <c r="F4366" s="41">
        <v>0</v>
      </c>
      <c r="G4366" s="41">
        <v>0</v>
      </c>
      <c r="H4366" s="42"/>
      <c r="I4366" s="42"/>
      <c r="J4366" s="42"/>
    </row>
    <row r="4367" spans="5:10">
      <c r="E4367" s="43">
        <v>45340.850694429682</v>
      </c>
      <c r="F4367" s="41">
        <v>0</v>
      </c>
      <c r="G4367" s="41">
        <v>0</v>
      </c>
      <c r="H4367" s="42"/>
      <c r="I4367" s="42"/>
      <c r="J4367" s="42"/>
    </row>
    <row r="4368" spans="5:10">
      <c r="E4368" s="43">
        <v>45340.854166651901</v>
      </c>
      <c r="F4368" s="41">
        <v>0</v>
      </c>
      <c r="G4368" s="41">
        <v>0</v>
      </c>
      <c r="H4368" s="42"/>
      <c r="I4368" s="42"/>
      <c r="J4368" s="42"/>
    </row>
    <row r="4369" spans="5:10">
      <c r="E4369" s="43">
        <v>45340.85763887412</v>
      </c>
      <c r="F4369" s="41">
        <v>0</v>
      </c>
      <c r="G4369" s="41">
        <v>0</v>
      </c>
      <c r="H4369" s="42"/>
      <c r="I4369" s="42"/>
      <c r="J4369" s="42"/>
    </row>
    <row r="4370" spans="5:10">
      <c r="E4370" s="43">
        <v>45340.861111096339</v>
      </c>
      <c r="F4370" s="41">
        <v>0</v>
      </c>
      <c r="G4370" s="41">
        <v>0</v>
      </c>
      <c r="H4370" s="42"/>
      <c r="I4370" s="42"/>
      <c r="J4370" s="42"/>
    </row>
    <row r="4371" spans="5:10">
      <c r="E4371" s="43">
        <v>45340.864583318558</v>
      </c>
      <c r="F4371" s="41">
        <v>0</v>
      </c>
      <c r="G4371" s="41">
        <v>0</v>
      </c>
      <c r="H4371" s="42"/>
      <c r="I4371" s="42"/>
      <c r="J4371" s="42"/>
    </row>
    <row r="4372" spans="5:10">
      <c r="E4372" s="43">
        <v>45340.868055540777</v>
      </c>
      <c r="F4372" s="41">
        <v>0</v>
      </c>
      <c r="G4372" s="41">
        <v>0</v>
      </c>
      <c r="H4372" s="42"/>
      <c r="I4372" s="42"/>
      <c r="J4372" s="42"/>
    </row>
    <row r="4373" spans="5:10">
      <c r="E4373" s="43">
        <v>45340.871527762996</v>
      </c>
      <c r="F4373" s="41">
        <v>0</v>
      </c>
      <c r="G4373" s="41">
        <v>0</v>
      </c>
      <c r="H4373" s="42"/>
      <c r="I4373" s="42"/>
      <c r="J4373" s="42"/>
    </row>
    <row r="4374" spans="5:10">
      <c r="E4374" s="43">
        <v>45340.874999985215</v>
      </c>
      <c r="F4374" s="41">
        <v>0</v>
      </c>
      <c r="G4374" s="41">
        <v>0</v>
      </c>
      <c r="H4374" s="42"/>
      <c r="I4374" s="42"/>
      <c r="J4374" s="42"/>
    </row>
    <row r="4375" spans="5:10">
      <c r="E4375" s="43">
        <v>45340.878472207434</v>
      </c>
      <c r="F4375" s="41">
        <v>0</v>
      </c>
      <c r="G4375" s="41">
        <v>0</v>
      </c>
      <c r="H4375" s="42"/>
      <c r="I4375" s="42"/>
      <c r="J4375" s="42"/>
    </row>
    <row r="4376" spans="5:10">
      <c r="E4376" s="43">
        <v>45340.881944429653</v>
      </c>
      <c r="F4376" s="41">
        <v>0</v>
      </c>
      <c r="G4376" s="41">
        <v>0</v>
      </c>
      <c r="H4376" s="42"/>
      <c r="I4376" s="42"/>
      <c r="J4376" s="42"/>
    </row>
    <row r="4377" spans="5:10">
      <c r="E4377" s="43">
        <v>45340.885416651872</v>
      </c>
      <c r="F4377" s="41">
        <v>0</v>
      </c>
      <c r="G4377" s="41">
        <v>0</v>
      </c>
      <c r="H4377" s="42"/>
      <c r="I4377" s="42"/>
      <c r="J4377" s="42"/>
    </row>
    <row r="4378" spans="5:10">
      <c r="E4378" s="43">
        <v>45340.888888874091</v>
      </c>
      <c r="F4378" s="41">
        <v>0</v>
      </c>
      <c r="G4378" s="41">
        <v>0</v>
      </c>
      <c r="H4378" s="42"/>
      <c r="I4378" s="42"/>
      <c r="J4378" s="42"/>
    </row>
    <row r="4379" spans="5:10">
      <c r="E4379" s="43">
        <v>45340.89236109631</v>
      </c>
      <c r="F4379" s="41">
        <v>0</v>
      </c>
      <c r="G4379" s="41">
        <v>0</v>
      </c>
      <c r="H4379" s="42"/>
      <c r="I4379" s="42"/>
      <c r="J4379" s="42"/>
    </row>
    <row r="4380" spans="5:10">
      <c r="E4380" s="43">
        <v>45340.895833318529</v>
      </c>
      <c r="F4380" s="41">
        <v>0</v>
      </c>
      <c r="G4380" s="41">
        <v>0</v>
      </c>
      <c r="H4380" s="42"/>
      <c r="I4380" s="42"/>
      <c r="J4380" s="42"/>
    </row>
    <row r="4381" spans="5:10">
      <c r="E4381" s="43">
        <v>45340.899305540748</v>
      </c>
      <c r="F4381" s="41">
        <v>0</v>
      </c>
      <c r="G4381" s="41">
        <v>0</v>
      </c>
      <c r="H4381" s="42"/>
      <c r="I4381" s="42"/>
      <c r="J4381" s="42"/>
    </row>
    <row r="4382" spans="5:10">
      <c r="E4382" s="43">
        <v>45340.902777762967</v>
      </c>
      <c r="F4382" s="41">
        <v>0</v>
      </c>
      <c r="G4382" s="41">
        <v>0</v>
      </c>
      <c r="H4382" s="42"/>
      <c r="I4382" s="42"/>
      <c r="J4382" s="42"/>
    </row>
    <row r="4383" spans="5:10">
      <c r="E4383" s="43">
        <v>45340.906249985186</v>
      </c>
      <c r="F4383" s="41">
        <v>0</v>
      </c>
      <c r="G4383" s="41">
        <v>0</v>
      </c>
      <c r="H4383" s="42"/>
      <c r="I4383" s="42"/>
      <c r="J4383" s="42"/>
    </row>
    <row r="4384" spans="5:10">
      <c r="E4384" s="43">
        <v>45340.909722207405</v>
      </c>
      <c r="F4384" s="41">
        <v>0</v>
      </c>
      <c r="G4384" s="41">
        <v>0</v>
      </c>
      <c r="H4384" s="42"/>
      <c r="I4384" s="42"/>
      <c r="J4384" s="42"/>
    </row>
    <row r="4385" spans="5:10">
      <c r="E4385" s="43">
        <v>45340.913194429624</v>
      </c>
      <c r="F4385" s="41">
        <v>0</v>
      </c>
      <c r="G4385" s="41">
        <v>0</v>
      </c>
      <c r="H4385" s="42"/>
      <c r="I4385" s="42"/>
      <c r="J4385" s="42"/>
    </row>
    <row r="4386" spans="5:10">
      <c r="E4386" s="43">
        <v>45340.916666651843</v>
      </c>
      <c r="F4386" s="41">
        <v>0</v>
      </c>
      <c r="G4386" s="41">
        <v>0</v>
      </c>
      <c r="H4386" s="42"/>
      <c r="I4386" s="42"/>
      <c r="J4386" s="42"/>
    </row>
    <row r="4387" spans="5:10">
      <c r="E4387" s="43">
        <v>45340.920138874062</v>
      </c>
      <c r="F4387" s="41">
        <v>0</v>
      </c>
      <c r="G4387" s="41">
        <v>0</v>
      </c>
      <c r="H4387" s="42"/>
      <c r="I4387" s="42"/>
      <c r="J4387" s="42"/>
    </row>
    <row r="4388" spans="5:10">
      <c r="E4388" s="43">
        <v>45340.923611096281</v>
      </c>
      <c r="F4388" s="41">
        <v>0</v>
      </c>
      <c r="G4388" s="41">
        <v>0</v>
      </c>
      <c r="H4388" s="42"/>
      <c r="I4388" s="42"/>
      <c r="J4388" s="42"/>
    </row>
    <row r="4389" spans="5:10">
      <c r="E4389" s="43">
        <v>45340.9270833185</v>
      </c>
      <c r="F4389" s="41">
        <v>0</v>
      </c>
      <c r="G4389" s="41">
        <v>0</v>
      </c>
      <c r="H4389" s="42"/>
      <c r="I4389" s="42"/>
      <c r="J4389" s="42"/>
    </row>
    <row r="4390" spans="5:10">
      <c r="E4390" s="43">
        <v>45340.930555540719</v>
      </c>
      <c r="F4390" s="41">
        <v>0</v>
      </c>
      <c r="G4390" s="41">
        <v>0</v>
      </c>
      <c r="H4390" s="42"/>
      <c r="I4390" s="42"/>
      <c r="J4390" s="42"/>
    </row>
    <row r="4391" spans="5:10">
      <c r="E4391" s="43">
        <v>45340.934027762938</v>
      </c>
      <c r="F4391" s="41">
        <v>0</v>
      </c>
      <c r="G4391" s="41">
        <v>0</v>
      </c>
      <c r="H4391" s="42"/>
      <c r="I4391" s="42"/>
      <c r="J4391" s="42"/>
    </row>
    <row r="4392" spans="5:10">
      <c r="E4392" s="43">
        <v>45340.937499985157</v>
      </c>
      <c r="F4392" s="41">
        <v>0</v>
      </c>
      <c r="G4392" s="41">
        <v>0</v>
      </c>
      <c r="H4392" s="42"/>
      <c r="I4392" s="42"/>
      <c r="J4392" s="42"/>
    </row>
    <row r="4393" spans="5:10">
      <c r="E4393" s="43">
        <v>45340.940972207376</v>
      </c>
      <c r="F4393" s="41">
        <v>0</v>
      </c>
      <c r="G4393" s="41">
        <v>0</v>
      </c>
      <c r="H4393" s="42"/>
      <c r="I4393" s="42"/>
      <c r="J4393" s="42"/>
    </row>
    <row r="4394" spans="5:10">
      <c r="E4394" s="43">
        <v>45340.944444429595</v>
      </c>
      <c r="F4394" s="41">
        <v>0</v>
      </c>
      <c r="G4394" s="41">
        <v>0</v>
      </c>
      <c r="H4394" s="42"/>
      <c r="I4394" s="42"/>
      <c r="J4394" s="42"/>
    </row>
    <row r="4395" spans="5:10">
      <c r="E4395" s="43">
        <v>45340.947916651814</v>
      </c>
      <c r="F4395" s="41">
        <v>0</v>
      </c>
      <c r="G4395" s="41">
        <v>0</v>
      </c>
      <c r="H4395" s="42"/>
      <c r="I4395" s="42"/>
      <c r="J4395" s="42"/>
    </row>
    <row r="4396" spans="5:10">
      <c r="E4396" s="43">
        <v>45340.951388874033</v>
      </c>
      <c r="F4396" s="41">
        <v>0</v>
      </c>
      <c r="G4396" s="41">
        <v>0</v>
      </c>
      <c r="H4396" s="42"/>
      <c r="I4396" s="42"/>
      <c r="J4396" s="42"/>
    </row>
    <row r="4397" spans="5:10">
      <c r="E4397" s="43">
        <v>45340.954861096252</v>
      </c>
      <c r="F4397" s="41">
        <v>0</v>
      </c>
      <c r="G4397" s="41">
        <v>0</v>
      </c>
      <c r="H4397" s="42"/>
      <c r="I4397" s="42"/>
      <c r="J4397" s="42"/>
    </row>
    <row r="4398" spans="5:10">
      <c r="E4398" s="43">
        <v>45340.958333318471</v>
      </c>
      <c r="F4398" s="41">
        <v>0</v>
      </c>
      <c r="G4398" s="41">
        <v>0</v>
      </c>
      <c r="H4398" s="42"/>
      <c r="I4398" s="42"/>
      <c r="J4398" s="42"/>
    </row>
    <row r="4399" spans="5:10">
      <c r="E4399" s="43">
        <v>45340.96180554069</v>
      </c>
      <c r="F4399" s="41">
        <v>0</v>
      </c>
      <c r="G4399" s="41">
        <v>0</v>
      </c>
      <c r="H4399" s="42"/>
      <c r="I4399" s="42"/>
      <c r="J4399" s="42"/>
    </row>
    <row r="4400" spans="5:10">
      <c r="E4400" s="43">
        <v>45340.965277762909</v>
      </c>
      <c r="F4400" s="41">
        <v>0</v>
      </c>
      <c r="G4400" s="41">
        <v>0</v>
      </c>
      <c r="H4400" s="42"/>
      <c r="I4400" s="42"/>
      <c r="J4400" s="42"/>
    </row>
    <row r="4401" spans="5:10">
      <c r="E4401" s="43">
        <v>45340.968749985128</v>
      </c>
      <c r="F4401" s="41">
        <v>0</v>
      </c>
      <c r="G4401" s="41">
        <v>0</v>
      </c>
      <c r="H4401" s="42"/>
      <c r="I4401" s="42"/>
      <c r="J4401" s="42"/>
    </row>
    <row r="4402" spans="5:10">
      <c r="E4402" s="43">
        <v>45340.972222207347</v>
      </c>
      <c r="F4402" s="41">
        <v>0</v>
      </c>
      <c r="G4402" s="41">
        <v>0</v>
      </c>
      <c r="H4402" s="42"/>
      <c r="I4402" s="42"/>
      <c r="J4402" s="42"/>
    </row>
    <row r="4403" spans="5:10">
      <c r="E4403" s="43">
        <v>45340.975694429566</v>
      </c>
      <c r="F4403" s="41">
        <v>0</v>
      </c>
      <c r="G4403" s="41">
        <v>0</v>
      </c>
      <c r="H4403" s="42"/>
      <c r="I4403" s="42"/>
      <c r="J4403" s="42"/>
    </row>
    <row r="4404" spans="5:10">
      <c r="E4404" s="43">
        <v>45340.979166651785</v>
      </c>
      <c r="F4404" s="41">
        <v>0</v>
      </c>
      <c r="G4404" s="41">
        <v>0</v>
      </c>
      <c r="H4404" s="42"/>
      <c r="I4404" s="42"/>
      <c r="J4404" s="42"/>
    </row>
    <row r="4405" spans="5:10">
      <c r="E4405" s="43">
        <v>45340.982638874004</v>
      </c>
      <c r="F4405" s="41">
        <v>0</v>
      </c>
      <c r="G4405" s="41">
        <v>0</v>
      </c>
      <c r="H4405" s="42"/>
      <c r="I4405" s="42"/>
      <c r="J4405" s="42"/>
    </row>
    <row r="4406" spans="5:10">
      <c r="E4406" s="43">
        <v>45340.986111096223</v>
      </c>
      <c r="F4406" s="41">
        <v>0</v>
      </c>
      <c r="G4406" s="41">
        <v>0</v>
      </c>
      <c r="H4406" s="42"/>
      <c r="I4406" s="42"/>
      <c r="J4406" s="42"/>
    </row>
    <row r="4407" spans="5:10">
      <c r="E4407" s="43">
        <v>45340.989583318442</v>
      </c>
      <c r="F4407" s="41">
        <v>0</v>
      </c>
      <c r="G4407" s="41">
        <v>0</v>
      </c>
      <c r="H4407" s="42"/>
      <c r="I4407" s="42"/>
      <c r="J4407" s="42"/>
    </row>
    <row r="4408" spans="5:10">
      <c r="E4408" s="43">
        <v>45340.993055540661</v>
      </c>
      <c r="F4408" s="41">
        <v>0</v>
      </c>
      <c r="G4408" s="41">
        <v>0</v>
      </c>
      <c r="H4408" s="42"/>
      <c r="I4408" s="42"/>
      <c r="J4408" s="42"/>
    </row>
    <row r="4409" spans="5:10">
      <c r="E4409" s="43">
        <v>45340.99652776288</v>
      </c>
      <c r="F4409" s="41">
        <v>0</v>
      </c>
      <c r="G4409" s="41">
        <v>0</v>
      </c>
      <c r="H4409" s="42"/>
      <c r="I4409" s="42"/>
      <c r="J4409" s="42"/>
    </row>
    <row r="4410" spans="5:10">
      <c r="E4410" s="43">
        <v>45340.999999985099</v>
      </c>
      <c r="F4410" s="41">
        <v>0</v>
      </c>
      <c r="G4410" s="41">
        <v>0</v>
      </c>
      <c r="H4410" s="42"/>
      <c r="I4410" s="42"/>
      <c r="J4410" s="42"/>
    </row>
    <row r="4411" spans="5:10">
      <c r="E4411" s="43">
        <v>45341.003472207318</v>
      </c>
      <c r="F4411" s="41">
        <v>0</v>
      </c>
      <c r="G4411" s="41">
        <v>0</v>
      </c>
      <c r="H4411" s="42"/>
      <c r="I4411" s="42"/>
      <c r="J4411" s="42"/>
    </row>
    <row r="4412" spans="5:10">
      <c r="E4412" s="43">
        <v>45341.006944429537</v>
      </c>
      <c r="F4412" s="41">
        <v>0</v>
      </c>
      <c r="G4412" s="41">
        <v>0</v>
      </c>
      <c r="H4412" s="42"/>
      <c r="I4412" s="42"/>
      <c r="J4412" s="42"/>
    </row>
    <row r="4413" spans="5:10">
      <c r="E4413" s="43">
        <v>45341.010416651756</v>
      </c>
      <c r="F4413" s="41">
        <v>0</v>
      </c>
      <c r="G4413" s="41">
        <v>0</v>
      </c>
      <c r="H4413" s="42"/>
      <c r="I4413" s="42"/>
      <c r="J4413" s="42"/>
    </row>
    <row r="4414" spans="5:10">
      <c r="E4414" s="43">
        <v>45341.013888873975</v>
      </c>
      <c r="F4414" s="41">
        <v>0</v>
      </c>
      <c r="G4414" s="41">
        <v>0</v>
      </c>
      <c r="H4414" s="42"/>
      <c r="I4414" s="42"/>
      <c r="J4414" s="42"/>
    </row>
    <row r="4415" spans="5:10">
      <c r="E4415" s="43">
        <v>45341.017361096194</v>
      </c>
      <c r="F4415" s="41">
        <v>0</v>
      </c>
      <c r="G4415" s="41">
        <v>0</v>
      </c>
      <c r="H4415" s="42"/>
      <c r="I4415" s="42"/>
      <c r="J4415" s="42"/>
    </row>
    <row r="4416" spans="5:10">
      <c r="E4416" s="43">
        <v>45341.020833318413</v>
      </c>
      <c r="F4416" s="41">
        <v>0</v>
      </c>
      <c r="G4416" s="41">
        <v>0</v>
      </c>
      <c r="H4416" s="42"/>
      <c r="I4416" s="42"/>
      <c r="J4416" s="42"/>
    </row>
    <row r="4417" spans="5:10">
      <c r="E4417" s="43">
        <v>45341.024305540632</v>
      </c>
      <c r="F4417" s="41">
        <v>0</v>
      </c>
      <c r="G4417" s="41">
        <v>0</v>
      </c>
      <c r="H4417" s="42"/>
      <c r="I4417" s="42"/>
      <c r="J4417" s="42"/>
    </row>
    <row r="4418" spans="5:10">
      <c r="E4418" s="43">
        <v>45341.027777762851</v>
      </c>
      <c r="F4418" s="41">
        <v>0</v>
      </c>
      <c r="G4418" s="41">
        <v>0</v>
      </c>
      <c r="H4418" s="42"/>
      <c r="I4418" s="42"/>
      <c r="J4418" s="42"/>
    </row>
    <row r="4419" spans="5:10">
      <c r="E4419" s="43">
        <v>45341.03124998507</v>
      </c>
      <c r="F4419" s="41">
        <v>0</v>
      </c>
      <c r="G4419" s="41">
        <v>0</v>
      </c>
      <c r="H4419" s="42"/>
      <c r="I4419" s="42"/>
      <c r="J4419" s="42"/>
    </row>
    <row r="4420" spans="5:10">
      <c r="E4420" s="43">
        <v>45341.034722207289</v>
      </c>
      <c r="F4420" s="41">
        <v>0</v>
      </c>
      <c r="G4420" s="41">
        <v>0</v>
      </c>
      <c r="H4420" s="42"/>
      <c r="I4420" s="42"/>
      <c r="J4420" s="42"/>
    </row>
    <row r="4421" spans="5:10">
      <c r="E4421" s="43">
        <v>45341.038194429508</v>
      </c>
      <c r="F4421" s="41">
        <v>0</v>
      </c>
      <c r="G4421" s="41">
        <v>0</v>
      </c>
      <c r="H4421" s="42"/>
      <c r="I4421" s="42"/>
      <c r="J4421" s="42"/>
    </row>
    <row r="4422" spans="5:10">
      <c r="E4422" s="43">
        <v>45341.041666651727</v>
      </c>
      <c r="F4422" s="41">
        <v>0</v>
      </c>
      <c r="G4422" s="41">
        <v>0</v>
      </c>
      <c r="H4422" s="42"/>
      <c r="I4422" s="42"/>
      <c r="J4422" s="42"/>
    </row>
    <row r="4423" spans="5:10">
      <c r="E4423" s="43">
        <v>45341.045138873946</v>
      </c>
      <c r="F4423" s="41">
        <v>0</v>
      </c>
      <c r="G4423" s="41">
        <v>0</v>
      </c>
      <c r="H4423" s="42"/>
      <c r="I4423" s="42"/>
      <c r="J4423" s="42"/>
    </row>
    <row r="4424" spans="5:10">
      <c r="E4424" s="43">
        <v>45341.048611096165</v>
      </c>
      <c r="F4424" s="41">
        <v>0</v>
      </c>
      <c r="G4424" s="41">
        <v>0</v>
      </c>
      <c r="H4424" s="42"/>
      <c r="I4424" s="42"/>
      <c r="J4424" s="42"/>
    </row>
    <row r="4425" spans="5:10">
      <c r="E4425" s="43">
        <v>45341.052083318384</v>
      </c>
      <c r="F4425" s="41">
        <v>0</v>
      </c>
      <c r="G4425" s="41">
        <v>0</v>
      </c>
      <c r="H4425" s="42"/>
      <c r="I4425" s="42"/>
      <c r="J4425" s="42"/>
    </row>
    <row r="4426" spans="5:10">
      <c r="E4426" s="43">
        <v>45341.055555540603</v>
      </c>
      <c r="F4426" s="41">
        <v>0</v>
      </c>
      <c r="G4426" s="41">
        <v>0</v>
      </c>
      <c r="H4426" s="42"/>
      <c r="I4426" s="42"/>
      <c r="J4426" s="42"/>
    </row>
    <row r="4427" spans="5:10">
      <c r="E4427" s="43">
        <v>45341.059027762822</v>
      </c>
      <c r="F4427" s="41">
        <v>0</v>
      </c>
      <c r="G4427" s="41">
        <v>0</v>
      </c>
      <c r="H4427" s="42"/>
      <c r="I4427" s="42"/>
      <c r="J4427" s="42"/>
    </row>
    <row r="4428" spans="5:10">
      <c r="E4428" s="43">
        <v>45341.062499985041</v>
      </c>
      <c r="F4428" s="41">
        <v>0</v>
      </c>
      <c r="G4428" s="41">
        <v>0</v>
      </c>
      <c r="H4428" s="42"/>
      <c r="I4428" s="42"/>
      <c r="J4428" s="42"/>
    </row>
    <row r="4429" spans="5:10">
      <c r="E4429" s="43">
        <v>45341.06597220726</v>
      </c>
      <c r="F4429" s="41">
        <v>0</v>
      </c>
      <c r="G4429" s="41">
        <v>0</v>
      </c>
      <c r="H4429" s="42"/>
      <c r="I4429" s="42"/>
      <c r="J4429" s="42"/>
    </row>
    <row r="4430" spans="5:10">
      <c r="E4430" s="43">
        <v>45341.069444429479</v>
      </c>
      <c r="F4430" s="41">
        <v>0</v>
      </c>
      <c r="G4430" s="41">
        <v>0</v>
      </c>
      <c r="H4430" s="42"/>
      <c r="I4430" s="42"/>
      <c r="J4430" s="42"/>
    </row>
    <row r="4431" spans="5:10">
      <c r="E4431" s="43">
        <v>45341.072916651698</v>
      </c>
      <c r="F4431" s="41">
        <v>0</v>
      </c>
      <c r="G4431" s="41">
        <v>0</v>
      </c>
      <c r="H4431" s="42"/>
      <c r="I4431" s="42"/>
      <c r="J4431" s="42"/>
    </row>
    <row r="4432" spans="5:10">
      <c r="E4432" s="43">
        <v>45341.076388873917</v>
      </c>
      <c r="F4432" s="41">
        <v>0</v>
      </c>
      <c r="G4432" s="41">
        <v>0</v>
      </c>
      <c r="H4432" s="42"/>
      <c r="I4432" s="42"/>
      <c r="J4432" s="42"/>
    </row>
    <row r="4433" spans="5:10">
      <c r="E4433" s="43">
        <v>45341.079861096136</v>
      </c>
      <c r="F4433" s="41">
        <v>0</v>
      </c>
      <c r="G4433" s="41">
        <v>0</v>
      </c>
      <c r="H4433" s="42"/>
      <c r="I4433" s="42"/>
      <c r="J4433" s="42"/>
    </row>
    <row r="4434" spans="5:10">
      <c r="E4434" s="43">
        <v>45341.083333318355</v>
      </c>
      <c r="F4434" s="41">
        <v>0</v>
      </c>
      <c r="G4434" s="41">
        <v>0</v>
      </c>
      <c r="H4434" s="42"/>
      <c r="I4434" s="42"/>
      <c r="J4434" s="42"/>
    </row>
    <row r="4435" spans="5:10">
      <c r="E4435" s="43">
        <v>45341.086805540574</v>
      </c>
      <c r="F4435" s="41">
        <v>0</v>
      </c>
      <c r="G4435" s="41">
        <v>0</v>
      </c>
      <c r="H4435" s="42"/>
      <c r="I4435" s="42"/>
      <c r="J4435" s="42"/>
    </row>
    <row r="4436" spans="5:10">
      <c r="E4436" s="43">
        <v>45341.090277762793</v>
      </c>
      <c r="F4436" s="41">
        <v>0</v>
      </c>
      <c r="G4436" s="41">
        <v>0</v>
      </c>
      <c r="H4436" s="42"/>
      <c r="I4436" s="42"/>
      <c r="J4436" s="42"/>
    </row>
    <row r="4437" spans="5:10">
      <c r="E4437" s="43">
        <v>45341.093749985012</v>
      </c>
      <c r="F4437" s="41">
        <v>0</v>
      </c>
      <c r="G4437" s="41">
        <v>0</v>
      </c>
      <c r="H4437" s="42"/>
      <c r="I4437" s="42"/>
      <c r="J4437" s="42"/>
    </row>
    <row r="4438" spans="5:10">
      <c r="E4438" s="43">
        <v>45341.097222207231</v>
      </c>
      <c r="F4438" s="41">
        <v>0</v>
      </c>
      <c r="G4438" s="41">
        <v>0</v>
      </c>
      <c r="H4438" s="42"/>
      <c r="I4438" s="42"/>
      <c r="J4438" s="42"/>
    </row>
    <row r="4439" spans="5:10">
      <c r="E4439" s="43">
        <v>45341.10069442945</v>
      </c>
      <c r="F4439" s="41">
        <v>0</v>
      </c>
      <c r="G4439" s="41">
        <v>0</v>
      </c>
      <c r="H4439" s="42"/>
      <c r="I4439" s="42"/>
      <c r="J4439" s="42"/>
    </row>
    <row r="4440" spans="5:10">
      <c r="E4440" s="43">
        <v>45341.104166651668</v>
      </c>
      <c r="F4440" s="41">
        <v>0</v>
      </c>
      <c r="G4440" s="41">
        <v>0</v>
      </c>
      <c r="H4440" s="42"/>
      <c r="I4440" s="42"/>
      <c r="J4440" s="42"/>
    </row>
    <row r="4441" spans="5:10">
      <c r="E4441" s="43">
        <v>45341.107638873887</v>
      </c>
      <c r="F4441" s="41">
        <v>0</v>
      </c>
      <c r="G4441" s="41">
        <v>0</v>
      </c>
      <c r="H4441" s="42"/>
      <c r="I4441" s="42"/>
      <c r="J4441" s="42"/>
    </row>
    <row r="4442" spans="5:10">
      <c r="E4442" s="43">
        <v>45341.111111096106</v>
      </c>
      <c r="F4442" s="41">
        <v>0</v>
      </c>
      <c r="G4442" s="41">
        <v>0</v>
      </c>
      <c r="H4442" s="42"/>
      <c r="I4442" s="42"/>
      <c r="J4442" s="42"/>
    </row>
    <row r="4443" spans="5:10">
      <c r="E4443" s="43">
        <v>45341.114583318325</v>
      </c>
      <c r="F4443" s="41">
        <v>0</v>
      </c>
      <c r="G4443" s="41">
        <v>0</v>
      </c>
      <c r="H4443" s="42"/>
      <c r="I4443" s="42"/>
      <c r="J4443" s="42"/>
    </row>
    <row r="4444" spans="5:10">
      <c r="E4444" s="43">
        <v>45341.118055540544</v>
      </c>
      <c r="F4444" s="41">
        <v>0</v>
      </c>
      <c r="G4444" s="41">
        <v>0</v>
      </c>
      <c r="H4444" s="42"/>
      <c r="I4444" s="42"/>
      <c r="J4444" s="42"/>
    </row>
    <row r="4445" spans="5:10">
      <c r="E4445" s="43">
        <v>45341.121527762763</v>
      </c>
      <c r="F4445" s="41">
        <v>0</v>
      </c>
      <c r="G4445" s="41">
        <v>0</v>
      </c>
      <c r="H4445" s="42"/>
      <c r="I4445" s="42"/>
      <c r="J4445" s="42"/>
    </row>
    <row r="4446" spans="5:10">
      <c r="E4446" s="43">
        <v>45341.124999984982</v>
      </c>
      <c r="F4446" s="41">
        <v>0</v>
      </c>
      <c r="G4446" s="41">
        <v>0</v>
      </c>
      <c r="H4446" s="42"/>
      <c r="I4446" s="42"/>
      <c r="J4446" s="42"/>
    </row>
    <row r="4447" spans="5:10">
      <c r="E4447" s="43">
        <v>45341.128472207201</v>
      </c>
      <c r="F4447" s="41">
        <v>0</v>
      </c>
      <c r="G4447" s="41">
        <v>0</v>
      </c>
      <c r="H4447" s="42"/>
      <c r="I4447" s="42"/>
      <c r="J4447" s="42"/>
    </row>
    <row r="4448" spans="5:10">
      <c r="E4448" s="43">
        <v>45341.13194442942</v>
      </c>
      <c r="F4448" s="41">
        <v>0</v>
      </c>
      <c r="G4448" s="41">
        <v>0</v>
      </c>
      <c r="H4448" s="42"/>
      <c r="I4448" s="42"/>
      <c r="J4448" s="42"/>
    </row>
    <row r="4449" spans="5:10">
      <c r="E4449" s="43">
        <v>45341.135416651639</v>
      </c>
      <c r="F4449" s="41">
        <v>0</v>
      </c>
      <c r="G4449" s="41">
        <v>0</v>
      </c>
      <c r="H4449" s="42"/>
      <c r="I4449" s="42"/>
      <c r="J4449" s="42"/>
    </row>
    <row r="4450" spans="5:10">
      <c r="E4450" s="43">
        <v>45341.138888873858</v>
      </c>
      <c r="F4450" s="41">
        <v>0</v>
      </c>
      <c r="G4450" s="41">
        <v>0</v>
      </c>
      <c r="H4450" s="42"/>
      <c r="I4450" s="42"/>
      <c r="J4450" s="42"/>
    </row>
    <row r="4451" spans="5:10">
      <c r="E4451" s="43">
        <v>45341.142361096077</v>
      </c>
      <c r="F4451" s="41">
        <v>0</v>
      </c>
      <c r="G4451" s="41">
        <v>0</v>
      </c>
      <c r="H4451" s="42"/>
      <c r="I4451" s="42"/>
      <c r="J4451" s="42"/>
    </row>
    <row r="4452" spans="5:10">
      <c r="E4452" s="43">
        <v>45341.145833318296</v>
      </c>
      <c r="F4452" s="41">
        <v>0</v>
      </c>
      <c r="G4452" s="41">
        <v>0</v>
      </c>
      <c r="H4452" s="42"/>
      <c r="I4452" s="42"/>
      <c r="J4452" s="42"/>
    </row>
    <row r="4453" spans="5:10">
      <c r="E4453" s="43">
        <v>45341.149305540515</v>
      </c>
      <c r="F4453" s="41">
        <v>0</v>
      </c>
      <c r="G4453" s="41">
        <v>0</v>
      </c>
      <c r="H4453" s="42"/>
      <c r="I4453" s="42"/>
      <c r="J4453" s="42"/>
    </row>
    <row r="4454" spans="5:10">
      <c r="E4454" s="43">
        <v>45341.152777762734</v>
      </c>
      <c r="F4454" s="41">
        <v>0</v>
      </c>
      <c r="G4454" s="41">
        <v>0</v>
      </c>
      <c r="H4454" s="42"/>
      <c r="I4454" s="42"/>
      <c r="J4454" s="42"/>
    </row>
    <row r="4455" spans="5:10">
      <c r="E4455" s="43">
        <v>45341.156249984953</v>
      </c>
      <c r="F4455" s="41">
        <v>0</v>
      </c>
      <c r="G4455" s="41">
        <v>0</v>
      </c>
      <c r="H4455" s="42"/>
      <c r="I4455" s="42"/>
      <c r="J4455" s="42"/>
    </row>
    <row r="4456" spans="5:10">
      <c r="E4456" s="43">
        <v>45341.159722207172</v>
      </c>
      <c r="F4456" s="41">
        <v>0</v>
      </c>
      <c r="G4456" s="41">
        <v>0</v>
      </c>
      <c r="H4456" s="42"/>
      <c r="I4456" s="42"/>
      <c r="J4456" s="42"/>
    </row>
    <row r="4457" spans="5:10">
      <c r="E4457" s="43">
        <v>45341.163194429391</v>
      </c>
      <c r="F4457" s="41">
        <v>0</v>
      </c>
      <c r="G4457" s="41">
        <v>0</v>
      </c>
      <c r="H4457" s="42"/>
      <c r="I4457" s="42"/>
      <c r="J4457" s="42"/>
    </row>
    <row r="4458" spans="5:10">
      <c r="E4458" s="43">
        <v>45341.16666665161</v>
      </c>
      <c r="F4458" s="41">
        <v>0</v>
      </c>
      <c r="G4458" s="41">
        <v>0</v>
      </c>
      <c r="H4458" s="42"/>
      <c r="I4458" s="42"/>
      <c r="J4458" s="42"/>
    </row>
    <row r="4459" spans="5:10">
      <c r="E4459" s="43">
        <v>45341.170138873829</v>
      </c>
      <c r="F4459" s="41">
        <v>0</v>
      </c>
      <c r="G4459" s="41">
        <v>0</v>
      </c>
      <c r="H4459" s="42"/>
      <c r="I4459" s="42"/>
      <c r="J4459" s="42"/>
    </row>
    <row r="4460" spans="5:10">
      <c r="E4460" s="43">
        <v>45341.173611096048</v>
      </c>
      <c r="F4460" s="41">
        <v>0</v>
      </c>
      <c r="G4460" s="41">
        <v>0</v>
      </c>
      <c r="H4460" s="42"/>
      <c r="I4460" s="42"/>
      <c r="J4460" s="42"/>
    </row>
    <row r="4461" spans="5:10">
      <c r="E4461" s="43">
        <v>45341.177083318267</v>
      </c>
      <c r="F4461" s="41">
        <v>0</v>
      </c>
      <c r="G4461" s="41">
        <v>0</v>
      </c>
      <c r="H4461" s="42"/>
      <c r="I4461" s="42"/>
      <c r="J4461" s="42"/>
    </row>
    <row r="4462" spans="5:10">
      <c r="E4462" s="43">
        <v>45341.180555540486</v>
      </c>
      <c r="F4462" s="41">
        <v>0</v>
      </c>
      <c r="G4462" s="41">
        <v>0</v>
      </c>
      <c r="H4462" s="42"/>
      <c r="I4462" s="42"/>
      <c r="J4462" s="42"/>
    </row>
    <row r="4463" spans="5:10">
      <c r="E4463" s="43">
        <v>45341.184027762705</v>
      </c>
      <c r="F4463" s="41">
        <v>0</v>
      </c>
      <c r="G4463" s="41">
        <v>0</v>
      </c>
      <c r="H4463" s="42"/>
      <c r="I4463" s="42"/>
      <c r="J4463" s="42"/>
    </row>
    <row r="4464" spans="5:10">
      <c r="E4464" s="43">
        <v>45341.187499984924</v>
      </c>
      <c r="F4464" s="41">
        <v>0</v>
      </c>
      <c r="G4464" s="41">
        <v>0</v>
      </c>
      <c r="H4464" s="42"/>
      <c r="I4464" s="42"/>
      <c r="J4464" s="42"/>
    </row>
    <row r="4465" spans="5:10">
      <c r="E4465" s="43">
        <v>45341.190972207143</v>
      </c>
      <c r="F4465" s="41">
        <v>0</v>
      </c>
      <c r="G4465" s="41">
        <v>0</v>
      </c>
      <c r="H4465" s="42"/>
      <c r="I4465" s="42"/>
      <c r="J4465" s="42"/>
    </row>
    <row r="4466" spans="5:10">
      <c r="E4466" s="43">
        <v>45341.194444429362</v>
      </c>
      <c r="F4466" s="41">
        <v>0</v>
      </c>
      <c r="G4466" s="41">
        <v>0</v>
      </c>
      <c r="H4466" s="42"/>
      <c r="I4466" s="42"/>
      <c r="J4466" s="42"/>
    </row>
    <row r="4467" spans="5:10">
      <c r="E4467" s="43">
        <v>45341.197916651581</v>
      </c>
      <c r="F4467" s="41">
        <v>0</v>
      </c>
      <c r="G4467" s="41">
        <v>0</v>
      </c>
      <c r="H4467" s="42"/>
      <c r="I4467" s="42"/>
      <c r="J4467" s="42"/>
    </row>
    <row r="4468" spans="5:10">
      <c r="E4468" s="43">
        <v>45341.2013888738</v>
      </c>
      <c r="F4468" s="41">
        <v>0</v>
      </c>
      <c r="G4468" s="41">
        <v>0</v>
      </c>
      <c r="H4468" s="42"/>
      <c r="I4468" s="42"/>
      <c r="J4468" s="42"/>
    </row>
    <row r="4469" spans="5:10">
      <c r="E4469" s="43">
        <v>45341.204861096019</v>
      </c>
      <c r="F4469" s="41">
        <v>0</v>
      </c>
      <c r="G4469" s="41">
        <v>0</v>
      </c>
      <c r="H4469" s="42"/>
      <c r="I4469" s="42"/>
      <c r="J4469" s="42"/>
    </row>
    <row r="4470" spans="5:10">
      <c r="E4470" s="43">
        <v>45341.208333318238</v>
      </c>
      <c r="F4470" s="41">
        <v>0</v>
      </c>
      <c r="G4470" s="41">
        <v>0</v>
      </c>
      <c r="H4470" s="42"/>
      <c r="I4470" s="42"/>
      <c r="J4470" s="42"/>
    </row>
    <row r="4471" spans="5:10">
      <c r="E4471" s="43">
        <v>45341.211805540457</v>
      </c>
      <c r="F4471" s="41">
        <v>0</v>
      </c>
      <c r="G4471" s="41">
        <v>0</v>
      </c>
      <c r="H4471" s="42"/>
      <c r="I4471" s="42"/>
      <c r="J4471" s="42"/>
    </row>
    <row r="4472" spans="5:10">
      <c r="E4472" s="43">
        <v>45341.215277762676</v>
      </c>
      <c r="F4472" s="41">
        <v>0</v>
      </c>
      <c r="G4472" s="41">
        <v>0</v>
      </c>
      <c r="H4472" s="42"/>
      <c r="I4472" s="42"/>
      <c r="J4472" s="42"/>
    </row>
    <row r="4473" spans="5:10">
      <c r="E4473" s="43">
        <v>45341.218749984895</v>
      </c>
      <c r="F4473" s="41">
        <v>0</v>
      </c>
      <c r="G4473" s="41">
        <v>0</v>
      </c>
      <c r="H4473" s="42"/>
      <c r="I4473" s="42"/>
      <c r="J4473" s="42"/>
    </row>
    <row r="4474" spans="5:10">
      <c r="E4474" s="43">
        <v>45341.222222207114</v>
      </c>
      <c r="F4474" s="41">
        <v>0</v>
      </c>
      <c r="G4474" s="41">
        <v>0</v>
      </c>
      <c r="H4474" s="42"/>
      <c r="I4474" s="42"/>
      <c r="J4474" s="42"/>
    </row>
    <row r="4475" spans="5:10">
      <c r="E4475" s="43">
        <v>45341.225694429333</v>
      </c>
      <c r="F4475" s="41">
        <v>0</v>
      </c>
      <c r="G4475" s="41">
        <v>0</v>
      </c>
      <c r="H4475" s="42"/>
      <c r="I4475" s="42"/>
      <c r="J4475" s="42"/>
    </row>
    <row r="4476" spans="5:10">
      <c r="E4476" s="43">
        <v>45341.229166651552</v>
      </c>
      <c r="F4476" s="41">
        <v>0</v>
      </c>
      <c r="G4476" s="41">
        <v>0</v>
      </c>
      <c r="H4476" s="42"/>
      <c r="I4476" s="42"/>
      <c r="J4476" s="42"/>
    </row>
    <row r="4477" spans="5:10">
      <c r="E4477" s="43">
        <v>45341.232638873771</v>
      </c>
      <c r="F4477" s="41">
        <v>0</v>
      </c>
      <c r="G4477" s="41">
        <v>0</v>
      </c>
      <c r="H4477" s="42"/>
      <c r="I4477" s="42"/>
      <c r="J4477" s="42"/>
    </row>
    <row r="4478" spans="5:10">
      <c r="E4478" s="43">
        <v>45341.23611109599</v>
      </c>
      <c r="F4478" s="41">
        <v>0</v>
      </c>
      <c r="G4478" s="41">
        <v>0</v>
      </c>
      <c r="H4478" s="42"/>
      <c r="I4478" s="42"/>
      <c r="J4478" s="42"/>
    </row>
    <row r="4479" spans="5:10">
      <c r="E4479" s="43">
        <v>45341.239583318209</v>
      </c>
      <c r="F4479" s="41">
        <v>0</v>
      </c>
      <c r="G4479" s="41">
        <v>0</v>
      </c>
      <c r="H4479" s="42"/>
      <c r="I4479" s="42"/>
      <c r="J4479" s="42"/>
    </row>
    <row r="4480" spans="5:10">
      <c r="E4480" s="43">
        <v>45341.243055540428</v>
      </c>
      <c r="F4480" s="41">
        <v>0</v>
      </c>
      <c r="G4480" s="41">
        <v>0</v>
      </c>
      <c r="H4480" s="42"/>
      <c r="I4480" s="42"/>
      <c r="J4480" s="42"/>
    </row>
    <row r="4481" spans="5:10">
      <c r="E4481" s="43">
        <v>45341.246527762647</v>
      </c>
      <c r="F4481" s="41">
        <v>0</v>
      </c>
      <c r="G4481" s="41">
        <v>0</v>
      </c>
      <c r="H4481" s="42"/>
      <c r="I4481" s="42"/>
      <c r="J4481" s="42"/>
    </row>
    <row r="4482" spans="5:10">
      <c r="E4482" s="43">
        <v>45341.249999984866</v>
      </c>
      <c r="F4482" s="41">
        <v>0</v>
      </c>
      <c r="G4482" s="41">
        <v>0</v>
      </c>
      <c r="H4482" s="42"/>
      <c r="I4482" s="42"/>
      <c r="J4482" s="42"/>
    </row>
    <row r="4483" spans="5:10">
      <c r="E4483" s="43">
        <v>45341.253472207085</v>
      </c>
      <c r="F4483" s="41">
        <v>0</v>
      </c>
      <c r="G4483" s="41">
        <v>0</v>
      </c>
      <c r="H4483" s="42"/>
      <c r="I4483" s="42"/>
      <c r="J4483" s="42"/>
    </row>
    <row r="4484" spans="5:10">
      <c r="E4484" s="43">
        <v>45341.256944429304</v>
      </c>
      <c r="F4484" s="41">
        <v>0</v>
      </c>
      <c r="G4484" s="41">
        <v>0</v>
      </c>
      <c r="H4484" s="42"/>
      <c r="I4484" s="42"/>
      <c r="J4484" s="42"/>
    </row>
    <row r="4485" spans="5:10">
      <c r="E4485" s="43">
        <v>45341.260416651523</v>
      </c>
      <c r="F4485" s="41">
        <v>0</v>
      </c>
      <c r="G4485" s="41">
        <v>0</v>
      </c>
      <c r="H4485" s="42"/>
      <c r="I4485" s="42"/>
      <c r="J4485" s="42"/>
    </row>
    <row r="4486" spans="5:10">
      <c r="E4486" s="43">
        <v>45341.263888873742</v>
      </c>
      <c r="F4486" s="41">
        <v>0</v>
      </c>
      <c r="G4486" s="41">
        <v>0</v>
      </c>
      <c r="H4486" s="42"/>
      <c r="I4486" s="42"/>
      <c r="J4486" s="42"/>
    </row>
    <row r="4487" spans="5:10">
      <c r="E4487" s="43">
        <v>45341.267361095961</v>
      </c>
      <c r="F4487" s="41">
        <v>0</v>
      </c>
      <c r="G4487" s="41">
        <v>0</v>
      </c>
      <c r="H4487" s="42"/>
      <c r="I4487" s="42"/>
      <c r="J4487" s="42"/>
    </row>
    <row r="4488" spans="5:10">
      <c r="E4488" s="43">
        <v>45341.27083331818</v>
      </c>
      <c r="F4488" s="41">
        <v>0</v>
      </c>
      <c r="G4488" s="41">
        <v>0</v>
      </c>
      <c r="H4488" s="42"/>
      <c r="I4488" s="42"/>
      <c r="J4488" s="42"/>
    </row>
    <row r="4489" spans="5:10">
      <c r="E4489" s="43">
        <v>45341.274305540399</v>
      </c>
      <c r="F4489" s="41">
        <v>0</v>
      </c>
      <c r="G4489" s="41">
        <v>0</v>
      </c>
      <c r="H4489" s="42"/>
      <c r="I4489" s="42"/>
      <c r="J4489" s="42"/>
    </row>
    <row r="4490" spans="5:10">
      <c r="E4490" s="43">
        <v>45341.277777762618</v>
      </c>
      <c r="F4490" s="41">
        <v>0</v>
      </c>
      <c r="G4490" s="41">
        <v>0</v>
      </c>
      <c r="H4490" s="42"/>
      <c r="I4490" s="42"/>
      <c r="J4490" s="42"/>
    </row>
    <row r="4491" spans="5:10">
      <c r="E4491" s="43">
        <v>45341.281249984837</v>
      </c>
      <c r="F4491" s="41">
        <v>0</v>
      </c>
      <c r="G4491" s="41">
        <v>0</v>
      </c>
      <c r="H4491" s="42"/>
      <c r="I4491" s="42"/>
      <c r="J4491" s="42"/>
    </row>
    <row r="4492" spans="5:10">
      <c r="E4492" s="43">
        <v>45341.284722207056</v>
      </c>
      <c r="F4492" s="41">
        <v>0</v>
      </c>
      <c r="G4492" s="41">
        <v>0</v>
      </c>
      <c r="H4492" s="42"/>
      <c r="I4492" s="42"/>
      <c r="J4492" s="42"/>
    </row>
    <row r="4493" spans="5:10">
      <c r="E4493" s="43">
        <v>45341.288194429275</v>
      </c>
      <c r="F4493" s="41">
        <v>0</v>
      </c>
      <c r="G4493" s="41">
        <v>0</v>
      </c>
      <c r="H4493" s="42"/>
      <c r="I4493" s="42"/>
      <c r="J4493" s="42"/>
    </row>
    <row r="4494" spans="5:10">
      <c r="E4494" s="43">
        <v>45341.291666651494</v>
      </c>
      <c r="F4494" s="41">
        <v>0</v>
      </c>
      <c r="G4494" s="41">
        <v>0</v>
      </c>
      <c r="H4494" s="42"/>
      <c r="I4494" s="42"/>
      <c r="J4494" s="42"/>
    </row>
    <row r="4495" spans="5:10">
      <c r="E4495" s="43">
        <v>45341.295138873713</v>
      </c>
      <c r="F4495" s="41">
        <v>0</v>
      </c>
      <c r="G4495" s="41">
        <v>0</v>
      </c>
      <c r="H4495" s="42"/>
      <c r="I4495" s="42"/>
      <c r="J4495" s="42"/>
    </row>
    <row r="4496" spans="5:10">
      <c r="E4496" s="43">
        <v>45341.298611095932</v>
      </c>
      <c r="F4496" s="41">
        <v>0</v>
      </c>
      <c r="G4496" s="41">
        <v>0</v>
      </c>
      <c r="H4496" s="42"/>
      <c r="I4496" s="42"/>
      <c r="J4496" s="42"/>
    </row>
    <row r="4497" spans="5:10">
      <c r="E4497" s="43">
        <v>45341.302083318151</v>
      </c>
      <c r="F4497" s="41">
        <v>0</v>
      </c>
      <c r="G4497" s="41">
        <v>0</v>
      </c>
      <c r="H4497" s="42"/>
      <c r="I4497" s="42"/>
      <c r="J4497" s="42"/>
    </row>
    <row r="4498" spans="5:10">
      <c r="E4498" s="43">
        <v>45341.30555554037</v>
      </c>
      <c r="F4498" s="41">
        <v>0</v>
      </c>
      <c r="G4498" s="41">
        <v>0</v>
      </c>
      <c r="H4498" s="42"/>
      <c r="I4498" s="42"/>
      <c r="J4498" s="42"/>
    </row>
    <row r="4499" spans="5:10">
      <c r="E4499" s="43">
        <v>45341.309027762589</v>
      </c>
      <c r="F4499" s="41">
        <v>0</v>
      </c>
      <c r="G4499" s="41">
        <v>0</v>
      </c>
      <c r="H4499" s="42"/>
      <c r="I4499" s="42"/>
      <c r="J4499" s="42"/>
    </row>
    <row r="4500" spans="5:10">
      <c r="E4500" s="43">
        <v>45341.312499984808</v>
      </c>
      <c r="F4500" s="41">
        <v>0</v>
      </c>
      <c r="G4500" s="41">
        <v>0</v>
      </c>
      <c r="H4500" s="42"/>
      <c r="I4500" s="42"/>
      <c r="J4500" s="42"/>
    </row>
    <row r="4501" spans="5:10">
      <c r="E4501" s="43">
        <v>45341.315972207027</v>
      </c>
      <c r="F4501" s="41">
        <v>0</v>
      </c>
      <c r="G4501" s="41">
        <v>0</v>
      </c>
      <c r="H4501" s="42"/>
      <c r="I4501" s="42"/>
      <c r="J4501" s="42"/>
    </row>
    <row r="4502" spans="5:10">
      <c r="E4502" s="43">
        <v>45341.319444429246</v>
      </c>
      <c r="F4502" s="41">
        <v>0</v>
      </c>
      <c r="G4502" s="41">
        <v>0</v>
      </c>
      <c r="H4502" s="42"/>
      <c r="I4502" s="42"/>
      <c r="J4502" s="42"/>
    </row>
    <row r="4503" spans="5:10">
      <c r="E4503" s="43">
        <v>45341.322916651465</v>
      </c>
      <c r="F4503" s="41">
        <v>0</v>
      </c>
      <c r="G4503" s="41">
        <v>0</v>
      </c>
      <c r="H4503" s="42"/>
      <c r="I4503" s="42"/>
      <c r="J4503" s="42"/>
    </row>
    <row r="4504" spans="5:10">
      <c r="E4504" s="43">
        <v>45341.326388873684</v>
      </c>
      <c r="F4504" s="41">
        <v>0</v>
      </c>
      <c r="G4504" s="41">
        <v>0</v>
      </c>
      <c r="H4504" s="42"/>
      <c r="I4504" s="42"/>
      <c r="J4504" s="42"/>
    </row>
    <row r="4505" spans="5:10">
      <c r="E4505" s="43">
        <v>45341.329861095903</v>
      </c>
      <c r="F4505" s="41">
        <v>0</v>
      </c>
      <c r="G4505" s="41">
        <v>0</v>
      </c>
      <c r="H4505" s="42"/>
      <c r="I4505" s="42"/>
      <c r="J4505" s="42"/>
    </row>
    <row r="4506" spans="5:10">
      <c r="E4506" s="43">
        <v>45341.333333318122</v>
      </c>
      <c r="F4506" s="41">
        <v>0</v>
      </c>
      <c r="G4506" s="41">
        <v>0</v>
      </c>
      <c r="H4506" s="42"/>
      <c r="I4506" s="42"/>
      <c r="J4506" s="42"/>
    </row>
    <row r="4507" spans="5:10">
      <c r="E4507" s="43">
        <v>45341.336805540341</v>
      </c>
      <c r="F4507" s="41">
        <v>0</v>
      </c>
      <c r="G4507" s="41">
        <v>0</v>
      </c>
      <c r="H4507" s="42"/>
      <c r="I4507" s="42"/>
      <c r="J4507" s="42"/>
    </row>
    <row r="4508" spans="5:10">
      <c r="E4508" s="43">
        <v>45341.34027776256</v>
      </c>
      <c r="F4508" s="41">
        <v>0</v>
      </c>
      <c r="G4508" s="41">
        <v>0</v>
      </c>
      <c r="H4508" s="42"/>
      <c r="I4508" s="42"/>
      <c r="J4508" s="42"/>
    </row>
    <row r="4509" spans="5:10">
      <c r="E4509" s="43">
        <v>45341.343749984779</v>
      </c>
      <c r="F4509" s="41">
        <v>0</v>
      </c>
      <c r="G4509" s="41">
        <v>0</v>
      </c>
      <c r="H4509" s="42"/>
      <c r="I4509" s="42"/>
      <c r="J4509" s="42"/>
    </row>
    <row r="4510" spans="5:10">
      <c r="E4510" s="43">
        <v>45341.347222206998</v>
      </c>
      <c r="F4510" s="41">
        <v>0</v>
      </c>
      <c r="G4510" s="41">
        <v>0</v>
      </c>
      <c r="H4510" s="42"/>
      <c r="I4510" s="42"/>
      <c r="J4510" s="42"/>
    </row>
    <row r="4511" spans="5:10">
      <c r="E4511" s="43">
        <v>45341.350694429217</v>
      </c>
      <c r="F4511" s="41">
        <v>0</v>
      </c>
      <c r="G4511" s="41">
        <v>0</v>
      </c>
      <c r="H4511" s="42"/>
      <c r="I4511" s="42"/>
      <c r="J4511" s="42"/>
    </row>
    <row r="4512" spans="5:10">
      <c r="E4512" s="43">
        <v>45341.354166651436</v>
      </c>
      <c r="F4512" s="41">
        <v>0</v>
      </c>
      <c r="G4512" s="41">
        <v>0</v>
      </c>
      <c r="H4512" s="42"/>
      <c r="I4512" s="42"/>
      <c r="J4512" s="42"/>
    </row>
    <row r="4513" spans="5:10">
      <c r="E4513" s="43">
        <v>45341.357638873655</v>
      </c>
      <c r="F4513" s="41">
        <v>0</v>
      </c>
      <c r="G4513" s="41">
        <v>0</v>
      </c>
      <c r="H4513" s="42"/>
      <c r="I4513" s="42"/>
      <c r="J4513" s="42"/>
    </row>
    <row r="4514" spans="5:10">
      <c r="E4514" s="43">
        <v>45341.361111095874</v>
      </c>
      <c r="F4514" s="41">
        <v>0</v>
      </c>
      <c r="G4514" s="41">
        <v>0</v>
      </c>
      <c r="H4514" s="42"/>
      <c r="I4514" s="42"/>
      <c r="J4514" s="42"/>
    </row>
    <row r="4515" spans="5:10">
      <c r="E4515" s="43">
        <v>45341.364583318093</v>
      </c>
      <c r="F4515" s="41">
        <v>0</v>
      </c>
      <c r="G4515" s="41">
        <v>0</v>
      </c>
      <c r="H4515" s="42"/>
      <c r="I4515" s="42"/>
      <c r="J4515" s="42"/>
    </row>
    <row r="4516" spans="5:10">
      <c r="E4516" s="43">
        <v>45341.368055540312</v>
      </c>
      <c r="F4516" s="41">
        <v>0</v>
      </c>
      <c r="G4516" s="41">
        <v>0</v>
      </c>
      <c r="H4516" s="42"/>
      <c r="I4516" s="42"/>
      <c r="J4516" s="42"/>
    </row>
    <row r="4517" spans="5:10">
      <c r="E4517" s="43">
        <v>45341.371527762531</v>
      </c>
      <c r="F4517" s="41">
        <v>0</v>
      </c>
      <c r="G4517" s="41">
        <v>0</v>
      </c>
      <c r="H4517" s="42"/>
      <c r="I4517" s="42"/>
      <c r="J4517" s="42"/>
    </row>
    <row r="4518" spans="5:10">
      <c r="E4518" s="43">
        <v>45341.37499998475</v>
      </c>
      <c r="F4518" s="41">
        <v>0</v>
      </c>
      <c r="G4518" s="41">
        <v>0</v>
      </c>
      <c r="H4518" s="42"/>
      <c r="I4518" s="42"/>
      <c r="J4518" s="42"/>
    </row>
    <row r="4519" spans="5:10">
      <c r="E4519" s="43">
        <v>45341.378472206969</v>
      </c>
      <c r="F4519" s="41">
        <v>0</v>
      </c>
      <c r="G4519" s="41">
        <v>0</v>
      </c>
      <c r="H4519" s="42"/>
      <c r="I4519" s="42"/>
      <c r="J4519" s="42"/>
    </row>
    <row r="4520" spans="5:10">
      <c r="E4520" s="43">
        <v>45341.381944429188</v>
      </c>
      <c r="F4520" s="41">
        <v>0</v>
      </c>
      <c r="G4520" s="41">
        <v>0</v>
      </c>
      <c r="H4520" s="42"/>
      <c r="I4520" s="42"/>
      <c r="J4520" s="42"/>
    </row>
    <row r="4521" spans="5:10">
      <c r="E4521" s="43">
        <v>45341.385416651407</v>
      </c>
      <c r="F4521" s="41">
        <v>0</v>
      </c>
      <c r="G4521" s="41">
        <v>0</v>
      </c>
      <c r="H4521" s="42"/>
      <c r="I4521" s="42"/>
      <c r="J4521" s="42"/>
    </row>
    <row r="4522" spans="5:10">
      <c r="E4522" s="43">
        <v>45341.388888873626</v>
      </c>
      <c r="F4522" s="41">
        <v>0</v>
      </c>
      <c r="G4522" s="41">
        <v>0</v>
      </c>
      <c r="H4522" s="42"/>
      <c r="I4522" s="42"/>
      <c r="J4522" s="42"/>
    </row>
    <row r="4523" spans="5:10">
      <c r="E4523" s="43">
        <v>45341.392361095845</v>
      </c>
      <c r="F4523" s="41">
        <v>0</v>
      </c>
      <c r="G4523" s="41">
        <v>0</v>
      </c>
      <c r="H4523" s="42"/>
      <c r="I4523" s="42"/>
      <c r="J4523" s="42"/>
    </row>
    <row r="4524" spans="5:10">
      <c r="E4524" s="43">
        <v>45341.395833318064</v>
      </c>
      <c r="F4524" s="41">
        <v>0</v>
      </c>
      <c r="G4524" s="41">
        <v>0</v>
      </c>
      <c r="H4524" s="42"/>
      <c r="I4524" s="42"/>
      <c r="J4524" s="42"/>
    </row>
    <row r="4525" spans="5:10">
      <c r="E4525" s="43">
        <v>45341.399305540283</v>
      </c>
      <c r="F4525" s="41">
        <v>0</v>
      </c>
      <c r="G4525" s="41">
        <v>0</v>
      </c>
      <c r="H4525" s="42"/>
      <c r="I4525" s="42"/>
      <c r="J4525" s="42"/>
    </row>
    <row r="4526" spans="5:10">
      <c r="E4526" s="43">
        <v>45341.402777762502</v>
      </c>
      <c r="F4526" s="41">
        <v>0</v>
      </c>
      <c r="G4526" s="41">
        <v>0</v>
      </c>
      <c r="H4526" s="42"/>
      <c r="I4526" s="42"/>
      <c r="J4526" s="42"/>
    </row>
    <row r="4527" spans="5:10">
      <c r="E4527" s="43">
        <v>45341.40624998472</v>
      </c>
      <c r="F4527" s="41">
        <v>0</v>
      </c>
      <c r="G4527" s="41">
        <v>0</v>
      </c>
      <c r="H4527" s="42"/>
      <c r="I4527" s="42"/>
      <c r="J4527" s="42"/>
    </row>
    <row r="4528" spans="5:10">
      <c r="E4528" s="43">
        <v>45341.409722206939</v>
      </c>
      <c r="F4528" s="41">
        <v>0</v>
      </c>
      <c r="G4528" s="41">
        <v>0</v>
      </c>
      <c r="H4528" s="42"/>
      <c r="I4528" s="42"/>
      <c r="J4528" s="42"/>
    </row>
    <row r="4529" spans="5:10">
      <c r="E4529" s="43">
        <v>45341.413194429158</v>
      </c>
      <c r="F4529" s="41">
        <v>0</v>
      </c>
      <c r="G4529" s="41">
        <v>0</v>
      </c>
      <c r="H4529" s="42"/>
      <c r="I4529" s="42"/>
      <c r="J4529" s="42"/>
    </row>
    <row r="4530" spans="5:10">
      <c r="E4530" s="43">
        <v>45341.416666651377</v>
      </c>
      <c r="F4530" s="41">
        <v>0</v>
      </c>
      <c r="G4530" s="41">
        <v>0</v>
      </c>
      <c r="H4530" s="42"/>
      <c r="I4530" s="42"/>
      <c r="J4530" s="42"/>
    </row>
    <row r="4531" spans="5:10">
      <c r="E4531" s="43">
        <v>45341.420138873596</v>
      </c>
      <c r="F4531" s="41">
        <v>0</v>
      </c>
      <c r="G4531" s="41">
        <v>0</v>
      </c>
      <c r="H4531" s="42"/>
      <c r="I4531" s="42"/>
      <c r="J4531" s="42"/>
    </row>
    <row r="4532" spans="5:10">
      <c r="E4532" s="43">
        <v>45341.423611095815</v>
      </c>
      <c r="F4532" s="41">
        <v>0</v>
      </c>
      <c r="G4532" s="41">
        <v>0</v>
      </c>
      <c r="H4532" s="42"/>
      <c r="I4532" s="42"/>
      <c r="J4532" s="42"/>
    </row>
    <row r="4533" spans="5:10">
      <c r="E4533" s="43">
        <v>45341.427083318034</v>
      </c>
      <c r="F4533" s="41">
        <v>0</v>
      </c>
      <c r="G4533" s="41">
        <v>0</v>
      </c>
      <c r="H4533" s="42"/>
      <c r="I4533" s="42"/>
      <c r="J4533" s="42"/>
    </row>
    <row r="4534" spans="5:10">
      <c r="E4534" s="43">
        <v>45341.430555540253</v>
      </c>
      <c r="F4534" s="41">
        <v>0</v>
      </c>
      <c r="G4534" s="41">
        <v>0</v>
      </c>
      <c r="H4534" s="42"/>
      <c r="I4534" s="42"/>
      <c r="J4534" s="42"/>
    </row>
    <row r="4535" spans="5:10">
      <c r="E4535" s="43">
        <v>45341.434027762472</v>
      </c>
      <c r="F4535" s="41">
        <v>0</v>
      </c>
      <c r="G4535" s="41">
        <v>0</v>
      </c>
      <c r="H4535" s="42"/>
      <c r="I4535" s="42"/>
      <c r="J4535" s="42"/>
    </row>
    <row r="4536" spans="5:10">
      <c r="E4536" s="43">
        <v>45341.437499984691</v>
      </c>
      <c r="F4536" s="41">
        <v>0</v>
      </c>
      <c r="G4536" s="41">
        <v>0</v>
      </c>
      <c r="H4536" s="42"/>
      <c r="I4536" s="42"/>
      <c r="J4536" s="42"/>
    </row>
    <row r="4537" spans="5:10">
      <c r="E4537" s="43">
        <v>45341.44097220691</v>
      </c>
      <c r="F4537" s="41">
        <v>0</v>
      </c>
      <c r="G4537" s="41">
        <v>0</v>
      </c>
      <c r="H4537" s="42"/>
      <c r="I4537" s="42"/>
      <c r="J4537" s="42"/>
    </row>
    <row r="4538" spans="5:10">
      <c r="E4538" s="43">
        <v>45341.444444429129</v>
      </c>
      <c r="F4538" s="41">
        <v>0</v>
      </c>
      <c r="G4538" s="41">
        <v>0</v>
      </c>
      <c r="H4538" s="42"/>
      <c r="I4538" s="42"/>
      <c r="J4538" s="42"/>
    </row>
    <row r="4539" spans="5:10">
      <c r="E4539" s="43">
        <v>45341.447916651348</v>
      </c>
      <c r="F4539" s="41">
        <v>0</v>
      </c>
      <c r="G4539" s="41">
        <v>0</v>
      </c>
      <c r="H4539" s="42"/>
      <c r="I4539" s="42"/>
      <c r="J4539" s="42"/>
    </row>
    <row r="4540" spans="5:10">
      <c r="E4540" s="43">
        <v>45341.451388873567</v>
      </c>
      <c r="F4540" s="41">
        <v>0</v>
      </c>
      <c r="G4540" s="41">
        <v>0</v>
      </c>
      <c r="H4540" s="42"/>
      <c r="I4540" s="42"/>
      <c r="J4540" s="42"/>
    </row>
    <row r="4541" spans="5:10">
      <c r="E4541" s="43">
        <v>45341.454861095786</v>
      </c>
      <c r="F4541" s="41">
        <v>0</v>
      </c>
      <c r="G4541" s="41">
        <v>0</v>
      </c>
      <c r="H4541" s="42"/>
      <c r="I4541" s="42"/>
      <c r="J4541" s="42"/>
    </row>
    <row r="4542" spans="5:10">
      <c r="E4542" s="43">
        <v>45341.458333318005</v>
      </c>
      <c r="F4542" s="41">
        <v>0</v>
      </c>
      <c r="G4542" s="41">
        <v>0</v>
      </c>
      <c r="H4542" s="42"/>
      <c r="I4542" s="42"/>
      <c r="J4542" s="42"/>
    </row>
    <row r="4543" spans="5:10">
      <c r="E4543" s="43">
        <v>45341.461805540224</v>
      </c>
      <c r="F4543" s="41">
        <v>0</v>
      </c>
      <c r="G4543" s="41">
        <v>0</v>
      </c>
      <c r="H4543" s="42"/>
      <c r="I4543" s="42"/>
      <c r="J4543" s="42"/>
    </row>
    <row r="4544" spans="5:10">
      <c r="E4544" s="43">
        <v>45341.465277762443</v>
      </c>
      <c r="F4544" s="41">
        <v>0</v>
      </c>
      <c r="G4544" s="41">
        <v>0</v>
      </c>
      <c r="H4544" s="42"/>
      <c r="I4544" s="42"/>
      <c r="J4544" s="42"/>
    </row>
    <row r="4545" spans="5:10">
      <c r="E4545" s="43">
        <v>45341.468749984662</v>
      </c>
      <c r="F4545" s="41">
        <v>0</v>
      </c>
      <c r="G4545" s="41">
        <v>0</v>
      </c>
      <c r="H4545" s="42"/>
      <c r="I4545" s="42"/>
      <c r="J4545" s="42"/>
    </row>
    <row r="4546" spans="5:10">
      <c r="E4546" s="43">
        <v>45341.472222206881</v>
      </c>
      <c r="F4546" s="41">
        <v>0</v>
      </c>
      <c r="G4546" s="41">
        <v>0</v>
      </c>
      <c r="H4546" s="42"/>
      <c r="I4546" s="42"/>
      <c r="J4546" s="42"/>
    </row>
    <row r="4547" spans="5:10">
      <c r="E4547" s="43">
        <v>45341.4756944291</v>
      </c>
      <c r="F4547" s="41">
        <v>0</v>
      </c>
      <c r="G4547" s="41">
        <v>0</v>
      </c>
      <c r="H4547" s="42"/>
      <c r="I4547" s="42"/>
      <c r="J4547" s="42"/>
    </row>
    <row r="4548" spans="5:10">
      <c r="E4548" s="43">
        <v>45341.479166651319</v>
      </c>
      <c r="F4548" s="41">
        <v>0</v>
      </c>
      <c r="G4548" s="41">
        <v>0</v>
      </c>
      <c r="H4548" s="42"/>
      <c r="I4548" s="42"/>
      <c r="J4548" s="42"/>
    </row>
    <row r="4549" spans="5:10">
      <c r="E4549" s="43">
        <v>45341.482638873538</v>
      </c>
      <c r="F4549" s="41">
        <v>0</v>
      </c>
      <c r="G4549" s="41">
        <v>0</v>
      </c>
      <c r="H4549" s="42"/>
      <c r="I4549" s="42"/>
      <c r="J4549" s="42"/>
    </row>
    <row r="4550" spans="5:10">
      <c r="E4550" s="43">
        <v>45341.486111095757</v>
      </c>
      <c r="F4550" s="41">
        <v>0</v>
      </c>
      <c r="G4550" s="41">
        <v>0</v>
      </c>
      <c r="H4550" s="42"/>
      <c r="I4550" s="42"/>
      <c r="J4550" s="42"/>
    </row>
    <row r="4551" spans="5:10">
      <c r="E4551" s="43">
        <v>45341.489583317976</v>
      </c>
      <c r="F4551" s="41">
        <v>0</v>
      </c>
      <c r="G4551" s="41">
        <v>0</v>
      </c>
      <c r="H4551" s="42"/>
      <c r="I4551" s="42"/>
      <c r="J4551" s="42"/>
    </row>
    <row r="4552" spans="5:10">
      <c r="E4552" s="43">
        <v>45341.493055540195</v>
      </c>
      <c r="F4552" s="41">
        <v>0</v>
      </c>
      <c r="G4552" s="41">
        <v>0</v>
      </c>
      <c r="H4552" s="42"/>
      <c r="I4552" s="42"/>
      <c r="J4552" s="42"/>
    </row>
    <row r="4553" spans="5:10">
      <c r="E4553" s="43">
        <v>45341.496527762414</v>
      </c>
      <c r="F4553" s="41">
        <v>0</v>
      </c>
      <c r="G4553" s="41">
        <v>0</v>
      </c>
      <c r="H4553" s="42"/>
      <c r="I4553" s="42"/>
      <c r="J4553" s="42"/>
    </row>
    <row r="4554" spans="5:10">
      <c r="E4554" s="43">
        <v>45341.499999984633</v>
      </c>
      <c r="F4554" s="41">
        <v>0</v>
      </c>
      <c r="G4554" s="41">
        <v>0</v>
      </c>
      <c r="H4554" s="42"/>
      <c r="I4554" s="42"/>
      <c r="J4554" s="42"/>
    </row>
    <row r="4555" spans="5:10">
      <c r="E4555" s="43">
        <v>45341.503472206852</v>
      </c>
      <c r="F4555" s="41">
        <v>0</v>
      </c>
      <c r="G4555" s="41">
        <v>0</v>
      </c>
      <c r="H4555" s="42"/>
      <c r="I4555" s="42"/>
      <c r="J4555" s="42"/>
    </row>
    <row r="4556" spans="5:10">
      <c r="E4556" s="43">
        <v>45341.506944429071</v>
      </c>
      <c r="F4556" s="41">
        <v>0</v>
      </c>
      <c r="G4556" s="41">
        <v>0</v>
      </c>
      <c r="H4556" s="42"/>
      <c r="I4556" s="42"/>
      <c r="J4556" s="42"/>
    </row>
    <row r="4557" spans="5:10">
      <c r="E4557" s="43">
        <v>45341.51041665129</v>
      </c>
      <c r="F4557" s="41">
        <v>0</v>
      </c>
      <c r="G4557" s="41">
        <v>0</v>
      </c>
      <c r="H4557" s="42"/>
      <c r="I4557" s="42"/>
      <c r="J4557" s="42"/>
    </row>
    <row r="4558" spans="5:10">
      <c r="E4558" s="43">
        <v>45341.513888873509</v>
      </c>
      <c r="F4558" s="41">
        <v>0</v>
      </c>
      <c r="G4558" s="41">
        <v>0</v>
      </c>
      <c r="H4558" s="42"/>
      <c r="I4558" s="42"/>
      <c r="J4558" s="42"/>
    </row>
    <row r="4559" spans="5:10">
      <c r="E4559" s="43">
        <v>45341.517361095728</v>
      </c>
      <c r="F4559" s="41">
        <v>0</v>
      </c>
      <c r="G4559" s="41">
        <v>0</v>
      </c>
      <c r="H4559" s="42"/>
      <c r="I4559" s="42"/>
      <c r="J4559" s="42"/>
    </row>
    <row r="4560" spans="5:10">
      <c r="E4560" s="43">
        <v>45341.520833317947</v>
      </c>
      <c r="F4560" s="41">
        <v>0</v>
      </c>
      <c r="G4560" s="41">
        <v>0</v>
      </c>
      <c r="H4560" s="42"/>
      <c r="I4560" s="42"/>
      <c r="J4560" s="42"/>
    </row>
    <row r="4561" spans="5:10">
      <c r="E4561" s="43">
        <v>45341.524305540166</v>
      </c>
      <c r="F4561" s="41">
        <v>0</v>
      </c>
      <c r="G4561" s="41">
        <v>0</v>
      </c>
      <c r="H4561" s="42"/>
      <c r="I4561" s="42"/>
      <c r="J4561" s="42"/>
    </row>
    <row r="4562" spans="5:10">
      <c r="E4562" s="43">
        <v>45341.527777762385</v>
      </c>
      <c r="F4562" s="41">
        <v>0</v>
      </c>
      <c r="G4562" s="41">
        <v>0</v>
      </c>
      <c r="H4562" s="42"/>
      <c r="I4562" s="42"/>
      <c r="J4562" s="42"/>
    </row>
    <row r="4563" spans="5:10">
      <c r="E4563" s="43">
        <v>45341.531249984604</v>
      </c>
      <c r="F4563" s="41">
        <v>0</v>
      </c>
      <c r="G4563" s="41">
        <v>0</v>
      </c>
      <c r="H4563" s="42"/>
      <c r="I4563" s="42"/>
      <c r="J4563" s="42"/>
    </row>
    <row r="4564" spans="5:10">
      <c r="E4564" s="43">
        <v>45341.534722206823</v>
      </c>
      <c r="F4564" s="41">
        <v>0</v>
      </c>
      <c r="G4564" s="41">
        <v>0</v>
      </c>
      <c r="H4564" s="42"/>
      <c r="I4564" s="42"/>
      <c r="J4564" s="42"/>
    </row>
    <row r="4565" spans="5:10">
      <c r="E4565" s="43">
        <v>45341.538194429042</v>
      </c>
      <c r="F4565" s="41">
        <v>0</v>
      </c>
      <c r="G4565" s="41">
        <v>0</v>
      </c>
      <c r="H4565" s="42"/>
      <c r="I4565" s="42"/>
      <c r="J4565" s="42"/>
    </row>
    <row r="4566" spans="5:10">
      <c r="E4566" s="43">
        <v>45341.541666651261</v>
      </c>
      <c r="F4566" s="41">
        <v>0</v>
      </c>
      <c r="G4566" s="41">
        <v>0</v>
      </c>
      <c r="H4566" s="42"/>
      <c r="I4566" s="42"/>
      <c r="J4566" s="42"/>
    </row>
    <row r="4567" spans="5:10">
      <c r="E4567" s="43">
        <v>45341.54513887348</v>
      </c>
      <c r="F4567" s="41">
        <v>0</v>
      </c>
      <c r="G4567" s="41">
        <v>0</v>
      </c>
      <c r="H4567" s="42"/>
      <c r="I4567" s="42"/>
      <c r="J4567" s="42"/>
    </row>
    <row r="4568" spans="5:10">
      <c r="E4568" s="43">
        <v>45341.548611095699</v>
      </c>
      <c r="F4568" s="41">
        <v>0</v>
      </c>
      <c r="G4568" s="41">
        <v>0</v>
      </c>
      <c r="H4568" s="42"/>
      <c r="I4568" s="42"/>
      <c r="J4568" s="42"/>
    </row>
    <row r="4569" spans="5:10">
      <c r="E4569" s="43">
        <v>45341.552083317918</v>
      </c>
      <c r="F4569" s="41">
        <v>0</v>
      </c>
      <c r="G4569" s="41">
        <v>0</v>
      </c>
      <c r="H4569" s="42"/>
      <c r="I4569" s="42"/>
      <c r="J4569" s="42"/>
    </row>
    <row r="4570" spans="5:10">
      <c r="E4570" s="43">
        <v>45341.555555540137</v>
      </c>
      <c r="F4570" s="41">
        <v>0</v>
      </c>
      <c r="G4570" s="41">
        <v>0</v>
      </c>
      <c r="H4570" s="42"/>
      <c r="I4570" s="42"/>
      <c r="J4570" s="42"/>
    </row>
    <row r="4571" spans="5:10">
      <c r="E4571" s="43">
        <v>45341.559027762356</v>
      </c>
      <c r="F4571" s="41">
        <v>0</v>
      </c>
      <c r="G4571" s="41">
        <v>0</v>
      </c>
      <c r="H4571" s="42"/>
      <c r="I4571" s="42"/>
      <c r="J4571" s="42"/>
    </row>
    <row r="4572" spans="5:10">
      <c r="E4572" s="43">
        <v>45341.562499984575</v>
      </c>
      <c r="F4572" s="41">
        <v>0</v>
      </c>
      <c r="G4572" s="41">
        <v>0</v>
      </c>
      <c r="H4572" s="42"/>
      <c r="I4572" s="42"/>
      <c r="J4572" s="42"/>
    </row>
    <row r="4573" spans="5:10">
      <c r="E4573" s="43">
        <v>45341.565972206794</v>
      </c>
      <c r="F4573" s="41">
        <v>0</v>
      </c>
      <c r="G4573" s="41">
        <v>0</v>
      </c>
      <c r="H4573" s="42"/>
      <c r="I4573" s="42"/>
      <c r="J4573" s="42"/>
    </row>
    <row r="4574" spans="5:10">
      <c r="E4574" s="43">
        <v>45341.569444429013</v>
      </c>
      <c r="F4574" s="41">
        <v>0</v>
      </c>
      <c r="G4574" s="41">
        <v>0</v>
      </c>
      <c r="H4574" s="42"/>
      <c r="I4574" s="42"/>
      <c r="J4574" s="42"/>
    </row>
    <row r="4575" spans="5:10">
      <c r="E4575" s="43">
        <v>45341.572916651232</v>
      </c>
      <c r="F4575" s="41">
        <v>0</v>
      </c>
      <c r="G4575" s="41">
        <v>0</v>
      </c>
      <c r="H4575" s="42"/>
      <c r="I4575" s="42"/>
      <c r="J4575" s="42"/>
    </row>
    <row r="4576" spans="5:10">
      <c r="E4576" s="43">
        <v>45341.576388873451</v>
      </c>
      <c r="F4576" s="41">
        <v>0</v>
      </c>
      <c r="G4576" s="41">
        <v>0</v>
      </c>
      <c r="H4576" s="42"/>
      <c r="I4576" s="42"/>
      <c r="J4576" s="42"/>
    </row>
    <row r="4577" spans="5:10">
      <c r="E4577" s="43">
        <v>45341.57986109567</v>
      </c>
      <c r="F4577" s="41">
        <v>0</v>
      </c>
      <c r="G4577" s="41">
        <v>0</v>
      </c>
      <c r="H4577" s="42"/>
      <c r="I4577" s="42"/>
      <c r="J4577" s="42"/>
    </row>
    <row r="4578" spans="5:10">
      <c r="E4578" s="43">
        <v>45341.583333317889</v>
      </c>
      <c r="F4578" s="41">
        <v>0</v>
      </c>
      <c r="G4578" s="41">
        <v>0</v>
      </c>
      <c r="H4578" s="42"/>
      <c r="I4578" s="42"/>
      <c r="J4578" s="42"/>
    </row>
    <row r="4579" spans="5:10">
      <c r="E4579" s="43">
        <v>45341.586805540108</v>
      </c>
      <c r="F4579" s="41">
        <v>0</v>
      </c>
      <c r="G4579" s="41">
        <v>0</v>
      </c>
      <c r="H4579" s="42"/>
      <c r="I4579" s="42"/>
      <c r="J4579" s="42"/>
    </row>
    <row r="4580" spans="5:10">
      <c r="E4580" s="43">
        <v>45341.590277762327</v>
      </c>
      <c r="F4580" s="41">
        <v>0</v>
      </c>
      <c r="G4580" s="41">
        <v>0</v>
      </c>
      <c r="H4580" s="42"/>
      <c r="I4580" s="42"/>
      <c r="J4580" s="42"/>
    </row>
    <row r="4581" spans="5:10">
      <c r="E4581" s="43">
        <v>45341.593749984546</v>
      </c>
      <c r="F4581" s="41">
        <v>0</v>
      </c>
      <c r="G4581" s="41">
        <v>0</v>
      </c>
      <c r="H4581" s="42"/>
      <c r="I4581" s="42"/>
      <c r="J4581" s="42"/>
    </row>
    <row r="4582" spans="5:10">
      <c r="E4582" s="43">
        <v>45341.597222206765</v>
      </c>
      <c r="F4582" s="41">
        <v>0</v>
      </c>
      <c r="G4582" s="41">
        <v>0</v>
      </c>
      <c r="H4582" s="42"/>
      <c r="I4582" s="42"/>
      <c r="J4582" s="42"/>
    </row>
    <row r="4583" spans="5:10">
      <c r="E4583" s="43">
        <v>45341.600694428984</v>
      </c>
      <c r="F4583" s="41">
        <v>0</v>
      </c>
      <c r="G4583" s="41">
        <v>0</v>
      </c>
      <c r="H4583" s="42"/>
      <c r="I4583" s="42"/>
      <c r="J4583" s="42"/>
    </row>
    <row r="4584" spans="5:10">
      <c r="E4584" s="43">
        <v>45341.604166651203</v>
      </c>
      <c r="F4584" s="41">
        <v>0</v>
      </c>
      <c r="G4584" s="41">
        <v>0</v>
      </c>
      <c r="H4584" s="42"/>
      <c r="I4584" s="42"/>
      <c r="J4584" s="42"/>
    </row>
    <row r="4585" spans="5:10">
      <c r="E4585" s="43">
        <v>45341.607638873422</v>
      </c>
      <c r="F4585" s="41">
        <v>0</v>
      </c>
      <c r="G4585" s="41">
        <v>0</v>
      </c>
      <c r="H4585" s="42"/>
      <c r="I4585" s="42"/>
      <c r="J4585" s="42"/>
    </row>
    <row r="4586" spans="5:10">
      <c r="E4586" s="43">
        <v>45341.611111095641</v>
      </c>
      <c r="F4586" s="41">
        <v>0</v>
      </c>
      <c r="G4586" s="41">
        <v>0</v>
      </c>
      <c r="H4586" s="42"/>
      <c r="I4586" s="42"/>
      <c r="J4586" s="42"/>
    </row>
    <row r="4587" spans="5:10">
      <c r="E4587" s="43">
        <v>45341.61458331786</v>
      </c>
      <c r="F4587" s="41">
        <v>0</v>
      </c>
      <c r="G4587" s="41">
        <v>0</v>
      </c>
      <c r="H4587" s="42"/>
      <c r="I4587" s="42"/>
      <c r="J4587" s="42"/>
    </row>
    <row r="4588" spans="5:10">
      <c r="E4588" s="43">
        <v>45341.618055540079</v>
      </c>
      <c r="F4588" s="41">
        <v>0</v>
      </c>
      <c r="G4588" s="41">
        <v>0</v>
      </c>
      <c r="H4588" s="42"/>
      <c r="I4588" s="42"/>
      <c r="J4588" s="42"/>
    </row>
    <row r="4589" spans="5:10">
      <c r="E4589" s="43">
        <v>45341.621527762298</v>
      </c>
      <c r="F4589" s="41">
        <v>0</v>
      </c>
      <c r="G4589" s="41">
        <v>0</v>
      </c>
      <c r="H4589" s="42"/>
      <c r="I4589" s="42"/>
      <c r="J4589" s="42"/>
    </row>
    <row r="4590" spans="5:10">
      <c r="E4590" s="43">
        <v>45341.624999984517</v>
      </c>
      <c r="F4590" s="41">
        <v>0</v>
      </c>
      <c r="G4590" s="41">
        <v>0</v>
      </c>
      <c r="H4590" s="42"/>
      <c r="I4590" s="42"/>
      <c r="J4590" s="42"/>
    </row>
    <row r="4591" spans="5:10">
      <c r="E4591" s="43">
        <v>45341.628472206736</v>
      </c>
      <c r="F4591" s="41">
        <v>0</v>
      </c>
      <c r="G4591" s="41">
        <v>0</v>
      </c>
      <c r="H4591" s="42"/>
      <c r="I4591" s="42"/>
      <c r="J4591" s="42"/>
    </row>
    <row r="4592" spans="5:10">
      <c r="E4592" s="43">
        <v>45341.631944428955</v>
      </c>
      <c r="F4592" s="41">
        <v>0</v>
      </c>
      <c r="G4592" s="41">
        <v>0</v>
      </c>
      <c r="H4592" s="42"/>
      <c r="I4592" s="42"/>
      <c r="J4592" s="42"/>
    </row>
    <row r="4593" spans="5:10">
      <c r="E4593" s="43">
        <v>45341.635416651174</v>
      </c>
      <c r="F4593" s="41">
        <v>0</v>
      </c>
      <c r="G4593" s="41">
        <v>0</v>
      </c>
      <c r="H4593" s="42"/>
      <c r="I4593" s="42"/>
      <c r="J4593" s="42"/>
    </row>
    <row r="4594" spans="5:10">
      <c r="E4594" s="43">
        <v>45341.638888873393</v>
      </c>
      <c r="F4594" s="41">
        <v>0</v>
      </c>
      <c r="G4594" s="41">
        <v>0</v>
      </c>
      <c r="H4594" s="42"/>
      <c r="I4594" s="42"/>
      <c r="J4594" s="42"/>
    </row>
    <row r="4595" spans="5:10">
      <c r="E4595" s="43">
        <v>45341.642361095612</v>
      </c>
      <c r="F4595" s="41">
        <v>0</v>
      </c>
      <c r="G4595" s="41">
        <v>0</v>
      </c>
      <c r="H4595" s="42"/>
      <c r="I4595" s="42"/>
      <c r="J4595" s="42"/>
    </row>
    <row r="4596" spans="5:10">
      <c r="E4596" s="43">
        <v>45341.645833317831</v>
      </c>
      <c r="F4596" s="41">
        <v>0</v>
      </c>
      <c r="G4596" s="41">
        <v>0</v>
      </c>
      <c r="H4596" s="42"/>
      <c r="I4596" s="42"/>
      <c r="J4596" s="42"/>
    </row>
    <row r="4597" spans="5:10">
      <c r="E4597" s="43">
        <v>45341.64930554005</v>
      </c>
      <c r="F4597" s="41">
        <v>0</v>
      </c>
      <c r="G4597" s="41">
        <v>0</v>
      </c>
      <c r="H4597" s="42"/>
      <c r="I4597" s="42"/>
      <c r="J4597" s="42"/>
    </row>
    <row r="4598" spans="5:10">
      <c r="E4598" s="43">
        <v>45341.652777762269</v>
      </c>
      <c r="F4598" s="41">
        <v>0</v>
      </c>
      <c r="G4598" s="41">
        <v>0</v>
      </c>
      <c r="H4598" s="42"/>
      <c r="I4598" s="42"/>
      <c r="J4598" s="42"/>
    </row>
    <row r="4599" spans="5:10">
      <c r="E4599" s="43">
        <v>45341.656249984488</v>
      </c>
      <c r="F4599" s="41">
        <v>0</v>
      </c>
      <c r="G4599" s="41">
        <v>0</v>
      </c>
      <c r="H4599" s="42"/>
      <c r="I4599" s="42"/>
      <c r="J4599" s="42"/>
    </row>
    <row r="4600" spans="5:10">
      <c r="E4600" s="43">
        <v>45341.659722206707</v>
      </c>
      <c r="F4600" s="41">
        <v>0</v>
      </c>
      <c r="G4600" s="41">
        <v>0</v>
      </c>
      <c r="H4600" s="42"/>
      <c r="I4600" s="42"/>
      <c r="J4600" s="42"/>
    </row>
    <row r="4601" spans="5:10">
      <c r="E4601" s="43">
        <v>45341.663194428926</v>
      </c>
      <c r="F4601" s="41">
        <v>0</v>
      </c>
      <c r="G4601" s="41">
        <v>0</v>
      </c>
      <c r="H4601" s="42"/>
      <c r="I4601" s="42"/>
      <c r="J4601" s="42"/>
    </row>
    <row r="4602" spans="5:10">
      <c r="E4602" s="43">
        <v>45341.666666651145</v>
      </c>
      <c r="F4602" s="41">
        <v>0</v>
      </c>
      <c r="G4602" s="41">
        <v>0</v>
      </c>
      <c r="H4602" s="42"/>
      <c r="I4602" s="42"/>
      <c r="J4602" s="42"/>
    </row>
    <row r="4603" spans="5:10">
      <c r="E4603" s="43">
        <v>45341.670138873364</v>
      </c>
      <c r="F4603" s="41">
        <v>0</v>
      </c>
      <c r="G4603" s="41">
        <v>0</v>
      </c>
      <c r="H4603" s="42"/>
      <c r="I4603" s="42"/>
      <c r="J4603" s="42"/>
    </row>
    <row r="4604" spans="5:10">
      <c r="E4604" s="43">
        <v>45341.673611095583</v>
      </c>
      <c r="F4604" s="41">
        <v>0</v>
      </c>
      <c r="G4604" s="41">
        <v>0</v>
      </c>
      <c r="H4604" s="42"/>
      <c r="I4604" s="42"/>
      <c r="J4604" s="42"/>
    </row>
    <row r="4605" spans="5:10">
      <c r="E4605" s="43">
        <v>45341.677083317802</v>
      </c>
      <c r="F4605" s="41">
        <v>0</v>
      </c>
      <c r="G4605" s="41">
        <v>0</v>
      </c>
      <c r="H4605" s="42"/>
      <c r="I4605" s="42"/>
      <c r="J4605" s="42"/>
    </row>
    <row r="4606" spans="5:10">
      <c r="E4606" s="43">
        <v>45341.680555540021</v>
      </c>
      <c r="F4606" s="41">
        <v>0</v>
      </c>
      <c r="G4606" s="41">
        <v>0</v>
      </c>
      <c r="H4606" s="42"/>
      <c r="I4606" s="42"/>
      <c r="J4606" s="42"/>
    </row>
    <row r="4607" spans="5:10">
      <c r="E4607" s="43">
        <v>45341.68402776224</v>
      </c>
      <c r="F4607" s="41">
        <v>0</v>
      </c>
      <c r="G4607" s="41">
        <v>0</v>
      </c>
      <c r="H4607" s="42"/>
      <c r="I4607" s="42"/>
      <c r="J4607" s="42"/>
    </row>
    <row r="4608" spans="5:10">
      <c r="E4608" s="43">
        <v>45341.687499984459</v>
      </c>
      <c r="F4608" s="41">
        <v>0</v>
      </c>
      <c r="G4608" s="41">
        <v>0</v>
      </c>
      <c r="H4608" s="42"/>
      <c r="I4608" s="42"/>
      <c r="J4608" s="42"/>
    </row>
    <row r="4609" spans="5:10">
      <c r="E4609" s="43">
        <v>45341.690972206678</v>
      </c>
      <c r="F4609" s="41">
        <v>0</v>
      </c>
      <c r="G4609" s="41">
        <v>0</v>
      </c>
      <c r="H4609" s="42"/>
      <c r="I4609" s="42"/>
      <c r="J4609" s="42"/>
    </row>
    <row r="4610" spans="5:10">
      <c r="E4610" s="43">
        <v>45341.694444428897</v>
      </c>
      <c r="F4610" s="41">
        <v>0</v>
      </c>
      <c r="G4610" s="41">
        <v>0</v>
      </c>
      <c r="H4610" s="42"/>
      <c r="I4610" s="42"/>
      <c r="J4610" s="42"/>
    </row>
    <row r="4611" spans="5:10">
      <c r="E4611" s="43">
        <v>45341.697916651116</v>
      </c>
      <c r="F4611" s="41">
        <v>0</v>
      </c>
      <c r="G4611" s="41">
        <v>0</v>
      </c>
      <c r="H4611" s="42"/>
      <c r="I4611" s="42"/>
      <c r="J4611" s="42"/>
    </row>
    <row r="4612" spans="5:10">
      <c r="E4612" s="43">
        <v>45341.701388873335</v>
      </c>
      <c r="F4612" s="41">
        <v>0</v>
      </c>
      <c r="G4612" s="41">
        <v>0</v>
      </c>
      <c r="H4612" s="42"/>
      <c r="I4612" s="42"/>
      <c r="J4612" s="42"/>
    </row>
    <row r="4613" spans="5:10">
      <c r="E4613" s="43">
        <v>45341.704861095553</v>
      </c>
      <c r="F4613" s="41">
        <v>0</v>
      </c>
      <c r="G4613" s="41">
        <v>0</v>
      </c>
      <c r="H4613" s="42"/>
      <c r="I4613" s="42"/>
      <c r="J4613" s="42"/>
    </row>
    <row r="4614" spans="5:10">
      <c r="E4614" s="43">
        <v>45341.708333317772</v>
      </c>
      <c r="F4614" s="41">
        <v>0</v>
      </c>
      <c r="G4614" s="41">
        <v>0</v>
      </c>
      <c r="H4614" s="42"/>
      <c r="I4614" s="42"/>
      <c r="J4614" s="42"/>
    </row>
    <row r="4615" spans="5:10">
      <c r="E4615" s="43">
        <v>45341.711805539991</v>
      </c>
      <c r="F4615" s="41">
        <v>0</v>
      </c>
      <c r="G4615" s="41">
        <v>0</v>
      </c>
      <c r="H4615" s="42"/>
      <c r="I4615" s="42"/>
      <c r="J4615" s="42"/>
    </row>
    <row r="4616" spans="5:10">
      <c r="E4616" s="43">
        <v>45341.71527776221</v>
      </c>
      <c r="F4616" s="41">
        <v>0</v>
      </c>
      <c r="G4616" s="41">
        <v>0</v>
      </c>
      <c r="H4616" s="42"/>
      <c r="I4616" s="42"/>
      <c r="J4616" s="42"/>
    </row>
    <row r="4617" spans="5:10">
      <c r="E4617" s="43">
        <v>45341.718749984429</v>
      </c>
      <c r="F4617" s="41">
        <v>0</v>
      </c>
      <c r="G4617" s="41">
        <v>0</v>
      </c>
      <c r="H4617" s="42"/>
      <c r="I4617" s="42"/>
      <c r="J4617" s="42"/>
    </row>
    <row r="4618" spans="5:10">
      <c r="E4618" s="43">
        <v>45341.722222206648</v>
      </c>
      <c r="F4618" s="41">
        <v>0</v>
      </c>
      <c r="G4618" s="41">
        <v>0</v>
      </c>
      <c r="H4618" s="42"/>
      <c r="I4618" s="42"/>
      <c r="J4618" s="42"/>
    </row>
    <row r="4619" spans="5:10">
      <c r="E4619" s="43">
        <v>45341.725694428867</v>
      </c>
      <c r="F4619" s="41">
        <v>0</v>
      </c>
      <c r="G4619" s="41">
        <v>0</v>
      </c>
      <c r="H4619" s="42"/>
      <c r="I4619" s="42"/>
      <c r="J4619" s="42"/>
    </row>
    <row r="4620" spans="5:10">
      <c r="E4620" s="43">
        <v>45341.729166651086</v>
      </c>
      <c r="F4620" s="41">
        <v>0</v>
      </c>
      <c r="G4620" s="41">
        <v>0</v>
      </c>
      <c r="H4620" s="42"/>
      <c r="I4620" s="42"/>
      <c r="J4620" s="42"/>
    </row>
    <row r="4621" spans="5:10">
      <c r="E4621" s="43">
        <v>45341.732638873305</v>
      </c>
      <c r="F4621" s="41">
        <v>0</v>
      </c>
      <c r="G4621" s="41">
        <v>0</v>
      </c>
      <c r="H4621" s="42"/>
      <c r="I4621" s="42"/>
      <c r="J4621" s="42"/>
    </row>
    <row r="4622" spans="5:10">
      <c r="E4622" s="43">
        <v>45341.736111095524</v>
      </c>
      <c r="F4622" s="41">
        <v>0</v>
      </c>
      <c r="G4622" s="41">
        <v>0</v>
      </c>
      <c r="H4622" s="42"/>
      <c r="I4622" s="42"/>
      <c r="J4622" s="42"/>
    </row>
    <row r="4623" spans="5:10">
      <c r="E4623" s="43">
        <v>45341.739583317743</v>
      </c>
      <c r="F4623" s="41">
        <v>0</v>
      </c>
      <c r="G4623" s="41">
        <v>0</v>
      </c>
      <c r="H4623" s="42"/>
      <c r="I4623" s="42"/>
      <c r="J4623" s="42"/>
    </row>
    <row r="4624" spans="5:10">
      <c r="E4624" s="43">
        <v>45341.743055539962</v>
      </c>
      <c r="F4624" s="41">
        <v>0</v>
      </c>
      <c r="G4624" s="41">
        <v>0</v>
      </c>
      <c r="H4624" s="42"/>
      <c r="I4624" s="42"/>
      <c r="J4624" s="42"/>
    </row>
    <row r="4625" spans="5:10">
      <c r="E4625" s="43">
        <v>45341.746527762181</v>
      </c>
      <c r="F4625" s="41">
        <v>0</v>
      </c>
      <c r="G4625" s="41">
        <v>0</v>
      </c>
      <c r="H4625" s="42"/>
      <c r="I4625" s="42"/>
      <c r="J4625" s="42"/>
    </row>
    <row r="4626" spans="5:10">
      <c r="E4626" s="43">
        <v>45341.7499999844</v>
      </c>
      <c r="F4626" s="41">
        <v>0</v>
      </c>
      <c r="G4626" s="41">
        <v>0</v>
      </c>
      <c r="H4626" s="42"/>
      <c r="I4626" s="42"/>
      <c r="J4626" s="42"/>
    </row>
    <row r="4627" spans="5:10">
      <c r="E4627" s="43">
        <v>45341.753472206619</v>
      </c>
      <c r="F4627" s="41">
        <v>0</v>
      </c>
      <c r="G4627" s="41">
        <v>0</v>
      </c>
      <c r="H4627" s="42"/>
      <c r="I4627" s="42"/>
      <c r="J4627" s="42"/>
    </row>
    <row r="4628" spans="5:10">
      <c r="E4628" s="43">
        <v>45341.756944428838</v>
      </c>
      <c r="F4628" s="41">
        <v>0</v>
      </c>
      <c r="G4628" s="41">
        <v>0</v>
      </c>
      <c r="H4628" s="42"/>
      <c r="I4628" s="42"/>
      <c r="J4628" s="42"/>
    </row>
    <row r="4629" spans="5:10">
      <c r="E4629" s="43">
        <v>45341.760416651057</v>
      </c>
      <c r="F4629" s="41">
        <v>0</v>
      </c>
      <c r="G4629" s="41">
        <v>0</v>
      </c>
      <c r="H4629" s="42"/>
      <c r="I4629" s="42"/>
      <c r="J4629" s="42"/>
    </row>
    <row r="4630" spans="5:10">
      <c r="E4630" s="43">
        <v>45341.763888873276</v>
      </c>
      <c r="F4630" s="41">
        <v>0</v>
      </c>
      <c r="G4630" s="41">
        <v>0</v>
      </c>
      <c r="H4630" s="42"/>
      <c r="I4630" s="42"/>
      <c r="J4630" s="42"/>
    </row>
    <row r="4631" spans="5:10">
      <c r="E4631" s="43">
        <v>45341.767361095495</v>
      </c>
      <c r="F4631" s="41">
        <v>0</v>
      </c>
      <c r="G4631" s="41">
        <v>0</v>
      </c>
      <c r="H4631" s="42"/>
      <c r="I4631" s="42"/>
      <c r="J4631" s="42"/>
    </row>
    <row r="4632" spans="5:10">
      <c r="E4632" s="43">
        <v>45341.770833317714</v>
      </c>
      <c r="F4632" s="41">
        <v>0</v>
      </c>
      <c r="G4632" s="41">
        <v>0</v>
      </c>
      <c r="H4632" s="42"/>
      <c r="I4632" s="42"/>
      <c r="J4632" s="42"/>
    </row>
    <row r="4633" spans="5:10">
      <c r="E4633" s="43">
        <v>45341.774305539933</v>
      </c>
      <c r="F4633" s="41">
        <v>0</v>
      </c>
      <c r="G4633" s="41">
        <v>0</v>
      </c>
      <c r="H4633" s="42"/>
      <c r="I4633" s="42"/>
      <c r="J4633" s="42"/>
    </row>
    <row r="4634" spans="5:10">
      <c r="E4634" s="43">
        <v>45341.777777762152</v>
      </c>
      <c r="F4634" s="41">
        <v>0</v>
      </c>
      <c r="G4634" s="41">
        <v>0</v>
      </c>
      <c r="H4634" s="42"/>
      <c r="I4634" s="42"/>
      <c r="J4634" s="42"/>
    </row>
    <row r="4635" spans="5:10">
      <c r="E4635" s="43">
        <v>45341.781249984371</v>
      </c>
      <c r="F4635" s="41">
        <v>0</v>
      </c>
      <c r="G4635" s="41">
        <v>0</v>
      </c>
      <c r="H4635" s="42"/>
      <c r="I4635" s="42"/>
      <c r="J4635" s="42"/>
    </row>
    <row r="4636" spans="5:10">
      <c r="E4636" s="43">
        <v>45341.78472220659</v>
      </c>
      <c r="F4636" s="41">
        <v>0</v>
      </c>
      <c r="G4636" s="41">
        <v>0</v>
      </c>
      <c r="H4636" s="42"/>
      <c r="I4636" s="42"/>
      <c r="J4636" s="42"/>
    </row>
    <row r="4637" spans="5:10">
      <c r="E4637" s="43">
        <v>45341.788194428809</v>
      </c>
      <c r="F4637" s="41">
        <v>0</v>
      </c>
      <c r="G4637" s="41">
        <v>0</v>
      </c>
      <c r="H4637" s="42"/>
      <c r="I4637" s="42"/>
      <c r="J4637" s="42"/>
    </row>
    <row r="4638" spans="5:10">
      <c r="E4638" s="43">
        <v>45341.791666651028</v>
      </c>
      <c r="F4638" s="41">
        <v>0</v>
      </c>
      <c r="G4638" s="41">
        <v>0</v>
      </c>
      <c r="H4638" s="42"/>
      <c r="I4638" s="42"/>
      <c r="J4638" s="42"/>
    </row>
    <row r="4639" spans="5:10">
      <c r="E4639" s="43">
        <v>45341.795138873247</v>
      </c>
      <c r="F4639" s="41">
        <v>0</v>
      </c>
      <c r="G4639" s="41">
        <v>0</v>
      </c>
      <c r="H4639" s="42"/>
      <c r="I4639" s="42"/>
      <c r="J4639" s="42"/>
    </row>
    <row r="4640" spans="5:10">
      <c r="E4640" s="43">
        <v>45341.798611095466</v>
      </c>
      <c r="F4640" s="41">
        <v>0</v>
      </c>
      <c r="G4640" s="41">
        <v>0</v>
      </c>
      <c r="H4640" s="42"/>
      <c r="I4640" s="42"/>
      <c r="J4640" s="42"/>
    </row>
    <row r="4641" spans="5:10">
      <c r="E4641" s="43">
        <v>45341.802083317685</v>
      </c>
      <c r="F4641" s="41">
        <v>0</v>
      </c>
      <c r="G4641" s="41">
        <v>0</v>
      </c>
      <c r="H4641" s="42"/>
      <c r="I4641" s="42"/>
      <c r="J4641" s="42"/>
    </row>
    <row r="4642" spans="5:10">
      <c r="E4642" s="43">
        <v>45341.805555539904</v>
      </c>
      <c r="F4642" s="41">
        <v>0</v>
      </c>
      <c r="G4642" s="41">
        <v>0</v>
      </c>
      <c r="H4642" s="42"/>
      <c r="I4642" s="42"/>
      <c r="J4642" s="42"/>
    </row>
    <row r="4643" spans="5:10">
      <c r="E4643" s="43">
        <v>45341.809027762123</v>
      </c>
      <c r="F4643" s="41">
        <v>0</v>
      </c>
      <c r="G4643" s="41">
        <v>0</v>
      </c>
      <c r="H4643" s="42"/>
      <c r="I4643" s="42"/>
      <c r="J4643" s="42"/>
    </row>
    <row r="4644" spans="5:10">
      <c r="E4644" s="43">
        <v>45341.812499984342</v>
      </c>
      <c r="F4644" s="41">
        <v>0</v>
      </c>
      <c r="G4644" s="41">
        <v>0</v>
      </c>
      <c r="H4644" s="42"/>
      <c r="I4644" s="42"/>
      <c r="J4644" s="42"/>
    </row>
    <row r="4645" spans="5:10">
      <c r="E4645" s="43">
        <v>45341.815972206561</v>
      </c>
      <c r="F4645" s="41">
        <v>0</v>
      </c>
      <c r="G4645" s="41">
        <v>0</v>
      </c>
      <c r="H4645" s="42"/>
      <c r="I4645" s="42"/>
      <c r="J4645" s="42"/>
    </row>
    <row r="4646" spans="5:10">
      <c r="E4646" s="43">
        <v>45341.81944442878</v>
      </c>
      <c r="F4646" s="41">
        <v>0</v>
      </c>
      <c r="G4646" s="41">
        <v>0</v>
      </c>
      <c r="H4646" s="42"/>
      <c r="I4646" s="42"/>
      <c r="J4646" s="42"/>
    </row>
    <row r="4647" spans="5:10">
      <c r="E4647" s="43">
        <v>45341.822916650999</v>
      </c>
      <c r="F4647" s="41">
        <v>0</v>
      </c>
      <c r="G4647" s="41">
        <v>0</v>
      </c>
      <c r="H4647" s="42"/>
      <c r="I4647" s="42"/>
      <c r="J4647" s="42"/>
    </row>
    <row r="4648" spans="5:10">
      <c r="E4648" s="43">
        <v>45341.826388873218</v>
      </c>
      <c r="F4648" s="41">
        <v>0</v>
      </c>
      <c r="G4648" s="41">
        <v>0</v>
      </c>
      <c r="H4648" s="42"/>
      <c r="I4648" s="42"/>
      <c r="J4648" s="42"/>
    </row>
    <row r="4649" spans="5:10">
      <c r="E4649" s="43">
        <v>45341.829861095437</v>
      </c>
      <c r="F4649" s="41">
        <v>0</v>
      </c>
      <c r="G4649" s="41">
        <v>0</v>
      </c>
      <c r="H4649" s="42"/>
      <c r="I4649" s="42"/>
      <c r="J4649" s="42"/>
    </row>
    <row r="4650" spans="5:10">
      <c r="E4650" s="43">
        <v>45341.833333317656</v>
      </c>
      <c r="F4650" s="41">
        <v>0</v>
      </c>
      <c r="G4650" s="41">
        <v>0</v>
      </c>
      <c r="H4650" s="42"/>
      <c r="I4650" s="42"/>
      <c r="J4650" s="42"/>
    </row>
    <row r="4651" spans="5:10">
      <c r="E4651" s="43">
        <v>45341.836805539875</v>
      </c>
      <c r="F4651" s="41">
        <v>0</v>
      </c>
      <c r="G4651" s="41">
        <v>0</v>
      </c>
      <c r="H4651" s="42"/>
      <c r="I4651" s="42"/>
      <c r="J4651" s="42"/>
    </row>
    <row r="4652" spans="5:10">
      <c r="E4652" s="43">
        <v>45341.840277762094</v>
      </c>
      <c r="F4652" s="41">
        <v>0</v>
      </c>
      <c r="G4652" s="41">
        <v>0</v>
      </c>
      <c r="H4652" s="42"/>
      <c r="I4652" s="42"/>
      <c r="J4652" s="42"/>
    </row>
    <row r="4653" spans="5:10">
      <c r="E4653" s="43">
        <v>45341.843749984313</v>
      </c>
      <c r="F4653" s="41">
        <v>0</v>
      </c>
      <c r="G4653" s="41">
        <v>0</v>
      </c>
      <c r="H4653" s="42"/>
      <c r="I4653" s="42"/>
      <c r="J4653" s="42"/>
    </row>
    <row r="4654" spans="5:10">
      <c r="E4654" s="43">
        <v>45341.847222206532</v>
      </c>
      <c r="F4654" s="41">
        <v>0</v>
      </c>
      <c r="G4654" s="41">
        <v>0</v>
      </c>
      <c r="H4654" s="42"/>
      <c r="I4654" s="42"/>
      <c r="J4654" s="42"/>
    </row>
    <row r="4655" spans="5:10">
      <c r="E4655" s="43">
        <v>45341.850694428751</v>
      </c>
      <c r="F4655" s="41">
        <v>0</v>
      </c>
      <c r="G4655" s="41">
        <v>0</v>
      </c>
      <c r="H4655" s="42"/>
      <c r="I4655" s="42"/>
      <c r="J4655" s="42"/>
    </row>
    <row r="4656" spans="5:10">
      <c r="E4656" s="43">
        <v>45341.85416665097</v>
      </c>
      <c r="F4656" s="41">
        <v>0</v>
      </c>
      <c r="G4656" s="41">
        <v>0</v>
      </c>
      <c r="H4656" s="42"/>
      <c r="I4656" s="42"/>
      <c r="J4656" s="42"/>
    </row>
    <row r="4657" spans="5:10">
      <c r="E4657" s="43">
        <v>45341.857638873189</v>
      </c>
      <c r="F4657" s="41">
        <v>0</v>
      </c>
      <c r="G4657" s="41">
        <v>0</v>
      </c>
      <c r="H4657" s="42"/>
      <c r="I4657" s="42"/>
      <c r="J4657" s="42"/>
    </row>
    <row r="4658" spans="5:10">
      <c r="E4658" s="43">
        <v>45341.861111095408</v>
      </c>
      <c r="F4658" s="41">
        <v>0</v>
      </c>
      <c r="G4658" s="41">
        <v>0</v>
      </c>
      <c r="H4658" s="42"/>
      <c r="I4658" s="42"/>
      <c r="J4658" s="42"/>
    </row>
    <row r="4659" spans="5:10">
      <c r="E4659" s="43">
        <v>45341.864583317627</v>
      </c>
      <c r="F4659" s="41">
        <v>0</v>
      </c>
      <c r="G4659" s="41">
        <v>0</v>
      </c>
      <c r="H4659" s="42"/>
      <c r="I4659" s="42"/>
      <c r="J4659" s="42"/>
    </row>
    <row r="4660" spans="5:10">
      <c r="E4660" s="43">
        <v>45341.868055539846</v>
      </c>
      <c r="F4660" s="41">
        <v>0</v>
      </c>
      <c r="G4660" s="41">
        <v>0</v>
      </c>
      <c r="H4660" s="42"/>
      <c r="I4660" s="42"/>
      <c r="J4660" s="42"/>
    </row>
    <row r="4661" spans="5:10">
      <c r="E4661" s="43">
        <v>45341.871527762065</v>
      </c>
      <c r="F4661" s="41">
        <v>0</v>
      </c>
      <c r="G4661" s="41">
        <v>0</v>
      </c>
      <c r="H4661" s="42"/>
      <c r="I4661" s="42"/>
      <c r="J4661" s="42"/>
    </row>
    <row r="4662" spans="5:10">
      <c r="E4662" s="43">
        <v>45341.874999984284</v>
      </c>
      <c r="F4662" s="41">
        <v>0</v>
      </c>
      <c r="G4662" s="41">
        <v>0</v>
      </c>
      <c r="H4662" s="42"/>
      <c r="I4662" s="42"/>
      <c r="J4662" s="42"/>
    </row>
    <row r="4663" spans="5:10">
      <c r="E4663" s="43">
        <v>45341.878472206503</v>
      </c>
      <c r="F4663" s="41">
        <v>0</v>
      </c>
      <c r="G4663" s="41">
        <v>0</v>
      </c>
      <c r="H4663" s="42"/>
      <c r="I4663" s="42"/>
      <c r="J4663" s="42"/>
    </row>
    <row r="4664" spans="5:10">
      <c r="E4664" s="43">
        <v>45341.881944428722</v>
      </c>
      <c r="F4664" s="41">
        <v>0</v>
      </c>
      <c r="G4664" s="41">
        <v>0</v>
      </c>
      <c r="H4664" s="42"/>
      <c r="I4664" s="42"/>
      <c r="J4664" s="42"/>
    </row>
    <row r="4665" spans="5:10">
      <c r="E4665" s="43">
        <v>45341.885416650941</v>
      </c>
      <c r="F4665" s="41">
        <v>0</v>
      </c>
      <c r="G4665" s="41">
        <v>0</v>
      </c>
      <c r="H4665" s="42"/>
      <c r="I4665" s="42"/>
      <c r="J4665" s="42"/>
    </row>
    <row r="4666" spans="5:10">
      <c r="E4666" s="43">
        <v>45341.88888887316</v>
      </c>
      <c r="F4666" s="41">
        <v>0</v>
      </c>
      <c r="G4666" s="41">
        <v>0</v>
      </c>
      <c r="H4666" s="42"/>
      <c r="I4666" s="42"/>
      <c r="J4666" s="42"/>
    </row>
    <row r="4667" spans="5:10">
      <c r="E4667" s="43">
        <v>45341.892361095379</v>
      </c>
      <c r="F4667" s="41">
        <v>0</v>
      </c>
      <c r="G4667" s="41">
        <v>0</v>
      </c>
      <c r="H4667" s="42"/>
      <c r="I4667" s="42"/>
      <c r="J4667" s="42"/>
    </row>
    <row r="4668" spans="5:10">
      <c r="E4668" s="43">
        <v>45341.895833317598</v>
      </c>
      <c r="F4668" s="41">
        <v>0</v>
      </c>
      <c r="G4668" s="41">
        <v>0</v>
      </c>
      <c r="H4668" s="42"/>
      <c r="I4668" s="42"/>
      <c r="J4668" s="42"/>
    </row>
    <row r="4669" spans="5:10">
      <c r="E4669" s="43">
        <v>45341.899305539817</v>
      </c>
      <c r="F4669" s="41">
        <v>0</v>
      </c>
      <c r="G4669" s="41">
        <v>0</v>
      </c>
      <c r="H4669" s="42"/>
      <c r="I4669" s="42"/>
      <c r="J4669" s="42"/>
    </row>
    <row r="4670" spans="5:10">
      <c r="E4670" s="43">
        <v>45341.902777762036</v>
      </c>
      <c r="F4670" s="41">
        <v>0</v>
      </c>
      <c r="G4670" s="41">
        <v>0</v>
      </c>
      <c r="H4670" s="42"/>
      <c r="I4670" s="42"/>
      <c r="J4670" s="42"/>
    </row>
    <row r="4671" spans="5:10">
      <c r="E4671" s="43">
        <v>45341.906249984255</v>
      </c>
      <c r="F4671" s="41">
        <v>0</v>
      </c>
      <c r="G4671" s="41">
        <v>0</v>
      </c>
      <c r="H4671" s="42"/>
      <c r="I4671" s="42"/>
      <c r="J4671" s="42"/>
    </row>
    <row r="4672" spans="5:10">
      <c r="E4672" s="43">
        <v>45341.909722206474</v>
      </c>
      <c r="F4672" s="41">
        <v>0</v>
      </c>
      <c r="G4672" s="41">
        <v>0</v>
      </c>
      <c r="H4672" s="42"/>
      <c r="I4672" s="42"/>
      <c r="J4672" s="42"/>
    </row>
    <row r="4673" spans="5:10">
      <c r="E4673" s="43">
        <v>45341.913194428693</v>
      </c>
      <c r="F4673" s="41">
        <v>0</v>
      </c>
      <c r="G4673" s="41">
        <v>0</v>
      </c>
      <c r="H4673" s="42"/>
      <c r="I4673" s="42"/>
      <c r="J4673" s="42"/>
    </row>
    <row r="4674" spans="5:10">
      <c r="E4674" s="43">
        <v>45341.916666650912</v>
      </c>
      <c r="F4674" s="41">
        <v>0</v>
      </c>
      <c r="G4674" s="41">
        <v>0</v>
      </c>
      <c r="H4674" s="42"/>
      <c r="I4674" s="42"/>
      <c r="J4674" s="42"/>
    </row>
    <row r="4675" spans="5:10">
      <c r="E4675" s="43">
        <v>45341.920138873131</v>
      </c>
      <c r="F4675" s="41">
        <v>0</v>
      </c>
      <c r="G4675" s="41">
        <v>0</v>
      </c>
      <c r="H4675" s="42"/>
      <c r="I4675" s="42"/>
      <c r="J4675" s="42"/>
    </row>
    <row r="4676" spans="5:10">
      <c r="E4676" s="43">
        <v>45341.92361109535</v>
      </c>
      <c r="F4676" s="41">
        <v>0</v>
      </c>
      <c r="G4676" s="41">
        <v>0</v>
      </c>
      <c r="H4676" s="42"/>
      <c r="I4676" s="42"/>
      <c r="J4676" s="42"/>
    </row>
    <row r="4677" spans="5:10">
      <c r="E4677" s="43">
        <v>45341.927083317569</v>
      </c>
      <c r="F4677" s="41">
        <v>0</v>
      </c>
      <c r="G4677" s="41">
        <v>0</v>
      </c>
      <c r="H4677" s="42"/>
      <c r="I4677" s="42"/>
      <c r="J4677" s="42"/>
    </row>
    <row r="4678" spans="5:10">
      <c r="E4678" s="43">
        <v>45341.930555539788</v>
      </c>
      <c r="F4678" s="41">
        <v>0</v>
      </c>
      <c r="G4678" s="41">
        <v>0</v>
      </c>
      <c r="H4678" s="42"/>
      <c r="I4678" s="42"/>
      <c r="J4678" s="42"/>
    </row>
    <row r="4679" spans="5:10">
      <c r="E4679" s="43">
        <v>45341.934027762007</v>
      </c>
      <c r="F4679" s="41">
        <v>0</v>
      </c>
      <c r="G4679" s="41">
        <v>0</v>
      </c>
      <c r="H4679" s="42"/>
      <c r="I4679" s="42"/>
      <c r="J4679" s="42"/>
    </row>
    <row r="4680" spans="5:10">
      <c r="E4680" s="43">
        <v>45341.937499984226</v>
      </c>
      <c r="F4680" s="41">
        <v>0</v>
      </c>
      <c r="G4680" s="41">
        <v>0</v>
      </c>
      <c r="H4680" s="42"/>
      <c r="I4680" s="42"/>
      <c r="J4680" s="42"/>
    </row>
    <row r="4681" spans="5:10">
      <c r="E4681" s="43">
        <v>45341.940972206445</v>
      </c>
      <c r="F4681" s="41">
        <v>0</v>
      </c>
      <c r="G4681" s="41">
        <v>0</v>
      </c>
      <c r="H4681" s="42"/>
      <c r="I4681" s="42"/>
      <c r="J4681" s="42"/>
    </row>
    <row r="4682" spans="5:10">
      <c r="E4682" s="43">
        <v>45341.944444428664</v>
      </c>
      <c r="F4682" s="41">
        <v>0</v>
      </c>
      <c r="G4682" s="41">
        <v>0</v>
      </c>
      <c r="H4682" s="42"/>
      <c r="I4682" s="42"/>
      <c r="J4682" s="42"/>
    </row>
    <row r="4683" spans="5:10">
      <c r="E4683" s="43">
        <v>45341.947916650883</v>
      </c>
      <c r="F4683" s="41">
        <v>0</v>
      </c>
      <c r="G4683" s="41">
        <v>0</v>
      </c>
      <c r="H4683" s="42"/>
      <c r="I4683" s="42"/>
      <c r="J4683" s="42"/>
    </row>
    <row r="4684" spans="5:10">
      <c r="E4684" s="43">
        <v>45341.951388873102</v>
      </c>
      <c r="F4684" s="41">
        <v>0</v>
      </c>
      <c r="G4684" s="41">
        <v>0</v>
      </c>
      <c r="H4684" s="42"/>
      <c r="I4684" s="42"/>
      <c r="J4684" s="42"/>
    </row>
    <row r="4685" spans="5:10">
      <c r="E4685" s="43">
        <v>45341.954861095321</v>
      </c>
      <c r="F4685" s="41">
        <v>0</v>
      </c>
      <c r="G4685" s="41">
        <v>0</v>
      </c>
      <c r="H4685" s="42"/>
      <c r="I4685" s="42"/>
      <c r="J4685" s="42"/>
    </row>
    <row r="4686" spans="5:10">
      <c r="E4686" s="43">
        <v>45341.95833331754</v>
      </c>
      <c r="F4686" s="41">
        <v>0</v>
      </c>
      <c r="G4686" s="41">
        <v>0</v>
      </c>
      <c r="H4686" s="42"/>
      <c r="I4686" s="42"/>
      <c r="J4686" s="42"/>
    </row>
    <row r="4687" spans="5:10">
      <c r="E4687" s="43">
        <v>45341.961805539759</v>
      </c>
      <c r="F4687" s="41">
        <v>0</v>
      </c>
      <c r="G4687" s="41">
        <v>0</v>
      </c>
      <c r="H4687" s="42"/>
      <c r="I4687" s="42"/>
      <c r="J4687" s="42"/>
    </row>
    <row r="4688" spans="5:10">
      <c r="E4688" s="43">
        <v>45341.965277761978</v>
      </c>
      <c r="F4688" s="41">
        <v>0</v>
      </c>
      <c r="G4688" s="41">
        <v>0</v>
      </c>
      <c r="H4688" s="42"/>
      <c r="I4688" s="42"/>
      <c r="J4688" s="42"/>
    </row>
    <row r="4689" spans="5:10">
      <c r="E4689" s="43">
        <v>45341.968749984197</v>
      </c>
      <c r="F4689" s="41">
        <v>0</v>
      </c>
      <c r="G4689" s="41">
        <v>0</v>
      </c>
      <c r="H4689" s="42"/>
      <c r="I4689" s="42"/>
      <c r="J4689" s="42"/>
    </row>
    <row r="4690" spans="5:10">
      <c r="E4690" s="43">
        <v>45341.972222206416</v>
      </c>
      <c r="F4690" s="41">
        <v>0</v>
      </c>
      <c r="G4690" s="41">
        <v>0</v>
      </c>
      <c r="H4690" s="42"/>
      <c r="I4690" s="42"/>
      <c r="J4690" s="42"/>
    </row>
    <row r="4691" spans="5:10">
      <c r="E4691" s="43">
        <v>45341.975694428635</v>
      </c>
      <c r="F4691" s="41">
        <v>0</v>
      </c>
      <c r="G4691" s="41">
        <v>0</v>
      </c>
      <c r="H4691" s="42"/>
      <c r="I4691" s="42"/>
      <c r="J4691" s="42"/>
    </row>
    <row r="4692" spans="5:10">
      <c r="E4692" s="43">
        <v>45341.979166650854</v>
      </c>
      <c r="F4692" s="41">
        <v>0</v>
      </c>
      <c r="G4692" s="41">
        <v>0</v>
      </c>
      <c r="H4692" s="42"/>
      <c r="I4692" s="42"/>
      <c r="J4692" s="42"/>
    </row>
    <row r="4693" spans="5:10">
      <c r="E4693" s="43">
        <v>45341.982638873073</v>
      </c>
      <c r="F4693" s="41">
        <v>0</v>
      </c>
      <c r="G4693" s="41">
        <v>0</v>
      </c>
      <c r="H4693" s="42"/>
      <c r="I4693" s="42"/>
      <c r="J4693" s="42"/>
    </row>
    <row r="4694" spans="5:10">
      <c r="E4694" s="43">
        <v>45341.986111095292</v>
      </c>
      <c r="F4694" s="41">
        <v>0</v>
      </c>
      <c r="G4694" s="41">
        <v>0</v>
      </c>
      <c r="H4694" s="42"/>
      <c r="I4694" s="42"/>
      <c r="J4694" s="42"/>
    </row>
    <row r="4695" spans="5:10">
      <c r="E4695" s="43">
        <v>45341.989583317511</v>
      </c>
      <c r="F4695" s="41">
        <v>0</v>
      </c>
      <c r="G4695" s="41">
        <v>0</v>
      </c>
      <c r="H4695" s="42"/>
      <c r="I4695" s="42"/>
      <c r="J4695" s="42"/>
    </row>
    <row r="4696" spans="5:10">
      <c r="E4696" s="43">
        <v>45341.99305553973</v>
      </c>
      <c r="F4696" s="41">
        <v>0</v>
      </c>
      <c r="G4696" s="41">
        <v>0</v>
      </c>
      <c r="H4696" s="42"/>
      <c r="I4696" s="42"/>
      <c r="J4696" s="42"/>
    </row>
    <row r="4697" spans="5:10">
      <c r="E4697" s="43">
        <v>45341.996527761949</v>
      </c>
      <c r="F4697" s="41">
        <v>0</v>
      </c>
      <c r="G4697" s="41">
        <v>0</v>
      </c>
      <c r="H4697" s="42"/>
      <c r="I4697" s="42"/>
      <c r="J4697" s="42"/>
    </row>
    <row r="4698" spans="5:10">
      <c r="E4698" s="43">
        <v>45341.999999984168</v>
      </c>
      <c r="F4698" s="41">
        <v>0</v>
      </c>
      <c r="G4698" s="41">
        <v>0</v>
      </c>
      <c r="H4698" s="42"/>
      <c r="I4698" s="42"/>
      <c r="J4698" s="42"/>
    </row>
    <row r="4699" spans="5:10">
      <c r="E4699" s="43">
        <v>45342.003472206387</v>
      </c>
      <c r="F4699" s="41">
        <v>0</v>
      </c>
      <c r="G4699" s="41">
        <v>0</v>
      </c>
      <c r="H4699" s="42"/>
      <c r="I4699" s="42"/>
      <c r="J4699" s="42"/>
    </row>
    <row r="4700" spans="5:10">
      <c r="E4700" s="43">
        <v>45342.006944428605</v>
      </c>
      <c r="F4700" s="41">
        <v>0</v>
      </c>
      <c r="G4700" s="41">
        <v>0</v>
      </c>
      <c r="H4700" s="42"/>
      <c r="I4700" s="42"/>
      <c r="J4700" s="42"/>
    </row>
    <row r="4701" spans="5:10">
      <c r="E4701" s="43">
        <v>45342.010416650824</v>
      </c>
      <c r="F4701" s="41">
        <v>0</v>
      </c>
      <c r="G4701" s="41">
        <v>0</v>
      </c>
      <c r="H4701" s="42"/>
      <c r="I4701" s="42"/>
      <c r="J4701" s="42"/>
    </row>
    <row r="4702" spans="5:10">
      <c r="E4702" s="43">
        <v>45342.013888873043</v>
      </c>
      <c r="F4702" s="41">
        <v>0</v>
      </c>
      <c r="G4702" s="41">
        <v>0</v>
      </c>
      <c r="H4702" s="42"/>
      <c r="I4702" s="42"/>
      <c r="J4702" s="42"/>
    </row>
    <row r="4703" spans="5:10">
      <c r="E4703" s="43">
        <v>45342.017361095262</v>
      </c>
      <c r="F4703" s="41">
        <v>0</v>
      </c>
      <c r="G4703" s="41">
        <v>0</v>
      </c>
      <c r="H4703" s="42"/>
      <c r="I4703" s="42"/>
      <c r="J4703" s="42"/>
    </row>
    <row r="4704" spans="5:10">
      <c r="E4704" s="43">
        <v>45342.020833317481</v>
      </c>
      <c r="F4704" s="41">
        <v>0</v>
      </c>
      <c r="G4704" s="41">
        <v>0</v>
      </c>
      <c r="H4704" s="42"/>
      <c r="I4704" s="42"/>
      <c r="J4704" s="42"/>
    </row>
    <row r="4705" spans="5:10">
      <c r="E4705" s="43">
        <v>45342.0243055397</v>
      </c>
      <c r="F4705" s="41">
        <v>0</v>
      </c>
      <c r="G4705" s="41">
        <v>0</v>
      </c>
      <c r="H4705" s="42"/>
      <c r="I4705" s="42"/>
      <c r="J4705" s="42"/>
    </row>
    <row r="4706" spans="5:10">
      <c r="E4706" s="43">
        <v>45342.027777761919</v>
      </c>
      <c r="F4706" s="41">
        <v>0</v>
      </c>
      <c r="G4706" s="41">
        <v>0</v>
      </c>
      <c r="H4706" s="42"/>
      <c r="I4706" s="42"/>
      <c r="J4706" s="42"/>
    </row>
    <row r="4707" spans="5:10">
      <c r="E4707" s="43">
        <v>45342.031249984138</v>
      </c>
      <c r="F4707" s="41">
        <v>0</v>
      </c>
      <c r="G4707" s="41">
        <v>0</v>
      </c>
      <c r="H4707" s="42"/>
      <c r="I4707" s="42"/>
      <c r="J4707" s="42"/>
    </row>
    <row r="4708" spans="5:10">
      <c r="E4708" s="43">
        <v>45342.034722206357</v>
      </c>
      <c r="F4708" s="41">
        <v>0</v>
      </c>
      <c r="G4708" s="41">
        <v>0</v>
      </c>
      <c r="H4708" s="42"/>
      <c r="I4708" s="42"/>
      <c r="J4708" s="42"/>
    </row>
    <row r="4709" spans="5:10">
      <c r="E4709" s="43">
        <v>45342.038194428576</v>
      </c>
      <c r="F4709" s="41">
        <v>0</v>
      </c>
      <c r="G4709" s="41">
        <v>0</v>
      </c>
      <c r="H4709" s="42"/>
      <c r="I4709" s="42"/>
      <c r="J4709" s="42"/>
    </row>
    <row r="4710" spans="5:10">
      <c r="E4710" s="43">
        <v>45342.041666650795</v>
      </c>
      <c r="F4710" s="41">
        <v>0</v>
      </c>
      <c r="G4710" s="41">
        <v>0</v>
      </c>
      <c r="H4710" s="42"/>
      <c r="I4710" s="42"/>
      <c r="J4710" s="42"/>
    </row>
    <row r="4711" spans="5:10">
      <c r="E4711" s="43">
        <v>45342.045138873014</v>
      </c>
      <c r="F4711" s="41">
        <v>0</v>
      </c>
      <c r="G4711" s="41">
        <v>0</v>
      </c>
      <c r="H4711" s="42"/>
      <c r="I4711" s="42"/>
      <c r="J4711" s="42"/>
    </row>
    <row r="4712" spans="5:10">
      <c r="E4712" s="43">
        <v>45342.048611095233</v>
      </c>
      <c r="F4712" s="41">
        <v>0</v>
      </c>
      <c r="G4712" s="41">
        <v>0</v>
      </c>
      <c r="H4712" s="42"/>
      <c r="I4712" s="42"/>
      <c r="J4712" s="42"/>
    </row>
    <row r="4713" spans="5:10">
      <c r="E4713" s="43">
        <v>45342.052083317452</v>
      </c>
      <c r="F4713" s="41">
        <v>0</v>
      </c>
      <c r="G4713" s="41">
        <v>0</v>
      </c>
      <c r="H4713" s="42"/>
      <c r="I4713" s="42"/>
      <c r="J4713" s="42"/>
    </row>
    <row r="4714" spans="5:10">
      <c r="E4714" s="43">
        <v>45342.055555539671</v>
      </c>
      <c r="F4714" s="41">
        <v>0</v>
      </c>
      <c r="G4714" s="41">
        <v>0</v>
      </c>
      <c r="H4714" s="42"/>
      <c r="I4714" s="42"/>
      <c r="J4714" s="42"/>
    </row>
    <row r="4715" spans="5:10">
      <c r="E4715" s="43">
        <v>45342.05902776189</v>
      </c>
      <c r="F4715" s="41">
        <v>0</v>
      </c>
      <c r="G4715" s="41">
        <v>0</v>
      </c>
      <c r="H4715" s="42"/>
      <c r="I4715" s="42"/>
      <c r="J4715" s="42"/>
    </row>
    <row r="4716" spans="5:10">
      <c r="E4716" s="43">
        <v>45342.062499984109</v>
      </c>
      <c r="F4716" s="41">
        <v>0</v>
      </c>
      <c r="G4716" s="41">
        <v>0</v>
      </c>
      <c r="H4716" s="42"/>
      <c r="I4716" s="42"/>
      <c r="J4716" s="42"/>
    </row>
    <row r="4717" spans="5:10">
      <c r="E4717" s="43">
        <v>45342.065972206328</v>
      </c>
      <c r="F4717" s="41">
        <v>0</v>
      </c>
      <c r="G4717" s="41">
        <v>0</v>
      </c>
      <c r="H4717" s="42"/>
      <c r="I4717" s="42"/>
      <c r="J4717" s="42"/>
    </row>
    <row r="4718" spans="5:10">
      <c r="E4718" s="43">
        <v>45342.069444428547</v>
      </c>
      <c r="F4718" s="41">
        <v>0</v>
      </c>
      <c r="G4718" s="41">
        <v>0</v>
      </c>
      <c r="H4718" s="42"/>
      <c r="I4718" s="42"/>
      <c r="J4718" s="42"/>
    </row>
    <row r="4719" spans="5:10">
      <c r="E4719" s="43">
        <v>45342.072916650766</v>
      </c>
      <c r="F4719" s="41">
        <v>0</v>
      </c>
      <c r="G4719" s="41">
        <v>0</v>
      </c>
      <c r="H4719" s="42"/>
      <c r="I4719" s="42"/>
      <c r="J4719" s="42"/>
    </row>
    <row r="4720" spans="5:10">
      <c r="E4720" s="43">
        <v>45342.076388872985</v>
      </c>
      <c r="F4720" s="41">
        <v>0</v>
      </c>
      <c r="G4720" s="41">
        <v>0</v>
      </c>
      <c r="H4720" s="42"/>
      <c r="I4720" s="42"/>
      <c r="J4720" s="42"/>
    </row>
    <row r="4721" spans="5:10">
      <c r="E4721" s="43">
        <v>45342.079861095204</v>
      </c>
      <c r="F4721" s="41">
        <v>0</v>
      </c>
      <c r="G4721" s="41">
        <v>0</v>
      </c>
      <c r="H4721" s="42"/>
      <c r="I4721" s="42"/>
      <c r="J4721" s="42"/>
    </row>
    <row r="4722" spans="5:10">
      <c r="E4722" s="43">
        <v>45342.083333317423</v>
      </c>
      <c r="F4722" s="41">
        <v>0</v>
      </c>
      <c r="G4722" s="41">
        <v>0</v>
      </c>
      <c r="H4722" s="42"/>
      <c r="I4722" s="42"/>
      <c r="J4722" s="42"/>
    </row>
    <row r="4723" spans="5:10">
      <c r="E4723" s="43">
        <v>45342.086805539642</v>
      </c>
      <c r="F4723" s="41">
        <v>0</v>
      </c>
      <c r="G4723" s="41">
        <v>0</v>
      </c>
      <c r="H4723" s="42"/>
      <c r="I4723" s="42"/>
      <c r="J4723" s="42"/>
    </row>
    <row r="4724" spans="5:10">
      <c r="E4724" s="43">
        <v>45342.090277761861</v>
      </c>
      <c r="F4724" s="41">
        <v>0</v>
      </c>
      <c r="G4724" s="41">
        <v>0</v>
      </c>
      <c r="H4724" s="42"/>
      <c r="I4724" s="42"/>
      <c r="J4724" s="42"/>
    </row>
    <row r="4725" spans="5:10">
      <c r="E4725" s="43">
        <v>45342.09374998408</v>
      </c>
      <c r="F4725" s="41">
        <v>0</v>
      </c>
      <c r="G4725" s="41">
        <v>0</v>
      </c>
      <c r="H4725" s="42"/>
      <c r="I4725" s="42"/>
      <c r="J4725" s="42"/>
    </row>
    <row r="4726" spans="5:10">
      <c r="E4726" s="43">
        <v>45342.097222206299</v>
      </c>
      <c r="F4726" s="41">
        <v>0</v>
      </c>
      <c r="G4726" s="41">
        <v>0</v>
      </c>
      <c r="H4726" s="42"/>
      <c r="I4726" s="42"/>
      <c r="J4726" s="42"/>
    </row>
    <row r="4727" spans="5:10">
      <c r="E4727" s="43">
        <v>45342.100694428518</v>
      </c>
      <c r="F4727" s="41">
        <v>0</v>
      </c>
      <c r="G4727" s="41">
        <v>0</v>
      </c>
      <c r="H4727" s="42"/>
      <c r="I4727" s="42"/>
      <c r="J4727" s="42"/>
    </row>
    <row r="4728" spans="5:10">
      <c r="E4728" s="43">
        <v>45342.104166650737</v>
      </c>
      <c r="F4728" s="41">
        <v>0</v>
      </c>
      <c r="G4728" s="41">
        <v>0</v>
      </c>
      <c r="H4728" s="42"/>
      <c r="I4728" s="42"/>
      <c r="J4728" s="42"/>
    </row>
    <row r="4729" spans="5:10">
      <c r="E4729" s="43">
        <v>45342.107638872956</v>
      </c>
      <c r="F4729" s="41">
        <v>0</v>
      </c>
      <c r="G4729" s="41">
        <v>0</v>
      </c>
      <c r="H4729" s="42"/>
      <c r="I4729" s="42"/>
      <c r="J4729" s="42"/>
    </row>
    <row r="4730" spans="5:10">
      <c r="E4730" s="43">
        <v>45342.111111095175</v>
      </c>
      <c r="F4730" s="41">
        <v>0</v>
      </c>
      <c r="G4730" s="41">
        <v>0</v>
      </c>
      <c r="H4730" s="42"/>
      <c r="I4730" s="42"/>
      <c r="J4730" s="42"/>
    </row>
    <row r="4731" spans="5:10">
      <c r="E4731" s="43">
        <v>45342.114583317394</v>
      </c>
      <c r="F4731" s="41">
        <v>0</v>
      </c>
      <c r="G4731" s="41">
        <v>0</v>
      </c>
      <c r="H4731" s="42"/>
      <c r="I4731" s="42"/>
      <c r="J4731" s="42"/>
    </row>
    <row r="4732" spans="5:10">
      <c r="E4732" s="43">
        <v>45342.118055539613</v>
      </c>
      <c r="F4732" s="41">
        <v>0</v>
      </c>
      <c r="G4732" s="41">
        <v>0</v>
      </c>
      <c r="H4732" s="42"/>
      <c r="I4732" s="42"/>
      <c r="J4732" s="42"/>
    </row>
    <row r="4733" spans="5:10">
      <c r="E4733" s="43">
        <v>45342.121527761832</v>
      </c>
      <c r="F4733" s="41">
        <v>0</v>
      </c>
      <c r="G4733" s="41">
        <v>0</v>
      </c>
      <c r="H4733" s="42"/>
      <c r="I4733" s="42"/>
      <c r="J4733" s="42"/>
    </row>
    <row r="4734" spans="5:10">
      <c r="E4734" s="43">
        <v>45342.124999984051</v>
      </c>
      <c r="F4734" s="41">
        <v>0</v>
      </c>
      <c r="G4734" s="41">
        <v>0</v>
      </c>
      <c r="H4734" s="42"/>
      <c r="I4734" s="42"/>
      <c r="J4734" s="42"/>
    </row>
    <row r="4735" spans="5:10">
      <c r="E4735" s="43">
        <v>45342.12847220627</v>
      </c>
      <c r="F4735" s="41">
        <v>0</v>
      </c>
      <c r="G4735" s="41">
        <v>0</v>
      </c>
      <c r="H4735" s="42"/>
      <c r="I4735" s="42"/>
      <c r="J4735" s="42"/>
    </row>
    <row r="4736" spans="5:10">
      <c r="E4736" s="43">
        <v>45342.131944428489</v>
      </c>
      <c r="F4736" s="41">
        <v>0</v>
      </c>
      <c r="G4736" s="41">
        <v>0</v>
      </c>
      <c r="H4736" s="42"/>
      <c r="I4736" s="42"/>
      <c r="J4736" s="42"/>
    </row>
    <row r="4737" spans="5:10">
      <c r="E4737" s="43">
        <v>45342.135416650708</v>
      </c>
      <c r="F4737" s="41">
        <v>0</v>
      </c>
      <c r="G4737" s="41">
        <v>0</v>
      </c>
      <c r="H4737" s="42"/>
      <c r="I4737" s="42"/>
      <c r="J4737" s="42"/>
    </row>
    <row r="4738" spans="5:10">
      <c r="E4738" s="43">
        <v>45342.138888872927</v>
      </c>
      <c r="F4738" s="41">
        <v>0</v>
      </c>
      <c r="G4738" s="41">
        <v>0</v>
      </c>
      <c r="H4738" s="42"/>
      <c r="I4738" s="42"/>
      <c r="J4738" s="42"/>
    </row>
    <row r="4739" spans="5:10">
      <c r="E4739" s="43">
        <v>45342.142361095146</v>
      </c>
      <c r="F4739" s="41">
        <v>0</v>
      </c>
      <c r="G4739" s="41">
        <v>0</v>
      </c>
      <c r="H4739" s="42"/>
      <c r="I4739" s="42"/>
      <c r="J4739" s="42"/>
    </row>
    <row r="4740" spans="5:10">
      <c r="E4740" s="43">
        <v>45342.145833317365</v>
      </c>
      <c r="F4740" s="41">
        <v>0</v>
      </c>
      <c r="G4740" s="41">
        <v>0</v>
      </c>
      <c r="H4740" s="42"/>
      <c r="I4740" s="42"/>
      <c r="J4740" s="42"/>
    </row>
    <row r="4741" spans="5:10">
      <c r="E4741" s="43">
        <v>45342.149305539584</v>
      </c>
      <c r="F4741" s="41">
        <v>0</v>
      </c>
      <c r="G4741" s="41">
        <v>0</v>
      </c>
      <c r="H4741" s="42"/>
      <c r="I4741" s="42"/>
      <c r="J4741" s="42"/>
    </row>
    <row r="4742" spans="5:10">
      <c r="E4742" s="43">
        <v>45342.152777761803</v>
      </c>
      <c r="F4742" s="41">
        <v>0</v>
      </c>
      <c r="G4742" s="41">
        <v>0</v>
      </c>
      <c r="H4742" s="42"/>
      <c r="I4742" s="42"/>
      <c r="J4742" s="42"/>
    </row>
    <row r="4743" spans="5:10">
      <c r="E4743" s="43">
        <v>45342.156249984022</v>
      </c>
      <c r="F4743" s="41">
        <v>0</v>
      </c>
      <c r="G4743" s="41">
        <v>0</v>
      </c>
      <c r="H4743" s="42"/>
      <c r="I4743" s="42"/>
      <c r="J4743" s="42"/>
    </row>
    <row r="4744" spans="5:10">
      <c r="E4744" s="43">
        <v>45342.159722206241</v>
      </c>
      <c r="F4744" s="41">
        <v>0</v>
      </c>
      <c r="G4744" s="41">
        <v>0</v>
      </c>
      <c r="H4744" s="42"/>
      <c r="I4744" s="42"/>
      <c r="J4744" s="42"/>
    </row>
    <row r="4745" spans="5:10">
      <c r="E4745" s="43">
        <v>45342.16319442846</v>
      </c>
      <c r="F4745" s="41">
        <v>0</v>
      </c>
      <c r="G4745" s="41">
        <v>0</v>
      </c>
      <c r="H4745" s="42"/>
      <c r="I4745" s="42"/>
      <c r="J4745" s="42"/>
    </row>
    <row r="4746" spans="5:10">
      <c r="E4746" s="43">
        <v>45342.166666650679</v>
      </c>
      <c r="F4746" s="41">
        <v>0</v>
      </c>
      <c r="G4746" s="41">
        <v>0</v>
      </c>
      <c r="H4746" s="42"/>
      <c r="I4746" s="42"/>
      <c r="J4746" s="42"/>
    </row>
    <row r="4747" spans="5:10">
      <c r="E4747" s="43">
        <v>45342.170138872898</v>
      </c>
      <c r="F4747" s="41">
        <v>0</v>
      </c>
      <c r="G4747" s="41">
        <v>0</v>
      </c>
      <c r="H4747" s="42"/>
      <c r="I4747" s="42"/>
      <c r="J4747" s="42"/>
    </row>
    <row r="4748" spans="5:10">
      <c r="E4748" s="43">
        <v>45342.173611095117</v>
      </c>
      <c r="F4748" s="41">
        <v>0</v>
      </c>
      <c r="G4748" s="41">
        <v>0</v>
      </c>
      <c r="H4748" s="42"/>
      <c r="I4748" s="42"/>
      <c r="J4748" s="42"/>
    </row>
    <row r="4749" spans="5:10">
      <c r="E4749" s="43">
        <v>45342.177083317336</v>
      </c>
      <c r="F4749" s="41">
        <v>0</v>
      </c>
      <c r="G4749" s="41">
        <v>0</v>
      </c>
      <c r="H4749" s="42"/>
      <c r="I4749" s="42"/>
      <c r="J4749" s="42"/>
    </row>
    <row r="4750" spans="5:10">
      <c r="E4750" s="43">
        <v>45342.180555539555</v>
      </c>
      <c r="F4750" s="41">
        <v>0</v>
      </c>
      <c r="G4750" s="41">
        <v>0</v>
      </c>
      <c r="H4750" s="42"/>
      <c r="I4750" s="42"/>
      <c r="J4750" s="42"/>
    </row>
    <row r="4751" spans="5:10">
      <c r="E4751" s="43">
        <v>45342.184027761774</v>
      </c>
      <c r="F4751" s="41">
        <v>0</v>
      </c>
      <c r="G4751" s="41">
        <v>0</v>
      </c>
      <c r="H4751" s="42"/>
      <c r="I4751" s="42"/>
      <c r="J4751" s="42"/>
    </row>
    <row r="4752" spans="5:10">
      <c r="E4752" s="43">
        <v>45342.187499983993</v>
      </c>
      <c r="F4752" s="41">
        <v>0</v>
      </c>
      <c r="G4752" s="41">
        <v>0</v>
      </c>
      <c r="H4752" s="42"/>
      <c r="I4752" s="42"/>
      <c r="J4752" s="42"/>
    </row>
    <row r="4753" spans="5:10">
      <c r="E4753" s="43">
        <v>45342.190972206212</v>
      </c>
      <c r="F4753" s="41">
        <v>0</v>
      </c>
      <c r="G4753" s="41">
        <v>0</v>
      </c>
      <c r="H4753" s="42"/>
      <c r="I4753" s="42"/>
      <c r="J4753" s="42"/>
    </row>
    <row r="4754" spans="5:10">
      <c r="E4754" s="43">
        <v>45342.194444428431</v>
      </c>
      <c r="F4754" s="41">
        <v>0</v>
      </c>
      <c r="G4754" s="41">
        <v>0</v>
      </c>
      <c r="H4754" s="42"/>
      <c r="I4754" s="42"/>
      <c r="J4754" s="42"/>
    </row>
    <row r="4755" spans="5:10">
      <c r="E4755" s="43">
        <v>45342.19791665065</v>
      </c>
      <c r="F4755" s="41">
        <v>0</v>
      </c>
      <c r="G4755" s="41">
        <v>0</v>
      </c>
      <c r="H4755" s="42"/>
      <c r="I4755" s="42"/>
      <c r="J4755" s="42"/>
    </row>
    <row r="4756" spans="5:10">
      <c r="E4756" s="43">
        <v>45342.201388872869</v>
      </c>
      <c r="F4756" s="41">
        <v>0</v>
      </c>
      <c r="G4756" s="41">
        <v>0</v>
      </c>
      <c r="H4756" s="42"/>
      <c r="I4756" s="42"/>
      <c r="J4756" s="42"/>
    </row>
    <row r="4757" spans="5:10">
      <c r="E4757" s="43">
        <v>45342.204861095088</v>
      </c>
      <c r="F4757" s="41">
        <v>0</v>
      </c>
      <c r="G4757" s="41">
        <v>0</v>
      </c>
      <c r="H4757" s="42"/>
      <c r="I4757" s="42"/>
      <c r="J4757" s="42"/>
    </row>
    <row r="4758" spans="5:10">
      <c r="E4758" s="43">
        <v>45342.208333317307</v>
      </c>
      <c r="F4758" s="41">
        <v>0</v>
      </c>
      <c r="G4758" s="41">
        <v>0</v>
      </c>
      <c r="H4758" s="42"/>
      <c r="I4758" s="42"/>
      <c r="J4758" s="42"/>
    </row>
    <row r="4759" spans="5:10">
      <c r="E4759" s="43">
        <v>45342.211805539526</v>
      </c>
      <c r="F4759" s="41">
        <v>0</v>
      </c>
      <c r="G4759" s="41">
        <v>0</v>
      </c>
      <c r="H4759" s="42"/>
      <c r="I4759" s="42"/>
      <c r="J4759" s="42"/>
    </row>
    <row r="4760" spans="5:10">
      <c r="E4760" s="43">
        <v>45342.215277761745</v>
      </c>
      <c r="F4760" s="41">
        <v>0</v>
      </c>
      <c r="G4760" s="41">
        <v>0</v>
      </c>
      <c r="H4760" s="42"/>
      <c r="I4760" s="42"/>
      <c r="J4760" s="42"/>
    </row>
    <row r="4761" spans="5:10">
      <c r="E4761" s="43">
        <v>45342.218749983964</v>
      </c>
      <c r="F4761" s="41">
        <v>0</v>
      </c>
      <c r="G4761" s="41">
        <v>0</v>
      </c>
      <c r="H4761" s="42"/>
      <c r="I4761" s="42"/>
      <c r="J4761" s="42"/>
    </row>
    <row r="4762" spans="5:10">
      <c r="E4762" s="43">
        <v>45342.222222206183</v>
      </c>
      <c r="F4762" s="41">
        <v>0</v>
      </c>
      <c r="G4762" s="41">
        <v>0</v>
      </c>
      <c r="H4762" s="42"/>
      <c r="I4762" s="42"/>
      <c r="J4762" s="42"/>
    </row>
    <row r="4763" spans="5:10">
      <c r="E4763" s="43">
        <v>45342.225694428402</v>
      </c>
      <c r="F4763" s="41">
        <v>0</v>
      </c>
      <c r="G4763" s="41">
        <v>0</v>
      </c>
      <c r="H4763" s="42"/>
      <c r="I4763" s="42"/>
      <c r="J4763" s="42"/>
    </row>
    <row r="4764" spans="5:10">
      <c r="E4764" s="43">
        <v>45342.229166650621</v>
      </c>
      <c r="F4764" s="41">
        <v>0</v>
      </c>
      <c r="G4764" s="41">
        <v>0</v>
      </c>
      <c r="H4764" s="42"/>
      <c r="I4764" s="42"/>
      <c r="J4764" s="42"/>
    </row>
    <row r="4765" spans="5:10">
      <c r="E4765" s="43">
        <v>45342.23263887284</v>
      </c>
      <c r="F4765" s="41">
        <v>0</v>
      </c>
      <c r="G4765" s="41">
        <v>0</v>
      </c>
      <c r="H4765" s="42"/>
      <c r="I4765" s="42"/>
      <c r="J4765" s="42"/>
    </row>
    <row r="4766" spans="5:10">
      <c r="E4766" s="43">
        <v>45342.236111095059</v>
      </c>
      <c r="F4766" s="41">
        <v>0</v>
      </c>
      <c r="G4766" s="41">
        <v>0</v>
      </c>
      <c r="H4766" s="42"/>
      <c r="I4766" s="42"/>
      <c r="J4766" s="42"/>
    </row>
    <row r="4767" spans="5:10">
      <c r="E4767" s="43">
        <v>45342.239583317278</v>
      </c>
      <c r="F4767" s="41">
        <v>0</v>
      </c>
      <c r="G4767" s="41">
        <v>0</v>
      </c>
      <c r="H4767" s="42"/>
      <c r="I4767" s="42"/>
      <c r="J4767" s="42"/>
    </row>
    <row r="4768" spans="5:10">
      <c r="E4768" s="43">
        <v>45342.243055539497</v>
      </c>
      <c r="F4768" s="41">
        <v>0</v>
      </c>
      <c r="G4768" s="41">
        <v>0</v>
      </c>
      <c r="H4768" s="42"/>
      <c r="I4768" s="42"/>
      <c r="J4768" s="42"/>
    </row>
    <row r="4769" spans="5:10">
      <c r="E4769" s="43">
        <v>45342.246527761716</v>
      </c>
      <c r="F4769" s="41">
        <v>0</v>
      </c>
      <c r="G4769" s="41">
        <v>0</v>
      </c>
      <c r="H4769" s="42"/>
      <c r="I4769" s="42"/>
      <c r="J4769" s="42"/>
    </row>
    <row r="4770" spans="5:10">
      <c r="E4770" s="43">
        <v>45342.249999983935</v>
      </c>
      <c r="F4770" s="41">
        <v>0</v>
      </c>
      <c r="G4770" s="41">
        <v>0</v>
      </c>
      <c r="H4770" s="42"/>
      <c r="I4770" s="42"/>
      <c r="J4770" s="42"/>
    </row>
    <row r="4771" spans="5:10">
      <c r="E4771" s="43">
        <v>45342.253472206154</v>
      </c>
      <c r="F4771" s="41">
        <v>0</v>
      </c>
      <c r="G4771" s="41">
        <v>0</v>
      </c>
      <c r="H4771" s="42"/>
      <c r="I4771" s="42"/>
      <c r="J4771" s="42"/>
    </row>
    <row r="4772" spans="5:10">
      <c r="E4772" s="43">
        <v>45342.256944428373</v>
      </c>
      <c r="F4772" s="41">
        <v>0</v>
      </c>
      <c r="G4772" s="41">
        <v>0</v>
      </c>
      <c r="H4772" s="42"/>
      <c r="I4772" s="42"/>
      <c r="J4772" s="42"/>
    </row>
    <row r="4773" spans="5:10">
      <c r="E4773" s="43">
        <v>45342.260416650592</v>
      </c>
      <c r="F4773" s="41">
        <v>0</v>
      </c>
      <c r="G4773" s="41">
        <v>0</v>
      </c>
      <c r="H4773" s="42"/>
      <c r="I4773" s="42"/>
      <c r="J4773" s="42"/>
    </row>
    <row r="4774" spans="5:10">
      <c r="E4774" s="43">
        <v>45342.263888872811</v>
      </c>
      <c r="F4774" s="41">
        <v>0</v>
      </c>
      <c r="G4774" s="41">
        <v>0</v>
      </c>
      <c r="H4774" s="42"/>
      <c r="I4774" s="42"/>
      <c r="J4774" s="42"/>
    </row>
    <row r="4775" spans="5:10">
      <c r="E4775" s="43">
        <v>45342.26736109503</v>
      </c>
      <c r="F4775" s="41">
        <v>0</v>
      </c>
      <c r="G4775" s="41">
        <v>0</v>
      </c>
      <c r="H4775" s="42"/>
      <c r="I4775" s="42"/>
      <c r="J4775" s="42"/>
    </row>
    <row r="4776" spans="5:10">
      <c r="E4776" s="43">
        <v>45342.270833317249</v>
      </c>
      <c r="F4776" s="41">
        <v>0</v>
      </c>
      <c r="G4776" s="41">
        <v>0</v>
      </c>
      <c r="H4776" s="42"/>
      <c r="I4776" s="42"/>
      <c r="J4776" s="42"/>
    </row>
    <row r="4777" spans="5:10">
      <c r="E4777" s="43">
        <v>45342.274305539468</v>
      </c>
      <c r="F4777" s="41">
        <v>0</v>
      </c>
      <c r="G4777" s="41">
        <v>0</v>
      </c>
      <c r="H4777" s="42"/>
      <c r="I4777" s="42"/>
      <c r="J4777" s="42"/>
    </row>
    <row r="4778" spans="5:10">
      <c r="E4778" s="43">
        <v>45342.277777761687</v>
      </c>
      <c r="F4778" s="41">
        <v>0</v>
      </c>
      <c r="G4778" s="41">
        <v>0</v>
      </c>
      <c r="H4778" s="42"/>
      <c r="I4778" s="42"/>
      <c r="J4778" s="42"/>
    </row>
    <row r="4779" spans="5:10">
      <c r="E4779" s="43">
        <v>45342.281249983906</v>
      </c>
      <c r="F4779" s="41">
        <v>0</v>
      </c>
      <c r="G4779" s="41">
        <v>0</v>
      </c>
      <c r="H4779" s="42"/>
      <c r="I4779" s="42"/>
      <c r="J4779" s="42"/>
    </row>
    <row r="4780" spans="5:10">
      <c r="E4780" s="43">
        <v>45342.284722206125</v>
      </c>
      <c r="F4780" s="41">
        <v>0</v>
      </c>
      <c r="G4780" s="41">
        <v>0</v>
      </c>
      <c r="H4780" s="42"/>
      <c r="I4780" s="42"/>
      <c r="J4780" s="42"/>
    </row>
    <row r="4781" spans="5:10">
      <c r="E4781" s="43">
        <v>45342.288194428344</v>
      </c>
      <c r="F4781" s="41">
        <v>0</v>
      </c>
      <c r="G4781" s="41">
        <v>0</v>
      </c>
      <c r="H4781" s="42"/>
      <c r="I4781" s="42"/>
      <c r="J4781" s="42"/>
    </row>
    <row r="4782" spans="5:10">
      <c r="E4782" s="43">
        <v>45342.291666650563</v>
      </c>
      <c r="F4782" s="41">
        <v>0</v>
      </c>
      <c r="G4782" s="41">
        <v>0</v>
      </c>
      <c r="H4782" s="42"/>
      <c r="I4782" s="42"/>
      <c r="J4782" s="42"/>
    </row>
    <row r="4783" spans="5:10">
      <c r="E4783" s="43">
        <v>45342.295138872782</v>
      </c>
      <c r="F4783" s="41">
        <v>0</v>
      </c>
      <c r="G4783" s="41">
        <v>0</v>
      </c>
      <c r="H4783" s="42"/>
      <c r="I4783" s="42"/>
      <c r="J4783" s="42"/>
    </row>
    <row r="4784" spans="5:10">
      <c r="E4784" s="43">
        <v>45342.298611095001</v>
      </c>
      <c r="F4784" s="41">
        <v>0</v>
      </c>
      <c r="G4784" s="41">
        <v>0</v>
      </c>
      <c r="H4784" s="42"/>
      <c r="I4784" s="42"/>
      <c r="J4784" s="42"/>
    </row>
    <row r="4785" spans="5:10">
      <c r="E4785" s="43">
        <v>45342.30208331722</v>
      </c>
      <c r="F4785" s="41">
        <v>0</v>
      </c>
      <c r="G4785" s="41">
        <v>0</v>
      </c>
      <c r="H4785" s="42"/>
      <c r="I4785" s="42"/>
      <c r="J4785" s="42"/>
    </row>
    <row r="4786" spans="5:10">
      <c r="E4786" s="43">
        <v>45342.305555539439</v>
      </c>
      <c r="F4786" s="41">
        <v>0</v>
      </c>
      <c r="G4786" s="41">
        <v>0</v>
      </c>
      <c r="H4786" s="42"/>
      <c r="I4786" s="42"/>
      <c r="J4786" s="42"/>
    </row>
    <row r="4787" spans="5:10">
      <c r="E4787" s="43">
        <v>45342.309027761657</v>
      </c>
      <c r="F4787" s="41">
        <v>0</v>
      </c>
      <c r="G4787" s="41">
        <v>0</v>
      </c>
      <c r="H4787" s="42"/>
      <c r="I4787" s="42"/>
      <c r="J4787" s="42"/>
    </row>
    <row r="4788" spans="5:10">
      <c r="E4788" s="43">
        <v>45342.312499983876</v>
      </c>
      <c r="F4788" s="41">
        <v>0</v>
      </c>
      <c r="G4788" s="41">
        <v>0</v>
      </c>
      <c r="H4788" s="42"/>
      <c r="I4788" s="42"/>
      <c r="J4788" s="42"/>
    </row>
    <row r="4789" spans="5:10">
      <c r="E4789" s="43">
        <v>45342.315972206095</v>
      </c>
      <c r="F4789" s="41">
        <v>0</v>
      </c>
      <c r="G4789" s="41">
        <v>0</v>
      </c>
      <c r="H4789" s="42"/>
      <c r="I4789" s="42"/>
      <c r="J4789" s="42"/>
    </row>
    <row r="4790" spans="5:10">
      <c r="E4790" s="43">
        <v>45342.319444428314</v>
      </c>
      <c r="F4790" s="41">
        <v>0</v>
      </c>
      <c r="G4790" s="41">
        <v>0</v>
      </c>
      <c r="H4790" s="42"/>
      <c r="I4790" s="42"/>
      <c r="J4790" s="42"/>
    </row>
    <row r="4791" spans="5:10">
      <c r="E4791" s="43">
        <v>45342.322916650533</v>
      </c>
      <c r="F4791" s="41">
        <v>0</v>
      </c>
      <c r="G4791" s="41">
        <v>0</v>
      </c>
      <c r="H4791" s="42"/>
      <c r="I4791" s="42"/>
      <c r="J4791" s="42"/>
    </row>
    <row r="4792" spans="5:10">
      <c r="E4792" s="43">
        <v>45342.326388872752</v>
      </c>
      <c r="F4792" s="41">
        <v>0</v>
      </c>
      <c r="G4792" s="41">
        <v>0</v>
      </c>
      <c r="H4792" s="42"/>
      <c r="I4792" s="42"/>
      <c r="J4792" s="42"/>
    </row>
    <row r="4793" spans="5:10">
      <c r="E4793" s="43">
        <v>45342.329861094971</v>
      </c>
      <c r="F4793" s="41">
        <v>0</v>
      </c>
      <c r="G4793" s="41">
        <v>0</v>
      </c>
      <c r="H4793" s="42"/>
      <c r="I4793" s="42"/>
      <c r="J4793" s="42"/>
    </row>
    <row r="4794" spans="5:10">
      <c r="E4794" s="43">
        <v>45342.33333331719</v>
      </c>
      <c r="F4794" s="41">
        <v>0</v>
      </c>
      <c r="G4794" s="41">
        <v>0</v>
      </c>
      <c r="H4794" s="42"/>
      <c r="I4794" s="42"/>
      <c r="J4794" s="42"/>
    </row>
    <row r="4795" spans="5:10">
      <c r="E4795" s="43">
        <v>45342.336805539409</v>
      </c>
      <c r="F4795" s="41">
        <v>0</v>
      </c>
      <c r="G4795" s="41">
        <v>0</v>
      </c>
      <c r="H4795" s="42"/>
      <c r="I4795" s="42"/>
      <c r="J4795" s="42"/>
    </row>
    <row r="4796" spans="5:10">
      <c r="E4796" s="43">
        <v>45342.340277761628</v>
      </c>
      <c r="F4796" s="41">
        <v>0</v>
      </c>
      <c r="G4796" s="41">
        <v>0</v>
      </c>
      <c r="H4796" s="42"/>
      <c r="I4796" s="42"/>
      <c r="J4796" s="42"/>
    </row>
    <row r="4797" spans="5:10">
      <c r="E4797" s="43">
        <v>45342.343749983847</v>
      </c>
      <c r="F4797" s="41">
        <v>0</v>
      </c>
      <c r="G4797" s="41">
        <v>0</v>
      </c>
      <c r="H4797" s="42"/>
      <c r="I4797" s="42"/>
      <c r="J4797" s="42"/>
    </row>
    <row r="4798" spans="5:10">
      <c r="E4798" s="43">
        <v>45342.347222206066</v>
      </c>
      <c r="F4798" s="41">
        <v>0</v>
      </c>
      <c r="G4798" s="41">
        <v>0</v>
      </c>
      <c r="H4798" s="42"/>
      <c r="I4798" s="42"/>
      <c r="J4798" s="42"/>
    </row>
    <row r="4799" spans="5:10">
      <c r="E4799" s="43">
        <v>45342.350694428285</v>
      </c>
      <c r="F4799" s="41">
        <v>0</v>
      </c>
      <c r="G4799" s="41">
        <v>0</v>
      </c>
      <c r="H4799" s="42"/>
      <c r="I4799" s="42"/>
      <c r="J4799" s="42"/>
    </row>
    <row r="4800" spans="5:10">
      <c r="E4800" s="43">
        <v>45342.354166650504</v>
      </c>
      <c r="F4800" s="41">
        <v>0</v>
      </c>
      <c r="G4800" s="41">
        <v>0</v>
      </c>
      <c r="H4800" s="42"/>
      <c r="I4800" s="42"/>
      <c r="J4800" s="42"/>
    </row>
    <row r="4801" spans="5:10">
      <c r="E4801" s="43">
        <v>45342.357638872723</v>
      </c>
      <c r="F4801" s="41">
        <v>0</v>
      </c>
      <c r="G4801" s="41">
        <v>0</v>
      </c>
      <c r="H4801" s="42"/>
      <c r="I4801" s="42"/>
      <c r="J4801" s="42"/>
    </row>
    <row r="4802" spans="5:10">
      <c r="E4802" s="43">
        <v>45342.361111094942</v>
      </c>
      <c r="F4802" s="41">
        <v>0</v>
      </c>
      <c r="G4802" s="41">
        <v>0</v>
      </c>
      <c r="H4802" s="42"/>
      <c r="I4802" s="42"/>
      <c r="J4802" s="42"/>
    </row>
    <row r="4803" spans="5:10">
      <c r="E4803" s="43">
        <v>45342.364583317161</v>
      </c>
      <c r="F4803" s="41">
        <v>0</v>
      </c>
      <c r="G4803" s="41">
        <v>0</v>
      </c>
      <c r="H4803" s="42"/>
      <c r="I4803" s="42"/>
      <c r="J4803" s="42"/>
    </row>
    <row r="4804" spans="5:10">
      <c r="E4804" s="43">
        <v>45342.36805553938</v>
      </c>
      <c r="F4804" s="41">
        <v>0</v>
      </c>
      <c r="G4804" s="41">
        <v>0</v>
      </c>
      <c r="H4804" s="42"/>
      <c r="I4804" s="42"/>
      <c r="J4804" s="42"/>
    </row>
    <row r="4805" spans="5:10">
      <c r="E4805" s="43">
        <v>45342.371527761599</v>
      </c>
      <c r="F4805" s="41">
        <v>0</v>
      </c>
      <c r="G4805" s="41">
        <v>0</v>
      </c>
      <c r="H4805" s="42"/>
      <c r="I4805" s="42"/>
      <c r="J4805" s="42"/>
    </row>
    <row r="4806" spans="5:10">
      <c r="E4806" s="43">
        <v>45342.374999983818</v>
      </c>
      <c r="F4806" s="41">
        <v>0</v>
      </c>
      <c r="G4806" s="41">
        <v>0</v>
      </c>
      <c r="H4806" s="42"/>
      <c r="I4806" s="42"/>
      <c r="J4806" s="42"/>
    </row>
    <row r="4807" spans="5:10">
      <c r="E4807" s="43">
        <v>45342.378472206037</v>
      </c>
      <c r="F4807" s="41">
        <v>0</v>
      </c>
      <c r="G4807" s="41">
        <v>0</v>
      </c>
      <c r="H4807" s="42"/>
      <c r="I4807" s="42"/>
      <c r="J4807" s="42"/>
    </row>
    <row r="4808" spans="5:10">
      <c r="E4808" s="43">
        <v>45342.381944428256</v>
      </c>
      <c r="F4808" s="41">
        <v>0</v>
      </c>
      <c r="G4808" s="41">
        <v>0</v>
      </c>
      <c r="H4808" s="42"/>
      <c r="I4808" s="42"/>
      <c r="J4808" s="42"/>
    </row>
    <row r="4809" spans="5:10">
      <c r="E4809" s="43">
        <v>45342.385416650475</v>
      </c>
      <c r="F4809" s="41">
        <v>0</v>
      </c>
      <c r="G4809" s="41">
        <v>0</v>
      </c>
      <c r="H4809" s="42"/>
      <c r="I4809" s="42"/>
      <c r="J4809" s="42"/>
    </row>
    <row r="4810" spans="5:10">
      <c r="E4810" s="43">
        <v>45342.388888872694</v>
      </c>
      <c r="F4810" s="41">
        <v>0</v>
      </c>
      <c r="G4810" s="41">
        <v>0</v>
      </c>
      <c r="H4810" s="42"/>
      <c r="I4810" s="42"/>
      <c r="J4810" s="42"/>
    </row>
    <row r="4811" spans="5:10">
      <c r="E4811" s="43">
        <v>45342.392361094913</v>
      </c>
      <c r="F4811" s="41">
        <v>0</v>
      </c>
      <c r="G4811" s="41">
        <v>0</v>
      </c>
      <c r="H4811" s="42"/>
      <c r="I4811" s="42"/>
      <c r="J4811" s="42"/>
    </row>
    <row r="4812" spans="5:10">
      <c r="E4812" s="43">
        <v>45342.395833317132</v>
      </c>
      <c r="F4812" s="41">
        <v>0</v>
      </c>
      <c r="G4812" s="41">
        <v>0</v>
      </c>
      <c r="H4812" s="42"/>
      <c r="I4812" s="42"/>
      <c r="J4812" s="42"/>
    </row>
    <row r="4813" spans="5:10">
      <c r="E4813" s="43">
        <v>45342.399305539351</v>
      </c>
      <c r="F4813" s="41">
        <v>0</v>
      </c>
      <c r="G4813" s="41">
        <v>0</v>
      </c>
      <c r="H4813" s="42"/>
      <c r="I4813" s="42"/>
      <c r="J4813" s="42"/>
    </row>
    <row r="4814" spans="5:10">
      <c r="E4814" s="43">
        <v>45342.40277776157</v>
      </c>
      <c r="F4814" s="41">
        <v>0</v>
      </c>
      <c r="G4814" s="41">
        <v>0</v>
      </c>
      <c r="H4814" s="42"/>
      <c r="I4814" s="42"/>
      <c r="J4814" s="42"/>
    </row>
    <row r="4815" spans="5:10">
      <c r="E4815" s="43">
        <v>45342.406249983789</v>
      </c>
      <c r="F4815" s="41">
        <v>0</v>
      </c>
      <c r="G4815" s="41">
        <v>0</v>
      </c>
      <c r="H4815" s="42"/>
      <c r="I4815" s="42"/>
      <c r="J4815" s="42"/>
    </row>
    <row r="4816" spans="5:10">
      <c r="E4816" s="43">
        <v>45342.409722206008</v>
      </c>
      <c r="F4816" s="41">
        <v>0</v>
      </c>
      <c r="G4816" s="41">
        <v>0</v>
      </c>
      <c r="H4816" s="42"/>
      <c r="I4816" s="42"/>
      <c r="J4816" s="42"/>
    </row>
    <row r="4817" spans="5:10">
      <c r="E4817" s="43">
        <v>45342.413194428227</v>
      </c>
      <c r="F4817" s="41">
        <v>0</v>
      </c>
      <c r="G4817" s="41">
        <v>0</v>
      </c>
      <c r="H4817" s="42"/>
      <c r="I4817" s="42"/>
      <c r="J4817" s="42"/>
    </row>
    <row r="4818" spans="5:10">
      <c r="E4818" s="43">
        <v>45342.416666650446</v>
      </c>
      <c r="F4818" s="41">
        <v>0</v>
      </c>
      <c r="G4818" s="41">
        <v>0</v>
      </c>
      <c r="H4818" s="42"/>
      <c r="I4818" s="42"/>
      <c r="J4818" s="42"/>
    </row>
    <row r="4819" spans="5:10">
      <c r="E4819" s="43">
        <v>45342.420138872665</v>
      </c>
      <c r="F4819" s="41">
        <v>0</v>
      </c>
      <c r="G4819" s="41">
        <v>0</v>
      </c>
      <c r="H4819" s="42"/>
      <c r="I4819" s="42"/>
      <c r="J4819" s="42"/>
    </row>
    <row r="4820" spans="5:10">
      <c r="E4820" s="43">
        <v>45342.423611094884</v>
      </c>
      <c r="F4820" s="41">
        <v>0</v>
      </c>
      <c r="G4820" s="41">
        <v>0</v>
      </c>
      <c r="H4820" s="42"/>
      <c r="I4820" s="42"/>
      <c r="J4820" s="42"/>
    </row>
    <row r="4821" spans="5:10">
      <c r="E4821" s="43">
        <v>45342.427083317103</v>
      </c>
      <c r="F4821" s="41">
        <v>0</v>
      </c>
      <c r="G4821" s="41">
        <v>0</v>
      </c>
      <c r="H4821" s="42"/>
      <c r="I4821" s="42"/>
      <c r="J4821" s="42"/>
    </row>
    <row r="4822" spans="5:10">
      <c r="E4822" s="43">
        <v>45342.430555539322</v>
      </c>
      <c r="F4822" s="41">
        <v>0</v>
      </c>
      <c r="G4822" s="41">
        <v>0</v>
      </c>
      <c r="H4822" s="42"/>
      <c r="I4822" s="42"/>
      <c r="J4822" s="42"/>
    </row>
    <row r="4823" spans="5:10">
      <c r="E4823" s="43">
        <v>45342.434027761541</v>
      </c>
      <c r="F4823" s="41">
        <v>0</v>
      </c>
      <c r="G4823" s="41">
        <v>0</v>
      </c>
      <c r="H4823" s="42"/>
      <c r="I4823" s="42"/>
      <c r="J4823" s="42"/>
    </row>
    <row r="4824" spans="5:10">
      <c r="E4824" s="43">
        <v>45342.43749998376</v>
      </c>
      <c r="F4824" s="41">
        <v>0</v>
      </c>
      <c r="G4824" s="41">
        <v>0</v>
      </c>
      <c r="H4824" s="42"/>
      <c r="I4824" s="42"/>
      <c r="J4824" s="42"/>
    </row>
    <row r="4825" spans="5:10">
      <c r="E4825" s="43">
        <v>45342.440972205979</v>
      </c>
      <c r="F4825" s="41">
        <v>0</v>
      </c>
      <c r="G4825" s="41">
        <v>0</v>
      </c>
      <c r="H4825" s="42"/>
      <c r="I4825" s="42"/>
      <c r="J4825" s="42"/>
    </row>
    <row r="4826" spans="5:10">
      <c r="E4826" s="43">
        <v>45342.444444428198</v>
      </c>
      <c r="F4826" s="41">
        <v>0</v>
      </c>
      <c r="G4826" s="41">
        <v>0</v>
      </c>
      <c r="H4826" s="42"/>
      <c r="I4826" s="42"/>
      <c r="J4826" s="42"/>
    </row>
    <row r="4827" spans="5:10">
      <c r="E4827" s="43">
        <v>45342.447916650417</v>
      </c>
      <c r="F4827" s="41">
        <v>0</v>
      </c>
      <c r="G4827" s="41">
        <v>0</v>
      </c>
      <c r="H4827" s="42"/>
      <c r="I4827" s="42"/>
      <c r="J4827" s="42"/>
    </row>
    <row r="4828" spans="5:10">
      <c r="E4828" s="43">
        <v>45342.451388872636</v>
      </c>
      <c r="F4828" s="41">
        <v>0</v>
      </c>
      <c r="G4828" s="41">
        <v>0</v>
      </c>
      <c r="H4828" s="42"/>
      <c r="I4828" s="42"/>
      <c r="J4828" s="42"/>
    </row>
    <row r="4829" spans="5:10">
      <c r="E4829" s="43">
        <v>45342.454861094855</v>
      </c>
      <c r="F4829" s="41">
        <v>0</v>
      </c>
      <c r="G4829" s="41">
        <v>0</v>
      </c>
      <c r="H4829" s="42"/>
      <c r="I4829" s="42"/>
      <c r="J4829" s="42"/>
    </row>
    <row r="4830" spans="5:10">
      <c r="E4830" s="43">
        <v>45342.458333317074</v>
      </c>
      <c r="F4830" s="41">
        <v>0</v>
      </c>
      <c r="G4830" s="41">
        <v>0</v>
      </c>
      <c r="H4830" s="42"/>
      <c r="I4830" s="42"/>
      <c r="J4830" s="42"/>
    </row>
    <row r="4831" spans="5:10">
      <c r="E4831" s="43">
        <v>45342.461805539293</v>
      </c>
      <c r="F4831" s="41">
        <v>0</v>
      </c>
      <c r="G4831" s="41">
        <v>0</v>
      </c>
      <c r="H4831" s="42"/>
      <c r="I4831" s="42"/>
      <c r="J4831" s="42"/>
    </row>
    <row r="4832" spans="5:10">
      <c r="E4832" s="43">
        <v>45342.465277761512</v>
      </c>
      <c r="F4832" s="41">
        <v>0</v>
      </c>
      <c r="G4832" s="41">
        <v>0</v>
      </c>
      <c r="H4832" s="42"/>
      <c r="I4832" s="42"/>
      <c r="J4832" s="42"/>
    </row>
    <row r="4833" spans="5:10">
      <c r="E4833" s="43">
        <v>45342.468749983731</v>
      </c>
      <c r="F4833" s="41">
        <v>0</v>
      </c>
      <c r="G4833" s="41">
        <v>0</v>
      </c>
      <c r="H4833" s="42"/>
      <c r="I4833" s="42"/>
      <c r="J4833" s="42"/>
    </row>
    <row r="4834" spans="5:10">
      <c r="E4834" s="43">
        <v>45342.47222220595</v>
      </c>
      <c r="F4834" s="41">
        <v>0</v>
      </c>
      <c r="G4834" s="41">
        <v>0</v>
      </c>
      <c r="H4834" s="42"/>
      <c r="I4834" s="42"/>
      <c r="J4834" s="42"/>
    </row>
    <row r="4835" spans="5:10">
      <c r="E4835" s="43">
        <v>45342.475694428169</v>
      </c>
      <c r="F4835" s="41">
        <v>0</v>
      </c>
      <c r="G4835" s="41">
        <v>0</v>
      </c>
      <c r="H4835" s="42"/>
      <c r="I4835" s="42"/>
      <c r="J4835" s="42"/>
    </row>
    <row r="4836" spans="5:10">
      <c r="E4836" s="43">
        <v>45342.479166650388</v>
      </c>
      <c r="F4836" s="41">
        <v>0</v>
      </c>
      <c r="G4836" s="41">
        <v>0</v>
      </c>
      <c r="H4836" s="42"/>
      <c r="I4836" s="42"/>
      <c r="J4836" s="42"/>
    </row>
    <row r="4837" spans="5:10">
      <c r="E4837" s="43">
        <v>45342.482638872607</v>
      </c>
      <c r="F4837" s="41">
        <v>0</v>
      </c>
      <c r="G4837" s="41">
        <v>0</v>
      </c>
      <c r="H4837" s="42"/>
      <c r="I4837" s="42"/>
      <c r="J4837" s="42"/>
    </row>
    <row r="4838" spans="5:10">
      <c r="E4838" s="43">
        <v>45342.486111094826</v>
      </c>
      <c r="F4838" s="41">
        <v>0</v>
      </c>
      <c r="G4838" s="41">
        <v>0</v>
      </c>
      <c r="H4838" s="42"/>
      <c r="I4838" s="42"/>
      <c r="J4838" s="42"/>
    </row>
    <row r="4839" spans="5:10">
      <c r="E4839" s="43">
        <v>45342.489583317045</v>
      </c>
      <c r="F4839" s="41">
        <v>0</v>
      </c>
      <c r="G4839" s="41">
        <v>0</v>
      </c>
      <c r="H4839" s="42"/>
      <c r="I4839" s="42"/>
      <c r="J4839" s="42"/>
    </row>
    <row r="4840" spans="5:10">
      <c r="E4840" s="43">
        <v>45342.493055539264</v>
      </c>
      <c r="F4840" s="41">
        <v>0</v>
      </c>
      <c r="G4840" s="41">
        <v>0</v>
      </c>
      <c r="H4840" s="42"/>
      <c r="I4840" s="42"/>
      <c r="J4840" s="42"/>
    </row>
    <row r="4841" spans="5:10">
      <c r="E4841" s="43">
        <v>45342.496527761483</v>
      </c>
      <c r="F4841" s="41">
        <v>0</v>
      </c>
      <c r="G4841" s="41">
        <v>0</v>
      </c>
      <c r="H4841" s="42"/>
      <c r="I4841" s="42"/>
      <c r="J4841" s="42"/>
    </row>
    <row r="4842" spans="5:10">
      <c r="E4842" s="43">
        <v>45342.499999983702</v>
      </c>
      <c r="F4842" s="41">
        <v>0</v>
      </c>
      <c r="G4842" s="41">
        <v>0</v>
      </c>
      <c r="H4842" s="42"/>
      <c r="I4842" s="42"/>
      <c r="J4842" s="42"/>
    </row>
    <row r="4843" spans="5:10">
      <c r="E4843" s="43">
        <v>45342.503472205921</v>
      </c>
      <c r="F4843" s="41">
        <v>0</v>
      </c>
      <c r="G4843" s="41">
        <v>0</v>
      </c>
      <c r="H4843" s="42"/>
      <c r="I4843" s="42"/>
      <c r="J4843" s="42"/>
    </row>
    <row r="4844" spans="5:10">
      <c r="E4844" s="43">
        <v>45342.50694442814</v>
      </c>
      <c r="F4844" s="41">
        <v>0</v>
      </c>
      <c r="G4844" s="41">
        <v>0</v>
      </c>
      <c r="H4844" s="42"/>
      <c r="I4844" s="42"/>
      <c r="J4844" s="42"/>
    </row>
    <row r="4845" spans="5:10">
      <c r="E4845" s="43">
        <v>45342.510416650359</v>
      </c>
      <c r="F4845" s="41">
        <v>0</v>
      </c>
      <c r="G4845" s="41">
        <v>0</v>
      </c>
      <c r="H4845" s="42"/>
      <c r="I4845" s="42"/>
      <c r="J4845" s="42"/>
    </row>
    <row r="4846" spans="5:10">
      <c r="E4846" s="43">
        <v>45342.513888872578</v>
      </c>
      <c r="F4846" s="41">
        <v>0</v>
      </c>
      <c r="G4846" s="41">
        <v>0</v>
      </c>
      <c r="H4846" s="42"/>
      <c r="I4846" s="42"/>
      <c r="J4846" s="42"/>
    </row>
    <row r="4847" spans="5:10">
      <c r="E4847" s="43">
        <v>45342.517361094797</v>
      </c>
      <c r="F4847" s="41">
        <v>0</v>
      </c>
      <c r="G4847" s="41">
        <v>0</v>
      </c>
      <c r="H4847" s="42"/>
      <c r="I4847" s="42"/>
      <c r="J4847" s="42"/>
    </row>
    <row r="4848" spans="5:10">
      <c r="E4848" s="43">
        <v>45342.520833317016</v>
      </c>
      <c r="F4848" s="41">
        <v>0</v>
      </c>
      <c r="G4848" s="41">
        <v>0</v>
      </c>
      <c r="H4848" s="42"/>
      <c r="I4848" s="42"/>
      <c r="J4848" s="42"/>
    </row>
    <row r="4849" spans="5:10">
      <c r="E4849" s="43">
        <v>45342.524305539235</v>
      </c>
      <c r="F4849" s="41">
        <v>0</v>
      </c>
      <c r="G4849" s="41">
        <v>0</v>
      </c>
      <c r="H4849" s="42"/>
      <c r="I4849" s="42"/>
      <c r="J4849" s="42"/>
    </row>
    <row r="4850" spans="5:10">
      <c r="E4850" s="43">
        <v>45342.527777761454</v>
      </c>
      <c r="F4850" s="41">
        <v>0</v>
      </c>
      <c r="G4850" s="41">
        <v>0</v>
      </c>
      <c r="H4850" s="42"/>
      <c r="I4850" s="42"/>
      <c r="J4850" s="42"/>
    </row>
    <row r="4851" spans="5:10">
      <c r="E4851" s="43">
        <v>45342.531249983673</v>
      </c>
      <c r="F4851" s="41">
        <v>0</v>
      </c>
      <c r="G4851" s="41">
        <v>0</v>
      </c>
      <c r="H4851" s="42"/>
      <c r="I4851" s="42"/>
      <c r="J4851" s="42"/>
    </row>
    <row r="4852" spans="5:10">
      <c r="E4852" s="43">
        <v>45342.534722205892</v>
      </c>
      <c r="F4852" s="41">
        <v>0</v>
      </c>
      <c r="G4852" s="41">
        <v>0</v>
      </c>
      <c r="H4852" s="42"/>
      <c r="I4852" s="42"/>
      <c r="J4852" s="42"/>
    </row>
    <row r="4853" spans="5:10">
      <c r="E4853" s="43">
        <v>45342.538194428111</v>
      </c>
      <c r="F4853" s="41">
        <v>0</v>
      </c>
      <c r="G4853" s="41">
        <v>0</v>
      </c>
      <c r="H4853" s="42"/>
      <c r="I4853" s="42"/>
      <c r="J4853" s="42"/>
    </row>
    <row r="4854" spans="5:10">
      <c r="E4854" s="43">
        <v>45342.54166665033</v>
      </c>
      <c r="F4854" s="41">
        <v>0</v>
      </c>
      <c r="G4854" s="41">
        <v>0</v>
      </c>
      <c r="H4854" s="42"/>
      <c r="I4854" s="42"/>
      <c r="J4854" s="42"/>
    </row>
    <row r="4855" spans="5:10">
      <c r="E4855" s="43">
        <v>45342.545138872549</v>
      </c>
      <c r="F4855" s="41">
        <v>0</v>
      </c>
      <c r="G4855" s="41">
        <v>0</v>
      </c>
      <c r="H4855" s="42"/>
      <c r="I4855" s="42"/>
      <c r="J4855" s="42"/>
    </row>
    <row r="4856" spans="5:10">
      <c r="E4856" s="43">
        <v>45342.548611094768</v>
      </c>
      <c r="F4856" s="41">
        <v>0</v>
      </c>
      <c r="G4856" s="41">
        <v>0</v>
      </c>
      <c r="H4856" s="42"/>
      <c r="I4856" s="42"/>
      <c r="J4856" s="42"/>
    </row>
    <row r="4857" spans="5:10">
      <c r="E4857" s="43">
        <v>45342.552083316987</v>
      </c>
      <c r="F4857" s="41">
        <v>0</v>
      </c>
      <c r="G4857" s="41">
        <v>0</v>
      </c>
      <c r="H4857" s="42"/>
      <c r="I4857" s="42"/>
      <c r="J4857" s="42"/>
    </row>
    <row r="4858" spans="5:10">
      <c r="E4858" s="43">
        <v>45342.555555539206</v>
      </c>
      <c r="F4858" s="41">
        <v>0</v>
      </c>
      <c r="G4858" s="41">
        <v>0</v>
      </c>
      <c r="H4858" s="42"/>
      <c r="I4858" s="42"/>
      <c r="J4858" s="42"/>
    </row>
    <row r="4859" spans="5:10">
      <c r="E4859" s="43">
        <v>45342.559027761425</v>
      </c>
      <c r="F4859" s="41">
        <v>0</v>
      </c>
      <c r="G4859" s="41">
        <v>0</v>
      </c>
      <c r="H4859" s="42"/>
      <c r="I4859" s="42"/>
      <c r="J4859" s="42"/>
    </row>
    <row r="4860" spans="5:10">
      <c r="E4860" s="43">
        <v>45342.562499983644</v>
      </c>
      <c r="F4860" s="41">
        <v>0</v>
      </c>
      <c r="G4860" s="41">
        <v>0</v>
      </c>
      <c r="H4860" s="42"/>
      <c r="I4860" s="42"/>
      <c r="J4860" s="42"/>
    </row>
    <row r="4861" spans="5:10">
      <c r="E4861" s="43">
        <v>45342.565972205863</v>
      </c>
      <c r="F4861" s="41">
        <v>0</v>
      </c>
      <c r="G4861" s="41">
        <v>0</v>
      </c>
      <c r="H4861" s="42"/>
      <c r="I4861" s="42"/>
      <c r="J4861" s="42"/>
    </row>
    <row r="4862" spans="5:10">
      <c r="E4862" s="43">
        <v>45342.569444428082</v>
      </c>
      <c r="F4862" s="41">
        <v>0</v>
      </c>
      <c r="G4862" s="41">
        <v>0</v>
      </c>
      <c r="H4862" s="42"/>
      <c r="I4862" s="42"/>
      <c r="J4862" s="42"/>
    </row>
    <row r="4863" spans="5:10">
      <c r="E4863" s="43">
        <v>45342.572916650301</v>
      </c>
      <c r="F4863" s="41">
        <v>0</v>
      </c>
      <c r="G4863" s="41">
        <v>0</v>
      </c>
      <c r="H4863" s="42"/>
      <c r="I4863" s="42"/>
      <c r="J4863" s="42"/>
    </row>
    <row r="4864" spans="5:10">
      <c r="E4864" s="43">
        <v>45342.57638887252</v>
      </c>
      <c r="F4864" s="41">
        <v>0</v>
      </c>
      <c r="G4864" s="41">
        <v>0</v>
      </c>
      <c r="H4864" s="42"/>
      <c r="I4864" s="42"/>
      <c r="J4864" s="42"/>
    </row>
    <row r="4865" spans="5:10">
      <c r="E4865" s="43">
        <v>45342.579861094739</v>
      </c>
      <c r="F4865" s="41">
        <v>0</v>
      </c>
      <c r="G4865" s="41">
        <v>0</v>
      </c>
      <c r="H4865" s="42"/>
      <c r="I4865" s="42"/>
      <c r="J4865" s="42"/>
    </row>
    <row r="4866" spans="5:10">
      <c r="E4866" s="43">
        <v>45342.583333316958</v>
      </c>
      <c r="F4866" s="41">
        <v>0</v>
      </c>
      <c r="G4866" s="41">
        <v>0</v>
      </c>
      <c r="H4866" s="42"/>
      <c r="I4866" s="42"/>
      <c r="J4866" s="42"/>
    </row>
    <row r="4867" spans="5:10">
      <c r="E4867" s="43">
        <v>45342.586805539177</v>
      </c>
      <c r="F4867" s="41">
        <v>0</v>
      </c>
      <c r="G4867" s="41">
        <v>0</v>
      </c>
      <c r="H4867" s="42"/>
      <c r="I4867" s="42"/>
      <c r="J4867" s="42"/>
    </row>
    <row r="4868" spans="5:10">
      <c r="E4868" s="43">
        <v>45342.590277761396</v>
      </c>
      <c r="F4868" s="41">
        <v>0</v>
      </c>
      <c r="G4868" s="41">
        <v>0</v>
      </c>
      <c r="H4868" s="42"/>
      <c r="I4868" s="42"/>
      <c r="J4868" s="42"/>
    </row>
    <row r="4869" spans="5:10">
      <c r="E4869" s="43">
        <v>45342.593749983615</v>
      </c>
      <c r="F4869" s="41">
        <v>0</v>
      </c>
      <c r="G4869" s="41">
        <v>0</v>
      </c>
      <c r="H4869" s="42"/>
      <c r="I4869" s="42"/>
      <c r="J4869" s="42"/>
    </row>
    <row r="4870" spans="5:10">
      <c r="E4870" s="43">
        <v>45342.597222205834</v>
      </c>
      <c r="F4870" s="41">
        <v>0</v>
      </c>
      <c r="G4870" s="41">
        <v>0</v>
      </c>
      <c r="H4870" s="42"/>
      <c r="I4870" s="42"/>
      <c r="J4870" s="42"/>
    </row>
    <row r="4871" spans="5:10">
      <c r="E4871" s="43">
        <v>45342.600694428053</v>
      </c>
      <c r="F4871" s="41">
        <v>0</v>
      </c>
      <c r="G4871" s="41">
        <v>0</v>
      </c>
      <c r="H4871" s="42"/>
      <c r="I4871" s="42"/>
      <c r="J4871" s="42"/>
    </row>
    <row r="4872" spans="5:10">
      <c r="E4872" s="43">
        <v>45342.604166650272</v>
      </c>
      <c r="F4872" s="41">
        <v>0</v>
      </c>
      <c r="G4872" s="41">
        <v>0</v>
      </c>
      <c r="H4872" s="42"/>
      <c r="I4872" s="42"/>
      <c r="J4872" s="42"/>
    </row>
    <row r="4873" spans="5:10">
      <c r="E4873" s="43">
        <v>45342.60763887249</v>
      </c>
      <c r="F4873" s="41">
        <v>0</v>
      </c>
      <c r="G4873" s="41">
        <v>0</v>
      </c>
      <c r="H4873" s="42"/>
      <c r="I4873" s="42"/>
      <c r="J4873" s="42"/>
    </row>
    <row r="4874" spans="5:10">
      <c r="E4874" s="43">
        <v>45342.611111094709</v>
      </c>
      <c r="F4874" s="41">
        <v>0</v>
      </c>
      <c r="G4874" s="41">
        <v>0</v>
      </c>
      <c r="H4874" s="42"/>
      <c r="I4874" s="42"/>
      <c r="J4874" s="42"/>
    </row>
    <row r="4875" spans="5:10">
      <c r="E4875" s="43">
        <v>45342.614583316928</v>
      </c>
      <c r="F4875" s="41">
        <v>0</v>
      </c>
      <c r="G4875" s="41">
        <v>0</v>
      </c>
      <c r="H4875" s="42"/>
      <c r="I4875" s="42"/>
      <c r="J4875" s="42"/>
    </row>
    <row r="4876" spans="5:10">
      <c r="E4876" s="43">
        <v>45342.618055539147</v>
      </c>
      <c r="F4876" s="41">
        <v>0</v>
      </c>
      <c r="G4876" s="41">
        <v>0</v>
      </c>
      <c r="H4876" s="42"/>
      <c r="I4876" s="42"/>
      <c r="J4876" s="42"/>
    </row>
    <row r="4877" spans="5:10">
      <c r="E4877" s="43">
        <v>45342.621527761366</v>
      </c>
      <c r="F4877" s="41">
        <v>0</v>
      </c>
      <c r="G4877" s="41">
        <v>0</v>
      </c>
      <c r="H4877" s="42"/>
      <c r="I4877" s="42"/>
      <c r="J4877" s="42"/>
    </row>
    <row r="4878" spans="5:10">
      <c r="E4878" s="43">
        <v>45342.624999983585</v>
      </c>
      <c r="F4878" s="41">
        <v>0</v>
      </c>
      <c r="G4878" s="41">
        <v>0</v>
      </c>
      <c r="H4878" s="42"/>
      <c r="I4878" s="42"/>
      <c r="J4878" s="42"/>
    </row>
    <row r="4879" spans="5:10">
      <c r="E4879" s="43">
        <v>45342.628472205804</v>
      </c>
      <c r="F4879" s="41">
        <v>0</v>
      </c>
      <c r="G4879" s="41">
        <v>0</v>
      </c>
      <c r="H4879" s="42"/>
      <c r="I4879" s="42"/>
      <c r="J4879" s="42"/>
    </row>
    <row r="4880" spans="5:10">
      <c r="E4880" s="43">
        <v>45342.631944428023</v>
      </c>
      <c r="F4880" s="41">
        <v>0</v>
      </c>
      <c r="G4880" s="41">
        <v>0</v>
      </c>
      <c r="H4880" s="42"/>
      <c r="I4880" s="42"/>
      <c r="J4880" s="42"/>
    </row>
    <row r="4881" spans="5:10">
      <c r="E4881" s="43">
        <v>45342.635416650242</v>
      </c>
      <c r="F4881" s="41">
        <v>0</v>
      </c>
      <c r="G4881" s="41">
        <v>0</v>
      </c>
      <c r="H4881" s="42"/>
      <c r="I4881" s="42"/>
      <c r="J4881" s="42"/>
    </row>
    <row r="4882" spans="5:10">
      <c r="E4882" s="43">
        <v>45342.638888872461</v>
      </c>
      <c r="F4882" s="41">
        <v>0</v>
      </c>
      <c r="G4882" s="41">
        <v>0</v>
      </c>
      <c r="H4882" s="42"/>
      <c r="I4882" s="42"/>
      <c r="J4882" s="42"/>
    </row>
    <row r="4883" spans="5:10">
      <c r="E4883" s="43">
        <v>45342.64236109468</v>
      </c>
      <c r="F4883" s="41">
        <v>0</v>
      </c>
      <c r="G4883" s="41">
        <v>0</v>
      </c>
      <c r="H4883" s="42"/>
      <c r="I4883" s="42"/>
      <c r="J4883" s="42"/>
    </row>
    <row r="4884" spans="5:10">
      <c r="E4884" s="43">
        <v>45342.645833316899</v>
      </c>
      <c r="F4884" s="41">
        <v>0</v>
      </c>
      <c r="G4884" s="41">
        <v>0</v>
      </c>
      <c r="H4884" s="42"/>
      <c r="I4884" s="42"/>
      <c r="J4884" s="42"/>
    </row>
    <row r="4885" spans="5:10">
      <c r="E4885" s="43">
        <v>45342.649305539118</v>
      </c>
      <c r="F4885" s="41">
        <v>0</v>
      </c>
      <c r="G4885" s="41">
        <v>0</v>
      </c>
      <c r="H4885" s="42"/>
      <c r="I4885" s="42"/>
      <c r="J4885" s="42"/>
    </row>
    <row r="4886" spans="5:10">
      <c r="E4886" s="43">
        <v>45342.652777761337</v>
      </c>
      <c r="F4886" s="41">
        <v>0</v>
      </c>
      <c r="G4886" s="41">
        <v>0</v>
      </c>
      <c r="H4886" s="42"/>
      <c r="I4886" s="42"/>
      <c r="J4886" s="42"/>
    </row>
    <row r="4887" spans="5:10">
      <c r="E4887" s="43">
        <v>45342.656249983556</v>
      </c>
      <c r="F4887" s="41">
        <v>0</v>
      </c>
      <c r="G4887" s="41">
        <v>0</v>
      </c>
      <c r="H4887" s="42"/>
      <c r="I4887" s="42"/>
      <c r="J4887" s="42"/>
    </row>
    <row r="4888" spans="5:10">
      <c r="E4888" s="43">
        <v>45342.659722205775</v>
      </c>
      <c r="F4888" s="41">
        <v>0</v>
      </c>
      <c r="G4888" s="41">
        <v>0</v>
      </c>
      <c r="H4888" s="42"/>
      <c r="I4888" s="42"/>
      <c r="J4888" s="42"/>
    </row>
    <row r="4889" spans="5:10">
      <c r="E4889" s="43">
        <v>45342.663194427994</v>
      </c>
      <c r="F4889" s="41">
        <v>0</v>
      </c>
      <c r="G4889" s="41">
        <v>0</v>
      </c>
      <c r="H4889" s="42"/>
      <c r="I4889" s="42"/>
      <c r="J4889" s="42"/>
    </row>
    <row r="4890" spans="5:10">
      <c r="E4890" s="43">
        <v>45342.666666650213</v>
      </c>
      <c r="F4890" s="41">
        <v>0</v>
      </c>
      <c r="G4890" s="41">
        <v>0</v>
      </c>
      <c r="H4890" s="42"/>
      <c r="I4890" s="42"/>
      <c r="J4890" s="42"/>
    </row>
    <row r="4891" spans="5:10">
      <c r="E4891" s="43">
        <v>45342.670138872432</v>
      </c>
      <c r="F4891" s="41">
        <v>0</v>
      </c>
      <c r="G4891" s="41">
        <v>0</v>
      </c>
      <c r="H4891" s="42"/>
      <c r="I4891" s="42"/>
      <c r="J4891" s="42"/>
    </row>
    <row r="4892" spans="5:10">
      <c r="E4892" s="43">
        <v>45342.673611094651</v>
      </c>
      <c r="F4892" s="41">
        <v>0</v>
      </c>
      <c r="G4892" s="41">
        <v>0</v>
      </c>
      <c r="H4892" s="42"/>
      <c r="I4892" s="42"/>
      <c r="J4892" s="42"/>
    </row>
    <row r="4893" spans="5:10">
      <c r="E4893" s="43">
        <v>45342.67708331687</v>
      </c>
      <c r="F4893" s="41">
        <v>0</v>
      </c>
      <c r="G4893" s="41">
        <v>0</v>
      </c>
      <c r="H4893" s="42"/>
      <c r="I4893" s="42"/>
      <c r="J4893" s="42"/>
    </row>
    <row r="4894" spans="5:10">
      <c r="E4894" s="43">
        <v>45342.680555539089</v>
      </c>
      <c r="F4894" s="41">
        <v>0</v>
      </c>
      <c r="G4894" s="41">
        <v>0</v>
      </c>
      <c r="H4894" s="42"/>
      <c r="I4894" s="42"/>
      <c r="J4894" s="42"/>
    </row>
    <row r="4895" spans="5:10">
      <c r="E4895" s="43">
        <v>45342.684027761308</v>
      </c>
      <c r="F4895" s="41">
        <v>0</v>
      </c>
      <c r="G4895" s="41">
        <v>0</v>
      </c>
      <c r="H4895" s="42"/>
      <c r="I4895" s="42"/>
      <c r="J4895" s="42"/>
    </row>
    <row r="4896" spans="5:10">
      <c r="E4896" s="43">
        <v>45342.687499983527</v>
      </c>
      <c r="F4896" s="41">
        <v>0</v>
      </c>
      <c r="G4896" s="41">
        <v>0</v>
      </c>
      <c r="H4896" s="42"/>
      <c r="I4896" s="42"/>
      <c r="J4896" s="42"/>
    </row>
    <row r="4897" spans="5:10">
      <c r="E4897" s="43">
        <v>45342.690972205746</v>
      </c>
      <c r="F4897" s="41">
        <v>0</v>
      </c>
      <c r="G4897" s="41">
        <v>0</v>
      </c>
      <c r="H4897" s="42"/>
      <c r="I4897" s="42"/>
      <c r="J4897" s="42"/>
    </row>
    <row r="4898" spans="5:10">
      <c r="E4898" s="43">
        <v>45342.694444427965</v>
      </c>
      <c r="F4898" s="41">
        <v>0</v>
      </c>
      <c r="G4898" s="41">
        <v>0</v>
      </c>
      <c r="H4898" s="42"/>
      <c r="I4898" s="42"/>
      <c r="J4898" s="42"/>
    </row>
    <row r="4899" spans="5:10">
      <c r="E4899" s="43">
        <v>45342.697916650184</v>
      </c>
      <c r="F4899" s="41">
        <v>0</v>
      </c>
      <c r="G4899" s="41">
        <v>0</v>
      </c>
      <c r="H4899" s="42"/>
      <c r="I4899" s="42"/>
      <c r="J4899" s="42"/>
    </row>
    <row r="4900" spans="5:10">
      <c r="E4900" s="43">
        <v>45342.701388872403</v>
      </c>
      <c r="F4900" s="41">
        <v>0</v>
      </c>
      <c r="G4900" s="41">
        <v>0</v>
      </c>
      <c r="H4900" s="42"/>
      <c r="I4900" s="42"/>
      <c r="J4900" s="42"/>
    </row>
    <row r="4901" spans="5:10">
      <c r="E4901" s="43">
        <v>45342.704861094622</v>
      </c>
      <c r="F4901" s="41">
        <v>0</v>
      </c>
      <c r="G4901" s="41">
        <v>0</v>
      </c>
      <c r="H4901" s="42"/>
      <c r="I4901" s="42"/>
      <c r="J4901" s="42"/>
    </row>
    <row r="4902" spans="5:10">
      <c r="E4902" s="43">
        <v>45342.708333316841</v>
      </c>
      <c r="F4902" s="41">
        <v>0</v>
      </c>
      <c r="G4902" s="41">
        <v>0</v>
      </c>
      <c r="H4902" s="42"/>
      <c r="I4902" s="42"/>
      <c r="J4902" s="42"/>
    </row>
    <row r="4903" spans="5:10">
      <c r="E4903" s="43">
        <v>45342.71180553906</v>
      </c>
      <c r="F4903" s="41">
        <v>0</v>
      </c>
      <c r="G4903" s="41">
        <v>0</v>
      </c>
      <c r="H4903" s="42"/>
      <c r="I4903" s="42"/>
      <c r="J4903" s="42"/>
    </row>
    <row r="4904" spans="5:10">
      <c r="E4904" s="43">
        <v>45342.715277761279</v>
      </c>
      <c r="F4904" s="41">
        <v>0</v>
      </c>
      <c r="G4904" s="41">
        <v>0</v>
      </c>
      <c r="H4904" s="42"/>
      <c r="I4904" s="42"/>
      <c r="J4904" s="42"/>
    </row>
    <row r="4905" spans="5:10">
      <c r="E4905" s="43">
        <v>45342.718749983498</v>
      </c>
      <c r="F4905" s="41">
        <v>0</v>
      </c>
      <c r="G4905" s="41">
        <v>0</v>
      </c>
      <c r="H4905" s="42"/>
      <c r="I4905" s="42"/>
      <c r="J4905" s="42"/>
    </row>
    <row r="4906" spans="5:10">
      <c r="E4906" s="43">
        <v>45342.722222205717</v>
      </c>
      <c r="F4906" s="41">
        <v>0</v>
      </c>
      <c r="G4906" s="41">
        <v>0</v>
      </c>
      <c r="H4906" s="42"/>
      <c r="I4906" s="42"/>
      <c r="J4906" s="42"/>
    </row>
    <row r="4907" spans="5:10">
      <c r="E4907" s="43">
        <v>45342.725694427936</v>
      </c>
      <c r="F4907" s="41">
        <v>0</v>
      </c>
      <c r="G4907" s="41">
        <v>0</v>
      </c>
      <c r="H4907" s="42"/>
      <c r="I4907" s="42"/>
      <c r="J4907" s="42"/>
    </row>
    <row r="4908" spans="5:10">
      <c r="E4908" s="43">
        <v>45342.729166650155</v>
      </c>
      <c r="F4908" s="41">
        <v>0</v>
      </c>
      <c r="G4908" s="41">
        <v>0</v>
      </c>
      <c r="H4908" s="42"/>
      <c r="I4908" s="42"/>
      <c r="J4908" s="42"/>
    </row>
    <row r="4909" spans="5:10">
      <c r="E4909" s="43">
        <v>45342.732638872374</v>
      </c>
      <c r="F4909" s="41">
        <v>0</v>
      </c>
      <c r="G4909" s="41">
        <v>0</v>
      </c>
      <c r="H4909" s="42"/>
      <c r="I4909" s="42"/>
      <c r="J4909" s="42"/>
    </row>
    <row r="4910" spans="5:10">
      <c r="E4910" s="43">
        <v>45342.736111094593</v>
      </c>
      <c r="F4910" s="41">
        <v>0</v>
      </c>
      <c r="G4910" s="41">
        <v>0</v>
      </c>
      <c r="H4910" s="42"/>
      <c r="I4910" s="42"/>
      <c r="J4910" s="42"/>
    </row>
    <row r="4911" spans="5:10">
      <c r="E4911" s="43">
        <v>45342.739583316812</v>
      </c>
      <c r="F4911" s="41">
        <v>0</v>
      </c>
      <c r="G4911" s="41">
        <v>0</v>
      </c>
      <c r="H4911" s="42"/>
      <c r="I4911" s="42"/>
      <c r="J4911" s="42"/>
    </row>
    <row r="4912" spans="5:10">
      <c r="E4912" s="43">
        <v>45342.743055539031</v>
      </c>
      <c r="F4912" s="41">
        <v>0</v>
      </c>
      <c r="G4912" s="41">
        <v>0</v>
      </c>
      <c r="H4912" s="42"/>
      <c r="I4912" s="42"/>
      <c r="J4912" s="42"/>
    </row>
    <row r="4913" spans="5:10">
      <c r="E4913" s="43">
        <v>45342.74652776125</v>
      </c>
      <c r="F4913" s="41">
        <v>0</v>
      </c>
      <c r="G4913" s="41">
        <v>0</v>
      </c>
      <c r="H4913" s="42"/>
      <c r="I4913" s="42"/>
      <c r="J4913" s="42"/>
    </row>
    <row r="4914" spans="5:10">
      <c r="E4914" s="43">
        <v>45342.749999983469</v>
      </c>
      <c r="F4914" s="41">
        <v>0</v>
      </c>
      <c r="G4914" s="41">
        <v>0</v>
      </c>
      <c r="H4914" s="42"/>
      <c r="I4914" s="42"/>
      <c r="J4914" s="42"/>
    </row>
    <row r="4915" spans="5:10">
      <c r="E4915" s="43">
        <v>45342.753472205688</v>
      </c>
      <c r="F4915" s="41">
        <v>0</v>
      </c>
      <c r="G4915" s="41">
        <v>0</v>
      </c>
      <c r="H4915" s="42"/>
      <c r="I4915" s="42"/>
      <c r="J4915" s="42"/>
    </row>
    <row r="4916" spans="5:10">
      <c r="E4916" s="43">
        <v>45342.756944427907</v>
      </c>
      <c r="F4916" s="41">
        <v>0</v>
      </c>
      <c r="G4916" s="41">
        <v>0</v>
      </c>
      <c r="H4916" s="42"/>
      <c r="I4916" s="42"/>
      <c r="J4916" s="42"/>
    </row>
    <row r="4917" spans="5:10">
      <c r="E4917" s="43">
        <v>45342.760416650126</v>
      </c>
      <c r="F4917" s="41">
        <v>0</v>
      </c>
      <c r="G4917" s="41">
        <v>0</v>
      </c>
      <c r="H4917" s="42"/>
      <c r="I4917" s="42"/>
      <c r="J4917" s="42"/>
    </row>
    <row r="4918" spans="5:10">
      <c r="E4918" s="43">
        <v>45342.763888872345</v>
      </c>
      <c r="F4918" s="41">
        <v>0</v>
      </c>
      <c r="G4918" s="41">
        <v>0</v>
      </c>
      <c r="H4918" s="42"/>
      <c r="I4918" s="42"/>
      <c r="J4918" s="42"/>
    </row>
    <row r="4919" spans="5:10">
      <c r="E4919" s="43">
        <v>45342.767361094564</v>
      </c>
      <c r="F4919" s="41">
        <v>0</v>
      </c>
      <c r="G4919" s="41">
        <v>0</v>
      </c>
      <c r="H4919" s="42"/>
      <c r="I4919" s="42"/>
      <c r="J4919" s="42"/>
    </row>
    <row r="4920" spans="5:10">
      <c r="E4920" s="43">
        <v>45342.770833316783</v>
      </c>
      <c r="F4920" s="41">
        <v>0</v>
      </c>
      <c r="G4920" s="41">
        <v>0</v>
      </c>
      <c r="H4920" s="42"/>
      <c r="I4920" s="42"/>
      <c r="J4920" s="42"/>
    </row>
    <row r="4921" spans="5:10">
      <c r="E4921" s="43">
        <v>45342.774305539002</v>
      </c>
      <c r="F4921" s="41">
        <v>0</v>
      </c>
      <c r="G4921" s="41">
        <v>0</v>
      </c>
      <c r="H4921" s="42"/>
      <c r="I4921" s="42"/>
      <c r="J4921" s="42"/>
    </row>
    <row r="4922" spans="5:10">
      <c r="E4922" s="43">
        <v>45342.777777761221</v>
      </c>
      <c r="F4922" s="41">
        <v>0</v>
      </c>
      <c r="G4922" s="41">
        <v>0</v>
      </c>
      <c r="H4922" s="42"/>
      <c r="I4922" s="42"/>
      <c r="J4922" s="42"/>
    </row>
    <row r="4923" spans="5:10">
      <c r="E4923" s="43">
        <v>45342.78124998344</v>
      </c>
      <c r="F4923" s="41">
        <v>0</v>
      </c>
      <c r="G4923" s="41">
        <v>0</v>
      </c>
      <c r="H4923" s="42"/>
      <c r="I4923" s="42"/>
      <c r="J4923" s="42"/>
    </row>
    <row r="4924" spans="5:10">
      <c r="E4924" s="43">
        <v>45342.784722205659</v>
      </c>
      <c r="F4924" s="41">
        <v>0</v>
      </c>
      <c r="G4924" s="41">
        <v>0</v>
      </c>
      <c r="H4924" s="42"/>
      <c r="I4924" s="42"/>
      <c r="J4924" s="42"/>
    </row>
    <row r="4925" spans="5:10">
      <c r="E4925" s="43">
        <v>45342.788194427878</v>
      </c>
      <c r="F4925" s="41">
        <v>0</v>
      </c>
      <c r="G4925" s="41">
        <v>0</v>
      </c>
      <c r="H4925" s="42"/>
      <c r="I4925" s="42"/>
      <c r="J4925" s="42"/>
    </row>
    <row r="4926" spans="5:10">
      <c r="E4926" s="43">
        <v>45342.791666650097</v>
      </c>
      <c r="F4926" s="41">
        <v>0</v>
      </c>
      <c r="G4926" s="41">
        <v>0</v>
      </c>
      <c r="H4926" s="42"/>
      <c r="I4926" s="42"/>
      <c r="J4926" s="42"/>
    </row>
    <row r="4927" spans="5:10">
      <c r="E4927" s="43">
        <v>45342.795138872316</v>
      </c>
      <c r="F4927" s="41">
        <v>0</v>
      </c>
      <c r="G4927" s="41">
        <v>0</v>
      </c>
      <c r="H4927" s="42"/>
      <c r="I4927" s="42"/>
      <c r="J4927" s="42"/>
    </row>
    <row r="4928" spans="5:10">
      <c r="E4928" s="43">
        <v>45342.798611094535</v>
      </c>
      <c r="F4928" s="41">
        <v>0</v>
      </c>
      <c r="G4928" s="41">
        <v>0</v>
      </c>
      <c r="H4928" s="42"/>
      <c r="I4928" s="42"/>
      <c r="J4928" s="42"/>
    </row>
    <row r="4929" spans="5:10">
      <c r="E4929" s="43">
        <v>45342.802083316754</v>
      </c>
      <c r="F4929" s="41">
        <v>0</v>
      </c>
      <c r="G4929" s="41">
        <v>0</v>
      </c>
      <c r="H4929" s="42"/>
      <c r="I4929" s="42"/>
      <c r="J4929" s="42"/>
    </row>
    <row r="4930" spans="5:10">
      <c r="E4930" s="43">
        <v>45342.805555538973</v>
      </c>
      <c r="F4930" s="41">
        <v>0</v>
      </c>
      <c r="G4930" s="41">
        <v>0</v>
      </c>
      <c r="H4930" s="42"/>
      <c r="I4930" s="42"/>
      <c r="J4930" s="42"/>
    </row>
    <row r="4931" spans="5:10">
      <c r="E4931" s="43">
        <v>45342.809027761192</v>
      </c>
      <c r="F4931" s="41">
        <v>0</v>
      </c>
      <c r="G4931" s="41">
        <v>0</v>
      </c>
      <c r="H4931" s="42"/>
      <c r="I4931" s="42"/>
      <c r="J4931" s="42"/>
    </row>
    <row r="4932" spans="5:10">
      <c r="E4932" s="43">
        <v>45342.812499983411</v>
      </c>
      <c r="F4932" s="41">
        <v>0</v>
      </c>
      <c r="G4932" s="41">
        <v>0</v>
      </c>
      <c r="H4932" s="42"/>
      <c r="I4932" s="42"/>
      <c r="J4932" s="42"/>
    </row>
    <row r="4933" spans="5:10">
      <c r="E4933" s="43">
        <v>45342.81597220563</v>
      </c>
      <c r="F4933" s="41">
        <v>0</v>
      </c>
      <c r="G4933" s="41">
        <v>0</v>
      </c>
      <c r="H4933" s="42"/>
      <c r="I4933" s="42"/>
      <c r="J4933" s="42"/>
    </row>
    <row r="4934" spans="5:10">
      <c r="E4934" s="43">
        <v>45342.819444427849</v>
      </c>
      <c r="F4934" s="41">
        <v>0</v>
      </c>
      <c r="G4934" s="41">
        <v>0</v>
      </c>
      <c r="H4934" s="42"/>
      <c r="I4934" s="42"/>
      <c r="J4934" s="42"/>
    </row>
    <row r="4935" spans="5:10">
      <c r="E4935" s="43">
        <v>45342.822916650068</v>
      </c>
      <c r="F4935" s="41">
        <v>0</v>
      </c>
      <c r="G4935" s="41">
        <v>0</v>
      </c>
      <c r="H4935" s="42"/>
      <c r="I4935" s="42"/>
      <c r="J4935" s="42"/>
    </row>
    <row r="4936" spans="5:10">
      <c r="E4936" s="43">
        <v>45342.826388872287</v>
      </c>
      <c r="F4936" s="41">
        <v>0</v>
      </c>
      <c r="G4936" s="41">
        <v>0</v>
      </c>
      <c r="H4936" s="42"/>
      <c r="I4936" s="42"/>
      <c r="J4936" s="42"/>
    </row>
    <row r="4937" spans="5:10">
      <c r="E4937" s="43">
        <v>45342.829861094506</v>
      </c>
      <c r="F4937" s="41">
        <v>0</v>
      </c>
      <c r="G4937" s="41">
        <v>0</v>
      </c>
      <c r="H4937" s="42"/>
      <c r="I4937" s="42"/>
      <c r="J4937" s="42"/>
    </row>
    <row r="4938" spans="5:10">
      <c r="E4938" s="43">
        <v>45342.833333316725</v>
      </c>
      <c r="F4938" s="41">
        <v>0</v>
      </c>
      <c r="G4938" s="41">
        <v>0</v>
      </c>
      <c r="H4938" s="42"/>
      <c r="I4938" s="42"/>
      <c r="J4938" s="42"/>
    </row>
    <row r="4939" spans="5:10">
      <c r="E4939" s="43">
        <v>45342.836805538944</v>
      </c>
      <c r="F4939" s="41">
        <v>0</v>
      </c>
      <c r="G4939" s="41">
        <v>0</v>
      </c>
      <c r="H4939" s="42"/>
      <c r="I4939" s="42"/>
      <c r="J4939" s="42"/>
    </row>
    <row r="4940" spans="5:10">
      <c r="E4940" s="43">
        <v>45342.840277761163</v>
      </c>
      <c r="F4940" s="41">
        <v>0</v>
      </c>
      <c r="G4940" s="41">
        <v>0</v>
      </c>
      <c r="H4940" s="42"/>
      <c r="I4940" s="42"/>
      <c r="J4940" s="42"/>
    </row>
    <row r="4941" spans="5:10">
      <c r="E4941" s="43">
        <v>45342.843749983382</v>
      </c>
      <c r="F4941" s="41">
        <v>0</v>
      </c>
      <c r="G4941" s="41">
        <v>0</v>
      </c>
      <c r="H4941" s="42"/>
      <c r="I4941" s="42"/>
      <c r="J4941" s="42"/>
    </row>
    <row r="4942" spans="5:10">
      <c r="E4942" s="43">
        <v>45342.847222205601</v>
      </c>
      <c r="F4942" s="41">
        <v>0</v>
      </c>
      <c r="G4942" s="41">
        <v>0</v>
      </c>
      <c r="H4942" s="42"/>
      <c r="I4942" s="42"/>
      <c r="J4942" s="42"/>
    </row>
    <row r="4943" spans="5:10">
      <c r="E4943" s="43">
        <v>45342.85069442782</v>
      </c>
      <c r="F4943" s="41">
        <v>0</v>
      </c>
      <c r="G4943" s="41">
        <v>0</v>
      </c>
      <c r="H4943" s="42"/>
      <c r="I4943" s="42"/>
      <c r="J4943" s="42"/>
    </row>
    <row r="4944" spans="5:10">
      <c r="E4944" s="43">
        <v>45342.854166650039</v>
      </c>
      <c r="F4944" s="41">
        <v>0</v>
      </c>
      <c r="G4944" s="41">
        <v>0</v>
      </c>
      <c r="H4944" s="42"/>
      <c r="I4944" s="42"/>
      <c r="J4944" s="42"/>
    </row>
    <row r="4945" spans="5:10">
      <c r="E4945" s="43">
        <v>45342.857638872258</v>
      </c>
      <c r="F4945" s="41">
        <v>0</v>
      </c>
      <c r="G4945" s="41">
        <v>0</v>
      </c>
      <c r="H4945" s="42"/>
      <c r="I4945" s="42"/>
      <c r="J4945" s="42"/>
    </row>
    <row r="4946" spans="5:10">
      <c r="E4946" s="43">
        <v>45342.861111094477</v>
      </c>
      <c r="F4946" s="41">
        <v>0</v>
      </c>
      <c r="G4946" s="41">
        <v>0</v>
      </c>
      <c r="H4946" s="42"/>
      <c r="I4946" s="42"/>
      <c r="J4946" s="42"/>
    </row>
    <row r="4947" spans="5:10">
      <c r="E4947" s="43">
        <v>45342.864583316696</v>
      </c>
      <c r="F4947" s="41">
        <v>0</v>
      </c>
      <c r="G4947" s="41">
        <v>0</v>
      </c>
      <c r="H4947" s="42"/>
      <c r="I4947" s="42"/>
      <c r="J4947" s="42"/>
    </row>
    <row r="4948" spans="5:10">
      <c r="E4948" s="43">
        <v>45342.868055538915</v>
      </c>
      <c r="F4948" s="41">
        <v>0</v>
      </c>
      <c r="G4948" s="41">
        <v>0</v>
      </c>
      <c r="H4948" s="42"/>
      <c r="I4948" s="42"/>
      <c r="J4948" s="42"/>
    </row>
    <row r="4949" spans="5:10">
      <c r="E4949" s="43">
        <v>45342.871527761134</v>
      </c>
      <c r="F4949" s="41">
        <v>0</v>
      </c>
      <c r="G4949" s="41">
        <v>0</v>
      </c>
      <c r="H4949" s="42"/>
      <c r="I4949" s="42"/>
      <c r="J4949" s="42"/>
    </row>
    <row r="4950" spans="5:10">
      <c r="E4950" s="43">
        <v>45342.874999983353</v>
      </c>
      <c r="F4950" s="41">
        <v>0</v>
      </c>
      <c r="G4950" s="41">
        <v>0</v>
      </c>
      <c r="H4950" s="42"/>
      <c r="I4950" s="42"/>
      <c r="J4950" s="42"/>
    </row>
    <row r="4951" spans="5:10">
      <c r="E4951" s="43">
        <v>45342.878472205572</v>
      </c>
      <c r="F4951" s="41">
        <v>0</v>
      </c>
      <c r="G4951" s="41">
        <v>0</v>
      </c>
      <c r="H4951" s="42"/>
      <c r="I4951" s="42"/>
      <c r="J4951" s="42"/>
    </row>
    <row r="4952" spans="5:10">
      <c r="E4952" s="43">
        <v>45342.881944427791</v>
      </c>
      <c r="F4952" s="41">
        <v>0</v>
      </c>
      <c r="G4952" s="41">
        <v>0</v>
      </c>
      <c r="H4952" s="42"/>
      <c r="I4952" s="42"/>
      <c r="J4952" s="42"/>
    </row>
    <row r="4953" spans="5:10">
      <c r="E4953" s="43">
        <v>45342.88541665001</v>
      </c>
      <c r="F4953" s="41">
        <v>0</v>
      </c>
      <c r="G4953" s="41">
        <v>0</v>
      </c>
      <c r="H4953" s="42"/>
      <c r="I4953" s="42"/>
      <c r="J4953" s="42"/>
    </row>
    <row r="4954" spans="5:10">
      <c r="E4954" s="43">
        <v>45342.888888872229</v>
      </c>
      <c r="F4954" s="41">
        <v>0</v>
      </c>
      <c r="G4954" s="41">
        <v>0</v>
      </c>
      <c r="H4954" s="42"/>
      <c r="I4954" s="42"/>
      <c r="J4954" s="42"/>
    </row>
    <row r="4955" spans="5:10">
      <c r="E4955" s="43">
        <v>45342.892361094448</v>
      </c>
      <c r="F4955" s="41">
        <v>0</v>
      </c>
      <c r="G4955" s="41">
        <v>0</v>
      </c>
      <c r="H4955" s="42"/>
      <c r="I4955" s="42"/>
      <c r="J4955" s="42"/>
    </row>
    <row r="4956" spans="5:10">
      <c r="E4956" s="43">
        <v>45342.895833316667</v>
      </c>
      <c r="F4956" s="41">
        <v>0</v>
      </c>
      <c r="G4956" s="41">
        <v>0</v>
      </c>
      <c r="H4956" s="42"/>
      <c r="I4956" s="42"/>
      <c r="J4956" s="42"/>
    </row>
    <row r="4957" spans="5:10">
      <c r="E4957" s="43">
        <v>45342.899305538886</v>
      </c>
      <c r="F4957" s="41">
        <v>0</v>
      </c>
      <c r="G4957" s="41">
        <v>0</v>
      </c>
      <c r="H4957" s="42"/>
      <c r="I4957" s="42"/>
      <c r="J4957" s="42"/>
    </row>
    <row r="4958" spans="5:10">
      <c r="E4958" s="43">
        <v>45342.902777761105</v>
      </c>
      <c r="F4958" s="41">
        <v>0</v>
      </c>
      <c r="G4958" s="41">
        <v>0</v>
      </c>
      <c r="H4958" s="42"/>
      <c r="I4958" s="42"/>
      <c r="J4958" s="42"/>
    </row>
    <row r="4959" spans="5:10">
      <c r="E4959" s="43">
        <v>45342.906249983324</v>
      </c>
      <c r="F4959" s="41">
        <v>0</v>
      </c>
      <c r="G4959" s="41">
        <v>0</v>
      </c>
      <c r="H4959" s="42"/>
      <c r="I4959" s="42"/>
      <c r="J4959" s="42"/>
    </row>
    <row r="4960" spans="5:10">
      <c r="E4960" s="43">
        <v>45342.909722205542</v>
      </c>
      <c r="F4960" s="41">
        <v>0</v>
      </c>
      <c r="G4960" s="41">
        <v>0</v>
      </c>
      <c r="H4960" s="42"/>
      <c r="I4960" s="42"/>
      <c r="J4960" s="42"/>
    </row>
    <row r="4961" spans="5:10">
      <c r="E4961" s="43">
        <v>45342.913194427761</v>
      </c>
      <c r="F4961" s="41">
        <v>0</v>
      </c>
      <c r="G4961" s="41">
        <v>0</v>
      </c>
      <c r="H4961" s="42"/>
      <c r="I4961" s="42"/>
      <c r="J4961" s="42"/>
    </row>
    <row r="4962" spans="5:10">
      <c r="E4962" s="43">
        <v>45342.91666664998</v>
      </c>
      <c r="F4962" s="41">
        <v>0</v>
      </c>
      <c r="G4962" s="41">
        <v>0</v>
      </c>
      <c r="H4962" s="42"/>
      <c r="I4962" s="42"/>
      <c r="J4962" s="42"/>
    </row>
    <row r="4963" spans="5:10">
      <c r="E4963" s="43">
        <v>45342.920138872199</v>
      </c>
      <c r="F4963" s="41">
        <v>0</v>
      </c>
      <c r="G4963" s="41">
        <v>0</v>
      </c>
      <c r="H4963" s="42"/>
      <c r="I4963" s="42"/>
      <c r="J4963" s="42"/>
    </row>
    <row r="4964" spans="5:10">
      <c r="E4964" s="43">
        <v>45342.923611094418</v>
      </c>
      <c r="F4964" s="41">
        <v>0</v>
      </c>
      <c r="G4964" s="41">
        <v>0</v>
      </c>
      <c r="H4964" s="42"/>
      <c r="I4964" s="42"/>
      <c r="J4964" s="42"/>
    </row>
    <row r="4965" spans="5:10">
      <c r="E4965" s="43">
        <v>45342.927083316637</v>
      </c>
      <c r="F4965" s="41">
        <v>0</v>
      </c>
      <c r="G4965" s="41">
        <v>0</v>
      </c>
      <c r="H4965" s="42"/>
      <c r="I4965" s="42"/>
      <c r="J4965" s="42"/>
    </row>
    <row r="4966" spans="5:10">
      <c r="E4966" s="43">
        <v>45342.930555538856</v>
      </c>
      <c r="F4966" s="41">
        <v>0</v>
      </c>
      <c r="G4966" s="41">
        <v>0</v>
      </c>
      <c r="H4966" s="42"/>
      <c r="I4966" s="42"/>
      <c r="J4966" s="42"/>
    </row>
    <row r="4967" spans="5:10">
      <c r="E4967" s="43">
        <v>45342.934027761075</v>
      </c>
      <c r="F4967" s="41">
        <v>0</v>
      </c>
      <c r="G4967" s="41">
        <v>0</v>
      </c>
      <c r="H4967" s="42"/>
      <c r="I4967" s="42"/>
      <c r="J4967" s="42"/>
    </row>
    <row r="4968" spans="5:10">
      <c r="E4968" s="43">
        <v>45342.937499983294</v>
      </c>
      <c r="F4968" s="41">
        <v>0</v>
      </c>
      <c r="G4968" s="41">
        <v>0</v>
      </c>
      <c r="H4968" s="42"/>
      <c r="I4968" s="42"/>
      <c r="J4968" s="42"/>
    </row>
    <row r="4969" spans="5:10">
      <c r="E4969" s="43">
        <v>45342.940972205513</v>
      </c>
      <c r="F4969" s="41">
        <v>0</v>
      </c>
      <c r="G4969" s="41">
        <v>0</v>
      </c>
      <c r="H4969" s="42"/>
      <c r="I4969" s="42"/>
      <c r="J4969" s="42"/>
    </row>
    <row r="4970" spans="5:10">
      <c r="E4970" s="43">
        <v>45342.944444427732</v>
      </c>
      <c r="F4970" s="41">
        <v>0</v>
      </c>
      <c r="G4970" s="41">
        <v>0</v>
      </c>
      <c r="H4970" s="42"/>
      <c r="I4970" s="42"/>
      <c r="J4970" s="42"/>
    </row>
    <row r="4971" spans="5:10">
      <c r="E4971" s="43">
        <v>45342.947916649951</v>
      </c>
      <c r="F4971" s="41">
        <v>0</v>
      </c>
      <c r="G4971" s="41">
        <v>0</v>
      </c>
      <c r="H4971" s="42"/>
      <c r="I4971" s="42"/>
      <c r="J4971" s="42"/>
    </row>
    <row r="4972" spans="5:10">
      <c r="E4972" s="43">
        <v>45342.95138887217</v>
      </c>
      <c r="F4972" s="41">
        <v>0</v>
      </c>
      <c r="G4972" s="41">
        <v>0</v>
      </c>
      <c r="H4972" s="42"/>
      <c r="I4972" s="42"/>
      <c r="J4972" s="42"/>
    </row>
    <row r="4973" spans="5:10">
      <c r="E4973" s="43">
        <v>45342.954861094389</v>
      </c>
      <c r="F4973" s="41">
        <v>0</v>
      </c>
      <c r="G4973" s="41">
        <v>0</v>
      </c>
      <c r="H4973" s="42"/>
      <c r="I4973" s="42"/>
      <c r="J4973" s="42"/>
    </row>
    <row r="4974" spans="5:10">
      <c r="E4974" s="43">
        <v>45342.958333316608</v>
      </c>
      <c r="F4974" s="41">
        <v>0</v>
      </c>
      <c r="G4974" s="41">
        <v>0</v>
      </c>
      <c r="H4974" s="42"/>
      <c r="I4974" s="42"/>
      <c r="J4974" s="42"/>
    </row>
    <row r="4975" spans="5:10">
      <c r="E4975" s="43">
        <v>45342.961805538827</v>
      </c>
      <c r="F4975" s="41">
        <v>0</v>
      </c>
      <c r="G4975" s="41">
        <v>0</v>
      </c>
      <c r="H4975" s="42"/>
      <c r="I4975" s="42"/>
      <c r="J4975" s="42"/>
    </row>
    <row r="4976" spans="5:10">
      <c r="E4976" s="43">
        <v>45342.965277761046</v>
      </c>
      <c r="F4976" s="41">
        <v>0</v>
      </c>
      <c r="G4976" s="41">
        <v>0</v>
      </c>
      <c r="H4976" s="42"/>
      <c r="I4976" s="42"/>
      <c r="J4976" s="42"/>
    </row>
    <row r="4977" spans="5:10">
      <c r="E4977" s="43">
        <v>45342.968749983265</v>
      </c>
      <c r="F4977" s="41">
        <v>0</v>
      </c>
      <c r="G4977" s="41">
        <v>0</v>
      </c>
      <c r="H4977" s="42"/>
      <c r="I4977" s="42"/>
      <c r="J4977" s="42"/>
    </row>
    <row r="4978" spans="5:10">
      <c r="E4978" s="43">
        <v>45342.972222205484</v>
      </c>
      <c r="F4978" s="41">
        <v>0</v>
      </c>
      <c r="G4978" s="41">
        <v>0</v>
      </c>
      <c r="H4978" s="42"/>
      <c r="I4978" s="42"/>
      <c r="J4978" s="42"/>
    </row>
    <row r="4979" spans="5:10">
      <c r="E4979" s="43">
        <v>45342.975694427703</v>
      </c>
      <c r="F4979" s="41">
        <v>0</v>
      </c>
      <c r="G4979" s="41">
        <v>0</v>
      </c>
      <c r="H4979" s="42"/>
      <c r="I4979" s="42"/>
      <c r="J4979" s="42"/>
    </row>
    <row r="4980" spans="5:10">
      <c r="E4980" s="43">
        <v>45342.979166649922</v>
      </c>
      <c r="F4980" s="41">
        <v>0</v>
      </c>
      <c r="G4980" s="41">
        <v>0</v>
      </c>
      <c r="H4980" s="42"/>
      <c r="I4980" s="42"/>
      <c r="J4980" s="42"/>
    </row>
    <row r="4981" spans="5:10">
      <c r="E4981" s="43">
        <v>45342.982638872141</v>
      </c>
      <c r="F4981" s="41">
        <v>0</v>
      </c>
      <c r="G4981" s="41">
        <v>0</v>
      </c>
      <c r="H4981" s="42"/>
      <c r="I4981" s="42"/>
      <c r="J4981" s="42"/>
    </row>
    <row r="4982" spans="5:10">
      <c r="E4982" s="43">
        <v>45342.98611109436</v>
      </c>
      <c r="F4982" s="41">
        <v>0</v>
      </c>
      <c r="G4982" s="41">
        <v>0</v>
      </c>
      <c r="H4982" s="42"/>
      <c r="I4982" s="42"/>
      <c r="J4982" s="42"/>
    </row>
    <row r="4983" spans="5:10">
      <c r="E4983" s="43">
        <v>45342.989583316579</v>
      </c>
      <c r="F4983" s="41">
        <v>0</v>
      </c>
      <c r="G4983" s="41">
        <v>0</v>
      </c>
      <c r="H4983" s="42"/>
      <c r="I4983" s="42"/>
      <c r="J4983" s="42"/>
    </row>
    <row r="4984" spans="5:10">
      <c r="E4984" s="43">
        <v>45342.993055538798</v>
      </c>
      <c r="F4984" s="41">
        <v>0</v>
      </c>
      <c r="G4984" s="41">
        <v>0</v>
      </c>
      <c r="H4984" s="42"/>
      <c r="I4984" s="42"/>
      <c r="J4984" s="42"/>
    </row>
    <row r="4985" spans="5:10">
      <c r="E4985" s="43">
        <v>45342.996527761017</v>
      </c>
      <c r="F4985" s="41">
        <v>0</v>
      </c>
      <c r="G4985" s="41">
        <v>0</v>
      </c>
      <c r="H4985" s="42"/>
      <c r="I4985" s="42"/>
      <c r="J4985" s="42"/>
    </row>
    <row r="4986" spans="5:10">
      <c r="E4986" s="43">
        <v>45342.999999983236</v>
      </c>
      <c r="F4986" s="41">
        <v>0</v>
      </c>
      <c r="G4986" s="41">
        <v>0</v>
      </c>
      <c r="H4986" s="42"/>
      <c r="I4986" s="42"/>
      <c r="J4986" s="42"/>
    </row>
    <row r="4987" spans="5:10">
      <c r="E4987" s="43">
        <v>45343.003472205455</v>
      </c>
      <c r="F4987" s="41">
        <v>0</v>
      </c>
      <c r="G4987" s="41">
        <v>0</v>
      </c>
      <c r="H4987" s="42"/>
      <c r="I4987" s="42"/>
      <c r="J4987" s="42"/>
    </row>
    <row r="4988" spans="5:10">
      <c r="E4988" s="43">
        <v>45343.006944427674</v>
      </c>
      <c r="F4988" s="41">
        <v>0</v>
      </c>
      <c r="G4988" s="41">
        <v>0</v>
      </c>
      <c r="H4988" s="42"/>
      <c r="I4988" s="42"/>
      <c r="J4988" s="42"/>
    </row>
    <row r="4989" spans="5:10">
      <c r="E4989" s="43">
        <v>45343.010416649893</v>
      </c>
      <c r="F4989" s="41">
        <v>0</v>
      </c>
      <c r="G4989" s="41">
        <v>0</v>
      </c>
      <c r="H4989" s="42"/>
      <c r="I4989" s="42"/>
      <c r="J4989" s="42"/>
    </row>
    <row r="4990" spans="5:10">
      <c r="E4990" s="43">
        <v>45343.013888872112</v>
      </c>
      <c r="F4990" s="41">
        <v>0</v>
      </c>
      <c r="G4990" s="41">
        <v>0</v>
      </c>
      <c r="H4990" s="42"/>
      <c r="I4990" s="42"/>
      <c r="J4990" s="42"/>
    </row>
    <row r="4991" spans="5:10">
      <c r="E4991" s="43">
        <v>45343.017361094331</v>
      </c>
      <c r="F4991" s="41">
        <v>0</v>
      </c>
      <c r="G4991" s="41">
        <v>0</v>
      </c>
      <c r="H4991" s="42"/>
      <c r="I4991" s="42"/>
      <c r="J4991" s="42"/>
    </row>
    <row r="4992" spans="5:10">
      <c r="E4992" s="43">
        <v>45343.02083331655</v>
      </c>
      <c r="F4992" s="41">
        <v>0</v>
      </c>
      <c r="G4992" s="41">
        <v>0</v>
      </c>
      <c r="H4992" s="42"/>
      <c r="I4992" s="42"/>
      <c r="J4992" s="42"/>
    </row>
    <row r="4993" spans="5:10">
      <c r="E4993" s="43">
        <v>45343.024305538769</v>
      </c>
      <c r="F4993" s="41">
        <v>0</v>
      </c>
      <c r="G4993" s="41">
        <v>0</v>
      </c>
      <c r="H4993" s="42"/>
      <c r="I4993" s="42"/>
      <c r="J4993" s="42"/>
    </row>
    <row r="4994" spans="5:10">
      <c r="E4994" s="43">
        <v>45343.027777760988</v>
      </c>
      <c r="F4994" s="41">
        <v>0</v>
      </c>
      <c r="G4994" s="41">
        <v>0</v>
      </c>
      <c r="H4994" s="42"/>
      <c r="I4994" s="42"/>
      <c r="J4994" s="42"/>
    </row>
    <row r="4995" spans="5:10">
      <c r="E4995" s="43">
        <v>45343.031249983207</v>
      </c>
      <c r="F4995" s="41">
        <v>0</v>
      </c>
      <c r="G4995" s="41">
        <v>0</v>
      </c>
      <c r="H4995" s="42"/>
      <c r="I4995" s="42"/>
      <c r="J4995" s="42"/>
    </row>
    <row r="4996" spans="5:10">
      <c r="E4996" s="43">
        <v>45343.034722205426</v>
      </c>
      <c r="F4996" s="41">
        <v>0</v>
      </c>
      <c r="G4996" s="41">
        <v>0</v>
      </c>
      <c r="H4996" s="42"/>
      <c r="I4996" s="42"/>
      <c r="J4996" s="42"/>
    </row>
    <row r="4997" spans="5:10">
      <c r="E4997" s="43">
        <v>45343.038194427645</v>
      </c>
      <c r="F4997" s="41">
        <v>0</v>
      </c>
      <c r="G4997" s="41">
        <v>0</v>
      </c>
      <c r="H4997" s="42"/>
      <c r="I4997" s="42"/>
      <c r="J4997" s="42"/>
    </row>
    <row r="4998" spans="5:10">
      <c r="E4998" s="43">
        <v>45343.041666649864</v>
      </c>
      <c r="F4998" s="41">
        <v>0</v>
      </c>
      <c r="G4998" s="41">
        <v>0</v>
      </c>
      <c r="H4998" s="42"/>
      <c r="I4998" s="42"/>
      <c r="J4998" s="42"/>
    </row>
    <row r="4999" spans="5:10">
      <c r="E4999" s="43">
        <v>45343.045138872083</v>
      </c>
      <c r="F4999" s="41">
        <v>0</v>
      </c>
      <c r="G4999" s="41">
        <v>0</v>
      </c>
      <c r="H4999" s="42"/>
      <c r="I4999" s="42"/>
      <c r="J4999" s="42"/>
    </row>
    <row r="5000" spans="5:10">
      <c r="E5000" s="43">
        <v>45343.048611094302</v>
      </c>
      <c r="F5000" s="41">
        <v>0</v>
      </c>
      <c r="G5000" s="41">
        <v>0</v>
      </c>
      <c r="H5000" s="42"/>
      <c r="I5000" s="42"/>
      <c r="J5000" s="42"/>
    </row>
    <row r="5001" spans="5:10">
      <c r="E5001" s="43">
        <v>45343.052083316521</v>
      </c>
      <c r="F5001" s="41">
        <v>0</v>
      </c>
      <c r="G5001" s="41">
        <v>0</v>
      </c>
      <c r="H5001" s="42"/>
      <c r="I5001" s="42"/>
      <c r="J5001" s="42"/>
    </row>
    <row r="5002" spans="5:10">
      <c r="E5002" s="43">
        <v>45343.05555553874</v>
      </c>
      <c r="F5002" s="41">
        <v>0</v>
      </c>
      <c r="G5002" s="41">
        <v>0</v>
      </c>
      <c r="H5002" s="42"/>
      <c r="I5002" s="42"/>
      <c r="J5002" s="42"/>
    </row>
    <row r="5003" spans="5:10">
      <c r="E5003" s="43">
        <v>45343.059027760959</v>
      </c>
      <c r="F5003" s="41">
        <v>0</v>
      </c>
      <c r="G5003" s="41">
        <v>0</v>
      </c>
      <c r="H5003" s="42"/>
      <c r="I5003" s="42"/>
      <c r="J5003" s="42"/>
    </row>
    <row r="5004" spans="5:10">
      <c r="E5004" s="43">
        <v>45343.062499983178</v>
      </c>
      <c r="F5004" s="41">
        <v>0</v>
      </c>
      <c r="G5004" s="41">
        <v>0</v>
      </c>
      <c r="H5004" s="42"/>
      <c r="I5004" s="42"/>
      <c r="J5004" s="42"/>
    </row>
    <row r="5005" spans="5:10">
      <c r="E5005" s="43">
        <v>45343.065972205397</v>
      </c>
      <c r="F5005" s="41">
        <v>0</v>
      </c>
      <c r="G5005" s="41">
        <v>0</v>
      </c>
      <c r="H5005" s="42"/>
      <c r="I5005" s="42"/>
      <c r="J5005" s="42"/>
    </row>
    <row r="5006" spans="5:10">
      <c r="E5006" s="43">
        <v>45343.069444427616</v>
      </c>
      <c r="F5006" s="41">
        <v>0</v>
      </c>
      <c r="G5006" s="41">
        <v>0</v>
      </c>
      <c r="H5006" s="42"/>
      <c r="I5006" s="42"/>
      <c r="J5006" s="42"/>
    </row>
    <row r="5007" spans="5:10">
      <c r="E5007" s="43">
        <v>45343.072916649835</v>
      </c>
      <c r="F5007" s="41">
        <v>0</v>
      </c>
      <c r="G5007" s="41">
        <v>0</v>
      </c>
      <c r="H5007" s="42"/>
      <c r="I5007" s="42"/>
      <c r="J5007" s="42"/>
    </row>
    <row r="5008" spans="5:10">
      <c r="E5008" s="43">
        <v>45343.076388872054</v>
      </c>
      <c r="F5008" s="41">
        <v>0</v>
      </c>
      <c r="G5008" s="41">
        <v>0</v>
      </c>
      <c r="H5008" s="42"/>
      <c r="I5008" s="42"/>
      <c r="J5008" s="42"/>
    </row>
    <row r="5009" spans="5:10">
      <c r="E5009" s="43">
        <v>45343.079861094273</v>
      </c>
      <c r="F5009" s="41">
        <v>0</v>
      </c>
      <c r="G5009" s="41">
        <v>0</v>
      </c>
      <c r="H5009" s="42"/>
      <c r="I5009" s="42"/>
      <c r="J5009" s="42"/>
    </row>
    <row r="5010" spans="5:10">
      <c r="E5010" s="43">
        <v>45343.083333316492</v>
      </c>
      <c r="F5010" s="41">
        <v>0</v>
      </c>
      <c r="G5010" s="41">
        <v>0</v>
      </c>
      <c r="H5010" s="42"/>
      <c r="I5010" s="42"/>
      <c r="J5010" s="42"/>
    </row>
    <row r="5011" spans="5:10">
      <c r="E5011" s="43">
        <v>45343.086805538711</v>
      </c>
      <c r="F5011" s="41">
        <v>0</v>
      </c>
      <c r="G5011" s="41">
        <v>0</v>
      </c>
      <c r="H5011" s="42"/>
      <c r="I5011" s="42"/>
      <c r="J5011" s="42"/>
    </row>
    <row r="5012" spans="5:10">
      <c r="E5012" s="43">
        <v>45343.09027776093</v>
      </c>
      <c r="F5012" s="41">
        <v>0</v>
      </c>
      <c r="G5012" s="41">
        <v>0</v>
      </c>
      <c r="H5012" s="42"/>
      <c r="I5012" s="42"/>
      <c r="J5012" s="42"/>
    </row>
    <row r="5013" spans="5:10">
      <c r="E5013" s="43">
        <v>45343.093749983149</v>
      </c>
      <c r="F5013" s="41">
        <v>0</v>
      </c>
      <c r="G5013" s="41">
        <v>0</v>
      </c>
      <c r="H5013" s="42"/>
      <c r="I5013" s="42"/>
      <c r="J5013" s="42"/>
    </row>
    <row r="5014" spans="5:10">
      <c r="E5014" s="43">
        <v>45343.097222205368</v>
      </c>
      <c r="F5014" s="41">
        <v>0</v>
      </c>
      <c r="G5014" s="41">
        <v>0</v>
      </c>
      <c r="H5014" s="42"/>
      <c r="I5014" s="42"/>
      <c r="J5014" s="42"/>
    </row>
    <row r="5015" spans="5:10">
      <c r="E5015" s="43">
        <v>45343.100694427587</v>
      </c>
      <c r="F5015" s="41">
        <v>0</v>
      </c>
      <c r="G5015" s="41">
        <v>0</v>
      </c>
      <c r="H5015" s="42"/>
      <c r="I5015" s="42"/>
      <c r="J5015" s="42"/>
    </row>
    <row r="5016" spans="5:10">
      <c r="E5016" s="43">
        <v>45343.104166649806</v>
      </c>
      <c r="F5016" s="41">
        <v>0</v>
      </c>
      <c r="G5016" s="41">
        <v>0</v>
      </c>
      <c r="H5016" s="42"/>
      <c r="I5016" s="42"/>
      <c r="J5016" s="42"/>
    </row>
    <row r="5017" spans="5:10">
      <c r="E5017" s="43">
        <v>45343.107638872025</v>
      </c>
      <c r="F5017" s="41">
        <v>0</v>
      </c>
      <c r="G5017" s="41">
        <v>0</v>
      </c>
      <c r="H5017" s="42"/>
      <c r="I5017" s="42"/>
      <c r="J5017" s="42"/>
    </row>
    <row r="5018" spans="5:10">
      <c r="E5018" s="43">
        <v>45343.111111094244</v>
      </c>
      <c r="F5018" s="41">
        <v>0</v>
      </c>
      <c r="G5018" s="41">
        <v>0</v>
      </c>
      <c r="H5018" s="42"/>
      <c r="I5018" s="42"/>
      <c r="J5018" s="42"/>
    </row>
    <row r="5019" spans="5:10">
      <c r="E5019" s="43">
        <v>45343.114583316463</v>
      </c>
      <c r="F5019" s="41">
        <v>0</v>
      </c>
      <c r="G5019" s="41">
        <v>0</v>
      </c>
      <c r="H5019" s="42"/>
      <c r="I5019" s="42"/>
      <c r="J5019" s="42"/>
    </row>
    <row r="5020" spans="5:10">
      <c r="E5020" s="43">
        <v>45343.118055538682</v>
      </c>
      <c r="F5020" s="41">
        <v>0</v>
      </c>
      <c r="G5020" s="41">
        <v>0</v>
      </c>
      <c r="H5020" s="42"/>
      <c r="I5020" s="42"/>
      <c r="J5020" s="42"/>
    </row>
    <row r="5021" spans="5:10">
      <c r="E5021" s="43">
        <v>45343.121527760901</v>
      </c>
      <c r="F5021" s="41">
        <v>0</v>
      </c>
      <c r="G5021" s="41">
        <v>0</v>
      </c>
      <c r="H5021" s="42"/>
      <c r="I5021" s="42"/>
      <c r="J5021" s="42"/>
    </row>
    <row r="5022" spans="5:10">
      <c r="E5022" s="43">
        <v>45343.12499998312</v>
      </c>
      <c r="F5022" s="41">
        <v>0</v>
      </c>
      <c r="G5022" s="41">
        <v>0</v>
      </c>
      <c r="H5022" s="42"/>
      <c r="I5022" s="42"/>
      <c r="J5022" s="42"/>
    </row>
    <row r="5023" spans="5:10">
      <c r="E5023" s="43">
        <v>45343.128472205339</v>
      </c>
      <c r="F5023" s="41">
        <v>0</v>
      </c>
      <c r="G5023" s="41">
        <v>0</v>
      </c>
      <c r="H5023" s="42"/>
      <c r="I5023" s="42"/>
      <c r="J5023" s="42"/>
    </row>
    <row r="5024" spans="5:10">
      <c r="E5024" s="43">
        <v>45343.131944427558</v>
      </c>
      <c r="F5024" s="41">
        <v>0</v>
      </c>
      <c r="G5024" s="41">
        <v>0</v>
      </c>
      <c r="H5024" s="42"/>
      <c r="I5024" s="42"/>
      <c r="J5024" s="42"/>
    </row>
    <row r="5025" spans="5:10">
      <c r="E5025" s="43">
        <v>45343.135416649777</v>
      </c>
      <c r="F5025" s="41">
        <v>0</v>
      </c>
      <c r="G5025" s="41">
        <v>0</v>
      </c>
      <c r="H5025" s="42"/>
      <c r="I5025" s="42"/>
      <c r="J5025" s="42"/>
    </row>
    <row r="5026" spans="5:10">
      <c r="E5026" s="43">
        <v>45343.138888871996</v>
      </c>
      <c r="F5026" s="41">
        <v>0</v>
      </c>
      <c r="G5026" s="41">
        <v>0</v>
      </c>
      <c r="H5026" s="42"/>
      <c r="I5026" s="42"/>
      <c r="J5026" s="42"/>
    </row>
    <row r="5027" spans="5:10">
      <c r="E5027" s="43">
        <v>45343.142361094215</v>
      </c>
      <c r="F5027" s="41">
        <v>0</v>
      </c>
      <c r="G5027" s="41">
        <v>0</v>
      </c>
      <c r="H5027" s="42"/>
      <c r="I5027" s="42"/>
      <c r="J5027" s="42"/>
    </row>
    <row r="5028" spans="5:10">
      <c r="E5028" s="43">
        <v>45343.145833316434</v>
      </c>
      <c r="F5028" s="41">
        <v>0</v>
      </c>
      <c r="G5028" s="41">
        <v>0</v>
      </c>
      <c r="H5028" s="42"/>
      <c r="I5028" s="42"/>
      <c r="J5028" s="42"/>
    </row>
    <row r="5029" spans="5:10">
      <c r="E5029" s="43">
        <v>45343.149305538653</v>
      </c>
      <c r="F5029" s="41">
        <v>0</v>
      </c>
      <c r="G5029" s="41">
        <v>0</v>
      </c>
      <c r="H5029" s="42"/>
      <c r="I5029" s="42"/>
      <c r="J5029" s="42"/>
    </row>
    <row r="5030" spans="5:10">
      <c r="E5030" s="43">
        <v>45343.152777760872</v>
      </c>
      <c r="F5030" s="41">
        <v>0</v>
      </c>
      <c r="G5030" s="41">
        <v>0</v>
      </c>
      <c r="H5030" s="42"/>
      <c r="I5030" s="42"/>
      <c r="J5030" s="42"/>
    </row>
    <row r="5031" spans="5:10">
      <c r="E5031" s="43">
        <v>45343.156249983091</v>
      </c>
      <c r="F5031" s="41">
        <v>0</v>
      </c>
      <c r="G5031" s="41">
        <v>0</v>
      </c>
      <c r="H5031" s="42"/>
      <c r="I5031" s="42"/>
      <c r="J5031" s="42"/>
    </row>
    <row r="5032" spans="5:10">
      <c r="E5032" s="43">
        <v>45343.15972220531</v>
      </c>
      <c r="F5032" s="41">
        <v>0</v>
      </c>
      <c r="G5032" s="41">
        <v>0</v>
      </c>
      <c r="H5032" s="42"/>
      <c r="I5032" s="42"/>
      <c r="J5032" s="42"/>
    </row>
    <row r="5033" spans="5:10">
      <c r="E5033" s="43">
        <v>45343.163194427529</v>
      </c>
      <c r="F5033" s="41">
        <v>0</v>
      </c>
      <c r="G5033" s="41">
        <v>0</v>
      </c>
      <c r="H5033" s="42"/>
      <c r="I5033" s="42"/>
      <c r="J5033" s="42"/>
    </row>
    <row r="5034" spans="5:10">
      <c r="E5034" s="43">
        <v>45343.166666649748</v>
      </c>
      <c r="F5034" s="41">
        <v>0</v>
      </c>
      <c r="G5034" s="41">
        <v>0</v>
      </c>
      <c r="H5034" s="42"/>
      <c r="I5034" s="42"/>
      <c r="J5034" s="42"/>
    </row>
    <row r="5035" spans="5:10">
      <c r="E5035" s="43">
        <v>45343.170138871967</v>
      </c>
      <c r="F5035" s="41">
        <v>0</v>
      </c>
      <c r="G5035" s="41">
        <v>0</v>
      </c>
      <c r="H5035" s="42"/>
      <c r="I5035" s="42"/>
      <c r="J5035" s="42"/>
    </row>
    <row r="5036" spans="5:10">
      <c r="E5036" s="43">
        <v>45343.173611094186</v>
      </c>
      <c r="F5036" s="41">
        <v>0</v>
      </c>
      <c r="G5036" s="41">
        <v>0</v>
      </c>
      <c r="H5036" s="42"/>
      <c r="I5036" s="42"/>
      <c r="J5036" s="42"/>
    </row>
    <row r="5037" spans="5:10">
      <c r="E5037" s="43">
        <v>45343.177083316405</v>
      </c>
      <c r="F5037" s="41">
        <v>0</v>
      </c>
      <c r="G5037" s="41">
        <v>0</v>
      </c>
      <c r="H5037" s="42"/>
      <c r="I5037" s="42"/>
      <c r="J5037" s="42"/>
    </row>
    <row r="5038" spans="5:10">
      <c r="E5038" s="43">
        <v>45343.180555538624</v>
      </c>
      <c r="F5038" s="41">
        <v>0</v>
      </c>
      <c r="G5038" s="41">
        <v>0</v>
      </c>
      <c r="H5038" s="42"/>
      <c r="I5038" s="42"/>
      <c r="J5038" s="42"/>
    </row>
    <row r="5039" spans="5:10">
      <c r="E5039" s="43">
        <v>45343.184027760843</v>
      </c>
      <c r="F5039" s="41">
        <v>0</v>
      </c>
      <c r="G5039" s="41">
        <v>0</v>
      </c>
      <c r="H5039" s="42"/>
      <c r="I5039" s="42"/>
      <c r="J5039" s="42"/>
    </row>
    <row r="5040" spans="5:10">
      <c r="E5040" s="43">
        <v>45343.187499983062</v>
      </c>
      <c r="F5040" s="41">
        <v>0</v>
      </c>
      <c r="G5040" s="41">
        <v>0</v>
      </c>
      <c r="H5040" s="42"/>
      <c r="I5040" s="42"/>
      <c r="J5040" s="42"/>
    </row>
    <row r="5041" spans="5:10">
      <c r="E5041" s="43">
        <v>45343.190972205281</v>
      </c>
      <c r="F5041" s="41">
        <v>0</v>
      </c>
      <c r="G5041" s="41">
        <v>0</v>
      </c>
      <c r="H5041" s="42"/>
      <c r="I5041" s="42"/>
      <c r="J5041" s="42"/>
    </row>
    <row r="5042" spans="5:10">
      <c r="E5042" s="43">
        <v>45343.1944444275</v>
      </c>
      <c r="F5042" s="41">
        <v>0</v>
      </c>
      <c r="G5042" s="41">
        <v>0</v>
      </c>
      <c r="H5042" s="42"/>
      <c r="I5042" s="42"/>
      <c r="J5042" s="42"/>
    </row>
    <row r="5043" spans="5:10">
      <c r="E5043" s="43">
        <v>45343.197916649719</v>
      </c>
      <c r="F5043" s="41">
        <v>0</v>
      </c>
      <c r="G5043" s="41">
        <v>0</v>
      </c>
      <c r="H5043" s="42"/>
      <c r="I5043" s="42"/>
      <c r="J5043" s="42"/>
    </row>
    <row r="5044" spans="5:10">
      <c r="E5044" s="43">
        <v>45343.201388871938</v>
      </c>
      <c r="F5044" s="41">
        <v>0</v>
      </c>
      <c r="G5044" s="41">
        <v>0</v>
      </c>
      <c r="H5044" s="42"/>
      <c r="I5044" s="42"/>
      <c r="J5044" s="42"/>
    </row>
    <row r="5045" spans="5:10">
      <c r="E5045" s="43">
        <v>45343.204861094157</v>
      </c>
      <c r="F5045" s="41">
        <v>0</v>
      </c>
      <c r="G5045" s="41">
        <v>0</v>
      </c>
      <c r="H5045" s="42"/>
      <c r="I5045" s="42"/>
      <c r="J5045" s="42"/>
    </row>
    <row r="5046" spans="5:10">
      <c r="E5046" s="43">
        <v>45343.208333316376</v>
      </c>
      <c r="F5046" s="41">
        <v>0</v>
      </c>
      <c r="G5046" s="41">
        <v>0</v>
      </c>
      <c r="H5046" s="42"/>
      <c r="I5046" s="42"/>
      <c r="J5046" s="42"/>
    </row>
    <row r="5047" spans="5:10">
      <c r="E5047" s="43">
        <v>45343.211805538594</v>
      </c>
      <c r="F5047" s="41">
        <v>0</v>
      </c>
      <c r="G5047" s="41">
        <v>0</v>
      </c>
      <c r="H5047" s="42"/>
      <c r="I5047" s="42"/>
      <c r="J5047" s="42"/>
    </row>
    <row r="5048" spans="5:10">
      <c r="E5048" s="43">
        <v>45343.215277760813</v>
      </c>
      <c r="F5048" s="41">
        <v>0</v>
      </c>
      <c r="G5048" s="41">
        <v>0</v>
      </c>
      <c r="H5048" s="42"/>
      <c r="I5048" s="42"/>
      <c r="J5048" s="42"/>
    </row>
    <row r="5049" spans="5:10">
      <c r="E5049" s="43">
        <v>45343.218749983032</v>
      </c>
      <c r="F5049" s="41">
        <v>0</v>
      </c>
      <c r="G5049" s="41">
        <v>0</v>
      </c>
      <c r="H5049" s="42"/>
      <c r="I5049" s="42"/>
      <c r="J5049" s="42"/>
    </row>
    <row r="5050" spans="5:10">
      <c r="E5050" s="43">
        <v>45343.222222205251</v>
      </c>
      <c r="F5050" s="41">
        <v>0</v>
      </c>
      <c r="G5050" s="41">
        <v>0</v>
      </c>
      <c r="H5050" s="42"/>
      <c r="I5050" s="42"/>
      <c r="J5050" s="42"/>
    </row>
    <row r="5051" spans="5:10">
      <c r="E5051" s="43">
        <v>45343.22569442747</v>
      </c>
      <c r="F5051" s="41">
        <v>0</v>
      </c>
      <c r="G5051" s="41">
        <v>0</v>
      </c>
      <c r="H5051" s="42"/>
      <c r="I5051" s="42"/>
      <c r="J5051" s="42"/>
    </row>
    <row r="5052" spans="5:10">
      <c r="E5052" s="43">
        <v>45343.229166649689</v>
      </c>
      <c r="F5052" s="41">
        <v>0</v>
      </c>
      <c r="G5052" s="41">
        <v>0</v>
      </c>
      <c r="H5052" s="42"/>
      <c r="I5052" s="42"/>
      <c r="J5052" s="42"/>
    </row>
    <row r="5053" spans="5:10">
      <c r="E5053" s="43">
        <v>45343.232638871908</v>
      </c>
      <c r="F5053" s="41">
        <v>0</v>
      </c>
      <c r="G5053" s="41">
        <v>0</v>
      </c>
      <c r="H5053" s="42"/>
      <c r="I5053" s="42"/>
      <c r="J5053" s="42"/>
    </row>
    <row r="5054" spans="5:10">
      <c r="E5054" s="43">
        <v>45343.236111094127</v>
      </c>
      <c r="F5054" s="41">
        <v>0</v>
      </c>
      <c r="G5054" s="41">
        <v>0</v>
      </c>
      <c r="H5054" s="42"/>
      <c r="I5054" s="42"/>
      <c r="J5054" s="42"/>
    </row>
    <row r="5055" spans="5:10">
      <c r="E5055" s="43">
        <v>45343.239583316346</v>
      </c>
      <c r="F5055" s="41">
        <v>0</v>
      </c>
      <c r="G5055" s="41">
        <v>0</v>
      </c>
      <c r="H5055" s="42"/>
      <c r="I5055" s="42"/>
      <c r="J5055" s="42"/>
    </row>
    <row r="5056" spans="5:10">
      <c r="E5056" s="43">
        <v>45343.243055538565</v>
      </c>
      <c r="F5056" s="41">
        <v>0</v>
      </c>
      <c r="G5056" s="41">
        <v>0</v>
      </c>
      <c r="H5056" s="42"/>
      <c r="I5056" s="42"/>
      <c r="J5056" s="42"/>
    </row>
    <row r="5057" spans="5:10">
      <c r="E5057" s="43">
        <v>45343.246527760784</v>
      </c>
      <c r="F5057" s="41">
        <v>0</v>
      </c>
      <c r="G5057" s="41">
        <v>0</v>
      </c>
      <c r="H5057" s="42"/>
      <c r="I5057" s="42"/>
      <c r="J5057" s="42"/>
    </row>
    <row r="5058" spans="5:10">
      <c r="E5058" s="43">
        <v>45343.249999983003</v>
      </c>
      <c r="F5058" s="41">
        <v>0</v>
      </c>
      <c r="G5058" s="41">
        <v>0</v>
      </c>
      <c r="H5058" s="42"/>
      <c r="I5058" s="42"/>
      <c r="J5058" s="42"/>
    </row>
    <row r="5059" spans="5:10">
      <c r="E5059" s="43">
        <v>45343.253472205222</v>
      </c>
      <c r="F5059" s="41">
        <v>0</v>
      </c>
      <c r="G5059" s="41">
        <v>0</v>
      </c>
      <c r="H5059" s="42"/>
      <c r="I5059" s="42"/>
      <c r="J5059" s="42"/>
    </row>
    <row r="5060" spans="5:10">
      <c r="E5060" s="43">
        <v>45343.256944427441</v>
      </c>
      <c r="F5060" s="41">
        <v>0</v>
      </c>
      <c r="G5060" s="41">
        <v>0</v>
      </c>
      <c r="H5060" s="42"/>
      <c r="I5060" s="42"/>
      <c r="J5060" s="42"/>
    </row>
    <row r="5061" spans="5:10">
      <c r="E5061" s="43">
        <v>45343.26041664966</v>
      </c>
      <c r="F5061" s="41">
        <v>0</v>
      </c>
      <c r="G5061" s="41">
        <v>0</v>
      </c>
      <c r="H5061" s="42"/>
      <c r="I5061" s="42"/>
      <c r="J5061" s="42"/>
    </row>
    <row r="5062" spans="5:10">
      <c r="E5062" s="43">
        <v>45343.263888871879</v>
      </c>
      <c r="F5062" s="41">
        <v>0</v>
      </c>
      <c r="G5062" s="41">
        <v>0</v>
      </c>
      <c r="H5062" s="42"/>
      <c r="I5062" s="42"/>
      <c r="J5062" s="42"/>
    </row>
    <row r="5063" spans="5:10">
      <c r="E5063" s="43">
        <v>45343.267361094098</v>
      </c>
      <c r="F5063" s="41">
        <v>0</v>
      </c>
      <c r="G5063" s="41">
        <v>0</v>
      </c>
      <c r="H5063" s="42"/>
      <c r="I5063" s="42"/>
      <c r="J5063" s="42"/>
    </row>
    <row r="5064" spans="5:10">
      <c r="E5064" s="43">
        <v>45343.270833316317</v>
      </c>
      <c r="F5064" s="41">
        <v>0</v>
      </c>
      <c r="G5064" s="41">
        <v>0</v>
      </c>
      <c r="H5064" s="42"/>
      <c r="I5064" s="42"/>
      <c r="J5064" s="42"/>
    </row>
    <row r="5065" spans="5:10">
      <c r="E5065" s="43">
        <v>45343.274305538536</v>
      </c>
      <c r="F5065" s="41">
        <v>0</v>
      </c>
      <c r="G5065" s="41">
        <v>0</v>
      </c>
      <c r="H5065" s="42"/>
      <c r="I5065" s="42"/>
      <c r="J5065" s="42"/>
    </row>
    <row r="5066" spans="5:10">
      <c r="E5066" s="43">
        <v>45343.277777760755</v>
      </c>
      <c r="F5066" s="41">
        <v>0</v>
      </c>
      <c r="G5066" s="41">
        <v>0</v>
      </c>
      <c r="H5066" s="42"/>
      <c r="I5066" s="42"/>
      <c r="J5066" s="42"/>
    </row>
    <row r="5067" spans="5:10">
      <c r="E5067" s="43">
        <v>45343.281249982974</v>
      </c>
      <c r="F5067" s="41">
        <v>0</v>
      </c>
      <c r="G5067" s="41">
        <v>0</v>
      </c>
      <c r="H5067" s="42"/>
      <c r="I5067" s="42"/>
      <c r="J5067" s="42"/>
    </row>
    <row r="5068" spans="5:10">
      <c r="E5068" s="43">
        <v>45343.284722205193</v>
      </c>
      <c r="F5068" s="41">
        <v>0</v>
      </c>
      <c r="G5068" s="41">
        <v>0</v>
      </c>
      <c r="H5068" s="42"/>
      <c r="I5068" s="42"/>
      <c r="J5068" s="42"/>
    </row>
    <row r="5069" spans="5:10">
      <c r="E5069" s="43">
        <v>45343.288194427412</v>
      </c>
      <c r="F5069" s="41">
        <v>0</v>
      </c>
      <c r="G5069" s="41">
        <v>0</v>
      </c>
      <c r="H5069" s="42"/>
      <c r="I5069" s="42"/>
      <c r="J5069" s="42"/>
    </row>
    <row r="5070" spans="5:10">
      <c r="E5070" s="43">
        <v>45343.291666649631</v>
      </c>
      <c r="F5070" s="41">
        <v>0</v>
      </c>
      <c r="G5070" s="41">
        <v>0</v>
      </c>
      <c r="H5070" s="42"/>
      <c r="I5070" s="42"/>
      <c r="J5070" s="42"/>
    </row>
    <row r="5071" spans="5:10">
      <c r="E5071" s="43">
        <v>45343.29513887185</v>
      </c>
      <c r="F5071" s="41">
        <v>0</v>
      </c>
      <c r="G5071" s="41">
        <v>0</v>
      </c>
      <c r="H5071" s="42"/>
      <c r="I5071" s="42"/>
      <c r="J5071" s="42"/>
    </row>
    <row r="5072" spans="5:10">
      <c r="E5072" s="43">
        <v>45343.298611094069</v>
      </c>
      <c r="F5072" s="41">
        <v>0</v>
      </c>
      <c r="G5072" s="41">
        <v>0</v>
      </c>
      <c r="H5072" s="42"/>
      <c r="I5072" s="42"/>
      <c r="J5072" s="42"/>
    </row>
    <row r="5073" spans="5:10">
      <c r="E5073" s="43">
        <v>45343.302083316288</v>
      </c>
      <c r="F5073" s="41">
        <v>0</v>
      </c>
      <c r="G5073" s="41">
        <v>0</v>
      </c>
      <c r="H5073" s="42"/>
      <c r="I5073" s="42"/>
      <c r="J5073" s="42"/>
    </row>
    <row r="5074" spans="5:10">
      <c r="E5074" s="43">
        <v>45343.305555538507</v>
      </c>
      <c r="F5074" s="41">
        <v>0</v>
      </c>
      <c r="G5074" s="41">
        <v>0</v>
      </c>
      <c r="H5074" s="42"/>
      <c r="I5074" s="42"/>
      <c r="J5074" s="42"/>
    </row>
    <row r="5075" spans="5:10">
      <c r="E5075" s="43">
        <v>45343.309027760726</v>
      </c>
      <c r="F5075" s="41">
        <v>0</v>
      </c>
      <c r="G5075" s="41">
        <v>0</v>
      </c>
      <c r="H5075" s="42"/>
      <c r="I5075" s="42"/>
      <c r="J5075" s="42"/>
    </row>
    <row r="5076" spans="5:10">
      <c r="E5076" s="43">
        <v>45343.312499982945</v>
      </c>
      <c r="F5076" s="41">
        <v>0</v>
      </c>
      <c r="G5076" s="41">
        <v>0</v>
      </c>
      <c r="H5076" s="42"/>
      <c r="I5076" s="42"/>
      <c r="J5076" s="42"/>
    </row>
    <row r="5077" spans="5:10">
      <c r="E5077" s="43">
        <v>45343.315972205164</v>
      </c>
      <c r="F5077" s="41">
        <v>0</v>
      </c>
      <c r="G5077" s="41">
        <v>0</v>
      </c>
      <c r="H5077" s="42"/>
      <c r="I5077" s="42"/>
      <c r="J5077" s="42"/>
    </row>
    <row r="5078" spans="5:10">
      <c r="E5078" s="43">
        <v>45343.319444427383</v>
      </c>
      <c r="F5078" s="41">
        <v>0</v>
      </c>
      <c r="G5078" s="41">
        <v>0</v>
      </c>
      <c r="H5078" s="42"/>
      <c r="I5078" s="42"/>
      <c r="J5078" s="42"/>
    </row>
    <row r="5079" spans="5:10">
      <c r="E5079" s="43">
        <v>45343.322916649602</v>
      </c>
      <c r="F5079" s="41">
        <v>0</v>
      </c>
      <c r="G5079" s="41">
        <v>0</v>
      </c>
      <c r="H5079" s="42"/>
      <c r="I5079" s="42"/>
      <c r="J5079" s="42"/>
    </row>
    <row r="5080" spans="5:10">
      <c r="E5080" s="43">
        <v>45343.326388871821</v>
      </c>
      <c r="F5080" s="41">
        <v>0</v>
      </c>
      <c r="G5080" s="41">
        <v>0</v>
      </c>
      <c r="H5080" s="42"/>
      <c r="I5080" s="42"/>
      <c r="J5080" s="42"/>
    </row>
    <row r="5081" spans="5:10">
      <c r="E5081" s="43">
        <v>45343.32986109404</v>
      </c>
      <c r="F5081" s="41">
        <v>0</v>
      </c>
      <c r="G5081" s="41">
        <v>0</v>
      </c>
      <c r="H5081" s="42"/>
      <c r="I5081" s="42"/>
      <c r="J5081" s="42"/>
    </row>
    <row r="5082" spans="5:10">
      <c r="E5082" s="43">
        <v>45343.333333316259</v>
      </c>
      <c r="F5082" s="41">
        <v>0</v>
      </c>
      <c r="G5082" s="41">
        <v>0</v>
      </c>
      <c r="H5082" s="42"/>
      <c r="I5082" s="42"/>
      <c r="J5082" s="42"/>
    </row>
    <row r="5083" spans="5:10">
      <c r="E5083" s="43">
        <v>45343.336805538478</v>
      </c>
      <c r="F5083" s="41">
        <v>0</v>
      </c>
      <c r="G5083" s="41">
        <v>0</v>
      </c>
      <c r="H5083" s="42"/>
      <c r="I5083" s="42"/>
      <c r="J5083" s="42"/>
    </row>
    <row r="5084" spans="5:10">
      <c r="E5084" s="43">
        <v>45343.340277760697</v>
      </c>
      <c r="F5084" s="41">
        <v>0</v>
      </c>
      <c r="G5084" s="41">
        <v>0</v>
      </c>
      <c r="H5084" s="42"/>
      <c r="I5084" s="42"/>
      <c r="J5084" s="42"/>
    </row>
    <row r="5085" spans="5:10">
      <c r="E5085" s="43">
        <v>45343.343749982916</v>
      </c>
      <c r="F5085" s="41">
        <v>0</v>
      </c>
      <c r="G5085" s="41">
        <v>0</v>
      </c>
      <c r="H5085" s="42"/>
      <c r="I5085" s="42"/>
      <c r="J5085" s="42"/>
    </row>
    <row r="5086" spans="5:10">
      <c r="E5086" s="43">
        <v>45343.347222205135</v>
      </c>
      <c r="F5086" s="41">
        <v>0</v>
      </c>
      <c r="G5086" s="41">
        <v>0</v>
      </c>
      <c r="H5086" s="42"/>
      <c r="I5086" s="42"/>
      <c r="J5086" s="42"/>
    </row>
    <row r="5087" spans="5:10">
      <c r="E5087" s="43">
        <v>45343.350694427354</v>
      </c>
      <c r="F5087" s="41">
        <v>0</v>
      </c>
      <c r="G5087" s="41">
        <v>0</v>
      </c>
      <c r="H5087" s="42"/>
      <c r="I5087" s="42"/>
      <c r="J5087" s="42"/>
    </row>
    <row r="5088" spans="5:10">
      <c r="E5088" s="43">
        <v>45343.354166649573</v>
      </c>
      <c r="F5088" s="41">
        <v>0</v>
      </c>
      <c r="G5088" s="41">
        <v>0</v>
      </c>
      <c r="H5088" s="42"/>
      <c r="I5088" s="42"/>
      <c r="J5088" s="42"/>
    </row>
    <row r="5089" spans="5:10">
      <c r="E5089" s="43">
        <v>45343.357638871792</v>
      </c>
      <c r="F5089" s="41">
        <v>0</v>
      </c>
      <c r="G5089" s="41">
        <v>0</v>
      </c>
      <c r="H5089" s="42"/>
      <c r="I5089" s="42"/>
      <c r="J5089" s="42"/>
    </row>
    <row r="5090" spans="5:10">
      <c r="E5090" s="43">
        <v>45343.361111094011</v>
      </c>
      <c r="F5090" s="41">
        <v>0</v>
      </c>
      <c r="G5090" s="41">
        <v>0</v>
      </c>
      <c r="H5090" s="42"/>
      <c r="I5090" s="42"/>
      <c r="J5090" s="42"/>
    </row>
    <row r="5091" spans="5:10">
      <c r="E5091" s="43">
        <v>45343.36458331623</v>
      </c>
      <c r="F5091" s="41">
        <v>0</v>
      </c>
      <c r="G5091" s="41">
        <v>0</v>
      </c>
      <c r="H5091" s="42"/>
      <c r="I5091" s="42"/>
      <c r="J5091" s="42"/>
    </row>
    <row r="5092" spans="5:10">
      <c r="E5092" s="43">
        <v>45343.368055538449</v>
      </c>
      <c r="F5092" s="41">
        <v>0</v>
      </c>
      <c r="G5092" s="41">
        <v>0</v>
      </c>
      <c r="H5092" s="42"/>
      <c r="I5092" s="42"/>
      <c r="J5092" s="42"/>
    </row>
    <row r="5093" spans="5:10">
      <c r="E5093" s="43">
        <v>45343.371527760668</v>
      </c>
      <c r="F5093" s="41">
        <v>0</v>
      </c>
      <c r="G5093" s="41">
        <v>0</v>
      </c>
      <c r="H5093" s="42"/>
      <c r="I5093" s="42"/>
      <c r="J5093" s="42"/>
    </row>
    <row r="5094" spans="5:10">
      <c r="E5094" s="43">
        <v>45343.374999982887</v>
      </c>
      <c r="F5094" s="41">
        <v>0</v>
      </c>
      <c r="G5094" s="41">
        <v>0</v>
      </c>
      <c r="H5094" s="42"/>
      <c r="I5094" s="42"/>
      <c r="J5094" s="42"/>
    </row>
    <row r="5095" spans="5:10">
      <c r="E5095" s="43">
        <v>45343.378472205106</v>
      </c>
      <c r="F5095" s="41">
        <v>0</v>
      </c>
      <c r="G5095" s="41">
        <v>0</v>
      </c>
      <c r="H5095" s="42"/>
      <c r="I5095" s="42"/>
      <c r="J5095" s="42"/>
    </row>
    <row r="5096" spans="5:10">
      <c r="E5096" s="43">
        <v>45343.381944427325</v>
      </c>
      <c r="F5096" s="41">
        <v>0</v>
      </c>
      <c r="G5096" s="41">
        <v>0</v>
      </c>
      <c r="H5096" s="42"/>
      <c r="I5096" s="42"/>
      <c r="J5096" s="42"/>
    </row>
    <row r="5097" spans="5:10">
      <c r="E5097" s="43">
        <v>45343.385416649544</v>
      </c>
      <c r="F5097" s="41">
        <v>0</v>
      </c>
      <c r="G5097" s="41">
        <v>0</v>
      </c>
      <c r="H5097" s="42"/>
      <c r="I5097" s="42"/>
      <c r="J5097" s="42"/>
    </row>
    <row r="5098" spans="5:10">
      <c r="E5098" s="43">
        <v>45343.388888871763</v>
      </c>
      <c r="F5098" s="41">
        <v>0</v>
      </c>
      <c r="G5098" s="41">
        <v>0</v>
      </c>
      <c r="H5098" s="42"/>
      <c r="I5098" s="42"/>
      <c r="J5098" s="42"/>
    </row>
    <row r="5099" spans="5:10">
      <c r="E5099" s="43">
        <v>45343.392361093982</v>
      </c>
      <c r="F5099" s="41">
        <v>0</v>
      </c>
      <c r="G5099" s="41">
        <v>0</v>
      </c>
      <c r="H5099" s="42"/>
      <c r="I5099" s="42"/>
      <c r="J5099" s="42"/>
    </row>
    <row r="5100" spans="5:10">
      <c r="E5100" s="43">
        <v>45343.395833316201</v>
      </c>
      <c r="F5100" s="41">
        <v>0</v>
      </c>
      <c r="G5100" s="41">
        <v>0</v>
      </c>
      <c r="H5100" s="42"/>
      <c r="I5100" s="42"/>
      <c r="J5100" s="42"/>
    </row>
    <row r="5101" spans="5:10">
      <c r="E5101" s="43">
        <v>45343.39930553842</v>
      </c>
      <c r="F5101" s="41">
        <v>0</v>
      </c>
      <c r="G5101" s="41">
        <v>0</v>
      </c>
      <c r="H5101" s="42"/>
      <c r="I5101" s="42"/>
      <c r="J5101" s="42"/>
    </row>
    <row r="5102" spans="5:10">
      <c r="E5102" s="43">
        <v>45343.402777760639</v>
      </c>
      <c r="F5102" s="41">
        <v>0</v>
      </c>
      <c r="G5102" s="41">
        <v>0</v>
      </c>
      <c r="H5102" s="42"/>
      <c r="I5102" s="42"/>
      <c r="J5102" s="42"/>
    </row>
    <row r="5103" spans="5:10">
      <c r="E5103" s="43">
        <v>45343.406249982858</v>
      </c>
      <c r="F5103" s="41">
        <v>0</v>
      </c>
      <c r="G5103" s="41">
        <v>0</v>
      </c>
      <c r="H5103" s="42"/>
      <c r="I5103" s="42"/>
      <c r="J5103" s="42"/>
    </row>
    <row r="5104" spans="5:10">
      <c r="E5104" s="43">
        <v>45343.409722205077</v>
      </c>
      <c r="F5104" s="41">
        <v>0</v>
      </c>
      <c r="G5104" s="41">
        <v>0</v>
      </c>
      <c r="H5104" s="42"/>
      <c r="I5104" s="42"/>
      <c r="J5104" s="42"/>
    </row>
    <row r="5105" spans="5:10">
      <c r="E5105" s="43">
        <v>45343.413194427296</v>
      </c>
      <c r="F5105" s="41">
        <v>0</v>
      </c>
      <c r="G5105" s="41">
        <v>0</v>
      </c>
      <c r="H5105" s="42"/>
      <c r="I5105" s="42"/>
      <c r="J5105" s="42"/>
    </row>
    <row r="5106" spans="5:10">
      <c r="E5106" s="43">
        <v>45343.416666649515</v>
      </c>
      <c r="F5106" s="41">
        <v>0</v>
      </c>
      <c r="G5106" s="41">
        <v>0</v>
      </c>
      <c r="H5106" s="42"/>
      <c r="I5106" s="42"/>
      <c r="J5106" s="42"/>
    </row>
    <row r="5107" spans="5:10">
      <c r="E5107" s="43">
        <v>45343.420138871734</v>
      </c>
      <c r="F5107" s="41">
        <v>0</v>
      </c>
      <c r="G5107" s="41">
        <v>0</v>
      </c>
      <c r="H5107" s="42"/>
      <c r="I5107" s="42"/>
      <c r="J5107" s="42"/>
    </row>
    <row r="5108" spans="5:10">
      <c r="E5108" s="43">
        <v>45343.423611093953</v>
      </c>
      <c r="F5108" s="41">
        <v>0</v>
      </c>
      <c r="G5108" s="41">
        <v>0</v>
      </c>
      <c r="H5108" s="42"/>
      <c r="I5108" s="42"/>
      <c r="J5108" s="42"/>
    </row>
    <row r="5109" spans="5:10">
      <c r="E5109" s="43">
        <v>45343.427083316172</v>
      </c>
      <c r="F5109" s="41">
        <v>0</v>
      </c>
      <c r="G5109" s="41">
        <v>0</v>
      </c>
      <c r="H5109" s="42"/>
      <c r="I5109" s="42"/>
      <c r="J5109" s="42"/>
    </row>
    <row r="5110" spans="5:10">
      <c r="E5110" s="43">
        <v>45343.430555538391</v>
      </c>
      <c r="F5110" s="41">
        <v>0</v>
      </c>
      <c r="G5110" s="41">
        <v>0</v>
      </c>
      <c r="H5110" s="42"/>
      <c r="I5110" s="42"/>
      <c r="J5110" s="42"/>
    </row>
    <row r="5111" spans="5:10">
      <c r="E5111" s="43">
        <v>45343.43402776061</v>
      </c>
      <c r="F5111" s="41">
        <v>0</v>
      </c>
      <c r="G5111" s="41">
        <v>0</v>
      </c>
      <c r="H5111" s="42"/>
      <c r="I5111" s="42"/>
      <c r="J5111" s="42"/>
    </row>
    <row r="5112" spans="5:10">
      <c r="E5112" s="43">
        <v>45343.437499982829</v>
      </c>
      <c r="F5112" s="41">
        <v>0</v>
      </c>
      <c r="G5112" s="41">
        <v>0</v>
      </c>
      <c r="H5112" s="42"/>
      <c r="I5112" s="42"/>
      <c r="J5112" s="42"/>
    </row>
    <row r="5113" spans="5:10">
      <c r="E5113" s="43">
        <v>45343.440972205048</v>
      </c>
      <c r="F5113" s="41">
        <v>0</v>
      </c>
      <c r="G5113" s="41">
        <v>0</v>
      </c>
      <c r="H5113" s="42"/>
      <c r="I5113" s="42"/>
      <c r="J5113" s="42"/>
    </row>
    <row r="5114" spans="5:10">
      <c r="E5114" s="43">
        <v>45343.444444427267</v>
      </c>
      <c r="F5114" s="41">
        <v>0</v>
      </c>
      <c r="G5114" s="41">
        <v>0</v>
      </c>
      <c r="H5114" s="42"/>
      <c r="I5114" s="42"/>
      <c r="J5114" s="42"/>
    </row>
    <row r="5115" spans="5:10">
      <c r="E5115" s="43">
        <v>45343.447916649486</v>
      </c>
      <c r="F5115" s="41">
        <v>0</v>
      </c>
      <c r="G5115" s="41">
        <v>0</v>
      </c>
      <c r="H5115" s="42"/>
      <c r="I5115" s="42"/>
      <c r="J5115" s="42"/>
    </row>
    <row r="5116" spans="5:10">
      <c r="E5116" s="43">
        <v>45343.451388871705</v>
      </c>
      <c r="F5116" s="41">
        <v>0</v>
      </c>
      <c r="G5116" s="41">
        <v>0</v>
      </c>
      <c r="H5116" s="42"/>
      <c r="I5116" s="42"/>
      <c r="J5116" s="42"/>
    </row>
    <row r="5117" spans="5:10">
      <c r="E5117" s="43">
        <v>45343.454861093924</v>
      </c>
      <c r="F5117" s="41">
        <v>0</v>
      </c>
      <c r="G5117" s="41">
        <v>0</v>
      </c>
      <c r="H5117" s="42"/>
      <c r="I5117" s="42"/>
      <c r="J5117" s="42"/>
    </row>
    <row r="5118" spans="5:10">
      <c r="E5118" s="43">
        <v>45343.458333316143</v>
      </c>
      <c r="F5118" s="41">
        <v>0</v>
      </c>
      <c r="G5118" s="41">
        <v>0</v>
      </c>
      <c r="H5118" s="42"/>
      <c r="I5118" s="42"/>
      <c r="J5118" s="42"/>
    </row>
    <row r="5119" spans="5:10">
      <c r="E5119" s="43">
        <v>45343.461805538362</v>
      </c>
      <c r="F5119" s="41">
        <v>0</v>
      </c>
      <c r="G5119" s="41">
        <v>0</v>
      </c>
      <c r="H5119" s="42"/>
      <c r="I5119" s="42"/>
      <c r="J5119" s="42"/>
    </row>
    <row r="5120" spans="5:10">
      <c r="E5120" s="43">
        <v>45343.465277760581</v>
      </c>
      <c r="F5120" s="41">
        <v>0</v>
      </c>
      <c r="G5120" s="41">
        <v>0</v>
      </c>
      <c r="H5120" s="42"/>
      <c r="I5120" s="42"/>
      <c r="J5120" s="42"/>
    </row>
    <row r="5121" spans="5:10">
      <c r="E5121" s="43">
        <v>45343.4687499828</v>
      </c>
      <c r="F5121" s="41">
        <v>0</v>
      </c>
      <c r="G5121" s="41">
        <v>0</v>
      </c>
      <c r="H5121" s="42"/>
      <c r="I5121" s="42"/>
      <c r="J5121" s="42"/>
    </row>
    <row r="5122" spans="5:10">
      <c r="E5122" s="43">
        <v>45343.472222205019</v>
      </c>
      <c r="F5122" s="41">
        <v>0</v>
      </c>
      <c r="G5122" s="41">
        <v>0</v>
      </c>
      <c r="H5122" s="42"/>
      <c r="I5122" s="42"/>
      <c r="J5122" s="42"/>
    </row>
    <row r="5123" spans="5:10">
      <c r="E5123" s="43">
        <v>45343.475694427238</v>
      </c>
      <c r="F5123" s="41">
        <v>0</v>
      </c>
      <c r="G5123" s="41">
        <v>0</v>
      </c>
      <c r="H5123" s="42"/>
      <c r="I5123" s="42"/>
      <c r="J5123" s="42"/>
    </row>
    <row r="5124" spans="5:10">
      <c r="E5124" s="43">
        <v>45343.479166649457</v>
      </c>
      <c r="F5124" s="41">
        <v>0</v>
      </c>
      <c r="G5124" s="41">
        <v>0</v>
      </c>
      <c r="H5124" s="42"/>
      <c r="I5124" s="42"/>
      <c r="J5124" s="42"/>
    </row>
    <row r="5125" spans="5:10">
      <c r="E5125" s="43">
        <v>45343.482638871676</v>
      </c>
      <c r="F5125" s="41">
        <v>0</v>
      </c>
      <c r="G5125" s="41">
        <v>0</v>
      </c>
      <c r="H5125" s="42"/>
      <c r="I5125" s="42"/>
      <c r="J5125" s="42"/>
    </row>
    <row r="5126" spans="5:10">
      <c r="E5126" s="43">
        <v>45343.486111093895</v>
      </c>
      <c r="F5126" s="41">
        <v>0</v>
      </c>
      <c r="G5126" s="41">
        <v>0</v>
      </c>
      <c r="H5126" s="42"/>
      <c r="I5126" s="42"/>
      <c r="J5126" s="42"/>
    </row>
    <row r="5127" spans="5:10">
      <c r="E5127" s="43">
        <v>45343.489583316114</v>
      </c>
      <c r="F5127" s="41">
        <v>0</v>
      </c>
      <c r="G5127" s="41">
        <v>0</v>
      </c>
      <c r="H5127" s="42"/>
      <c r="I5127" s="42"/>
      <c r="J5127" s="42"/>
    </row>
    <row r="5128" spans="5:10">
      <c r="E5128" s="43">
        <v>45343.493055538333</v>
      </c>
      <c r="F5128" s="41">
        <v>0</v>
      </c>
      <c r="G5128" s="41">
        <v>0</v>
      </c>
      <c r="H5128" s="42"/>
      <c r="I5128" s="42"/>
      <c r="J5128" s="42"/>
    </row>
    <row r="5129" spans="5:10">
      <c r="E5129" s="43">
        <v>45343.496527760552</v>
      </c>
      <c r="F5129" s="41">
        <v>0</v>
      </c>
      <c r="G5129" s="41">
        <v>0</v>
      </c>
      <c r="H5129" s="42"/>
      <c r="I5129" s="42"/>
      <c r="J5129" s="42"/>
    </row>
    <row r="5130" spans="5:10">
      <c r="E5130" s="43">
        <v>45343.499999982771</v>
      </c>
      <c r="F5130" s="41">
        <v>0</v>
      </c>
      <c r="G5130" s="41">
        <v>0</v>
      </c>
      <c r="H5130" s="42"/>
      <c r="I5130" s="42"/>
      <c r="J5130" s="42"/>
    </row>
    <row r="5131" spans="5:10">
      <c r="E5131" s="43">
        <v>45343.50347220499</v>
      </c>
      <c r="F5131" s="41">
        <v>0</v>
      </c>
      <c r="G5131" s="41">
        <v>0</v>
      </c>
      <c r="H5131" s="42"/>
      <c r="I5131" s="42"/>
      <c r="J5131" s="42"/>
    </row>
    <row r="5132" spans="5:10">
      <c r="E5132" s="43">
        <v>45343.506944427209</v>
      </c>
      <c r="F5132" s="41">
        <v>0</v>
      </c>
      <c r="G5132" s="41">
        <v>0</v>
      </c>
      <c r="H5132" s="42"/>
      <c r="I5132" s="42"/>
      <c r="J5132" s="42"/>
    </row>
    <row r="5133" spans="5:10">
      <c r="E5133" s="43">
        <v>45343.510416649427</v>
      </c>
      <c r="F5133" s="41">
        <v>0</v>
      </c>
      <c r="G5133" s="41">
        <v>0</v>
      </c>
      <c r="H5133" s="42"/>
      <c r="I5133" s="42"/>
      <c r="J5133" s="42"/>
    </row>
    <row r="5134" spans="5:10">
      <c r="E5134" s="43">
        <v>45343.513888871646</v>
      </c>
      <c r="F5134" s="41">
        <v>0</v>
      </c>
      <c r="G5134" s="41">
        <v>0</v>
      </c>
      <c r="H5134" s="42"/>
      <c r="I5134" s="42"/>
      <c r="J5134" s="42"/>
    </row>
    <row r="5135" spans="5:10">
      <c r="E5135" s="43">
        <v>45343.517361093865</v>
      </c>
      <c r="F5135" s="41">
        <v>0</v>
      </c>
      <c r="G5135" s="41">
        <v>0</v>
      </c>
      <c r="H5135" s="42"/>
      <c r="I5135" s="42"/>
      <c r="J5135" s="42"/>
    </row>
    <row r="5136" spans="5:10">
      <c r="E5136" s="43">
        <v>45343.520833316084</v>
      </c>
      <c r="F5136" s="41">
        <v>0</v>
      </c>
      <c r="G5136" s="41">
        <v>0</v>
      </c>
      <c r="H5136" s="42"/>
      <c r="I5136" s="42"/>
      <c r="J5136" s="42"/>
    </row>
    <row r="5137" spans="5:10">
      <c r="E5137" s="43">
        <v>45343.524305538303</v>
      </c>
      <c r="F5137" s="41">
        <v>0</v>
      </c>
      <c r="G5137" s="41">
        <v>0</v>
      </c>
      <c r="H5137" s="42"/>
      <c r="I5137" s="42"/>
      <c r="J5137" s="42"/>
    </row>
    <row r="5138" spans="5:10">
      <c r="E5138" s="43">
        <v>45343.527777760522</v>
      </c>
      <c r="F5138" s="41">
        <v>0</v>
      </c>
      <c r="G5138" s="41">
        <v>0</v>
      </c>
      <c r="H5138" s="42"/>
      <c r="I5138" s="42"/>
      <c r="J5138" s="42"/>
    </row>
    <row r="5139" spans="5:10">
      <c r="E5139" s="43">
        <v>45343.531249982741</v>
      </c>
      <c r="F5139" s="41">
        <v>0</v>
      </c>
      <c r="G5139" s="41">
        <v>0</v>
      </c>
      <c r="H5139" s="42"/>
      <c r="I5139" s="42"/>
      <c r="J5139" s="42"/>
    </row>
    <row r="5140" spans="5:10">
      <c r="E5140" s="43">
        <v>45343.53472220496</v>
      </c>
      <c r="F5140" s="41">
        <v>0</v>
      </c>
      <c r="G5140" s="41">
        <v>0</v>
      </c>
      <c r="H5140" s="42"/>
      <c r="I5140" s="42"/>
      <c r="J5140" s="42"/>
    </row>
    <row r="5141" spans="5:10">
      <c r="E5141" s="43">
        <v>45343.538194427179</v>
      </c>
      <c r="F5141" s="41">
        <v>0</v>
      </c>
      <c r="G5141" s="41">
        <v>0</v>
      </c>
      <c r="H5141" s="42"/>
      <c r="I5141" s="42"/>
      <c r="J5141" s="42"/>
    </row>
    <row r="5142" spans="5:10">
      <c r="E5142" s="43">
        <v>45343.541666649398</v>
      </c>
      <c r="F5142" s="41">
        <v>0</v>
      </c>
      <c r="G5142" s="41">
        <v>0</v>
      </c>
      <c r="H5142" s="42"/>
      <c r="I5142" s="42"/>
      <c r="J5142" s="42"/>
    </row>
    <row r="5143" spans="5:10">
      <c r="E5143" s="43">
        <v>45343.545138871617</v>
      </c>
      <c r="F5143" s="41">
        <v>0</v>
      </c>
      <c r="G5143" s="41">
        <v>0</v>
      </c>
      <c r="H5143" s="42"/>
      <c r="I5143" s="42"/>
      <c r="J5143" s="42"/>
    </row>
    <row r="5144" spans="5:10">
      <c r="E5144" s="43">
        <v>45343.548611093836</v>
      </c>
      <c r="F5144" s="41">
        <v>0</v>
      </c>
      <c r="G5144" s="41">
        <v>0</v>
      </c>
      <c r="H5144" s="42"/>
      <c r="I5144" s="42"/>
      <c r="J5144" s="42"/>
    </row>
    <row r="5145" spans="5:10">
      <c r="E5145" s="43">
        <v>45343.552083316055</v>
      </c>
      <c r="F5145" s="41">
        <v>0</v>
      </c>
      <c r="G5145" s="41">
        <v>0</v>
      </c>
      <c r="H5145" s="42"/>
      <c r="I5145" s="42"/>
      <c r="J5145" s="42"/>
    </row>
    <row r="5146" spans="5:10">
      <c r="E5146" s="43">
        <v>45343.555555538274</v>
      </c>
      <c r="F5146" s="41">
        <v>0</v>
      </c>
      <c r="G5146" s="41">
        <v>0</v>
      </c>
      <c r="H5146" s="42"/>
      <c r="I5146" s="42"/>
      <c r="J5146" s="42"/>
    </row>
    <row r="5147" spans="5:10">
      <c r="E5147" s="43">
        <v>45343.559027760493</v>
      </c>
      <c r="F5147" s="41">
        <v>0</v>
      </c>
      <c r="G5147" s="41">
        <v>0</v>
      </c>
      <c r="H5147" s="42"/>
      <c r="I5147" s="42"/>
      <c r="J5147" s="42"/>
    </row>
    <row r="5148" spans="5:10">
      <c r="E5148" s="43">
        <v>45343.562499982712</v>
      </c>
      <c r="F5148" s="41">
        <v>0</v>
      </c>
      <c r="G5148" s="41">
        <v>0</v>
      </c>
      <c r="H5148" s="42"/>
      <c r="I5148" s="42"/>
      <c r="J5148" s="42"/>
    </row>
    <row r="5149" spans="5:10">
      <c r="E5149" s="43">
        <v>45343.565972204931</v>
      </c>
      <c r="F5149" s="41">
        <v>0</v>
      </c>
      <c r="G5149" s="41">
        <v>0</v>
      </c>
      <c r="H5149" s="42"/>
      <c r="I5149" s="42"/>
      <c r="J5149" s="42"/>
    </row>
    <row r="5150" spans="5:10">
      <c r="E5150" s="43">
        <v>45343.56944442715</v>
      </c>
      <c r="F5150" s="41">
        <v>0</v>
      </c>
      <c r="G5150" s="41">
        <v>0</v>
      </c>
      <c r="H5150" s="42"/>
      <c r="I5150" s="42"/>
      <c r="J5150" s="42"/>
    </row>
    <row r="5151" spans="5:10">
      <c r="E5151" s="43">
        <v>45343.572916649369</v>
      </c>
      <c r="F5151" s="41">
        <v>0</v>
      </c>
      <c r="G5151" s="41">
        <v>0</v>
      </c>
      <c r="H5151" s="42"/>
      <c r="I5151" s="42"/>
      <c r="J5151" s="42"/>
    </row>
    <row r="5152" spans="5:10">
      <c r="E5152" s="43">
        <v>45343.576388871588</v>
      </c>
      <c r="F5152" s="41">
        <v>0</v>
      </c>
      <c r="G5152" s="41">
        <v>0</v>
      </c>
      <c r="H5152" s="42"/>
      <c r="I5152" s="42"/>
      <c r="J5152" s="42"/>
    </row>
    <row r="5153" spans="5:10">
      <c r="E5153" s="43">
        <v>45343.579861093807</v>
      </c>
      <c r="F5153" s="41">
        <v>0</v>
      </c>
      <c r="G5153" s="41">
        <v>0</v>
      </c>
      <c r="H5153" s="42"/>
      <c r="I5153" s="42"/>
      <c r="J5153" s="42"/>
    </row>
    <row r="5154" spans="5:10">
      <c r="E5154" s="43">
        <v>45343.583333316026</v>
      </c>
      <c r="F5154" s="41">
        <v>0</v>
      </c>
      <c r="G5154" s="41">
        <v>0</v>
      </c>
      <c r="H5154" s="42"/>
      <c r="I5154" s="42"/>
      <c r="J5154" s="42"/>
    </row>
    <row r="5155" spans="5:10">
      <c r="E5155" s="43">
        <v>45343.586805538245</v>
      </c>
      <c r="F5155" s="41">
        <v>0</v>
      </c>
      <c r="G5155" s="41">
        <v>0</v>
      </c>
      <c r="H5155" s="42"/>
      <c r="I5155" s="42"/>
      <c r="J5155" s="42"/>
    </row>
    <row r="5156" spans="5:10">
      <c r="E5156" s="43">
        <v>45343.590277760464</v>
      </c>
      <c r="F5156" s="41">
        <v>0</v>
      </c>
      <c r="G5156" s="41">
        <v>0</v>
      </c>
      <c r="H5156" s="42"/>
      <c r="I5156" s="42"/>
      <c r="J5156" s="42"/>
    </row>
    <row r="5157" spans="5:10">
      <c r="E5157" s="43">
        <v>45343.593749982683</v>
      </c>
      <c r="F5157" s="41">
        <v>0</v>
      </c>
      <c r="G5157" s="41">
        <v>0</v>
      </c>
      <c r="H5157" s="42"/>
      <c r="I5157" s="42"/>
      <c r="J5157" s="42"/>
    </row>
    <row r="5158" spans="5:10">
      <c r="E5158" s="43">
        <v>45343.597222204902</v>
      </c>
      <c r="F5158" s="41">
        <v>0</v>
      </c>
      <c r="G5158" s="41">
        <v>0</v>
      </c>
      <c r="H5158" s="42"/>
      <c r="I5158" s="42"/>
      <c r="J5158" s="42"/>
    </row>
    <row r="5159" spans="5:10">
      <c r="E5159" s="43">
        <v>45343.600694427121</v>
      </c>
      <c r="F5159" s="41">
        <v>0</v>
      </c>
      <c r="G5159" s="41">
        <v>0</v>
      </c>
      <c r="H5159" s="42"/>
      <c r="I5159" s="42"/>
      <c r="J5159" s="42"/>
    </row>
    <row r="5160" spans="5:10">
      <c r="E5160" s="43">
        <v>45343.60416664934</v>
      </c>
      <c r="F5160" s="41">
        <v>0</v>
      </c>
      <c r="G5160" s="41">
        <v>0</v>
      </c>
      <c r="H5160" s="42"/>
      <c r="I5160" s="42"/>
      <c r="J5160" s="42"/>
    </row>
    <row r="5161" spans="5:10">
      <c r="E5161" s="43">
        <v>45343.607638871559</v>
      </c>
      <c r="F5161" s="41">
        <v>0</v>
      </c>
      <c r="G5161" s="41">
        <v>0</v>
      </c>
      <c r="H5161" s="42"/>
      <c r="I5161" s="42"/>
      <c r="J5161" s="42"/>
    </row>
    <row r="5162" spans="5:10">
      <c r="E5162" s="43">
        <v>45343.611111093778</v>
      </c>
      <c r="F5162" s="41">
        <v>0</v>
      </c>
      <c r="G5162" s="41">
        <v>0</v>
      </c>
      <c r="H5162" s="42"/>
      <c r="I5162" s="42"/>
      <c r="J5162" s="42"/>
    </row>
    <row r="5163" spans="5:10">
      <c r="E5163" s="43">
        <v>45343.614583315997</v>
      </c>
      <c r="F5163" s="41">
        <v>0</v>
      </c>
      <c r="G5163" s="41">
        <v>0</v>
      </c>
      <c r="H5163" s="42"/>
      <c r="I5163" s="42"/>
      <c r="J5163" s="42"/>
    </row>
    <row r="5164" spans="5:10">
      <c r="E5164" s="43">
        <v>45343.618055538216</v>
      </c>
      <c r="F5164" s="41">
        <v>0</v>
      </c>
      <c r="G5164" s="41">
        <v>0</v>
      </c>
      <c r="H5164" s="42"/>
      <c r="I5164" s="42"/>
      <c r="J5164" s="42"/>
    </row>
    <row r="5165" spans="5:10">
      <c r="E5165" s="43">
        <v>45343.621527760435</v>
      </c>
      <c r="F5165" s="41">
        <v>0</v>
      </c>
      <c r="G5165" s="41">
        <v>0</v>
      </c>
      <c r="H5165" s="42"/>
      <c r="I5165" s="42"/>
      <c r="J5165" s="42"/>
    </row>
    <row r="5166" spans="5:10">
      <c r="E5166" s="43">
        <v>45343.624999982654</v>
      </c>
      <c r="F5166" s="41">
        <v>0</v>
      </c>
      <c r="G5166" s="41">
        <v>0</v>
      </c>
      <c r="H5166" s="42"/>
      <c r="I5166" s="42"/>
      <c r="J5166" s="42"/>
    </row>
    <row r="5167" spans="5:10">
      <c r="E5167" s="43">
        <v>45343.628472204873</v>
      </c>
      <c r="F5167" s="41">
        <v>0</v>
      </c>
      <c r="G5167" s="41">
        <v>0</v>
      </c>
      <c r="H5167" s="42"/>
      <c r="I5167" s="42"/>
      <c r="J5167" s="42"/>
    </row>
    <row r="5168" spans="5:10">
      <c r="E5168" s="43">
        <v>45343.631944427092</v>
      </c>
      <c r="F5168" s="41">
        <v>0</v>
      </c>
      <c r="G5168" s="41">
        <v>0</v>
      </c>
      <c r="H5168" s="42"/>
      <c r="I5168" s="42"/>
      <c r="J5168" s="42"/>
    </row>
    <row r="5169" spans="5:10">
      <c r="E5169" s="43">
        <v>45343.635416649311</v>
      </c>
      <c r="F5169" s="41">
        <v>0</v>
      </c>
      <c r="G5169" s="41">
        <v>0</v>
      </c>
      <c r="H5169" s="42"/>
      <c r="I5169" s="42"/>
      <c r="J5169" s="42"/>
    </row>
    <row r="5170" spans="5:10">
      <c r="E5170" s="43">
        <v>45343.63888887153</v>
      </c>
      <c r="F5170" s="41">
        <v>0</v>
      </c>
      <c r="G5170" s="41">
        <v>0</v>
      </c>
      <c r="H5170" s="42"/>
      <c r="I5170" s="42"/>
      <c r="J5170" s="42"/>
    </row>
    <row r="5171" spans="5:10">
      <c r="E5171" s="43">
        <v>45343.642361093749</v>
      </c>
      <c r="F5171" s="41">
        <v>0</v>
      </c>
      <c r="G5171" s="41">
        <v>0</v>
      </c>
      <c r="H5171" s="42"/>
      <c r="I5171" s="42"/>
      <c r="J5171" s="42"/>
    </row>
    <row r="5172" spans="5:10">
      <c r="E5172" s="43">
        <v>45343.645833315968</v>
      </c>
      <c r="F5172" s="41">
        <v>0</v>
      </c>
      <c r="G5172" s="41">
        <v>0</v>
      </c>
      <c r="H5172" s="42"/>
      <c r="I5172" s="42"/>
      <c r="J5172" s="42"/>
    </row>
    <row r="5173" spans="5:10">
      <c r="E5173" s="43">
        <v>45343.649305538187</v>
      </c>
      <c r="F5173" s="41">
        <v>0</v>
      </c>
      <c r="G5173" s="41">
        <v>0</v>
      </c>
      <c r="H5173" s="42"/>
      <c r="I5173" s="42"/>
      <c r="J5173" s="42"/>
    </row>
    <row r="5174" spans="5:10">
      <c r="E5174" s="43">
        <v>45343.652777760406</v>
      </c>
      <c r="F5174" s="41">
        <v>0</v>
      </c>
      <c r="G5174" s="41">
        <v>0</v>
      </c>
      <c r="H5174" s="42"/>
      <c r="I5174" s="42"/>
      <c r="J5174" s="42"/>
    </row>
    <row r="5175" spans="5:10">
      <c r="E5175" s="43">
        <v>45343.656249982625</v>
      </c>
      <c r="F5175" s="41">
        <v>0</v>
      </c>
      <c r="G5175" s="41">
        <v>0</v>
      </c>
      <c r="H5175" s="42"/>
      <c r="I5175" s="42"/>
      <c r="J5175" s="42"/>
    </row>
    <row r="5176" spans="5:10">
      <c r="E5176" s="43">
        <v>45343.659722204844</v>
      </c>
      <c r="F5176" s="41">
        <v>0</v>
      </c>
      <c r="G5176" s="41">
        <v>0</v>
      </c>
      <c r="H5176" s="42"/>
      <c r="I5176" s="42"/>
      <c r="J5176" s="42"/>
    </row>
    <row r="5177" spans="5:10">
      <c r="E5177" s="43">
        <v>45343.663194427063</v>
      </c>
      <c r="F5177" s="41">
        <v>0</v>
      </c>
      <c r="G5177" s="41">
        <v>0</v>
      </c>
      <c r="H5177" s="42"/>
      <c r="I5177" s="42"/>
      <c r="J5177" s="42"/>
    </row>
    <row r="5178" spans="5:10">
      <c r="E5178" s="43">
        <v>45343.666666649282</v>
      </c>
      <c r="F5178" s="41">
        <v>0</v>
      </c>
      <c r="G5178" s="41">
        <v>0</v>
      </c>
      <c r="H5178" s="42"/>
      <c r="I5178" s="42"/>
      <c r="J5178" s="42"/>
    </row>
    <row r="5179" spans="5:10">
      <c r="E5179" s="43">
        <v>45343.670138871501</v>
      </c>
      <c r="F5179" s="41">
        <v>0</v>
      </c>
      <c r="G5179" s="41">
        <v>0</v>
      </c>
      <c r="H5179" s="42"/>
      <c r="I5179" s="42"/>
      <c r="J5179" s="42"/>
    </row>
    <row r="5180" spans="5:10">
      <c r="E5180" s="43">
        <v>45343.67361109372</v>
      </c>
      <c r="F5180" s="41">
        <v>0</v>
      </c>
      <c r="G5180" s="41">
        <v>0</v>
      </c>
      <c r="H5180" s="42"/>
      <c r="I5180" s="42"/>
      <c r="J5180" s="42"/>
    </row>
    <row r="5181" spans="5:10">
      <c r="E5181" s="43">
        <v>45343.677083315939</v>
      </c>
      <c r="F5181" s="41">
        <v>0</v>
      </c>
      <c r="G5181" s="41">
        <v>0</v>
      </c>
      <c r="H5181" s="42"/>
      <c r="I5181" s="42"/>
      <c r="J5181" s="42"/>
    </row>
    <row r="5182" spans="5:10">
      <c r="E5182" s="43">
        <v>45343.680555538158</v>
      </c>
      <c r="F5182" s="41">
        <v>0</v>
      </c>
      <c r="G5182" s="41">
        <v>0</v>
      </c>
      <c r="H5182" s="42"/>
      <c r="I5182" s="42"/>
      <c r="J5182" s="42"/>
    </row>
    <row r="5183" spans="5:10">
      <c r="E5183" s="43">
        <v>45343.684027760377</v>
      </c>
      <c r="F5183" s="41">
        <v>0</v>
      </c>
      <c r="G5183" s="41">
        <v>0</v>
      </c>
      <c r="H5183" s="42"/>
      <c r="I5183" s="42"/>
      <c r="J5183" s="42"/>
    </row>
    <row r="5184" spans="5:10">
      <c r="E5184" s="43">
        <v>45343.687499982596</v>
      </c>
      <c r="F5184" s="41">
        <v>3.6539626021502345</v>
      </c>
      <c r="G5184" s="41">
        <v>0</v>
      </c>
      <c r="H5184" s="42"/>
      <c r="I5184" s="42"/>
      <c r="J5184" s="42"/>
    </row>
    <row r="5185" spans="5:10">
      <c r="E5185" s="43">
        <v>45343.690972204815</v>
      </c>
      <c r="F5185" s="41">
        <v>3.6539626021502345</v>
      </c>
      <c r="G5185" s="41">
        <v>0</v>
      </c>
      <c r="H5185" s="42"/>
      <c r="I5185" s="42"/>
      <c r="J5185" s="42"/>
    </row>
    <row r="5186" spans="5:10">
      <c r="E5186" s="43">
        <v>45343.694444427034</v>
      </c>
      <c r="F5186" s="41">
        <v>3.6539626021502345</v>
      </c>
      <c r="G5186" s="41">
        <v>0</v>
      </c>
      <c r="H5186" s="42"/>
      <c r="I5186" s="42"/>
      <c r="J5186" s="42"/>
    </row>
    <row r="5187" spans="5:10">
      <c r="E5187" s="43">
        <v>45343.697916649253</v>
      </c>
      <c r="F5187" s="41">
        <v>3.6539626021502345</v>
      </c>
      <c r="G5187" s="41">
        <v>0</v>
      </c>
      <c r="H5187" s="42"/>
      <c r="I5187" s="42"/>
      <c r="J5187" s="42"/>
    </row>
    <row r="5188" spans="5:10">
      <c r="E5188" s="43">
        <v>45343.701388871472</v>
      </c>
      <c r="F5188" s="41">
        <v>3.6539626021502345</v>
      </c>
      <c r="G5188" s="41">
        <v>0</v>
      </c>
      <c r="H5188" s="42"/>
      <c r="I5188" s="42"/>
      <c r="J5188" s="42"/>
    </row>
    <row r="5189" spans="5:10">
      <c r="E5189" s="43">
        <v>45343.704861093691</v>
      </c>
      <c r="F5189" s="41">
        <v>3.6539626021502345</v>
      </c>
      <c r="G5189" s="41">
        <v>0</v>
      </c>
      <c r="H5189" s="42"/>
      <c r="I5189" s="42"/>
      <c r="J5189" s="42"/>
    </row>
    <row r="5190" spans="5:10">
      <c r="E5190" s="43">
        <v>45343.70833331591</v>
      </c>
      <c r="F5190" s="41">
        <v>3.6539626021502345</v>
      </c>
      <c r="G5190" s="41">
        <v>0</v>
      </c>
      <c r="H5190" s="42"/>
      <c r="I5190" s="42"/>
      <c r="J5190" s="42"/>
    </row>
    <row r="5191" spans="5:10">
      <c r="E5191" s="43">
        <v>45343.711805538129</v>
      </c>
      <c r="F5191" s="41">
        <v>3.6539626021502345</v>
      </c>
      <c r="G5191" s="41">
        <v>0</v>
      </c>
      <c r="H5191" s="42"/>
      <c r="I5191" s="42"/>
      <c r="J5191" s="42"/>
    </row>
    <row r="5192" spans="5:10">
      <c r="E5192" s="43">
        <v>45343.715277760348</v>
      </c>
      <c r="F5192" s="41">
        <v>3.6539626021502345</v>
      </c>
      <c r="G5192" s="41">
        <v>0</v>
      </c>
      <c r="H5192" s="42"/>
      <c r="I5192" s="42"/>
      <c r="J5192" s="42"/>
    </row>
    <row r="5193" spans="5:10">
      <c r="E5193" s="43">
        <v>45343.718749982567</v>
      </c>
      <c r="F5193" s="41">
        <v>3.6539626021502345</v>
      </c>
      <c r="G5193" s="41">
        <v>0</v>
      </c>
      <c r="H5193" s="42"/>
      <c r="I5193" s="42"/>
      <c r="J5193" s="42"/>
    </row>
    <row r="5194" spans="5:10">
      <c r="E5194" s="43">
        <v>45343.722222204786</v>
      </c>
      <c r="F5194" s="41">
        <v>3.6539626021502345</v>
      </c>
      <c r="G5194" s="41">
        <v>0</v>
      </c>
      <c r="H5194" s="42"/>
      <c r="I5194" s="42"/>
      <c r="J5194" s="42"/>
    </row>
    <row r="5195" spans="5:10">
      <c r="E5195" s="43">
        <v>45343.725694427005</v>
      </c>
      <c r="F5195" s="41">
        <v>3.6539626021502345</v>
      </c>
      <c r="G5195" s="41">
        <v>0</v>
      </c>
      <c r="H5195" s="42"/>
      <c r="I5195" s="42"/>
      <c r="J5195" s="42"/>
    </row>
    <row r="5196" spans="5:10">
      <c r="E5196" s="43">
        <v>45343.729166649224</v>
      </c>
      <c r="F5196" s="41">
        <v>3.6539626021502345</v>
      </c>
      <c r="G5196" s="41">
        <v>0</v>
      </c>
      <c r="H5196" s="42"/>
      <c r="I5196" s="42"/>
      <c r="J5196" s="42"/>
    </row>
    <row r="5197" spans="5:10">
      <c r="E5197" s="43">
        <v>45343.732638871443</v>
      </c>
      <c r="F5197" s="41">
        <v>3.6539626021502345</v>
      </c>
      <c r="G5197" s="41">
        <v>0</v>
      </c>
      <c r="H5197" s="42"/>
      <c r="I5197" s="42"/>
      <c r="J5197" s="42"/>
    </row>
    <row r="5198" spans="5:10">
      <c r="E5198" s="43">
        <v>45343.736111093662</v>
      </c>
      <c r="F5198" s="41">
        <v>3.6539626021502345</v>
      </c>
      <c r="G5198" s="41">
        <v>0</v>
      </c>
      <c r="H5198" s="42"/>
      <c r="I5198" s="42"/>
      <c r="J5198" s="42"/>
    </row>
    <row r="5199" spans="5:10">
      <c r="E5199" s="43">
        <v>45343.739583315881</v>
      </c>
      <c r="F5199" s="41">
        <v>3.6539626021502345</v>
      </c>
      <c r="G5199" s="41">
        <v>0</v>
      </c>
      <c r="H5199" s="42"/>
      <c r="I5199" s="42"/>
      <c r="J5199" s="42"/>
    </row>
    <row r="5200" spans="5:10">
      <c r="E5200" s="43">
        <v>45343.7430555381</v>
      </c>
      <c r="F5200" s="41">
        <v>3.6539626021502345</v>
      </c>
      <c r="G5200" s="41">
        <v>0</v>
      </c>
      <c r="H5200" s="42"/>
      <c r="I5200" s="42"/>
      <c r="J5200" s="42"/>
    </row>
    <row r="5201" spans="5:10">
      <c r="E5201" s="43">
        <v>45343.746527760319</v>
      </c>
      <c r="F5201" s="41">
        <v>3.6539626021502345</v>
      </c>
      <c r="G5201" s="41">
        <v>0</v>
      </c>
      <c r="H5201" s="42"/>
      <c r="I5201" s="42"/>
      <c r="J5201" s="42"/>
    </row>
    <row r="5202" spans="5:10">
      <c r="E5202" s="43">
        <v>45343.749999982538</v>
      </c>
      <c r="F5202" s="41">
        <v>3.6539626021502345</v>
      </c>
      <c r="G5202" s="41">
        <v>0</v>
      </c>
      <c r="H5202" s="42"/>
      <c r="I5202" s="42"/>
      <c r="J5202" s="42"/>
    </row>
    <row r="5203" spans="5:10">
      <c r="E5203" s="43">
        <v>45343.753472204757</v>
      </c>
      <c r="F5203" s="41">
        <v>3.6539626021502345</v>
      </c>
      <c r="G5203" s="41">
        <v>0</v>
      </c>
      <c r="H5203" s="42"/>
      <c r="I5203" s="42"/>
      <c r="J5203" s="42"/>
    </row>
    <row r="5204" spans="5:10">
      <c r="E5204" s="43">
        <v>45343.756944426976</v>
      </c>
      <c r="F5204" s="41">
        <v>3.6539626021502345</v>
      </c>
      <c r="G5204" s="41">
        <v>0</v>
      </c>
      <c r="H5204" s="42"/>
      <c r="I5204" s="42"/>
      <c r="J5204" s="42"/>
    </row>
    <row r="5205" spans="5:10">
      <c r="E5205" s="43">
        <v>45343.760416649195</v>
      </c>
      <c r="F5205" s="41">
        <v>3.6539626021502345</v>
      </c>
      <c r="G5205" s="41">
        <v>0</v>
      </c>
      <c r="H5205" s="42"/>
      <c r="I5205" s="42"/>
      <c r="J5205" s="42"/>
    </row>
    <row r="5206" spans="5:10">
      <c r="E5206" s="43">
        <v>45343.763888871414</v>
      </c>
      <c r="F5206" s="41">
        <v>3.6539626021502345</v>
      </c>
      <c r="G5206" s="41">
        <v>0</v>
      </c>
      <c r="H5206" s="42"/>
      <c r="I5206" s="42"/>
      <c r="J5206" s="42"/>
    </row>
    <row r="5207" spans="5:10">
      <c r="E5207" s="43">
        <v>45343.767361093633</v>
      </c>
      <c r="F5207" s="41">
        <v>3.6539626021502345</v>
      </c>
      <c r="G5207" s="41">
        <v>0</v>
      </c>
      <c r="H5207" s="42"/>
      <c r="I5207" s="42"/>
      <c r="J5207" s="42"/>
    </row>
    <row r="5208" spans="5:10">
      <c r="E5208" s="43">
        <v>45343.770833315852</v>
      </c>
      <c r="F5208" s="41">
        <v>3.6539626021502345</v>
      </c>
      <c r="G5208" s="41">
        <v>0</v>
      </c>
      <c r="H5208" s="42"/>
      <c r="I5208" s="42"/>
      <c r="J5208" s="42"/>
    </row>
    <row r="5209" spans="5:10">
      <c r="E5209" s="43">
        <v>45343.774305538071</v>
      </c>
      <c r="F5209" s="41">
        <v>3.6539626021502345</v>
      </c>
      <c r="G5209" s="41">
        <v>0</v>
      </c>
      <c r="H5209" s="42"/>
      <c r="I5209" s="42"/>
      <c r="J5209" s="42"/>
    </row>
    <row r="5210" spans="5:10">
      <c r="E5210" s="43">
        <v>45343.77777776029</v>
      </c>
      <c r="F5210" s="41">
        <v>3.6539626021502345</v>
      </c>
      <c r="G5210" s="41">
        <v>0</v>
      </c>
      <c r="H5210" s="42"/>
      <c r="I5210" s="42"/>
      <c r="J5210" s="42"/>
    </row>
    <row r="5211" spans="5:10">
      <c r="E5211" s="43">
        <v>45343.781249982509</v>
      </c>
      <c r="F5211" s="41">
        <v>3.6539626021502345</v>
      </c>
      <c r="G5211" s="41">
        <v>0</v>
      </c>
      <c r="H5211" s="42"/>
      <c r="I5211" s="42"/>
      <c r="J5211" s="42"/>
    </row>
    <row r="5212" spans="5:10">
      <c r="E5212" s="43">
        <v>45343.784722204728</v>
      </c>
      <c r="F5212" s="41">
        <v>3.6539626021502345</v>
      </c>
      <c r="G5212" s="41">
        <v>0</v>
      </c>
      <c r="H5212" s="42"/>
      <c r="I5212" s="42"/>
      <c r="J5212" s="42"/>
    </row>
    <row r="5213" spans="5:10">
      <c r="E5213" s="43">
        <v>45343.788194426947</v>
      </c>
      <c r="F5213" s="41">
        <v>3.6539626021502345</v>
      </c>
      <c r="G5213" s="41">
        <v>0</v>
      </c>
      <c r="H5213" s="42"/>
      <c r="I5213" s="42"/>
      <c r="J5213" s="42"/>
    </row>
    <row r="5214" spans="5:10">
      <c r="E5214" s="43">
        <v>45343.791666649166</v>
      </c>
      <c r="F5214" s="41">
        <v>3.6539626021502345</v>
      </c>
      <c r="G5214" s="41">
        <v>0</v>
      </c>
      <c r="H5214" s="42"/>
      <c r="I5214" s="42"/>
      <c r="J5214" s="42"/>
    </row>
    <row r="5215" spans="5:10">
      <c r="E5215" s="43">
        <v>45343.795138871385</v>
      </c>
      <c r="F5215" s="41">
        <v>3.6539626021502345</v>
      </c>
      <c r="G5215" s="41">
        <v>0</v>
      </c>
      <c r="H5215" s="42"/>
      <c r="I5215" s="42"/>
      <c r="J5215" s="42"/>
    </row>
    <row r="5216" spans="5:10">
      <c r="E5216" s="43">
        <v>45343.798611093604</v>
      </c>
      <c r="F5216" s="41">
        <v>3.6539626021502345</v>
      </c>
      <c r="G5216" s="41">
        <v>0</v>
      </c>
      <c r="H5216" s="42"/>
      <c r="I5216" s="42"/>
      <c r="J5216" s="42"/>
    </row>
    <row r="5217" spans="5:10">
      <c r="E5217" s="43">
        <v>45343.802083315823</v>
      </c>
      <c r="F5217" s="41">
        <v>3.6539626021502345</v>
      </c>
      <c r="G5217" s="41">
        <v>0</v>
      </c>
      <c r="H5217" s="42"/>
      <c r="I5217" s="42"/>
      <c r="J5217" s="42"/>
    </row>
    <row r="5218" spans="5:10">
      <c r="E5218" s="43">
        <v>45343.805555538042</v>
      </c>
      <c r="F5218" s="41">
        <v>3.6539626021502345</v>
      </c>
      <c r="G5218" s="41">
        <v>0</v>
      </c>
      <c r="H5218" s="42"/>
      <c r="I5218" s="42"/>
      <c r="J5218" s="42"/>
    </row>
    <row r="5219" spans="5:10">
      <c r="E5219" s="43">
        <v>45343.809027760261</v>
      </c>
      <c r="F5219" s="41">
        <v>3.6539626021502345</v>
      </c>
      <c r="G5219" s="41">
        <v>0</v>
      </c>
      <c r="H5219" s="42"/>
      <c r="I5219" s="42"/>
      <c r="J5219" s="42"/>
    </row>
    <row r="5220" spans="5:10">
      <c r="E5220" s="43">
        <v>45343.812499982479</v>
      </c>
      <c r="F5220" s="41">
        <v>3.6539626021502345</v>
      </c>
      <c r="G5220" s="41">
        <v>0</v>
      </c>
      <c r="H5220" s="42"/>
      <c r="I5220" s="42"/>
      <c r="J5220" s="42"/>
    </row>
    <row r="5221" spans="5:10">
      <c r="E5221" s="43">
        <v>45343.815972204698</v>
      </c>
      <c r="F5221" s="41">
        <v>3.6539626021502345</v>
      </c>
      <c r="G5221" s="41">
        <v>0</v>
      </c>
      <c r="H5221" s="42"/>
      <c r="I5221" s="42"/>
      <c r="J5221" s="42"/>
    </row>
    <row r="5222" spans="5:10">
      <c r="E5222" s="43">
        <v>45343.819444426917</v>
      </c>
      <c r="F5222" s="41">
        <v>3.6539626021502345</v>
      </c>
      <c r="G5222" s="41">
        <v>0</v>
      </c>
      <c r="H5222" s="42"/>
      <c r="I5222" s="42"/>
      <c r="J5222" s="42"/>
    </row>
    <row r="5223" spans="5:10">
      <c r="E5223" s="43">
        <v>45343.822916649136</v>
      </c>
      <c r="F5223" s="41">
        <v>3.6539626021502345</v>
      </c>
      <c r="G5223" s="41">
        <v>0</v>
      </c>
      <c r="H5223" s="42"/>
      <c r="I5223" s="42"/>
      <c r="J5223" s="42"/>
    </row>
    <row r="5224" spans="5:10">
      <c r="E5224" s="43">
        <v>45343.826388871355</v>
      </c>
      <c r="F5224" s="41">
        <v>3.6539626021502345</v>
      </c>
      <c r="G5224" s="41">
        <v>0</v>
      </c>
      <c r="H5224" s="42"/>
      <c r="I5224" s="42"/>
      <c r="J5224" s="42"/>
    </row>
    <row r="5225" spans="5:10">
      <c r="E5225" s="43">
        <v>45343.829861093574</v>
      </c>
      <c r="F5225" s="41">
        <v>3.6539626021502345</v>
      </c>
      <c r="G5225" s="41">
        <v>0</v>
      </c>
      <c r="H5225" s="42"/>
      <c r="I5225" s="42"/>
      <c r="J5225" s="42"/>
    </row>
    <row r="5226" spans="5:10">
      <c r="E5226" s="43">
        <v>45343.833333315793</v>
      </c>
      <c r="F5226" s="41">
        <v>3.6539626021502345</v>
      </c>
      <c r="G5226" s="41">
        <v>0</v>
      </c>
      <c r="H5226" s="42"/>
      <c r="I5226" s="42"/>
      <c r="J5226" s="42"/>
    </row>
    <row r="5227" spans="5:10">
      <c r="E5227" s="43">
        <v>45343.836805538012</v>
      </c>
      <c r="F5227" s="41">
        <v>3.6539626021502345</v>
      </c>
      <c r="G5227" s="41">
        <v>0</v>
      </c>
      <c r="H5227" s="42"/>
      <c r="I5227" s="42"/>
      <c r="J5227" s="42"/>
    </row>
    <row r="5228" spans="5:10">
      <c r="E5228" s="43">
        <v>45343.840277760231</v>
      </c>
      <c r="F5228" s="41">
        <v>3.6539626021502345</v>
      </c>
      <c r="G5228" s="41">
        <v>0</v>
      </c>
      <c r="H5228" s="42"/>
      <c r="I5228" s="42"/>
      <c r="J5228" s="42"/>
    </row>
    <row r="5229" spans="5:10">
      <c r="E5229" s="43">
        <v>45343.84374998245</v>
      </c>
      <c r="F5229" s="41">
        <v>3.6539626021502345</v>
      </c>
      <c r="G5229" s="41">
        <v>0</v>
      </c>
      <c r="H5229" s="42"/>
      <c r="I5229" s="42"/>
      <c r="J5229" s="42"/>
    </row>
    <row r="5230" spans="5:10">
      <c r="E5230" s="43">
        <v>45343.847222204669</v>
      </c>
      <c r="F5230" s="41">
        <v>3.6539626021502345</v>
      </c>
      <c r="G5230" s="41">
        <v>0</v>
      </c>
      <c r="H5230" s="42"/>
      <c r="I5230" s="42"/>
      <c r="J5230" s="42"/>
    </row>
    <row r="5231" spans="5:10">
      <c r="E5231" s="43">
        <v>45343.850694426888</v>
      </c>
      <c r="F5231" s="41">
        <v>3.6539626021502345</v>
      </c>
      <c r="G5231" s="41">
        <v>0</v>
      </c>
      <c r="H5231" s="42"/>
      <c r="I5231" s="42"/>
      <c r="J5231" s="42"/>
    </row>
    <row r="5232" spans="5:10">
      <c r="E5232" s="43">
        <v>45343.854166649107</v>
      </c>
      <c r="F5232" s="41">
        <v>3.6539626021502345</v>
      </c>
      <c r="G5232" s="41">
        <v>0</v>
      </c>
      <c r="H5232" s="42"/>
      <c r="I5232" s="42"/>
      <c r="J5232" s="42"/>
    </row>
    <row r="5233" spans="5:10">
      <c r="E5233" s="43">
        <v>45343.857638871326</v>
      </c>
      <c r="F5233" s="41">
        <v>3.6539626021502345</v>
      </c>
      <c r="G5233" s="41">
        <v>0</v>
      </c>
      <c r="H5233" s="42"/>
      <c r="I5233" s="42"/>
      <c r="J5233" s="42"/>
    </row>
    <row r="5234" spans="5:10">
      <c r="E5234" s="43">
        <v>45343.861111093545</v>
      </c>
      <c r="F5234" s="41">
        <v>3.6539626021502345</v>
      </c>
      <c r="G5234" s="41">
        <v>0</v>
      </c>
      <c r="H5234" s="42"/>
      <c r="I5234" s="42"/>
      <c r="J5234" s="42"/>
    </row>
    <row r="5235" spans="5:10">
      <c r="E5235" s="43">
        <v>45343.864583315764</v>
      </c>
      <c r="F5235" s="41">
        <v>3.6539626021502345</v>
      </c>
      <c r="G5235" s="41">
        <v>0</v>
      </c>
      <c r="H5235" s="42"/>
      <c r="I5235" s="42"/>
      <c r="J5235" s="42"/>
    </row>
    <row r="5236" spans="5:10">
      <c r="E5236" s="43">
        <v>45343.868055537983</v>
      </c>
      <c r="F5236" s="41">
        <v>3.6539626021502345</v>
      </c>
      <c r="G5236" s="41">
        <v>0</v>
      </c>
      <c r="H5236" s="42"/>
      <c r="I5236" s="42"/>
      <c r="J5236" s="42"/>
    </row>
    <row r="5237" spans="5:10">
      <c r="E5237" s="43">
        <v>45343.871527760202</v>
      </c>
      <c r="F5237" s="41">
        <v>3.6539626021502345</v>
      </c>
      <c r="G5237" s="41">
        <v>0</v>
      </c>
      <c r="H5237" s="42"/>
      <c r="I5237" s="42"/>
      <c r="J5237" s="42"/>
    </row>
    <row r="5238" spans="5:10">
      <c r="E5238" s="43">
        <v>45343.874999982421</v>
      </c>
      <c r="F5238" s="41">
        <v>3.6539626021502345</v>
      </c>
      <c r="G5238" s="41">
        <v>0</v>
      </c>
      <c r="H5238" s="42"/>
      <c r="I5238" s="42"/>
      <c r="J5238" s="42"/>
    </row>
    <row r="5239" spans="5:10">
      <c r="E5239" s="43">
        <v>45343.87847220464</v>
      </c>
      <c r="F5239" s="41">
        <v>3.6539626021502345</v>
      </c>
      <c r="G5239" s="41">
        <v>0</v>
      </c>
      <c r="H5239" s="42"/>
      <c r="I5239" s="42"/>
      <c r="J5239" s="42"/>
    </row>
    <row r="5240" spans="5:10">
      <c r="E5240" s="43">
        <v>45343.881944426859</v>
      </c>
      <c r="F5240" s="41">
        <v>3.6539626021502345</v>
      </c>
      <c r="G5240" s="41">
        <v>0</v>
      </c>
      <c r="H5240" s="42"/>
      <c r="I5240" s="42"/>
      <c r="J5240" s="42"/>
    </row>
    <row r="5241" spans="5:10">
      <c r="E5241" s="43">
        <v>45343.885416649078</v>
      </c>
      <c r="F5241" s="41">
        <v>3.6539626021502345</v>
      </c>
      <c r="G5241" s="41">
        <v>0</v>
      </c>
      <c r="H5241" s="42"/>
      <c r="I5241" s="42"/>
      <c r="J5241" s="42"/>
    </row>
    <row r="5242" spans="5:10">
      <c r="E5242" s="43">
        <v>45343.888888871297</v>
      </c>
      <c r="F5242" s="41">
        <v>3.6539626021502345</v>
      </c>
      <c r="G5242" s="41">
        <v>0</v>
      </c>
      <c r="H5242" s="42"/>
      <c r="I5242" s="42"/>
      <c r="J5242" s="42"/>
    </row>
    <row r="5243" spans="5:10">
      <c r="E5243" s="43">
        <v>45343.892361093516</v>
      </c>
      <c r="F5243" s="41">
        <v>3.6539626021502345</v>
      </c>
      <c r="G5243" s="41">
        <v>0</v>
      </c>
      <c r="H5243" s="42"/>
      <c r="I5243" s="42"/>
      <c r="J5243" s="42"/>
    </row>
    <row r="5244" spans="5:10">
      <c r="E5244" s="43">
        <v>45343.895833315735</v>
      </c>
      <c r="F5244" s="41">
        <v>3.6539626021502345</v>
      </c>
      <c r="G5244" s="41">
        <v>0</v>
      </c>
      <c r="H5244" s="42"/>
      <c r="I5244" s="42"/>
      <c r="J5244" s="42"/>
    </row>
    <row r="5245" spans="5:10">
      <c r="E5245" s="43">
        <v>45343.899305537954</v>
      </c>
      <c r="F5245" s="41">
        <v>3.6539626021502345</v>
      </c>
      <c r="G5245" s="41">
        <v>0</v>
      </c>
      <c r="H5245" s="42"/>
      <c r="I5245" s="42"/>
      <c r="J5245" s="42"/>
    </row>
    <row r="5246" spans="5:10">
      <c r="E5246" s="43">
        <v>45343.902777760173</v>
      </c>
      <c r="F5246" s="41">
        <v>3.6539626021502345</v>
      </c>
      <c r="G5246" s="41">
        <v>0</v>
      </c>
      <c r="H5246" s="42"/>
      <c r="I5246" s="42"/>
      <c r="J5246" s="42"/>
    </row>
    <row r="5247" spans="5:10">
      <c r="E5247" s="43">
        <v>45343.906249982392</v>
      </c>
      <c r="F5247" s="41">
        <v>3.6539626021502345</v>
      </c>
      <c r="G5247" s="41">
        <v>0</v>
      </c>
      <c r="H5247" s="42"/>
      <c r="I5247" s="42"/>
      <c r="J5247" s="42"/>
    </row>
    <row r="5248" spans="5:10">
      <c r="E5248" s="43">
        <v>45343.909722204611</v>
      </c>
      <c r="F5248" s="41">
        <v>3.6539626021502345</v>
      </c>
      <c r="G5248" s="41">
        <v>0</v>
      </c>
      <c r="H5248" s="42"/>
      <c r="I5248" s="42"/>
      <c r="J5248" s="42"/>
    </row>
    <row r="5249" spans="5:10">
      <c r="E5249" s="43">
        <v>45343.91319442683</v>
      </c>
      <c r="F5249" s="41">
        <v>3.6539626021502345</v>
      </c>
      <c r="G5249" s="41">
        <v>0</v>
      </c>
      <c r="H5249" s="42"/>
      <c r="I5249" s="42"/>
      <c r="J5249" s="42"/>
    </row>
    <row r="5250" spans="5:10">
      <c r="E5250" s="43">
        <v>45343.916666649049</v>
      </c>
      <c r="F5250" s="41">
        <v>3.6539626021502345</v>
      </c>
      <c r="G5250" s="41">
        <v>0</v>
      </c>
      <c r="H5250" s="42"/>
      <c r="I5250" s="42"/>
      <c r="J5250" s="42"/>
    </row>
    <row r="5251" spans="5:10">
      <c r="E5251" s="43">
        <v>45343.920138871268</v>
      </c>
      <c r="F5251" s="41">
        <v>3.6539626021502345</v>
      </c>
      <c r="G5251" s="41">
        <v>0</v>
      </c>
      <c r="H5251" s="42"/>
      <c r="I5251" s="42"/>
      <c r="J5251" s="42"/>
    </row>
    <row r="5252" spans="5:10">
      <c r="E5252" s="43">
        <v>45343.923611093487</v>
      </c>
      <c r="F5252" s="41">
        <v>3.6539626021502345</v>
      </c>
      <c r="G5252" s="41">
        <v>0</v>
      </c>
      <c r="H5252" s="42"/>
      <c r="I5252" s="42"/>
      <c r="J5252" s="42"/>
    </row>
    <row r="5253" spans="5:10">
      <c r="E5253" s="43">
        <v>45343.927083315706</v>
      </c>
      <c r="F5253" s="41">
        <v>3.6539626021502345</v>
      </c>
      <c r="G5253" s="41">
        <v>0</v>
      </c>
      <c r="H5253" s="42"/>
      <c r="I5253" s="42"/>
      <c r="J5253" s="42"/>
    </row>
    <row r="5254" spans="5:10">
      <c r="E5254" s="43">
        <v>45343.930555537925</v>
      </c>
      <c r="F5254" s="41">
        <v>3.6539626021502345</v>
      </c>
      <c r="G5254" s="41">
        <v>0</v>
      </c>
      <c r="H5254" s="42"/>
      <c r="I5254" s="42"/>
      <c r="J5254" s="42"/>
    </row>
    <row r="5255" spans="5:10">
      <c r="E5255" s="43">
        <v>45343.934027760144</v>
      </c>
      <c r="F5255" s="41">
        <v>3.6539626021502345</v>
      </c>
      <c r="G5255" s="41">
        <v>0</v>
      </c>
      <c r="H5255" s="42"/>
      <c r="I5255" s="42"/>
      <c r="J5255" s="42"/>
    </row>
    <row r="5256" spans="5:10">
      <c r="E5256" s="43">
        <v>45343.937499982363</v>
      </c>
      <c r="F5256" s="41">
        <v>3.6539626021502345</v>
      </c>
      <c r="G5256" s="41">
        <v>0</v>
      </c>
      <c r="H5256" s="42"/>
      <c r="I5256" s="42"/>
      <c r="J5256" s="42"/>
    </row>
    <row r="5257" spans="5:10">
      <c r="E5257" s="43">
        <v>45343.940972204582</v>
      </c>
      <c r="F5257" s="41">
        <v>3.6539626021502345</v>
      </c>
      <c r="G5257" s="41">
        <v>0</v>
      </c>
      <c r="H5257" s="42"/>
      <c r="I5257" s="42"/>
      <c r="J5257" s="42"/>
    </row>
    <row r="5258" spans="5:10">
      <c r="E5258" s="43">
        <v>45343.944444426801</v>
      </c>
      <c r="F5258" s="41">
        <v>3.6539626021502345</v>
      </c>
      <c r="G5258" s="41">
        <v>0</v>
      </c>
      <c r="H5258" s="42"/>
      <c r="I5258" s="42"/>
      <c r="J5258" s="42"/>
    </row>
    <row r="5259" spans="5:10">
      <c r="E5259" s="43">
        <v>45343.94791664902</v>
      </c>
      <c r="F5259" s="41">
        <v>3.6539626021502345</v>
      </c>
      <c r="G5259" s="41">
        <v>0</v>
      </c>
      <c r="H5259" s="42"/>
      <c r="I5259" s="42"/>
      <c r="J5259" s="42"/>
    </row>
    <row r="5260" spans="5:10">
      <c r="E5260" s="43">
        <v>45343.951388871239</v>
      </c>
      <c r="F5260" s="41">
        <v>3.6539626021502345</v>
      </c>
      <c r="G5260" s="41">
        <v>0</v>
      </c>
      <c r="H5260" s="42"/>
      <c r="I5260" s="42"/>
      <c r="J5260" s="42"/>
    </row>
    <row r="5261" spans="5:10">
      <c r="E5261" s="43">
        <v>45343.954861093458</v>
      </c>
      <c r="F5261" s="41">
        <v>3.6539626021502345</v>
      </c>
      <c r="G5261" s="41">
        <v>0</v>
      </c>
      <c r="H5261" s="42"/>
      <c r="I5261" s="42"/>
      <c r="J5261" s="42"/>
    </row>
    <row r="5262" spans="5:10">
      <c r="E5262" s="43">
        <v>45343.958333315677</v>
      </c>
      <c r="F5262" s="41">
        <v>3.6539626021502345</v>
      </c>
      <c r="G5262" s="41">
        <v>0</v>
      </c>
      <c r="H5262" s="42"/>
      <c r="I5262" s="42"/>
      <c r="J5262" s="42"/>
    </row>
    <row r="5263" spans="5:10">
      <c r="E5263" s="43">
        <v>45343.961805537896</v>
      </c>
      <c r="F5263" s="41">
        <v>3.6539626021502345</v>
      </c>
      <c r="G5263" s="41">
        <v>0</v>
      </c>
      <c r="H5263" s="42"/>
      <c r="I5263" s="42"/>
      <c r="J5263" s="42"/>
    </row>
    <row r="5264" spans="5:10">
      <c r="E5264" s="43">
        <v>45343.965277760115</v>
      </c>
      <c r="F5264" s="41">
        <v>3.6539626021502345</v>
      </c>
      <c r="G5264" s="41">
        <v>0</v>
      </c>
      <c r="H5264" s="42"/>
      <c r="I5264" s="42"/>
      <c r="J5264" s="42"/>
    </row>
    <row r="5265" spans="5:10">
      <c r="E5265" s="43">
        <v>45343.968749982334</v>
      </c>
      <c r="F5265" s="41">
        <v>3.6539626021502345</v>
      </c>
      <c r="G5265" s="41">
        <v>0</v>
      </c>
      <c r="H5265" s="42"/>
      <c r="I5265" s="42"/>
      <c r="J5265" s="42"/>
    </row>
    <row r="5266" spans="5:10">
      <c r="E5266" s="43">
        <v>45343.972222204553</v>
      </c>
      <c r="F5266" s="41">
        <v>3.6539626021502345</v>
      </c>
      <c r="G5266" s="41">
        <v>0</v>
      </c>
      <c r="H5266" s="42"/>
      <c r="I5266" s="42"/>
      <c r="J5266" s="42"/>
    </row>
    <row r="5267" spans="5:10">
      <c r="E5267" s="43">
        <v>45343.975694426772</v>
      </c>
      <c r="F5267" s="41">
        <v>3.6539626021502345</v>
      </c>
      <c r="G5267" s="41">
        <v>0</v>
      </c>
      <c r="H5267" s="42"/>
      <c r="I5267" s="42"/>
      <c r="J5267" s="42"/>
    </row>
    <row r="5268" spans="5:10">
      <c r="E5268" s="43">
        <v>45343.979166648991</v>
      </c>
      <c r="F5268" s="41">
        <v>3.6539626021502345</v>
      </c>
      <c r="G5268" s="41">
        <v>0</v>
      </c>
      <c r="H5268" s="42"/>
      <c r="I5268" s="42"/>
      <c r="J5268" s="42"/>
    </row>
    <row r="5269" spans="5:10">
      <c r="E5269" s="43">
        <v>45343.98263887121</v>
      </c>
      <c r="F5269" s="41">
        <v>3.6539626021502345</v>
      </c>
      <c r="G5269" s="41">
        <v>0</v>
      </c>
      <c r="H5269" s="42"/>
      <c r="I5269" s="42"/>
      <c r="J5269" s="42"/>
    </row>
    <row r="5270" spans="5:10">
      <c r="E5270" s="43">
        <v>45343.986111093429</v>
      </c>
      <c r="F5270" s="41">
        <v>3.6539626021502345</v>
      </c>
      <c r="G5270" s="41">
        <v>0</v>
      </c>
      <c r="H5270" s="42"/>
      <c r="I5270" s="42"/>
      <c r="J5270" s="42"/>
    </row>
    <row r="5271" spans="5:10">
      <c r="E5271" s="43">
        <v>45343.989583315648</v>
      </c>
      <c r="F5271" s="41">
        <v>3.6539626021502345</v>
      </c>
      <c r="G5271" s="41">
        <v>0</v>
      </c>
      <c r="H5271" s="42"/>
      <c r="I5271" s="42"/>
      <c r="J5271" s="42"/>
    </row>
    <row r="5272" spans="5:10">
      <c r="E5272" s="43">
        <v>45343.993055537867</v>
      </c>
      <c r="F5272" s="41">
        <v>3.6539626021502345</v>
      </c>
      <c r="G5272" s="41">
        <v>0</v>
      </c>
      <c r="H5272" s="42"/>
      <c r="I5272" s="42"/>
      <c r="J5272" s="42"/>
    </row>
    <row r="5273" spans="5:10">
      <c r="E5273" s="43">
        <v>45343.996527760086</v>
      </c>
      <c r="F5273" s="41">
        <v>3.6539626021502345</v>
      </c>
      <c r="G5273" s="41">
        <v>0</v>
      </c>
      <c r="H5273" s="42"/>
      <c r="I5273" s="42"/>
      <c r="J5273" s="42"/>
    </row>
    <row r="5274" spans="5:10">
      <c r="E5274" s="43">
        <v>45343.999999982305</v>
      </c>
      <c r="F5274" s="41">
        <v>3.6539626021502345</v>
      </c>
      <c r="G5274" s="41">
        <v>0</v>
      </c>
      <c r="H5274" s="42"/>
      <c r="I5274" s="42"/>
      <c r="J5274" s="42"/>
    </row>
    <row r="5275" spans="5:10">
      <c r="E5275" s="43">
        <v>45344.003472204524</v>
      </c>
      <c r="F5275" s="41">
        <v>3.6539626021502345</v>
      </c>
      <c r="G5275" s="41">
        <v>0</v>
      </c>
      <c r="H5275" s="42"/>
      <c r="I5275" s="42"/>
      <c r="J5275" s="42"/>
    </row>
    <row r="5276" spans="5:10">
      <c r="E5276" s="43">
        <v>45344.006944426743</v>
      </c>
      <c r="F5276" s="41">
        <v>3.6539626021502345</v>
      </c>
      <c r="G5276" s="41">
        <v>0</v>
      </c>
      <c r="H5276" s="42"/>
      <c r="I5276" s="42"/>
      <c r="J5276" s="42"/>
    </row>
    <row r="5277" spans="5:10">
      <c r="E5277" s="43">
        <v>45344.010416648962</v>
      </c>
      <c r="F5277" s="41">
        <v>3.6539626021502345</v>
      </c>
      <c r="G5277" s="41">
        <v>0</v>
      </c>
      <c r="H5277" s="42"/>
      <c r="I5277" s="42"/>
      <c r="J5277" s="42"/>
    </row>
    <row r="5278" spans="5:10">
      <c r="E5278" s="43">
        <v>45344.013888871181</v>
      </c>
      <c r="F5278" s="41">
        <v>3.6539626021502345</v>
      </c>
      <c r="G5278" s="41">
        <v>0</v>
      </c>
      <c r="H5278" s="42"/>
      <c r="I5278" s="42"/>
      <c r="J5278" s="42"/>
    </row>
    <row r="5279" spans="5:10">
      <c r="E5279" s="43">
        <v>45344.0173610934</v>
      </c>
      <c r="F5279" s="41">
        <v>3.6539626021502345</v>
      </c>
      <c r="G5279" s="41">
        <v>0</v>
      </c>
      <c r="H5279" s="42"/>
      <c r="I5279" s="42"/>
      <c r="J5279" s="42"/>
    </row>
    <row r="5280" spans="5:10">
      <c r="E5280" s="43">
        <v>45344.020833315619</v>
      </c>
      <c r="F5280" s="41">
        <v>3.6539626021502345</v>
      </c>
      <c r="G5280" s="41">
        <v>0</v>
      </c>
      <c r="H5280" s="42"/>
      <c r="I5280" s="42"/>
      <c r="J5280" s="42"/>
    </row>
    <row r="5281" spans="5:10">
      <c r="E5281" s="43">
        <v>45344.024305537838</v>
      </c>
      <c r="F5281" s="41">
        <v>3.6539626021502345</v>
      </c>
      <c r="G5281" s="41">
        <v>0</v>
      </c>
      <c r="H5281" s="42"/>
      <c r="I5281" s="42"/>
      <c r="J5281" s="42"/>
    </row>
    <row r="5282" spans="5:10">
      <c r="E5282" s="43">
        <v>45344.027777760057</v>
      </c>
      <c r="F5282" s="41">
        <v>3.6539626021502345</v>
      </c>
      <c r="G5282" s="41">
        <v>0</v>
      </c>
      <c r="H5282" s="42"/>
      <c r="I5282" s="42"/>
      <c r="J5282" s="42"/>
    </row>
    <row r="5283" spans="5:10">
      <c r="E5283" s="43">
        <v>45344.031249982276</v>
      </c>
      <c r="F5283" s="41">
        <v>3.6539626021502345</v>
      </c>
      <c r="G5283" s="41">
        <v>0</v>
      </c>
      <c r="H5283" s="42"/>
      <c r="I5283" s="42"/>
      <c r="J5283" s="42"/>
    </row>
    <row r="5284" spans="5:10">
      <c r="E5284" s="43">
        <v>45344.034722204495</v>
      </c>
      <c r="F5284" s="41">
        <v>3.6539626021502345</v>
      </c>
      <c r="G5284" s="41">
        <v>0</v>
      </c>
      <c r="H5284" s="42"/>
      <c r="I5284" s="42"/>
      <c r="J5284" s="42"/>
    </row>
    <row r="5285" spans="5:10">
      <c r="E5285" s="43">
        <v>45344.038194426714</v>
      </c>
      <c r="F5285" s="41">
        <v>3.6539626021502345</v>
      </c>
      <c r="G5285" s="41">
        <v>0</v>
      </c>
      <c r="H5285" s="42"/>
      <c r="I5285" s="42"/>
      <c r="J5285" s="42"/>
    </row>
    <row r="5286" spans="5:10">
      <c r="E5286" s="43">
        <v>45344.041666648933</v>
      </c>
      <c r="F5286" s="41">
        <v>3.6539626021502345</v>
      </c>
      <c r="G5286" s="41">
        <v>0</v>
      </c>
      <c r="H5286" s="42"/>
      <c r="I5286" s="42"/>
      <c r="J5286" s="42"/>
    </row>
    <row r="5287" spans="5:10">
      <c r="E5287" s="43">
        <v>45344.045138871152</v>
      </c>
      <c r="F5287" s="41">
        <v>3.6539626021502345</v>
      </c>
      <c r="G5287" s="41">
        <v>0</v>
      </c>
      <c r="H5287" s="42"/>
      <c r="I5287" s="42"/>
      <c r="J5287" s="42"/>
    </row>
    <row r="5288" spans="5:10">
      <c r="E5288" s="43">
        <v>45344.048611093371</v>
      </c>
      <c r="F5288" s="41">
        <v>3.6539626021502345</v>
      </c>
      <c r="G5288" s="41">
        <v>0</v>
      </c>
      <c r="H5288" s="42"/>
      <c r="I5288" s="42"/>
      <c r="J5288" s="42"/>
    </row>
    <row r="5289" spans="5:10">
      <c r="E5289" s="43">
        <v>45344.05208331559</v>
      </c>
      <c r="F5289" s="41">
        <v>3.6539626021502345</v>
      </c>
      <c r="G5289" s="41">
        <v>0</v>
      </c>
      <c r="H5289" s="42"/>
      <c r="I5289" s="42"/>
      <c r="J5289" s="42"/>
    </row>
    <row r="5290" spans="5:10">
      <c r="E5290" s="43">
        <v>45344.055555537809</v>
      </c>
      <c r="F5290" s="41">
        <v>3.6539626021502345</v>
      </c>
      <c r="G5290" s="41">
        <v>0</v>
      </c>
      <c r="H5290" s="42"/>
      <c r="I5290" s="42"/>
      <c r="J5290" s="42"/>
    </row>
    <row r="5291" spans="5:10">
      <c r="E5291" s="43">
        <v>45344.059027760028</v>
      </c>
      <c r="F5291" s="41">
        <v>3.6539626021502345</v>
      </c>
      <c r="G5291" s="41">
        <v>0</v>
      </c>
      <c r="H5291" s="42"/>
      <c r="I5291" s="42"/>
      <c r="J5291" s="42"/>
    </row>
    <row r="5292" spans="5:10">
      <c r="E5292" s="43">
        <v>45344.062499982247</v>
      </c>
      <c r="F5292" s="41">
        <v>3.6539626021502345</v>
      </c>
      <c r="G5292" s="41">
        <v>0</v>
      </c>
      <c r="H5292" s="42"/>
      <c r="I5292" s="42"/>
      <c r="J5292" s="42"/>
    </row>
    <row r="5293" spans="5:10">
      <c r="E5293" s="43">
        <v>45344.065972204466</v>
      </c>
      <c r="F5293" s="41">
        <v>3.6539626021502345</v>
      </c>
      <c r="G5293" s="41">
        <v>0</v>
      </c>
      <c r="H5293" s="42"/>
      <c r="I5293" s="42"/>
      <c r="J5293" s="42"/>
    </row>
    <row r="5294" spans="5:10">
      <c r="E5294" s="43">
        <v>45344.069444426685</v>
      </c>
      <c r="F5294" s="41">
        <v>3.6539626021502345</v>
      </c>
      <c r="G5294" s="41">
        <v>0</v>
      </c>
      <c r="H5294" s="42"/>
      <c r="I5294" s="42"/>
      <c r="J5294" s="42"/>
    </row>
    <row r="5295" spans="5:10">
      <c r="E5295" s="43">
        <v>45344.072916648904</v>
      </c>
      <c r="F5295" s="41">
        <v>3.6539626021502345</v>
      </c>
      <c r="G5295" s="41">
        <v>0</v>
      </c>
      <c r="H5295" s="42"/>
      <c r="I5295" s="42"/>
      <c r="J5295" s="42"/>
    </row>
    <row r="5296" spans="5:10">
      <c r="E5296" s="43">
        <v>45344.076388871123</v>
      </c>
      <c r="F5296" s="41">
        <v>3.6539626021502345</v>
      </c>
      <c r="G5296" s="41">
        <v>0</v>
      </c>
      <c r="H5296" s="42"/>
      <c r="I5296" s="42"/>
      <c r="J5296" s="42"/>
    </row>
    <row r="5297" spans="5:10">
      <c r="E5297" s="43">
        <v>45344.079861093342</v>
      </c>
      <c r="F5297" s="41">
        <v>3.6539626021502345</v>
      </c>
      <c r="G5297" s="41">
        <v>0</v>
      </c>
      <c r="H5297" s="42"/>
      <c r="I5297" s="42"/>
      <c r="J5297" s="42"/>
    </row>
    <row r="5298" spans="5:10">
      <c r="E5298" s="43">
        <v>45344.083333315561</v>
      </c>
      <c r="F5298" s="41">
        <v>3.6539626021502345</v>
      </c>
      <c r="G5298" s="41">
        <v>0</v>
      </c>
      <c r="H5298" s="42"/>
      <c r="I5298" s="42"/>
      <c r="J5298" s="42"/>
    </row>
    <row r="5299" spans="5:10">
      <c r="E5299" s="43">
        <v>45344.08680553778</v>
      </c>
      <c r="F5299" s="41">
        <v>3.6539626021502345</v>
      </c>
      <c r="G5299" s="41">
        <v>0</v>
      </c>
      <c r="H5299" s="42"/>
      <c r="I5299" s="42"/>
      <c r="J5299" s="42"/>
    </row>
    <row r="5300" spans="5:10">
      <c r="E5300" s="43">
        <v>45344.090277759999</v>
      </c>
      <c r="F5300" s="41">
        <v>3.6539626021502345</v>
      </c>
      <c r="G5300" s="41">
        <v>0</v>
      </c>
      <c r="H5300" s="42"/>
      <c r="I5300" s="42"/>
      <c r="J5300" s="42"/>
    </row>
    <row r="5301" spans="5:10">
      <c r="E5301" s="43">
        <v>45344.093749982218</v>
      </c>
      <c r="F5301" s="41">
        <v>3.6539626021502345</v>
      </c>
      <c r="G5301" s="41">
        <v>0</v>
      </c>
      <c r="H5301" s="42"/>
      <c r="I5301" s="42"/>
      <c r="J5301" s="42"/>
    </row>
    <row r="5302" spans="5:10">
      <c r="E5302" s="43">
        <v>45344.097222204437</v>
      </c>
      <c r="F5302" s="41">
        <v>3.6539626021502345</v>
      </c>
      <c r="G5302" s="41">
        <v>0</v>
      </c>
      <c r="H5302" s="42"/>
      <c r="I5302" s="42"/>
      <c r="J5302" s="42"/>
    </row>
    <row r="5303" spans="5:10">
      <c r="E5303" s="43">
        <v>45344.100694426656</v>
      </c>
      <c r="F5303" s="41">
        <v>3.6539626021502345</v>
      </c>
      <c r="G5303" s="41">
        <v>0</v>
      </c>
      <c r="H5303" s="42"/>
      <c r="I5303" s="42"/>
      <c r="J5303" s="42"/>
    </row>
    <row r="5304" spans="5:10">
      <c r="E5304" s="43">
        <v>45344.104166648875</v>
      </c>
      <c r="F5304" s="41">
        <v>3.6539626021502345</v>
      </c>
      <c r="G5304" s="41">
        <v>0</v>
      </c>
      <c r="H5304" s="42"/>
      <c r="I5304" s="42"/>
      <c r="J5304" s="42"/>
    </row>
    <row r="5305" spans="5:10">
      <c r="E5305" s="43">
        <v>45344.107638871094</v>
      </c>
      <c r="F5305" s="41">
        <v>3.6539626021502345</v>
      </c>
      <c r="G5305" s="41">
        <v>0</v>
      </c>
      <c r="H5305" s="42"/>
      <c r="I5305" s="42"/>
      <c r="J5305" s="42"/>
    </row>
    <row r="5306" spans="5:10">
      <c r="E5306" s="43">
        <v>45344.111111093313</v>
      </c>
      <c r="F5306" s="41">
        <v>3.6539626021502345</v>
      </c>
      <c r="G5306" s="41">
        <v>0</v>
      </c>
      <c r="H5306" s="42"/>
      <c r="I5306" s="42"/>
      <c r="J5306" s="42"/>
    </row>
    <row r="5307" spans="5:10">
      <c r="E5307" s="43">
        <v>45344.114583315531</v>
      </c>
      <c r="F5307" s="41">
        <v>3.6539626021502345</v>
      </c>
      <c r="G5307" s="41">
        <v>0</v>
      </c>
      <c r="H5307" s="42"/>
      <c r="I5307" s="42"/>
      <c r="J5307" s="42"/>
    </row>
    <row r="5308" spans="5:10">
      <c r="E5308" s="43">
        <v>45344.11805553775</v>
      </c>
      <c r="F5308" s="41">
        <v>3.6539626021502345</v>
      </c>
      <c r="G5308" s="41">
        <v>0</v>
      </c>
      <c r="H5308" s="42"/>
      <c r="I5308" s="42"/>
      <c r="J5308" s="42"/>
    </row>
    <row r="5309" spans="5:10">
      <c r="E5309" s="43">
        <v>45344.121527759969</v>
      </c>
      <c r="F5309" s="41">
        <v>3.6539626021502345</v>
      </c>
      <c r="G5309" s="41">
        <v>0</v>
      </c>
      <c r="H5309" s="42"/>
      <c r="I5309" s="42"/>
      <c r="J5309" s="42"/>
    </row>
    <row r="5310" spans="5:10">
      <c r="E5310" s="43">
        <v>45344.124999982188</v>
      </c>
      <c r="F5310" s="41">
        <v>3.6539626021502345</v>
      </c>
      <c r="G5310" s="41">
        <v>0</v>
      </c>
      <c r="H5310" s="42"/>
      <c r="I5310" s="42"/>
      <c r="J5310" s="42"/>
    </row>
    <row r="5311" spans="5:10">
      <c r="E5311" s="43">
        <v>45344.128472204407</v>
      </c>
      <c r="F5311" s="41">
        <v>3.6539626021502345</v>
      </c>
      <c r="G5311" s="41">
        <v>0</v>
      </c>
      <c r="H5311" s="42"/>
      <c r="I5311" s="42"/>
      <c r="J5311" s="42"/>
    </row>
    <row r="5312" spans="5:10">
      <c r="E5312" s="43">
        <v>45344.131944426626</v>
      </c>
      <c r="F5312" s="41">
        <v>3.6539626021502345</v>
      </c>
      <c r="G5312" s="41">
        <v>0</v>
      </c>
      <c r="H5312" s="42"/>
      <c r="I5312" s="42"/>
      <c r="J5312" s="42"/>
    </row>
    <row r="5313" spans="5:10">
      <c r="E5313" s="43">
        <v>45344.135416648845</v>
      </c>
      <c r="F5313" s="41">
        <v>3.6539626021502345</v>
      </c>
      <c r="G5313" s="41">
        <v>0</v>
      </c>
      <c r="H5313" s="42"/>
      <c r="I5313" s="42"/>
      <c r="J5313" s="42"/>
    </row>
    <row r="5314" spans="5:10">
      <c r="E5314" s="43">
        <v>45344.138888871064</v>
      </c>
      <c r="F5314" s="41">
        <v>3.6539626021502345</v>
      </c>
      <c r="G5314" s="41">
        <v>0</v>
      </c>
      <c r="H5314" s="42"/>
      <c r="I5314" s="42"/>
      <c r="J5314" s="42"/>
    </row>
    <row r="5315" spans="5:10">
      <c r="E5315" s="43">
        <v>45344.142361093283</v>
      </c>
      <c r="F5315" s="41">
        <v>3.6539626021502345</v>
      </c>
      <c r="G5315" s="41">
        <v>0</v>
      </c>
      <c r="H5315" s="42"/>
      <c r="I5315" s="42"/>
      <c r="J5315" s="42"/>
    </row>
    <row r="5316" spans="5:10">
      <c r="E5316" s="43">
        <v>45344.145833315502</v>
      </c>
      <c r="F5316" s="41">
        <v>3.6539626021502345</v>
      </c>
      <c r="G5316" s="41">
        <v>0</v>
      </c>
      <c r="H5316" s="42"/>
      <c r="I5316" s="42"/>
      <c r="J5316" s="42"/>
    </row>
    <row r="5317" spans="5:10">
      <c r="E5317" s="43">
        <v>45344.149305537721</v>
      </c>
      <c r="F5317" s="41">
        <v>3.6539626021502345</v>
      </c>
      <c r="G5317" s="41">
        <v>0</v>
      </c>
      <c r="H5317" s="42"/>
      <c r="I5317" s="42"/>
      <c r="J5317" s="42"/>
    </row>
    <row r="5318" spans="5:10">
      <c r="E5318" s="43">
        <v>45344.15277775994</v>
      </c>
      <c r="F5318" s="41">
        <v>3.6539626021502345</v>
      </c>
      <c r="G5318" s="41">
        <v>0</v>
      </c>
      <c r="H5318" s="42"/>
      <c r="I5318" s="42"/>
      <c r="J5318" s="42"/>
    </row>
    <row r="5319" spans="5:10">
      <c r="E5319" s="43">
        <v>45344.156249982159</v>
      </c>
      <c r="F5319" s="41">
        <v>3.6539626021502345</v>
      </c>
      <c r="G5319" s="41">
        <v>0</v>
      </c>
      <c r="H5319" s="42"/>
      <c r="I5319" s="42"/>
      <c r="J5319" s="42"/>
    </row>
    <row r="5320" spans="5:10">
      <c r="E5320" s="43">
        <v>45344.159722204378</v>
      </c>
      <c r="F5320" s="41">
        <v>3.6539626021502345</v>
      </c>
      <c r="G5320" s="41">
        <v>0</v>
      </c>
      <c r="H5320" s="42"/>
      <c r="I5320" s="42"/>
      <c r="J5320" s="42"/>
    </row>
    <row r="5321" spans="5:10">
      <c r="E5321" s="43">
        <v>45344.163194426597</v>
      </c>
      <c r="F5321" s="41">
        <v>3.6539626021502345</v>
      </c>
      <c r="G5321" s="41">
        <v>0</v>
      </c>
      <c r="H5321" s="42"/>
      <c r="I5321" s="42"/>
      <c r="J5321" s="42"/>
    </row>
    <row r="5322" spans="5:10">
      <c r="E5322" s="43">
        <v>45344.166666648816</v>
      </c>
      <c r="F5322" s="41">
        <v>3.6539626021502345</v>
      </c>
      <c r="G5322" s="41">
        <v>0</v>
      </c>
      <c r="H5322" s="42"/>
      <c r="I5322" s="42"/>
      <c r="J5322" s="42"/>
    </row>
    <row r="5323" spans="5:10">
      <c r="E5323" s="43">
        <v>45344.170138871035</v>
      </c>
      <c r="F5323" s="41">
        <v>3.6539626021502345</v>
      </c>
      <c r="G5323" s="41">
        <v>0</v>
      </c>
      <c r="H5323" s="42"/>
      <c r="I5323" s="42"/>
      <c r="J5323" s="42"/>
    </row>
    <row r="5324" spans="5:10">
      <c r="E5324" s="43">
        <v>45344.173611093254</v>
      </c>
      <c r="F5324" s="41">
        <v>3.6539626021502345</v>
      </c>
      <c r="G5324" s="41">
        <v>0</v>
      </c>
      <c r="H5324" s="42"/>
      <c r="I5324" s="42"/>
      <c r="J5324" s="42"/>
    </row>
    <row r="5325" spans="5:10">
      <c r="E5325" s="43">
        <v>45344.177083315473</v>
      </c>
      <c r="F5325" s="41">
        <v>3.6539626021502345</v>
      </c>
      <c r="G5325" s="41">
        <v>0</v>
      </c>
      <c r="H5325" s="42"/>
      <c r="I5325" s="42"/>
      <c r="J5325" s="42"/>
    </row>
    <row r="5326" spans="5:10">
      <c r="E5326" s="43">
        <v>45344.180555537692</v>
      </c>
      <c r="F5326" s="41">
        <v>3.6539626021502345</v>
      </c>
      <c r="G5326" s="41">
        <v>0</v>
      </c>
      <c r="H5326" s="42"/>
      <c r="I5326" s="42"/>
      <c r="J5326" s="42"/>
    </row>
    <row r="5327" spans="5:10">
      <c r="E5327" s="43">
        <v>45344.184027759911</v>
      </c>
      <c r="F5327" s="41">
        <v>3.6539626021502345</v>
      </c>
      <c r="G5327" s="41">
        <v>0</v>
      </c>
      <c r="H5327" s="42"/>
      <c r="I5327" s="42"/>
      <c r="J5327" s="42"/>
    </row>
    <row r="5328" spans="5:10">
      <c r="E5328" s="43">
        <v>45344.18749998213</v>
      </c>
      <c r="F5328" s="41">
        <v>3.6539626021502345</v>
      </c>
      <c r="G5328" s="41">
        <v>0</v>
      </c>
      <c r="H5328" s="42"/>
      <c r="I5328" s="42"/>
      <c r="J5328" s="42"/>
    </row>
    <row r="5329" spans="5:10">
      <c r="E5329" s="43">
        <v>45344.190972204349</v>
      </c>
      <c r="F5329" s="41">
        <v>3.6539626021502345</v>
      </c>
      <c r="G5329" s="41">
        <v>0</v>
      </c>
      <c r="H5329" s="42"/>
      <c r="I5329" s="42"/>
      <c r="J5329" s="42"/>
    </row>
    <row r="5330" spans="5:10">
      <c r="E5330" s="43">
        <v>45344.194444426568</v>
      </c>
      <c r="F5330" s="41">
        <v>3.6539626021502345</v>
      </c>
      <c r="G5330" s="41">
        <v>0</v>
      </c>
      <c r="H5330" s="42"/>
      <c r="I5330" s="42"/>
      <c r="J5330" s="42"/>
    </row>
    <row r="5331" spans="5:10">
      <c r="E5331" s="43">
        <v>45344.197916648787</v>
      </c>
      <c r="F5331" s="41">
        <v>3.6539626021502345</v>
      </c>
      <c r="G5331" s="41">
        <v>0</v>
      </c>
      <c r="H5331" s="42"/>
      <c r="I5331" s="42"/>
      <c r="J5331" s="42"/>
    </row>
    <row r="5332" spans="5:10">
      <c r="E5332" s="43">
        <v>45344.201388871006</v>
      </c>
      <c r="F5332" s="41">
        <v>3.6539626021502345</v>
      </c>
      <c r="G5332" s="41">
        <v>0</v>
      </c>
      <c r="H5332" s="42"/>
      <c r="I5332" s="42"/>
      <c r="J5332" s="42"/>
    </row>
    <row r="5333" spans="5:10">
      <c r="E5333" s="43">
        <v>45344.204861093225</v>
      </c>
      <c r="F5333" s="41">
        <v>3.6539626021502345</v>
      </c>
      <c r="G5333" s="41">
        <v>0</v>
      </c>
      <c r="H5333" s="42"/>
      <c r="I5333" s="42"/>
      <c r="J5333" s="42"/>
    </row>
    <row r="5334" spans="5:10">
      <c r="E5334" s="43">
        <v>45344.208333315444</v>
      </c>
      <c r="F5334" s="41">
        <v>3.6539626021502345</v>
      </c>
      <c r="G5334" s="41">
        <v>0</v>
      </c>
      <c r="H5334" s="42"/>
      <c r="I5334" s="42"/>
      <c r="J5334" s="42"/>
    </row>
    <row r="5335" spans="5:10">
      <c r="E5335" s="43">
        <v>45344.211805537663</v>
      </c>
      <c r="F5335" s="41">
        <v>3.6539626021502345</v>
      </c>
      <c r="G5335" s="41">
        <v>0</v>
      </c>
      <c r="H5335" s="42"/>
      <c r="I5335" s="42"/>
      <c r="J5335" s="42"/>
    </row>
    <row r="5336" spans="5:10">
      <c r="E5336" s="43">
        <v>45344.215277759882</v>
      </c>
      <c r="F5336" s="41">
        <v>3.6539626021502345</v>
      </c>
      <c r="G5336" s="41">
        <v>0</v>
      </c>
      <c r="H5336" s="42"/>
      <c r="I5336" s="42"/>
      <c r="J5336" s="42"/>
    </row>
    <row r="5337" spans="5:10">
      <c r="E5337" s="43">
        <v>45344.218749982101</v>
      </c>
      <c r="F5337" s="41">
        <v>3.6539626021502345</v>
      </c>
      <c r="G5337" s="41">
        <v>0</v>
      </c>
      <c r="H5337" s="42"/>
      <c r="I5337" s="42"/>
      <c r="J5337" s="42"/>
    </row>
    <row r="5338" spans="5:10">
      <c r="E5338" s="43">
        <v>45344.22222220432</v>
      </c>
      <c r="F5338" s="41">
        <v>3.6539626021502345</v>
      </c>
      <c r="G5338" s="41">
        <v>0</v>
      </c>
      <c r="H5338" s="42"/>
      <c r="I5338" s="42"/>
      <c r="J5338" s="42"/>
    </row>
    <row r="5339" spans="5:10">
      <c r="E5339" s="43">
        <v>45344.225694426539</v>
      </c>
      <c r="F5339" s="41">
        <v>3.6539626021502345</v>
      </c>
      <c r="G5339" s="41">
        <v>0</v>
      </c>
      <c r="H5339" s="42"/>
      <c r="I5339" s="42"/>
      <c r="J5339" s="42"/>
    </row>
    <row r="5340" spans="5:10">
      <c r="E5340" s="43">
        <v>45344.229166648758</v>
      </c>
      <c r="F5340" s="41">
        <v>3.6539626021502345</v>
      </c>
      <c r="G5340" s="41">
        <v>0</v>
      </c>
      <c r="H5340" s="42"/>
      <c r="I5340" s="42"/>
      <c r="J5340" s="42"/>
    </row>
    <row r="5341" spans="5:10">
      <c r="E5341" s="43">
        <v>45344.232638870977</v>
      </c>
      <c r="F5341" s="41">
        <v>3.6539626021502345</v>
      </c>
      <c r="G5341" s="41">
        <v>0</v>
      </c>
      <c r="H5341" s="42"/>
      <c r="I5341" s="42"/>
      <c r="J5341" s="42"/>
    </row>
    <row r="5342" spans="5:10">
      <c r="E5342" s="43">
        <v>45344.236111093196</v>
      </c>
      <c r="F5342" s="41">
        <v>3.6539626021502345</v>
      </c>
      <c r="G5342" s="41">
        <v>0</v>
      </c>
      <c r="H5342" s="42"/>
      <c r="I5342" s="42"/>
      <c r="J5342" s="42"/>
    </row>
    <row r="5343" spans="5:10">
      <c r="E5343" s="43">
        <v>45344.239583315415</v>
      </c>
      <c r="F5343" s="41">
        <v>3.6539626021502345</v>
      </c>
      <c r="G5343" s="41">
        <v>0</v>
      </c>
      <c r="H5343" s="42"/>
      <c r="I5343" s="42"/>
      <c r="J5343" s="42"/>
    </row>
    <row r="5344" spans="5:10">
      <c r="E5344" s="43">
        <v>45344.243055537634</v>
      </c>
      <c r="F5344" s="41">
        <v>3.6539626021502345</v>
      </c>
      <c r="G5344" s="41">
        <v>0</v>
      </c>
      <c r="H5344" s="42"/>
      <c r="I5344" s="42"/>
      <c r="J5344" s="42"/>
    </row>
    <row r="5345" spans="5:10">
      <c r="E5345" s="43">
        <v>45344.246527759853</v>
      </c>
      <c r="F5345" s="41">
        <v>3.6539626021502345</v>
      </c>
      <c r="G5345" s="41">
        <v>0</v>
      </c>
      <c r="H5345" s="42"/>
      <c r="I5345" s="42"/>
      <c r="J5345" s="42"/>
    </row>
    <row r="5346" spans="5:10">
      <c r="E5346" s="43">
        <v>45344.249999982072</v>
      </c>
      <c r="F5346" s="41">
        <v>3.6539626021502345</v>
      </c>
      <c r="G5346" s="41">
        <v>0</v>
      </c>
      <c r="H5346" s="42"/>
      <c r="I5346" s="42"/>
      <c r="J5346" s="42"/>
    </row>
    <row r="5347" spans="5:10">
      <c r="E5347" s="43">
        <v>45344.253472204291</v>
      </c>
      <c r="F5347" s="41">
        <v>3.6539626021502345</v>
      </c>
      <c r="G5347" s="41">
        <v>0</v>
      </c>
      <c r="H5347" s="42"/>
      <c r="I5347" s="42"/>
      <c r="J5347" s="42"/>
    </row>
    <row r="5348" spans="5:10">
      <c r="E5348" s="43">
        <v>45344.25694442651</v>
      </c>
      <c r="F5348" s="41">
        <v>3.6539626021502345</v>
      </c>
      <c r="G5348" s="41">
        <v>0</v>
      </c>
      <c r="H5348" s="42"/>
      <c r="I5348" s="42"/>
      <c r="J5348" s="42"/>
    </row>
    <row r="5349" spans="5:10">
      <c r="E5349" s="43">
        <v>45344.260416648729</v>
      </c>
      <c r="F5349" s="41">
        <v>3.6539626021502345</v>
      </c>
      <c r="G5349" s="41">
        <v>0</v>
      </c>
      <c r="H5349" s="42"/>
      <c r="I5349" s="42"/>
      <c r="J5349" s="42"/>
    </row>
    <row r="5350" spans="5:10">
      <c r="E5350" s="43">
        <v>45344.263888870948</v>
      </c>
      <c r="F5350" s="41">
        <v>3.6539626021502345</v>
      </c>
      <c r="G5350" s="41">
        <v>0</v>
      </c>
      <c r="H5350" s="42"/>
      <c r="I5350" s="42"/>
      <c r="J5350" s="42"/>
    </row>
    <row r="5351" spans="5:10">
      <c r="E5351" s="43">
        <v>45344.267361093167</v>
      </c>
      <c r="F5351" s="41">
        <v>3.6539626021502345</v>
      </c>
      <c r="G5351" s="41">
        <v>0</v>
      </c>
      <c r="H5351" s="42"/>
      <c r="I5351" s="42"/>
      <c r="J5351" s="42"/>
    </row>
    <row r="5352" spans="5:10">
      <c r="E5352" s="43">
        <v>45344.270833315386</v>
      </c>
      <c r="F5352" s="41">
        <v>3.6539626021502345</v>
      </c>
      <c r="G5352" s="41">
        <v>0</v>
      </c>
      <c r="H5352" s="42"/>
      <c r="I5352" s="42"/>
      <c r="J5352" s="42"/>
    </row>
    <row r="5353" spans="5:10">
      <c r="E5353" s="43">
        <v>45344.274305537605</v>
      </c>
      <c r="F5353" s="41">
        <v>3.6539626021502345</v>
      </c>
      <c r="G5353" s="41">
        <v>0</v>
      </c>
      <c r="H5353" s="42"/>
      <c r="I5353" s="42"/>
      <c r="J5353" s="42"/>
    </row>
    <row r="5354" spans="5:10">
      <c r="E5354" s="43">
        <v>45344.277777759824</v>
      </c>
      <c r="F5354" s="41">
        <v>3.6539626021502345</v>
      </c>
      <c r="G5354" s="41">
        <v>0</v>
      </c>
      <c r="H5354" s="42"/>
      <c r="I5354" s="42"/>
      <c r="J5354" s="42"/>
    </row>
    <row r="5355" spans="5:10">
      <c r="E5355" s="43">
        <v>45344.281249982043</v>
      </c>
      <c r="F5355" s="41">
        <v>3.6539626021502345</v>
      </c>
      <c r="G5355" s="41">
        <v>0</v>
      </c>
      <c r="H5355" s="42"/>
      <c r="I5355" s="42"/>
      <c r="J5355" s="42"/>
    </row>
    <row r="5356" spans="5:10">
      <c r="E5356" s="43">
        <v>45344.284722204262</v>
      </c>
      <c r="F5356" s="41">
        <v>3.6539626021502345</v>
      </c>
      <c r="G5356" s="41">
        <v>0</v>
      </c>
      <c r="H5356" s="42"/>
      <c r="I5356" s="42"/>
      <c r="J5356" s="42"/>
    </row>
    <row r="5357" spans="5:10">
      <c r="E5357" s="43">
        <v>45344.288194426481</v>
      </c>
      <c r="F5357" s="41">
        <v>3.6539626021502345</v>
      </c>
      <c r="G5357" s="41">
        <v>0</v>
      </c>
      <c r="H5357" s="42"/>
      <c r="I5357" s="42"/>
      <c r="J5357" s="42"/>
    </row>
    <row r="5358" spans="5:10">
      <c r="E5358" s="43">
        <v>45344.2916666487</v>
      </c>
      <c r="F5358" s="41">
        <v>3.6539626021502345</v>
      </c>
      <c r="G5358" s="41">
        <v>0</v>
      </c>
      <c r="H5358" s="42"/>
      <c r="I5358" s="42"/>
      <c r="J5358" s="42"/>
    </row>
    <row r="5359" spans="5:10">
      <c r="E5359" s="43">
        <v>45344.295138870919</v>
      </c>
      <c r="F5359" s="41">
        <v>3.6539626021502345</v>
      </c>
      <c r="G5359" s="41">
        <v>0</v>
      </c>
      <c r="H5359" s="42"/>
      <c r="I5359" s="42"/>
      <c r="J5359" s="42"/>
    </row>
    <row r="5360" spans="5:10">
      <c r="E5360" s="43">
        <v>45344.298611093138</v>
      </c>
      <c r="F5360" s="41">
        <v>3.6539626021502345</v>
      </c>
      <c r="G5360" s="41">
        <v>0</v>
      </c>
      <c r="H5360" s="42"/>
      <c r="I5360" s="42"/>
      <c r="J5360" s="42"/>
    </row>
    <row r="5361" spans="5:10">
      <c r="E5361" s="43">
        <v>45344.302083315357</v>
      </c>
      <c r="F5361" s="41">
        <v>3.6539626021502345</v>
      </c>
      <c r="G5361" s="41">
        <v>0</v>
      </c>
      <c r="H5361" s="42"/>
      <c r="I5361" s="42"/>
      <c r="J5361" s="42"/>
    </row>
    <row r="5362" spans="5:10">
      <c r="E5362" s="43">
        <v>45344.305555537576</v>
      </c>
      <c r="F5362" s="41">
        <v>3.6539626021502345</v>
      </c>
      <c r="G5362" s="41">
        <v>0</v>
      </c>
      <c r="H5362" s="42"/>
      <c r="I5362" s="42"/>
      <c r="J5362" s="42"/>
    </row>
    <row r="5363" spans="5:10">
      <c r="E5363" s="43">
        <v>45344.309027759795</v>
      </c>
      <c r="F5363" s="41">
        <v>3.6539626021502345</v>
      </c>
      <c r="G5363" s="41">
        <v>0</v>
      </c>
      <c r="H5363" s="42"/>
      <c r="I5363" s="42"/>
      <c r="J5363" s="42"/>
    </row>
    <row r="5364" spans="5:10">
      <c r="E5364" s="43">
        <v>45344.312499982014</v>
      </c>
      <c r="F5364" s="41">
        <v>3.6539626021502345</v>
      </c>
      <c r="G5364" s="41">
        <v>0</v>
      </c>
      <c r="H5364" s="42"/>
      <c r="I5364" s="42"/>
      <c r="J5364" s="42"/>
    </row>
    <row r="5365" spans="5:10">
      <c r="E5365" s="43">
        <v>45344.315972204233</v>
      </c>
      <c r="F5365" s="41">
        <v>3.6539626021502345</v>
      </c>
      <c r="G5365" s="41">
        <v>0</v>
      </c>
      <c r="H5365" s="42"/>
      <c r="I5365" s="42"/>
      <c r="J5365" s="42"/>
    </row>
    <row r="5366" spans="5:10">
      <c r="E5366" s="43">
        <v>45344.319444426452</v>
      </c>
      <c r="F5366" s="41">
        <v>3.6539626021502345</v>
      </c>
      <c r="G5366" s="41">
        <v>0</v>
      </c>
      <c r="H5366" s="42"/>
      <c r="I5366" s="42"/>
      <c r="J5366" s="42"/>
    </row>
    <row r="5367" spans="5:10">
      <c r="E5367" s="43">
        <v>45344.322916648671</v>
      </c>
      <c r="F5367" s="41">
        <v>3.6539626021502345</v>
      </c>
      <c r="G5367" s="41">
        <v>0</v>
      </c>
      <c r="H5367" s="42"/>
      <c r="I5367" s="42"/>
      <c r="J5367" s="42"/>
    </row>
    <row r="5368" spans="5:10">
      <c r="E5368" s="43">
        <v>45344.32638887089</v>
      </c>
      <c r="F5368" s="41">
        <v>3.6539626021502345</v>
      </c>
      <c r="G5368" s="41">
        <v>0</v>
      </c>
      <c r="H5368" s="42"/>
      <c r="I5368" s="42"/>
      <c r="J5368" s="42"/>
    </row>
    <row r="5369" spans="5:10">
      <c r="E5369" s="43">
        <v>45344.329861093109</v>
      </c>
      <c r="F5369" s="41">
        <v>3.6539626021502345</v>
      </c>
      <c r="G5369" s="41">
        <v>0</v>
      </c>
      <c r="H5369" s="42"/>
      <c r="I5369" s="42"/>
      <c r="J5369" s="42"/>
    </row>
    <row r="5370" spans="5:10">
      <c r="E5370" s="43">
        <v>45344.333333315328</v>
      </c>
      <c r="F5370" s="41">
        <v>3.6539626021502345</v>
      </c>
      <c r="G5370" s="41">
        <v>0</v>
      </c>
      <c r="H5370" s="42"/>
      <c r="I5370" s="42"/>
      <c r="J5370" s="42"/>
    </row>
    <row r="5371" spans="5:10">
      <c r="E5371" s="43">
        <v>45344.336805537547</v>
      </c>
      <c r="F5371" s="41">
        <v>3.6539626021502345</v>
      </c>
      <c r="G5371" s="41">
        <v>0</v>
      </c>
      <c r="H5371" s="42"/>
      <c r="I5371" s="42"/>
      <c r="J5371" s="42"/>
    </row>
    <row r="5372" spans="5:10">
      <c r="E5372" s="43">
        <v>45344.340277759766</v>
      </c>
      <c r="F5372" s="41">
        <v>3.6539626021502345</v>
      </c>
      <c r="G5372" s="41">
        <v>0</v>
      </c>
      <c r="H5372" s="42"/>
      <c r="I5372" s="42"/>
      <c r="J5372" s="42"/>
    </row>
    <row r="5373" spans="5:10">
      <c r="E5373" s="43">
        <v>45344.343749981985</v>
      </c>
      <c r="F5373" s="41">
        <v>3.6539626021502345</v>
      </c>
      <c r="G5373" s="41">
        <v>0</v>
      </c>
      <c r="H5373" s="42"/>
      <c r="I5373" s="42"/>
      <c r="J5373" s="42"/>
    </row>
    <row r="5374" spans="5:10">
      <c r="E5374" s="43">
        <v>45344.347222204204</v>
      </c>
      <c r="F5374" s="41">
        <v>3.6539626021502345</v>
      </c>
      <c r="G5374" s="41">
        <v>0</v>
      </c>
      <c r="H5374" s="42"/>
      <c r="I5374" s="42"/>
      <c r="J5374" s="42"/>
    </row>
    <row r="5375" spans="5:10">
      <c r="E5375" s="43">
        <v>45344.350694426423</v>
      </c>
      <c r="F5375" s="41">
        <v>3.6539626021502345</v>
      </c>
      <c r="G5375" s="41">
        <v>0</v>
      </c>
      <c r="H5375" s="42"/>
      <c r="I5375" s="42"/>
      <c r="J5375" s="42"/>
    </row>
    <row r="5376" spans="5:10">
      <c r="E5376" s="43">
        <v>45344.354166648642</v>
      </c>
      <c r="F5376" s="41">
        <v>3.6539626021502345</v>
      </c>
      <c r="G5376" s="41">
        <v>0</v>
      </c>
      <c r="H5376" s="42"/>
      <c r="I5376" s="42"/>
      <c r="J5376" s="42"/>
    </row>
    <row r="5377" spans="5:10">
      <c r="E5377" s="43">
        <v>45344.357638870861</v>
      </c>
      <c r="F5377" s="41">
        <v>3.6539626021502345</v>
      </c>
      <c r="G5377" s="41">
        <v>0</v>
      </c>
      <c r="H5377" s="42"/>
      <c r="I5377" s="42"/>
      <c r="J5377" s="42"/>
    </row>
    <row r="5378" spans="5:10">
      <c r="E5378" s="43">
        <v>45344.36111109308</v>
      </c>
      <c r="F5378" s="41">
        <v>3.6539626021502345</v>
      </c>
      <c r="G5378" s="41">
        <v>0</v>
      </c>
      <c r="H5378" s="42"/>
      <c r="I5378" s="42"/>
      <c r="J5378" s="42"/>
    </row>
    <row r="5379" spans="5:10">
      <c r="E5379" s="43">
        <v>45344.364583315299</v>
      </c>
      <c r="F5379" s="41">
        <v>3.6539626021502345</v>
      </c>
      <c r="G5379" s="41">
        <v>0</v>
      </c>
      <c r="H5379" s="42"/>
      <c r="I5379" s="42"/>
      <c r="J5379" s="42"/>
    </row>
    <row r="5380" spans="5:10">
      <c r="E5380" s="43">
        <v>45344.368055537518</v>
      </c>
      <c r="F5380" s="41">
        <v>3.6539626021502345</v>
      </c>
      <c r="G5380" s="41">
        <v>0</v>
      </c>
      <c r="H5380" s="42"/>
      <c r="I5380" s="42"/>
      <c r="J5380" s="42"/>
    </row>
    <row r="5381" spans="5:10">
      <c r="E5381" s="43">
        <v>45344.371527759737</v>
      </c>
      <c r="F5381" s="41">
        <v>3.6539626021502345</v>
      </c>
      <c r="G5381" s="41">
        <v>0</v>
      </c>
      <c r="H5381" s="42"/>
      <c r="I5381" s="42"/>
      <c r="J5381" s="42"/>
    </row>
    <row r="5382" spans="5:10">
      <c r="E5382" s="43">
        <v>45344.374999981956</v>
      </c>
      <c r="F5382" s="41">
        <v>3.6539626021502345</v>
      </c>
      <c r="G5382" s="41">
        <v>0</v>
      </c>
      <c r="H5382" s="42"/>
      <c r="I5382" s="42"/>
      <c r="J5382" s="42"/>
    </row>
    <row r="5383" spans="5:10">
      <c r="E5383" s="43">
        <v>45344.378472204175</v>
      </c>
      <c r="F5383" s="41">
        <v>3.6539626021502345</v>
      </c>
      <c r="G5383" s="41">
        <v>0</v>
      </c>
      <c r="H5383" s="42"/>
      <c r="I5383" s="42"/>
      <c r="J5383" s="42"/>
    </row>
    <row r="5384" spans="5:10">
      <c r="E5384" s="43">
        <v>45344.381944426394</v>
      </c>
      <c r="F5384" s="41">
        <v>3.6539626021502345</v>
      </c>
      <c r="G5384" s="41">
        <v>0</v>
      </c>
      <c r="H5384" s="42"/>
      <c r="I5384" s="42"/>
      <c r="J5384" s="42"/>
    </row>
    <row r="5385" spans="5:10">
      <c r="E5385" s="43">
        <v>45344.385416648613</v>
      </c>
      <c r="F5385" s="41">
        <v>3.6539626021502345</v>
      </c>
      <c r="G5385" s="41">
        <v>0</v>
      </c>
      <c r="H5385" s="42"/>
      <c r="I5385" s="42"/>
      <c r="J5385" s="42"/>
    </row>
    <row r="5386" spans="5:10">
      <c r="E5386" s="43">
        <v>45344.388888870832</v>
      </c>
      <c r="F5386" s="41">
        <v>3.6539626021502345</v>
      </c>
      <c r="G5386" s="41">
        <v>0</v>
      </c>
      <c r="H5386" s="42"/>
      <c r="I5386" s="42"/>
      <c r="J5386" s="42"/>
    </row>
    <row r="5387" spans="5:10">
      <c r="E5387" s="43">
        <v>45344.392361093051</v>
      </c>
      <c r="F5387" s="41">
        <v>3.6539626021502345</v>
      </c>
      <c r="G5387" s="41">
        <v>0</v>
      </c>
      <c r="H5387" s="42"/>
      <c r="I5387" s="42"/>
      <c r="J5387" s="42"/>
    </row>
    <row r="5388" spans="5:10">
      <c r="E5388" s="43">
        <v>45344.39583331527</v>
      </c>
      <c r="F5388" s="41">
        <v>3.6539626021502345</v>
      </c>
      <c r="G5388" s="41">
        <v>0</v>
      </c>
      <c r="H5388" s="42"/>
      <c r="I5388" s="42"/>
      <c r="J5388" s="42"/>
    </row>
    <row r="5389" spans="5:10">
      <c r="E5389" s="43">
        <v>45344.399305537489</v>
      </c>
      <c r="F5389" s="41">
        <v>3.6539626021502345</v>
      </c>
      <c r="G5389" s="41">
        <v>0</v>
      </c>
      <c r="H5389" s="42"/>
      <c r="I5389" s="42"/>
      <c r="J5389" s="42"/>
    </row>
    <row r="5390" spans="5:10">
      <c r="E5390" s="43">
        <v>45344.402777759708</v>
      </c>
      <c r="F5390" s="41">
        <v>3.6539626021502345</v>
      </c>
      <c r="G5390" s="41">
        <v>0</v>
      </c>
      <c r="H5390" s="42"/>
      <c r="I5390" s="42"/>
      <c r="J5390" s="42"/>
    </row>
    <row r="5391" spans="5:10">
      <c r="E5391" s="43">
        <v>45344.406249981927</v>
      </c>
      <c r="F5391" s="41">
        <v>3.6539626021502345</v>
      </c>
      <c r="G5391" s="41">
        <v>0</v>
      </c>
      <c r="H5391" s="42"/>
      <c r="I5391" s="42"/>
      <c r="J5391" s="42"/>
    </row>
    <row r="5392" spans="5:10">
      <c r="E5392" s="43">
        <v>45344.409722204146</v>
      </c>
      <c r="F5392" s="41">
        <v>3.6539626021502345</v>
      </c>
      <c r="G5392" s="41">
        <v>0</v>
      </c>
      <c r="H5392" s="42"/>
      <c r="I5392" s="42"/>
      <c r="J5392" s="42"/>
    </row>
    <row r="5393" spans="5:10">
      <c r="E5393" s="43">
        <v>45344.413194426364</v>
      </c>
      <c r="F5393" s="41">
        <v>3.6539626021502345</v>
      </c>
      <c r="G5393" s="41">
        <v>0</v>
      </c>
      <c r="H5393" s="42"/>
      <c r="I5393" s="42"/>
      <c r="J5393" s="42"/>
    </row>
    <row r="5394" spans="5:10">
      <c r="E5394" s="43">
        <v>45344.416666648583</v>
      </c>
      <c r="F5394" s="41">
        <v>3.6539626021502345</v>
      </c>
      <c r="G5394" s="41">
        <v>0</v>
      </c>
      <c r="H5394" s="42"/>
      <c r="I5394" s="42"/>
      <c r="J5394" s="42"/>
    </row>
    <row r="5395" spans="5:10">
      <c r="E5395" s="43">
        <v>45344.420138870802</v>
      </c>
      <c r="F5395" s="41">
        <v>3.6539626021502345</v>
      </c>
      <c r="G5395" s="41">
        <v>0</v>
      </c>
      <c r="H5395" s="42"/>
      <c r="I5395" s="42"/>
      <c r="J5395" s="42"/>
    </row>
    <row r="5396" spans="5:10">
      <c r="E5396" s="43">
        <v>45344.423611093021</v>
      </c>
      <c r="F5396" s="41">
        <v>3.6539626021502345</v>
      </c>
      <c r="G5396" s="41">
        <v>0</v>
      </c>
      <c r="H5396" s="42"/>
      <c r="I5396" s="42"/>
      <c r="J5396" s="42"/>
    </row>
    <row r="5397" spans="5:10">
      <c r="E5397" s="43">
        <v>45344.42708331524</v>
      </c>
      <c r="F5397" s="41">
        <v>3.6539626021502345</v>
      </c>
      <c r="G5397" s="41">
        <v>0</v>
      </c>
      <c r="H5397" s="42"/>
      <c r="I5397" s="42"/>
      <c r="J5397" s="42"/>
    </row>
    <row r="5398" spans="5:10">
      <c r="E5398" s="43">
        <v>45344.430555537459</v>
      </c>
      <c r="F5398" s="41">
        <v>3.6539626021502345</v>
      </c>
      <c r="G5398" s="41">
        <v>0</v>
      </c>
      <c r="H5398" s="42"/>
      <c r="I5398" s="42"/>
      <c r="J5398" s="42"/>
    </row>
    <row r="5399" spans="5:10">
      <c r="E5399" s="43">
        <v>45344.434027759678</v>
      </c>
      <c r="F5399" s="41">
        <v>3.6539626021502345</v>
      </c>
      <c r="G5399" s="41">
        <v>0</v>
      </c>
      <c r="H5399" s="42"/>
      <c r="I5399" s="42"/>
      <c r="J5399" s="42"/>
    </row>
    <row r="5400" spans="5:10">
      <c r="E5400" s="43">
        <v>45344.437499981897</v>
      </c>
      <c r="F5400" s="41">
        <v>3.6539626021502345</v>
      </c>
      <c r="G5400" s="41">
        <v>0</v>
      </c>
      <c r="H5400" s="42"/>
      <c r="I5400" s="42"/>
      <c r="J5400" s="42"/>
    </row>
    <row r="5401" spans="5:10">
      <c r="E5401" s="43">
        <v>45344.440972204116</v>
      </c>
      <c r="F5401" s="41">
        <v>3.6539626021502345</v>
      </c>
      <c r="G5401" s="41">
        <v>0</v>
      </c>
      <c r="H5401" s="42"/>
      <c r="I5401" s="42"/>
      <c r="J5401" s="42"/>
    </row>
    <row r="5402" spans="5:10">
      <c r="E5402" s="43">
        <v>45344.444444426335</v>
      </c>
      <c r="F5402" s="41">
        <v>3.6539626021502345</v>
      </c>
      <c r="G5402" s="41">
        <v>0</v>
      </c>
      <c r="H5402" s="42"/>
      <c r="I5402" s="42"/>
      <c r="J5402" s="42"/>
    </row>
    <row r="5403" spans="5:10">
      <c r="E5403" s="43">
        <v>45344.447916648554</v>
      </c>
      <c r="F5403" s="41">
        <v>3.6539626021502345</v>
      </c>
      <c r="G5403" s="41">
        <v>0</v>
      </c>
      <c r="H5403" s="42"/>
      <c r="I5403" s="42"/>
      <c r="J5403" s="42"/>
    </row>
    <row r="5404" spans="5:10">
      <c r="E5404" s="43">
        <v>45344.451388870773</v>
      </c>
      <c r="F5404" s="41">
        <v>3.6539626021502345</v>
      </c>
      <c r="G5404" s="41">
        <v>0</v>
      </c>
      <c r="H5404" s="42"/>
      <c r="I5404" s="42"/>
      <c r="J5404" s="42"/>
    </row>
    <row r="5405" spans="5:10">
      <c r="E5405" s="43">
        <v>45344.454861092992</v>
      </c>
      <c r="F5405" s="41">
        <v>3.6539626021502345</v>
      </c>
      <c r="G5405" s="41">
        <v>0</v>
      </c>
      <c r="H5405" s="42"/>
      <c r="I5405" s="42"/>
      <c r="J5405" s="42"/>
    </row>
    <row r="5406" spans="5:10">
      <c r="E5406" s="43">
        <v>45344.458333315211</v>
      </c>
      <c r="F5406" s="41">
        <v>3.6539626021502345</v>
      </c>
      <c r="G5406" s="41">
        <v>0</v>
      </c>
      <c r="H5406" s="42"/>
      <c r="I5406" s="42"/>
      <c r="J5406" s="42"/>
    </row>
    <row r="5407" spans="5:10">
      <c r="E5407" s="43">
        <v>45344.46180553743</v>
      </c>
      <c r="F5407" s="41">
        <v>3.6539626021502345</v>
      </c>
      <c r="G5407" s="41">
        <v>0</v>
      </c>
      <c r="H5407" s="42"/>
      <c r="I5407" s="42"/>
      <c r="J5407" s="42"/>
    </row>
    <row r="5408" spans="5:10">
      <c r="E5408" s="43">
        <v>45344.465277759649</v>
      </c>
      <c r="F5408" s="41">
        <v>3.6539626021502345</v>
      </c>
      <c r="G5408" s="41">
        <v>0</v>
      </c>
      <c r="H5408" s="42"/>
      <c r="I5408" s="42"/>
      <c r="J5408" s="42"/>
    </row>
    <row r="5409" spans="5:10">
      <c r="E5409" s="43">
        <v>45344.468749981868</v>
      </c>
      <c r="F5409" s="41">
        <v>3.6539626021502345</v>
      </c>
      <c r="G5409" s="41">
        <v>0</v>
      </c>
      <c r="H5409" s="42"/>
      <c r="I5409" s="42"/>
      <c r="J5409" s="42"/>
    </row>
    <row r="5410" spans="5:10">
      <c r="E5410" s="43">
        <v>45344.472222204087</v>
      </c>
      <c r="F5410" s="41">
        <v>3.6539626021502345</v>
      </c>
      <c r="G5410" s="41">
        <v>0</v>
      </c>
      <c r="H5410" s="42"/>
      <c r="I5410" s="42"/>
      <c r="J5410" s="42"/>
    </row>
    <row r="5411" spans="5:10">
      <c r="E5411" s="43">
        <v>45344.475694426306</v>
      </c>
      <c r="F5411" s="41">
        <v>3.6539626021502345</v>
      </c>
      <c r="G5411" s="41">
        <v>0</v>
      </c>
      <c r="H5411" s="42"/>
      <c r="I5411" s="42"/>
      <c r="J5411" s="42"/>
    </row>
    <row r="5412" spans="5:10">
      <c r="E5412" s="43">
        <v>45344.479166648525</v>
      </c>
      <c r="F5412" s="41">
        <v>3.6539626021502345</v>
      </c>
      <c r="G5412" s="41">
        <v>0</v>
      </c>
      <c r="H5412" s="42"/>
      <c r="I5412" s="42"/>
      <c r="J5412" s="42"/>
    </row>
    <row r="5413" spans="5:10">
      <c r="E5413" s="43">
        <v>45344.482638870744</v>
      </c>
      <c r="F5413" s="41">
        <v>3.6539626021502345</v>
      </c>
      <c r="G5413" s="41">
        <v>0</v>
      </c>
      <c r="H5413" s="42"/>
      <c r="I5413" s="42"/>
      <c r="J5413" s="42"/>
    </row>
    <row r="5414" spans="5:10">
      <c r="E5414" s="43">
        <v>45344.486111092963</v>
      </c>
      <c r="F5414" s="41">
        <v>3.6539626021502345</v>
      </c>
      <c r="G5414" s="41">
        <v>0</v>
      </c>
      <c r="H5414" s="42"/>
      <c r="I5414" s="42"/>
      <c r="J5414" s="42"/>
    </row>
    <row r="5415" spans="5:10">
      <c r="E5415" s="43">
        <v>45344.489583315182</v>
      </c>
      <c r="F5415" s="41">
        <v>3.6539626021502345</v>
      </c>
      <c r="G5415" s="41">
        <v>0</v>
      </c>
      <c r="H5415" s="42"/>
      <c r="I5415" s="42"/>
      <c r="J5415" s="42"/>
    </row>
    <row r="5416" spans="5:10">
      <c r="E5416" s="43">
        <v>45344.493055537401</v>
      </c>
      <c r="F5416" s="41">
        <v>3.6539626021502345</v>
      </c>
      <c r="G5416" s="41">
        <v>0</v>
      </c>
      <c r="H5416" s="42"/>
      <c r="I5416" s="42"/>
      <c r="J5416" s="42"/>
    </row>
    <row r="5417" spans="5:10">
      <c r="E5417" s="43">
        <v>45344.49652775962</v>
      </c>
      <c r="F5417" s="41">
        <v>3.6539626021502345</v>
      </c>
      <c r="G5417" s="41">
        <v>0</v>
      </c>
      <c r="H5417" s="42"/>
      <c r="I5417" s="42"/>
      <c r="J5417" s="42"/>
    </row>
    <row r="5418" spans="5:10">
      <c r="E5418" s="43">
        <v>45344.499999981839</v>
      </c>
      <c r="F5418" s="41">
        <v>3.6539626021502345</v>
      </c>
      <c r="G5418" s="41">
        <v>0</v>
      </c>
      <c r="H5418" s="42"/>
      <c r="I5418" s="42"/>
      <c r="J5418" s="42"/>
    </row>
    <row r="5419" spans="5:10">
      <c r="E5419" s="43">
        <v>45344.503472204058</v>
      </c>
      <c r="F5419" s="41">
        <v>3.6539626021502345</v>
      </c>
      <c r="G5419" s="41">
        <v>0</v>
      </c>
      <c r="H5419" s="42"/>
      <c r="I5419" s="42"/>
      <c r="J5419" s="42"/>
    </row>
    <row r="5420" spans="5:10">
      <c r="E5420" s="43">
        <v>45344.506944426277</v>
      </c>
      <c r="F5420" s="41">
        <v>3.6539626021502345</v>
      </c>
      <c r="G5420" s="41">
        <v>0</v>
      </c>
      <c r="H5420" s="42"/>
      <c r="I5420" s="42"/>
      <c r="J5420" s="42"/>
    </row>
    <row r="5421" spans="5:10">
      <c r="E5421" s="43">
        <v>45344.510416648496</v>
      </c>
      <c r="F5421" s="41">
        <v>3.6539626021502345</v>
      </c>
      <c r="G5421" s="41">
        <v>0</v>
      </c>
      <c r="H5421" s="42"/>
      <c r="I5421" s="42"/>
      <c r="J5421" s="42"/>
    </row>
    <row r="5422" spans="5:10">
      <c r="E5422" s="43">
        <v>45344.513888870715</v>
      </c>
      <c r="F5422" s="41">
        <v>3.6539626021502345</v>
      </c>
      <c r="G5422" s="41">
        <v>0</v>
      </c>
      <c r="H5422" s="42"/>
      <c r="I5422" s="42"/>
      <c r="J5422" s="42"/>
    </row>
    <row r="5423" spans="5:10">
      <c r="E5423" s="43">
        <v>45344.517361092934</v>
      </c>
      <c r="F5423" s="41">
        <v>3.6539626021502345</v>
      </c>
      <c r="G5423" s="41">
        <v>0</v>
      </c>
      <c r="H5423" s="42"/>
      <c r="I5423" s="42"/>
      <c r="J5423" s="42"/>
    </row>
    <row r="5424" spans="5:10">
      <c r="E5424" s="43">
        <v>45344.520833315153</v>
      </c>
      <c r="F5424" s="41">
        <v>3.6539626021502345</v>
      </c>
      <c r="G5424" s="41">
        <v>0</v>
      </c>
      <c r="H5424" s="42"/>
      <c r="I5424" s="42"/>
      <c r="J5424" s="42"/>
    </row>
    <row r="5425" spans="5:10">
      <c r="E5425" s="43">
        <v>45344.524305537372</v>
      </c>
      <c r="F5425" s="41">
        <v>3.6539626021502345</v>
      </c>
      <c r="G5425" s="41">
        <v>0</v>
      </c>
      <c r="H5425" s="42"/>
      <c r="I5425" s="42"/>
      <c r="J5425" s="42"/>
    </row>
    <row r="5426" spans="5:10">
      <c r="E5426" s="43">
        <v>45344.527777759591</v>
      </c>
      <c r="F5426" s="41">
        <v>3.6539626021502345</v>
      </c>
      <c r="G5426" s="41">
        <v>0</v>
      </c>
      <c r="H5426" s="42"/>
      <c r="I5426" s="42"/>
      <c r="J5426" s="42"/>
    </row>
    <row r="5427" spans="5:10">
      <c r="E5427" s="43">
        <v>45344.53124998181</v>
      </c>
      <c r="F5427" s="41">
        <v>3.6539626021502345</v>
      </c>
      <c r="G5427" s="41">
        <v>0</v>
      </c>
      <c r="H5427" s="42"/>
      <c r="I5427" s="42"/>
      <c r="J5427" s="42"/>
    </row>
    <row r="5428" spans="5:10">
      <c r="E5428" s="43">
        <v>45344.534722204029</v>
      </c>
      <c r="F5428" s="41">
        <v>3.6539626021502345</v>
      </c>
      <c r="G5428" s="41">
        <v>0</v>
      </c>
      <c r="H5428" s="42"/>
      <c r="I5428" s="42"/>
      <c r="J5428" s="42"/>
    </row>
    <row r="5429" spans="5:10">
      <c r="E5429" s="43">
        <v>45344.538194426248</v>
      </c>
      <c r="F5429" s="41">
        <v>3.6539626021502345</v>
      </c>
      <c r="G5429" s="41">
        <v>0</v>
      </c>
      <c r="H5429" s="42"/>
      <c r="I5429" s="42"/>
      <c r="J5429" s="42"/>
    </row>
    <row r="5430" spans="5:10">
      <c r="E5430" s="43">
        <v>45344.541666648467</v>
      </c>
      <c r="F5430" s="41">
        <v>3.6539626021502345</v>
      </c>
      <c r="G5430" s="41">
        <v>0</v>
      </c>
      <c r="H5430" s="42"/>
      <c r="I5430" s="42"/>
      <c r="J5430" s="42"/>
    </row>
    <row r="5431" spans="5:10">
      <c r="E5431" s="43">
        <v>45344.545138870686</v>
      </c>
      <c r="F5431" s="41">
        <v>3.6539626021502345</v>
      </c>
      <c r="G5431" s="41">
        <v>0</v>
      </c>
      <c r="H5431" s="42"/>
      <c r="I5431" s="42"/>
      <c r="J5431" s="42"/>
    </row>
    <row r="5432" spans="5:10">
      <c r="E5432" s="43">
        <v>45344.548611092905</v>
      </c>
      <c r="F5432" s="41">
        <v>3.6539626021502345</v>
      </c>
      <c r="G5432" s="41">
        <v>0</v>
      </c>
      <c r="H5432" s="42"/>
      <c r="I5432" s="42"/>
      <c r="J5432" s="42"/>
    </row>
    <row r="5433" spans="5:10">
      <c r="E5433" s="43">
        <v>45344.552083315124</v>
      </c>
      <c r="F5433" s="41">
        <v>3.6539626021502345</v>
      </c>
      <c r="G5433" s="41">
        <v>0</v>
      </c>
      <c r="H5433" s="42"/>
      <c r="I5433" s="42"/>
      <c r="J5433" s="42"/>
    </row>
    <row r="5434" spans="5:10">
      <c r="E5434" s="43">
        <v>45344.555555537343</v>
      </c>
      <c r="F5434" s="41">
        <v>3.6539626021502345</v>
      </c>
      <c r="G5434" s="41">
        <v>0</v>
      </c>
      <c r="H5434" s="42"/>
      <c r="I5434" s="42"/>
      <c r="J5434" s="42"/>
    </row>
    <row r="5435" spans="5:10">
      <c r="E5435" s="43">
        <v>45344.559027759562</v>
      </c>
      <c r="F5435" s="41">
        <v>3.6539626021502345</v>
      </c>
      <c r="G5435" s="41">
        <v>0</v>
      </c>
      <c r="H5435" s="42"/>
      <c r="I5435" s="42"/>
      <c r="J5435" s="42"/>
    </row>
    <row r="5436" spans="5:10">
      <c r="E5436" s="43">
        <v>45344.562499981781</v>
      </c>
      <c r="F5436" s="41">
        <v>3.6539626021502345</v>
      </c>
      <c r="G5436" s="41">
        <v>0</v>
      </c>
      <c r="H5436" s="42"/>
      <c r="I5436" s="42"/>
      <c r="J5436" s="42"/>
    </row>
    <row r="5437" spans="5:10">
      <c r="E5437" s="43">
        <v>45344.565972204</v>
      </c>
      <c r="F5437" s="41">
        <v>3.6539626021502345</v>
      </c>
      <c r="G5437" s="41">
        <v>0</v>
      </c>
      <c r="H5437" s="42"/>
      <c r="I5437" s="42"/>
      <c r="J5437" s="42"/>
    </row>
    <row r="5438" spans="5:10">
      <c r="E5438" s="43">
        <v>45344.569444426219</v>
      </c>
      <c r="F5438" s="41">
        <v>3.6539626021502345</v>
      </c>
      <c r="G5438" s="41">
        <v>0</v>
      </c>
      <c r="H5438" s="42"/>
      <c r="I5438" s="42"/>
      <c r="J5438" s="42"/>
    </row>
    <row r="5439" spans="5:10">
      <c r="E5439" s="43">
        <v>45344.572916648438</v>
      </c>
      <c r="F5439" s="41">
        <v>3.6539626021502345</v>
      </c>
      <c r="G5439" s="41">
        <v>0</v>
      </c>
      <c r="H5439" s="42"/>
      <c r="I5439" s="42"/>
      <c r="J5439" s="42"/>
    </row>
    <row r="5440" spans="5:10">
      <c r="E5440" s="43">
        <v>45344.576388870657</v>
      </c>
      <c r="F5440" s="41">
        <v>3.6539626021502345</v>
      </c>
      <c r="G5440" s="41">
        <v>0</v>
      </c>
      <c r="H5440" s="42"/>
      <c r="I5440" s="42"/>
      <c r="J5440" s="42"/>
    </row>
    <row r="5441" spans="5:10">
      <c r="E5441" s="43">
        <v>45344.579861092876</v>
      </c>
      <c r="F5441" s="41">
        <v>3.6539626021502345</v>
      </c>
      <c r="G5441" s="41">
        <v>0</v>
      </c>
      <c r="H5441" s="42"/>
      <c r="I5441" s="42"/>
      <c r="J5441" s="42"/>
    </row>
    <row r="5442" spans="5:10">
      <c r="E5442" s="43">
        <v>45344.583333315095</v>
      </c>
      <c r="F5442" s="41">
        <v>3.6539626021502345</v>
      </c>
      <c r="G5442" s="41">
        <v>0</v>
      </c>
      <c r="H5442" s="42"/>
      <c r="I5442" s="42"/>
      <c r="J5442" s="42"/>
    </row>
    <row r="5443" spans="5:10">
      <c r="E5443" s="43">
        <v>45344.586805537314</v>
      </c>
      <c r="F5443" s="41">
        <v>3.6539626021502345</v>
      </c>
      <c r="G5443" s="41">
        <v>0</v>
      </c>
      <c r="H5443" s="42"/>
      <c r="I5443" s="42"/>
      <c r="J5443" s="42"/>
    </row>
    <row r="5444" spans="5:10">
      <c r="E5444" s="43">
        <v>45344.590277759533</v>
      </c>
      <c r="F5444" s="41">
        <v>3.6539626021502345</v>
      </c>
      <c r="G5444" s="41">
        <v>0</v>
      </c>
      <c r="H5444" s="42"/>
      <c r="I5444" s="42"/>
      <c r="J5444" s="42"/>
    </row>
    <row r="5445" spans="5:10">
      <c r="E5445" s="43">
        <v>45344.593749981752</v>
      </c>
      <c r="F5445" s="41">
        <v>3.6539626021502345</v>
      </c>
      <c r="G5445" s="41">
        <v>0</v>
      </c>
      <c r="H5445" s="42"/>
      <c r="I5445" s="42"/>
      <c r="J5445" s="42"/>
    </row>
    <row r="5446" spans="5:10">
      <c r="E5446" s="43">
        <v>45344.597222203971</v>
      </c>
      <c r="F5446" s="41">
        <v>3.6539626021502345</v>
      </c>
      <c r="G5446" s="41">
        <v>0</v>
      </c>
      <c r="H5446" s="42"/>
      <c r="I5446" s="42"/>
      <c r="J5446" s="42"/>
    </row>
    <row r="5447" spans="5:10">
      <c r="E5447" s="43">
        <v>45344.60069442619</v>
      </c>
      <c r="F5447" s="41">
        <v>3.6539626021502345</v>
      </c>
      <c r="G5447" s="41">
        <v>0</v>
      </c>
      <c r="H5447" s="42"/>
      <c r="I5447" s="42"/>
      <c r="J5447" s="42"/>
    </row>
    <row r="5448" spans="5:10">
      <c r="E5448" s="43">
        <v>45344.604166648409</v>
      </c>
      <c r="F5448" s="41">
        <v>3.6539626021502345</v>
      </c>
      <c r="G5448" s="41">
        <v>0</v>
      </c>
      <c r="H5448" s="42"/>
      <c r="I5448" s="42"/>
      <c r="J5448" s="42"/>
    </row>
    <row r="5449" spans="5:10">
      <c r="E5449" s="43">
        <v>45344.607638870628</v>
      </c>
      <c r="F5449" s="41">
        <v>3.6539626021502345</v>
      </c>
      <c r="G5449" s="41">
        <v>0</v>
      </c>
      <c r="H5449" s="42"/>
      <c r="I5449" s="42"/>
      <c r="J5449" s="42"/>
    </row>
    <row r="5450" spans="5:10">
      <c r="E5450" s="43">
        <v>45344.611111092847</v>
      </c>
      <c r="F5450" s="41">
        <v>3.6539626021502345</v>
      </c>
      <c r="G5450" s="41">
        <v>0</v>
      </c>
      <c r="H5450" s="42"/>
      <c r="I5450" s="42"/>
      <c r="J5450" s="42"/>
    </row>
    <row r="5451" spans="5:10">
      <c r="E5451" s="43">
        <v>45344.614583315066</v>
      </c>
      <c r="F5451" s="41">
        <v>3.6539626021502345</v>
      </c>
      <c r="G5451" s="41">
        <v>0</v>
      </c>
      <c r="H5451" s="42"/>
      <c r="I5451" s="42"/>
      <c r="J5451" s="42"/>
    </row>
    <row r="5452" spans="5:10">
      <c r="E5452" s="43">
        <v>45344.618055537285</v>
      </c>
      <c r="F5452" s="41">
        <v>3.6539626021502345</v>
      </c>
      <c r="G5452" s="41">
        <v>0</v>
      </c>
      <c r="H5452" s="42"/>
      <c r="I5452" s="42"/>
      <c r="J5452" s="42"/>
    </row>
    <row r="5453" spans="5:10">
      <c r="E5453" s="43">
        <v>45344.621527759504</v>
      </c>
      <c r="F5453" s="41">
        <v>3.6539626021502345</v>
      </c>
      <c r="G5453" s="41">
        <v>0</v>
      </c>
      <c r="H5453" s="42"/>
      <c r="I5453" s="42"/>
      <c r="J5453" s="42"/>
    </row>
    <row r="5454" spans="5:10">
      <c r="E5454" s="43">
        <v>45344.624999981723</v>
      </c>
      <c r="F5454" s="41">
        <v>3.6539626021502345</v>
      </c>
      <c r="G5454" s="41">
        <v>0</v>
      </c>
      <c r="H5454" s="42"/>
      <c r="I5454" s="42"/>
      <c r="J5454" s="42"/>
    </row>
    <row r="5455" spans="5:10">
      <c r="E5455" s="43">
        <v>45344.628472203942</v>
      </c>
      <c r="F5455" s="41">
        <v>3.6539626021502345</v>
      </c>
      <c r="G5455" s="41">
        <v>0</v>
      </c>
      <c r="H5455" s="42"/>
      <c r="I5455" s="42"/>
      <c r="J5455" s="42"/>
    </row>
    <row r="5456" spans="5:10">
      <c r="E5456" s="43">
        <v>45344.631944426161</v>
      </c>
      <c r="F5456" s="41">
        <v>3.6539626021502345</v>
      </c>
      <c r="G5456" s="41">
        <v>0</v>
      </c>
      <c r="H5456" s="42"/>
      <c r="I5456" s="42"/>
      <c r="J5456" s="42"/>
    </row>
    <row r="5457" spans="5:10">
      <c r="E5457" s="43">
        <v>45344.63541664838</v>
      </c>
      <c r="F5457" s="41">
        <v>3.6539626021502345</v>
      </c>
      <c r="G5457" s="41">
        <v>0</v>
      </c>
      <c r="H5457" s="42"/>
      <c r="I5457" s="42"/>
      <c r="J5457" s="42"/>
    </row>
    <row r="5458" spans="5:10">
      <c r="E5458" s="43">
        <v>45344.638888870599</v>
      </c>
      <c r="F5458" s="41">
        <v>3.6539626021502345</v>
      </c>
      <c r="G5458" s="41">
        <v>0</v>
      </c>
      <c r="H5458" s="42"/>
      <c r="I5458" s="42"/>
      <c r="J5458" s="42"/>
    </row>
    <row r="5459" spans="5:10">
      <c r="E5459" s="43">
        <v>45344.642361092818</v>
      </c>
      <c r="F5459" s="41">
        <v>3.6539626021502345</v>
      </c>
      <c r="G5459" s="41">
        <v>0</v>
      </c>
      <c r="H5459" s="42"/>
      <c r="I5459" s="42"/>
      <c r="J5459" s="42"/>
    </row>
    <row r="5460" spans="5:10">
      <c r="E5460" s="43">
        <v>45344.645833315037</v>
      </c>
      <c r="F5460" s="41">
        <v>3.6539626021502345</v>
      </c>
      <c r="G5460" s="41">
        <v>0</v>
      </c>
      <c r="H5460" s="42"/>
      <c r="I5460" s="42"/>
      <c r="J5460" s="42"/>
    </row>
    <row r="5461" spans="5:10">
      <c r="E5461" s="43">
        <v>45344.649305537256</v>
      </c>
      <c r="F5461" s="41">
        <v>3.6539626021502345</v>
      </c>
      <c r="G5461" s="41">
        <v>0</v>
      </c>
      <c r="H5461" s="42"/>
      <c r="I5461" s="42"/>
      <c r="J5461" s="42"/>
    </row>
    <row r="5462" spans="5:10">
      <c r="E5462" s="43">
        <v>45344.652777759475</v>
      </c>
      <c r="F5462" s="41">
        <v>3.6539626021502345</v>
      </c>
      <c r="G5462" s="41">
        <v>0</v>
      </c>
      <c r="H5462" s="42"/>
      <c r="I5462" s="42"/>
      <c r="J5462" s="42"/>
    </row>
    <row r="5463" spans="5:10">
      <c r="E5463" s="43">
        <v>45344.656249981694</v>
      </c>
      <c r="F5463" s="41">
        <v>3.6539626021502345</v>
      </c>
      <c r="G5463" s="41">
        <v>0</v>
      </c>
      <c r="H5463" s="42"/>
      <c r="I5463" s="42"/>
      <c r="J5463" s="42"/>
    </row>
    <row r="5464" spans="5:10">
      <c r="E5464" s="43">
        <v>45344.659722203913</v>
      </c>
      <c r="F5464" s="41">
        <v>3.6539626021502345</v>
      </c>
      <c r="G5464" s="41">
        <v>0</v>
      </c>
      <c r="H5464" s="42"/>
      <c r="I5464" s="42"/>
      <c r="J5464" s="42"/>
    </row>
    <row r="5465" spans="5:10">
      <c r="E5465" s="43">
        <v>45344.663194426132</v>
      </c>
      <c r="F5465" s="41">
        <v>3.6539626021502345</v>
      </c>
      <c r="G5465" s="41">
        <v>0</v>
      </c>
      <c r="H5465" s="42"/>
      <c r="I5465" s="42"/>
      <c r="J5465" s="42"/>
    </row>
    <row r="5466" spans="5:10">
      <c r="E5466" s="43">
        <v>45344.666666648351</v>
      </c>
      <c r="F5466" s="41">
        <v>6.3362550197703529</v>
      </c>
      <c r="G5466" s="41">
        <v>0</v>
      </c>
      <c r="H5466" s="42"/>
      <c r="I5466" s="42"/>
      <c r="J5466" s="42"/>
    </row>
    <row r="5467" spans="5:10">
      <c r="E5467" s="43">
        <v>45344.67013887057</v>
      </c>
      <c r="F5467" s="41">
        <v>2.6822924176201184</v>
      </c>
      <c r="G5467" s="41">
        <v>0</v>
      </c>
      <c r="H5467" s="42"/>
      <c r="I5467" s="42"/>
      <c r="J5467" s="42"/>
    </row>
    <row r="5468" spans="5:10">
      <c r="E5468" s="43">
        <v>45344.673611092789</v>
      </c>
      <c r="F5468" s="41">
        <v>10.581684596999921</v>
      </c>
      <c r="G5468" s="41">
        <v>0</v>
      </c>
      <c r="H5468" s="42"/>
      <c r="I5468" s="42"/>
      <c r="J5468" s="42"/>
    </row>
    <row r="5469" spans="5:10">
      <c r="E5469" s="43">
        <v>45344.677083315008</v>
      </c>
      <c r="F5469" s="41">
        <v>10.581684596999921</v>
      </c>
      <c r="G5469" s="41">
        <v>0</v>
      </c>
      <c r="H5469" s="42"/>
      <c r="I5469" s="42"/>
      <c r="J5469" s="42"/>
    </row>
    <row r="5470" spans="5:10">
      <c r="E5470" s="43">
        <v>45344.680555537227</v>
      </c>
      <c r="F5470" s="41">
        <v>10.581684596999921</v>
      </c>
      <c r="G5470" s="41">
        <v>0</v>
      </c>
      <c r="H5470" s="42"/>
      <c r="I5470" s="42"/>
      <c r="J5470" s="42"/>
    </row>
    <row r="5471" spans="5:10">
      <c r="E5471" s="43">
        <v>45344.684027759446</v>
      </c>
      <c r="F5471" s="41">
        <v>10.581684596999921</v>
      </c>
      <c r="G5471" s="41">
        <v>0</v>
      </c>
      <c r="H5471" s="42"/>
      <c r="I5471" s="42"/>
      <c r="J5471" s="42"/>
    </row>
    <row r="5472" spans="5:10">
      <c r="E5472" s="43">
        <v>45344.687499981665</v>
      </c>
      <c r="F5472" s="41">
        <v>10.581684596999921</v>
      </c>
      <c r="G5472" s="41">
        <v>0</v>
      </c>
      <c r="H5472" s="42"/>
      <c r="I5472" s="42"/>
      <c r="J5472" s="42"/>
    </row>
    <row r="5473" spans="5:10">
      <c r="E5473" s="43">
        <v>45344.690972203884</v>
      </c>
      <c r="F5473" s="41">
        <v>10.581684596999921</v>
      </c>
      <c r="G5473" s="41">
        <v>0</v>
      </c>
      <c r="H5473" s="42"/>
      <c r="I5473" s="42"/>
      <c r="J5473" s="42"/>
    </row>
    <row r="5474" spans="5:10">
      <c r="E5474" s="43">
        <v>45344.694444426103</v>
      </c>
      <c r="F5474" s="41">
        <v>10.581684596999921</v>
      </c>
      <c r="G5474" s="41">
        <v>0</v>
      </c>
      <c r="H5474" s="42"/>
      <c r="I5474" s="42"/>
      <c r="J5474" s="42"/>
    </row>
    <row r="5475" spans="5:10">
      <c r="E5475" s="43">
        <v>45344.697916648322</v>
      </c>
      <c r="F5475" s="41">
        <v>10.581684596999921</v>
      </c>
      <c r="G5475" s="41">
        <v>0</v>
      </c>
      <c r="H5475" s="42"/>
      <c r="I5475" s="42"/>
      <c r="J5475" s="42"/>
    </row>
    <row r="5476" spans="5:10">
      <c r="E5476" s="43">
        <v>45344.701388870541</v>
      </c>
      <c r="F5476" s="41">
        <v>10.581684596999921</v>
      </c>
      <c r="G5476" s="41">
        <v>0</v>
      </c>
      <c r="H5476" s="42"/>
      <c r="I5476" s="42"/>
      <c r="J5476" s="42"/>
    </row>
    <row r="5477" spans="5:10">
      <c r="E5477" s="43">
        <v>45344.70486109276</v>
      </c>
      <c r="F5477" s="41">
        <v>10.581684596999921</v>
      </c>
      <c r="G5477" s="41">
        <v>0</v>
      </c>
      <c r="H5477" s="42"/>
      <c r="I5477" s="42"/>
      <c r="J5477" s="42"/>
    </row>
    <row r="5478" spans="5:10">
      <c r="E5478" s="43">
        <v>45344.708333314979</v>
      </c>
      <c r="F5478" s="41">
        <v>10.581684596999921</v>
      </c>
      <c r="G5478" s="41">
        <v>0</v>
      </c>
      <c r="H5478" s="42"/>
      <c r="I5478" s="42"/>
      <c r="J5478" s="42"/>
    </row>
    <row r="5479" spans="5:10">
      <c r="E5479" s="43">
        <v>45344.711805537198</v>
      </c>
      <c r="F5479" s="41">
        <v>10.581684596999921</v>
      </c>
      <c r="G5479" s="41">
        <v>0</v>
      </c>
      <c r="H5479" s="42"/>
      <c r="I5479" s="42"/>
      <c r="J5479" s="42"/>
    </row>
    <row r="5480" spans="5:10">
      <c r="E5480" s="43">
        <v>45344.715277759416</v>
      </c>
      <c r="F5480" s="41">
        <v>10.581684596999921</v>
      </c>
      <c r="G5480" s="41">
        <v>0</v>
      </c>
      <c r="H5480" s="42"/>
      <c r="I5480" s="42"/>
      <c r="J5480" s="42"/>
    </row>
    <row r="5481" spans="5:10">
      <c r="E5481" s="43">
        <v>45344.718749981635</v>
      </c>
      <c r="F5481" s="41">
        <v>10.581684596999921</v>
      </c>
      <c r="G5481" s="41">
        <v>0</v>
      </c>
      <c r="H5481" s="42"/>
      <c r="I5481" s="42"/>
      <c r="J5481" s="42"/>
    </row>
    <row r="5482" spans="5:10">
      <c r="E5482" s="43">
        <v>45344.722222203854</v>
      </c>
      <c r="F5482" s="41">
        <v>10.581684596999921</v>
      </c>
      <c r="G5482" s="41">
        <v>0</v>
      </c>
      <c r="H5482" s="42"/>
      <c r="I5482" s="42"/>
      <c r="J5482" s="42"/>
    </row>
    <row r="5483" spans="5:10">
      <c r="E5483" s="43">
        <v>45344.725694426073</v>
      </c>
      <c r="F5483" s="41">
        <v>10.581684596999921</v>
      </c>
      <c r="G5483" s="41">
        <v>0</v>
      </c>
      <c r="H5483" s="42"/>
      <c r="I5483" s="42"/>
      <c r="J5483" s="42"/>
    </row>
    <row r="5484" spans="5:10">
      <c r="E5484" s="43">
        <v>45344.729166648292</v>
      </c>
      <c r="F5484" s="41">
        <v>10.581684596999921</v>
      </c>
      <c r="G5484" s="41">
        <v>0</v>
      </c>
      <c r="H5484" s="42"/>
      <c r="I5484" s="42"/>
      <c r="J5484" s="42"/>
    </row>
    <row r="5485" spans="5:10">
      <c r="E5485" s="43">
        <v>45344.732638870511</v>
      </c>
      <c r="F5485" s="41">
        <v>10.581684596999921</v>
      </c>
      <c r="G5485" s="41">
        <v>0</v>
      </c>
      <c r="H5485" s="42"/>
      <c r="I5485" s="42"/>
      <c r="J5485" s="42"/>
    </row>
    <row r="5486" spans="5:10">
      <c r="E5486" s="43">
        <v>45344.73611109273</v>
      </c>
      <c r="F5486" s="41">
        <v>10.581684596999921</v>
      </c>
      <c r="G5486" s="41">
        <v>0</v>
      </c>
      <c r="H5486" s="42"/>
      <c r="I5486" s="42"/>
      <c r="J5486" s="42"/>
    </row>
    <row r="5487" spans="5:10">
      <c r="E5487" s="43">
        <v>45344.739583314949</v>
      </c>
      <c r="F5487" s="41">
        <v>10.581684596999921</v>
      </c>
      <c r="G5487" s="41">
        <v>0</v>
      </c>
      <c r="H5487" s="42"/>
      <c r="I5487" s="42"/>
      <c r="J5487" s="42"/>
    </row>
    <row r="5488" spans="5:10">
      <c r="E5488" s="43">
        <v>45344.743055537168</v>
      </c>
      <c r="F5488" s="41">
        <v>10.581684596999921</v>
      </c>
      <c r="G5488" s="41">
        <v>0</v>
      </c>
      <c r="H5488" s="42"/>
      <c r="I5488" s="42"/>
      <c r="J5488" s="42"/>
    </row>
    <row r="5489" spans="5:10">
      <c r="E5489" s="43">
        <v>45344.746527759387</v>
      </c>
      <c r="F5489" s="41">
        <v>10.581684596999921</v>
      </c>
      <c r="G5489" s="41">
        <v>0</v>
      </c>
      <c r="H5489" s="42"/>
      <c r="I5489" s="42"/>
      <c r="J5489" s="42"/>
    </row>
    <row r="5490" spans="5:10">
      <c r="E5490" s="43">
        <v>45344.749999981606</v>
      </c>
      <c r="F5490" s="41">
        <v>10.581684596999921</v>
      </c>
      <c r="G5490" s="41">
        <v>0</v>
      </c>
      <c r="H5490" s="42"/>
      <c r="I5490" s="42"/>
      <c r="J5490" s="42"/>
    </row>
    <row r="5491" spans="5:10">
      <c r="E5491" s="43">
        <v>45344.753472203825</v>
      </c>
      <c r="F5491" s="41">
        <v>10.581684596999921</v>
      </c>
      <c r="G5491" s="41">
        <v>0</v>
      </c>
      <c r="H5491" s="42"/>
      <c r="I5491" s="42"/>
      <c r="J5491" s="42"/>
    </row>
    <row r="5492" spans="5:10">
      <c r="E5492" s="43">
        <v>45344.756944426044</v>
      </c>
      <c r="F5492" s="41">
        <v>10.581684596999921</v>
      </c>
      <c r="G5492" s="41">
        <v>0</v>
      </c>
      <c r="H5492" s="42"/>
      <c r="I5492" s="42"/>
      <c r="J5492" s="42"/>
    </row>
    <row r="5493" spans="5:10">
      <c r="E5493" s="43">
        <v>45344.760416648263</v>
      </c>
      <c r="F5493" s="41">
        <v>10.581684596999921</v>
      </c>
      <c r="G5493" s="41">
        <v>0</v>
      </c>
      <c r="H5493" s="42"/>
      <c r="I5493" s="42"/>
      <c r="J5493" s="42"/>
    </row>
    <row r="5494" spans="5:10">
      <c r="E5494" s="43">
        <v>45344.763888870482</v>
      </c>
      <c r="F5494" s="41">
        <v>10.581684596999921</v>
      </c>
      <c r="G5494" s="41">
        <v>0</v>
      </c>
      <c r="H5494" s="42"/>
      <c r="I5494" s="42"/>
      <c r="J5494" s="42"/>
    </row>
    <row r="5495" spans="5:10">
      <c r="E5495" s="43">
        <v>45344.767361092701</v>
      </c>
      <c r="F5495" s="41">
        <v>10.581684596999921</v>
      </c>
      <c r="G5495" s="41">
        <v>0</v>
      </c>
      <c r="H5495" s="42"/>
      <c r="I5495" s="42"/>
      <c r="J5495" s="42"/>
    </row>
    <row r="5496" spans="5:10">
      <c r="E5496" s="43">
        <v>45344.77083331492</v>
      </c>
      <c r="F5496" s="41">
        <v>10.581684596999921</v>
      </c>
      <c r="G5496" s="41">
        <v>0</v>
      </c>
      <c r="H5496" s="42"/>
      <c r="I5496" s="42"/>
      <c r="J5496" s="42"/>
    </row>
    <row r="5497" spans="5:10">
      <c r="E5497" s="43">
        <v>45344.774305537139</v>
      </c>
      <c r="F5497" s="41">
        <v>10.581684596999921</v>
      </c>
      <c r="G5497" s="41">
        <v>0</v>
      </c>
      <c r="H5497" s="42"/>
      <c r="I5497" s="42"/>
      <c r="J5497" s="42"/>
    </row>
    <row r="5498" spans="5:10">
      <c r="E5498" s="43">
        <v>45344.777777759358</v>
      </c>
      <c r="F5498" s="41">
        <v>10.581684596999921</v>
      </c>
      <c r="G5498" s="41">
        <v>0</v>
      </c>
      <c r="H5498" s="42"/>
      <c r="I5498" s="42"/>
      <c r="J5498" s="42"/>
    </row>
    <row r="5499" spans="5:10">
      <c r="E5499" s="43">
        <v>45344.781249981577</v>
      </c>
      <c r="F5499" s="41">
        <v>10.581684596999921</v>
      </c>
      <c r="G5499" s="41">
        <v>0</v>
      </c>
      <c r="H5499" s="42"/>
      <c r="I5499" s="42"/>
      <c r="J5499" s="42"/>
    </row>
    <row r="5500" spans="5:10">
      <c r="E5500" s="43">
        <v>45344.784722203796</v>
      </c>
      <c r="F5500" s="41">
        <v>10.581684596999921</v>
      </c>
      <c r="G5500" s="41">
        <v>0</v>
      </c>
      <c r="H5500" s="42"/>
      <c r="I5500" s="42"/>
      <c r="J5500" s="42"/>
    </row>
    <row r="5501" spans="5:10">
      <c r="E5501" s="43">
        <v>45344.788194426015</v>
      </c>
      <c r="F5501" s="41">
        <v>10.581684596999921</v>
      </c>
      <c r="G5501" s="41">
        <v>0</v>
      </c>
      <c r="H5501" s="42"/>
      <c r="I5501" s="42"/>
      <c r="J5501" s="42"/>
    </row>
    <row r="5502" spans="5:10">
      <c r="E5502" s="43">
        <v>45344.791666648234</v>
      </c>
      <c r="F5502" s="41">
        <v>10.581684596999921</v>
      </c>
      <c r="G5502" s="41">
        <v>0</v>
      </c>
      <c r="H5502" s="42"/>
      <c r="I5502" s="42"/>
      <c r="J5502" s="42"/>
    </row>
    <row r="5503" spans="5:10">
      <c r="E5503" s="43">
        <v>45344.795138870453</v>
      </c>
      <c r="F5503" s="41">
        <v>10.581684596999921</v>
      </c>
      <c r="G5503" s="41">
        <v>0</v>
      </c>
      <c r="H5503" s="42"/>
      <c r="I5503" s="42"/>
      <c r="J5503" s="42"/>
    </row>
    <row r="5504" spans="5:10">
      <c r="E5504" s="43">
        <v>45344.798611092672</v>
      </c>
      <c r="F5504" s="41">
        <v>10.581684596999921</v>
      </c>
      <c r="G5504" s="41">
        <v>0</v>
      </c>
      <c r="H5504" s="42"/>
      <c r="I5504" s="42"/>
      <c r="J5504" s="42"/>
    </row>
    <row r="5505" spans="5:10">
      <c r="E5505" s="43">
        <v>45344.802083314891</v>
      </c>
      <c r="F5505" s="41">
        <v>10.581684596999921</v>
      </c>
      <c r="G5505" s="41">
        <v>0</v>
      </c>
      <c r="H5505" s="42"/>
      <c r="I5505" s="42"/>
      <c r="J5505" s="42"/>
    </row>
    <row r="5506" spans="5:10">
      <c r="E5506" s="43">
        <v>45344.80555553711</v>
      </c>
      <c r="F5506" s="41">
        <v>10.581684596999921</v>
      </c>
      <c r="G5506" s="41">
        <v>0</v>
      </c>
      <c r="H5506" s="42"/>
      <c r="I5506" s="42"/>
      <c r="J5506" s="42"/>
    </row>
    <row r="5507" spans="5:10">
      <c r="E5507" s="43">
        <v>45344.809027759329</v>
      </c>
      <c r="F5507" s="41">
        <v>10.581684596999921</v>
      </c>
      <c r="G5507" s="41">
        <v>0</v>
      </c>
      <c r="H5507" s="42"/>
      <c r="I5507" s="42"/>
      <c r="J5507" s="42"/>
    </row>
    <row r="5508" spans="5:10">
      <c r="E5508" s="43">
        <v>45344.812499981548</v>
      </c>
      <c r="F5508" s="41">
        <v>10.581684596999921</v>
      </c>
      <c r="G5508" s="41">
        <v>0</v>
      </c>
      <c r="H5508" s="42"/>
      <c r="I5508" s="42"/>
      <c r="J5508" s="42"/>
    </row>
    <row r="5509" spans="5:10">
      <c r="E5509" s="43">
        <v>45344.815972203767</v>
      </c>
      <c r="F5509" s="41">
        <v>10.581684596999921</v>
      </c>
      <c r="G5509" s="41">
        <v>0</v>
      </c>
      <c r="H5509" s="42"/>
      <c r="I5509" s="42"/>
      <c r="J5509" s="42"/>
    </row>
    <row r="5510" spans="5:10">
      <c r="E5510" s="43">
        <v>45344.819444425986</v>
      </c>
      <c r="F5510" s="41">
        <v>10.581684596999921</v>
      </c>
      <c r="G5510" s="41">
        <v>0</v>
      </c>
      <c r="H5510" s="42"/>
      <c r="I5510" s="42"/>
      <c r="J5510" s="42"/>
    </row>
    <row r="5511" spans="5:10">
      <c r="E5511" s="43">
        <v>45344.822916648205</v>
      </c>
      <c r="F5511" s="41">
        <v>10.581684596999921</v>
      </c>
      <c r="G5511" s="41">
        <v>0</v>
      </c>
      <c r="H5511" s="42"/>
      <c r="I5511" s="42"/>
      <c r="J5511" s="42"/>
    </row>
    <row r="5512" spans="5:10">
      <c r="E5512" s="43">
        <v>45344.826388870424</v>
      </c>
      <c r="F5512" s="41">
        <v>10.581684596999921</v>
      </c>
      <c r="G5512" s="41">
        <v>0</v>
      </c>
      <c r="H5512" s="42"/>
      <c r="I5512" s="42"/>
      <c r="J5512" s="42"/>
    </row>
    <row r="5513" spans="5:10">
      <c r="E5513" s="43">
        <v>45344.829861092643</v>
      </c>
      <c r="F5513" s="41">
        <v>10.581684596999921</v>
      </c>
      <c r="G5513" s="41">
        <v>0</v>
      </c>
      <c r="H5513" s="42"/>
      <c r="I5513" s="42"/>
      <c r="J5513" s="42"/>
    </row>
    <row r="5514" spans="5:10">
      <c r="E5514" s="43">
        <v>45344.833333314862</v>
      </c>
      <c r="F5514" s="41">
        <v>10.581684596999921</v>
      </c>
      <c r="G5514" s="41">
        <v>0</v>
      </c>
      <c r="H5514" s="42"/>
      <c r="I5514" s="42"/>
      <c r="J5514" s="42"/>
    </row>
    <row r="5515" spans="5:10">
      <c r="E5515" s="43">
        <v>45344.836805537081</v>
      </c>
      <c r="F5515" s="41">
        <v>10.581684596999921</v>
      </c>
      <c r="G5515" s="41">
        <v>0</v>
      </c>
      <c r="H5515" s="42"/>
      <c r="I5515" s="42"/>
      <c r="J5515" s="42"/>
    </row>
    <row r="5516" spans="5:10">
      <c r="E5516" s="43">
        <v>45344.8402777593</v>
      </c>
      <c r="F5516" s="41">
        <v>10.581684596999921</v>
      </c>
      <c r="G5516" s="41">
        <v>0</v>
      </c>
      <c r="H5516" s="42"/>
      <c r="I5516" s="42"/>
      <c r="J5516" s="42"/>
    </row>
    <row r="5517" spans="5:10">
      <c r="E5517" s="43">
        <v>45344.843749981519</v>
      </c>
      <c r="F5517" s="41">
        <v>10.581684596999921</v>
      </c>
      <c r="G5517" s="41">
        <v>0</v>
      </c>
      <c r="H5517" s="42"/>
      <c r="I5517" s="42"/>
      <c r="J5517" s="42"/>
    </row>
    <row r="5518" spans="5:10">
      <c r="E5518" s="43">
        <v>45344.847222203738</v>
      </c>
      <c r="F5518" s="41">
        <v>10.581684596999921</v>
      </c>
      <c r="G5518" s="41">
        <v>0</v>
      </c>
      <c r="H5518" s="42"/>
      <c r="I5518" s="42"/>
      <c r="J5518" s="42"/>
    </row>
    <row r="5519" spans="5:10">
      <c r="E5519" s="43">
        <v>45344.850694425957</v>
      </c>
      <c r="F5519" s="41">
        <v>10.581684596999921</v>
      </c>
      <c r="G5519" s="41">
        <v>0</v>
      </c>
      <c r="H5519" s="42"/>
      <c r="I5519" s="42"/>
      <c r="J5519" s="42"/>
    </row>
    <row r="5520" spans="5:10">
      <c r="E5520" s="43">
        <v>45344.854166648176</v>
      </c>
      <c r="F5520" s="41">
        <v>10.581684596999921</v>
      </c>
      <c r="G5520" s="41">
        <v>0</v>
      </c>
      <c r="H5520" s="42"/>
      <c r="I5520" s="42"/>
      <c r="J5520" s="42"/>
    </row>
    <row r="5521" spans="5:10">
      <c r="E5521" s="43">
        <v>45344.857638870395</v>
      </c>
      <c r="F5521" s="41">
        <v>10.581684596999921</v>
      </c>
      <c r="G5521" s="41">
        <v>0</v>
      </c>
      <c r="H5521" s="42"/>
      <c r="I5521" s="42"/>
      <c r="J5521" s="42"/>
    </row>
    <row r="5522" spans="5:10">
      <c r="E5522" s="43">
        <v>45344.861111092614</v>
      </c>
      <c r="F5522" s="41">
        <v>10.581684596999921</v>
      </c>
      <c r="G5522" s="41">
        <v>0</v>
      </c>
      <c r="H5522" s="42"/>
      <c r="I5522" s="42"/>
      <c r="J5522" s="42"/>
    </row>
    <row r="5523" spans="5:10">
      <c r="E5523" s="43">
        <v>45344.864583314833</v>
      </c>
      <c r="F5523" s="41">
        <v>10.581684596999921</v>
      </c>
      <c r="G5523" s="41">
        <v>0</v>
      </c>
      <c r="H5523" s="42"/>
      <c r="I5523" s="42"/>
      <c r="J5523" s="42"/>
    </row>
    <row r="5524" spans="5:10">
      <c r="E5524" s="43">
        <v>45344.868055537052</v>
      </c>
      <c r="F5524" s="41">
        <v>10.581684596999921</v>
      </c>
      <c r="G5524" s="41">
        <v>0</v>
      </c>
      <c r="H5524" s="42"/>
      <c r="I5524" s="42"/>
      <c r="J5524" s="42"/>
    </row>
    <row r="5525" spans="5:10">
      <c r="E5525" s="43">
        <v>45344.871527759271</v>
      </c>
      <c r="F5525" s="41">
        <v>10.581684596999921</v>
      </c>
      <c r="G5525" s="41">
        <v>0</v>
      </c>
      <c r="H5525" s="42"/>
      <c r="I5525" s="42"/>
      <c r="J5525" s="42"/>
    </row>
    <row r="5526" spans="5:10">
      <c r="E5526" s="43">
        <v>45344.87499998149</v>
      </c>
      <c r="F5526" s="41">
        <v>10.581684596999921</v>
      </c>
      <c r="G5526" s="41">
        <v>0</v>
      </c>
      <c r="H5526" s="42"/>
      <c r="I5526" s="42"/>
      <c r="J5526" s="42"/>
    </row>
    <row r="5527" spans="5:10">
      <c r="E5527" s="43">
        <v>45344.878472203709</v>
      </c>
      <c r="F5527" s="41">
        <v>10.581684596999921</v>
      </c>
      <c r="G5527" s="41">
        <v>0</v>
      </c>
      <c r="H5527" s="42"/>
      <c r="I5527" s="42"/>
      <c r="J5527" s="42"/>
    </row>
    <row r="5528" spans="5:10">
      <c r="E5528" s="43">
        <v>45344.881944425928</v>
      </c>
      <c r="F5528" s="41">
        <v>10.581684596999921</v>
      </c>
      <c r="G5528" s="41">
        <v>0</v>
      </c>
      <c r="H5528" s="42"/>
      <c r="I5528" s="42"/>
      <c r="J5528" s="42"/>
    </row>
    <row r="5529" spans="5:10">
      <c r="E5529" s="43">
        <v>45344.885416648147</v>
      </c>
      <c r="F5529" s="41">
        <v>10.581684596999921</v>
      </c>
      <c r="G5529" s="41">
        <v>0</v>
      </c>
      <c r="H5529" s="42"/>
      <c r="I5529" s="42"/>
      <c r="J5529" s="42"/>
    </row>
    <row r="5530" spans="5:10">
      <c r="E5530" s="43">
        <v>45344.888888870366</v>
      </c>
      <c r="F5530" s="41">
        <v>10.581684596999921</v>
      </c>
      <c r="G5530" s="41">
        <v>0</v>
      </c>
      <c r="H5530" s="42"/>
      <c r="I5530" s="42"/>
      <c r="J5530" s="42"/>
    </row>
    <row r="5531" spans="5:10">
      <c r="E5531" s="43">
        <v>45344.892361092585</v>
      </c>
      <c r="F5531" s="41">
        <v>10.581684596999921</v>
      </c>
      <c r="G5531" s="41">
        <v>0</v>
      </c>
      <c r="H5531" s="42"/>
      <c r="I5531" s="42"/>
      <c r="J5531" s="42"/>
    </row>
    <row r="5532" spans="5:10">
      <c r="E5532" s="43">
        <v>45344.895833314804</v>
      </c>
      <c r="F5532" s="41">
        <v>10.581684596999921</v>
      </c>
      <c r="G5532" s="41">
        <v>0</v>
      </c>
      <c r="H5532" s="42"/>
      <c r="I5532" s="42"/>
      <c r="J5532" s="42"/>
    </row>
    <row r="5533" spans="5:10">
      <c r="E5533" s="43">
        <v>45344.899305537023</v>
      </c>
      <c r="F5533" s="41">
        <v>10.581684596999921</v>
      </c>
      <c r="G5533" s="41">
        <v>0</v>
      </c>
      <c r="H5533" s="42"/>
      <c r="I5533" s="42"/>
      <c r="J5533" s="42"/>
    </row>
    <row r="5534" spans="5:10">
      <c r="E5534" s="43">
        <v>45344.902777759242</v>
      </c>
      <c r="F5534" s="41">
        <v>10.581684596999921</v>
      </c>
      <c r="G5534" s="41">
        <v>0</v>
      </c>
      <c r="H5534" s="42"/>
      <c r="I5534" s="42"/>
      <c r="J5534" s="42"/>
    </row>
    <row r="5535" spans="5:10">
      <c r="E5535" s="43">
        <v>45344.906249981461</v>
      </c>
      <c r="F5535" s="41">
        <v>10.581684596999921</v>
      </c>
      <c r="G5535" s="41">
        <v>0</v>
      </c>
      <c r="H5535" s="42"/>
      <c r="I5535" s="42"/>
      <c r="J5535" s="42"/>
    </row>
    <row r="5536" spans="5:10">
      <c r="E5536" s="43">
        <v>45344.90972220368</v>
      </c>
      <c r="F5536" s="41">
        <v>10.581684596999921</v>
      </c>
      <c r="G5536" s="41">
        <v>0</v>
      </c>
      <c r="H5536" s="42"/>
      <c r="I5536" s="42"/>
      <c r="J5536" s="42"/>
    </row>
    <row r="5537" spans="5:10">
      <c r="E5537" s="43">
        <v>45344.913194425899</v>
      </c>
      <c r="F5537" s="41">
        <v>10.581684596999921</v>
      </c>
      <c r="G5537" s="41">
        <v>0</v>
      </c>
      <c r="H5537" s="42"/>
      <c r="I5537" s="42"/>
      <c r="J5537" s="42"/>
    </row>
    <row r="5538" spans="5:10">
      <c r="E5538" s="43">
        <v>45344.916666648118</v>
      </c>
      <c r="F5538" s="41">
        <v>10.581684596999921</v>
      </c>
      <c r="G5538" s="41">
        <v>0</v>
      </c>
      <c r="H5538" s="42"/>
      <c r="I5538" s="42"/>
      <c r="J5538" s="42"/>
    </row>
    <row r="5539" spans="5:10">
      <c r="E5539" s="43">
        <v>45344.920138870337</v>
      </c>
      <c r="F5539" s="41">
        <v>10.581684596999921</v>
      </c>
      <c r="G5539" s="41">
        <v>0</v>
      </c>
      <c r="H5539" s="42"/>
      <c r="I5539" s="42"/>
      <c r="J5539" s="42"/>
    </row>
    <row r="5540" spans="5:10">
      <c r="E5540" s="43">
        <v>45344.923611092556</v>
      </c>
      <c r="F5540" s="41">
        <v>10.581684596999921</v>
      </c>
      <c r="G5540" s="41">
        <v>0</v>
      </c>
      <c r="H5540" s="42"/>
      <c r="I5540" s="42"/>
      <c r="J5540" s="42"/>
    </row>
    <row r="5541" spans="5:10">
      <c r="E5541" s="43">
        <v>45344.927083314775</v>
      </c>
      <c r="F5541" s="41">
        <v>10.581684596999921</v>
      </c>
      <c r="G5541" s="41">
        <v>0</v>
      </c>
      <c r="H5541" s="42"/>
      <c r="I5541" s="42"/>
      <c r="J5541" s="42"/>
    </row>
    <row r="5542" spans="5:10">
      <c r="E5542" s="43">
        <v>45344.930555536994</v>
      </c>
      <c r="F5542" s="41">
        <v>10.581684596999921</v>
      </c>
      <c r="G5542" s="41">
        <v>0</v>
      </c>
      <c r="H5542" s="42"/>
      <c r="I5542" s="42"/>
      <c r="J5542" s="42"/>
    </row>
    <row r="5543" spans="5:10">
      <c r="E5543" s="43">
        <v>45344.934027759213</v>
      </c>
      <c r="F5543" s="41">
        <v>10.581684596999921</v>
      </c>
      <c r="G5543" s="41">
        <v>0</v>
      </c>
      <c r="H5543" s="42"/>
      <c r="I5543" s="42"/>
      <c r="J5543" s="42"/>
    </row>
    <row r="5544" spans="5:10">
      <c r="E5544" s="43">
        <v>45344.937499981432</v>
      </c>
      <c r="F5544" s="41">
        <v>10.581684596999921</v>
      </c>
      <c r="G5544" s="41">
        <v>0</v>
      </c>
      <c r="H5544" s="42"/>
      <c r="I5544" s="42"/>
      <c r="J5544" s="42"/>
    </row>
    <row r="5545" spans="5:10">
      <c r="E5545" s="43">
        <v>45344.940972203651</v>
      </c>
      <c r="F5545" s="41">
        <v>10.581684596999921</v>
      </c>
      <c r="G5545" s="41">
        <v>0</v>
      </c>
      <c r="H5545" s="42"/>
      <c r="I5545" s="42"/>
      <c r="J5545" s="42"/>
    </row>
    <row r="5546" spans="5:10">
      <c r="E5546" s="43">
        <v>45344.94444442587</v>
      </c>
      <c r="F5546" s="41">
        <v>10.581684596999921</v>
      </c>
      <c r="G5546" s="41">
        <v>0</v>
      </c>
      <c r="H5546" s="42"/>
      <c r="I5546" s="42"/>
      <c r="J5546" s="42"/>
    </row>
    <row r="5547" spans="5:10">
      <c r="E5547" s="43">
        <v>45344.947916648089</v>
      </c>
      <c r="F5547" s="41">
        <v>10.581684596999921</v>
      </c>
      <c r="G5547" s="41">
        <v>0</v>
      </c>
      <c r="H5547" s="42"/>
      <c r="I5547" s="42"/>
      <c r="J5547" s="42"/>
    </row>
    <row r="5548" spans="5:10">
      <c r="E5548" s="43">
        <v>45344.951388870308</v>
      </c>
      <c r="F5548" s="41">
        <v>10.581684596999921</v>
      </c>
      <c r="G5548" s="41">
        <v>0</v>
      </c>
      <c r="H5548" s="42"/>
      <c r="I5548" s="42"/>
      <c r="J5548" s="42"/>
    </row>
    <row r="5549" spans="5:10">
      <c r="E5549" s="43">
        <v>45344.954861092527</v>
      </c>
      <c r="F5549" s="41">
        <v>10.581684596999921</v>
      </c>
      <c r="G5549" s="41">
        <v>0</v>
      </c>
      <c r="H5549" s="42"/>
      <c r="I5549" s="42"/>
      <c r="J5549" s="42"/>
    </row>
    <row r="5550" spans="5:10">
      <c r="E5550" s="43">
        <v>45344.958333314746</v>
      </c>
      <c r="F5550" s="41">
        <v>10.581684596999921</v>
      </c>
      <c r="G5550" s="41">
        <v>0</v>
      </c>
      <c r="H5550" s="42"/>
      <c r="I5550" s="42"/>
      <c r="J5550" s="42"/>
    </row>
    <row r="5551" spans="5:10">
      <c r="E5551" s="43">
        <v>45344.961805536965</v>
      </c>
      <c r="F5551" s="41">
        <v>10.581684596999921</v>
      </c>
      <c r="G5551" s="41">
        <v>0</v>
      </c>
      <c r="H5551" s="42"/>
      <c r="I5551" s="42"/>
      <c r="J5551" s="42"/>
    </row>
    <row r="5552" spans="5:10">
      <c r="E5552" s="43">
        <v>45344.965277759184</v>
      </c>
      <c r="F5552" s="41">
        <v>10.581684596999921</v>
      </c>
      <c r="G5552" s="41">
        <v>0</v>
      </c>
      <c r="H5552" s="42"/>
      <c r="I5552" s="42"/>
      <c r="J5552" s="42"/>
    </row>
    <row r="5553" spans="5:10">
      <c r="E5553" s="43">
        <v>45344.968749981403</v>
      </c>
      <c r="F5553" s="41">
        <v>10.581684596999921</v>
      </c>
      <c r="G5553" s="41">
        <v>0</v>
      </c>
      <c r="H5553" s="42"/>
      <c r="I5553" s="42"/>
      <c r="J5553" s="42"/>
    </row>
    <row r="5554" spans="5:10">
      <c r="E5554" s="43">
        <v>45344.972222203622</v>
      </c>
      <c r="F5554" s="41">
        <v>10.581684596999921</v>
      </c>
      <c r="G5554" s="41">
        <v>0</v>
      </c>
      <c r="H5554" s="42"/>
      <c r="I5554" s="42"/>
      <c r="J5554" s="42"/>
    </row>
    <row r="5555" spans="5:10">
      <c r="E5555" s="43">
        <v>45344.975694425841</v>
      </c>
      <c r="F5555" s="41">
        <v>10.581684596999921</v>
      </c>
      <c r="G5555" s="41">
        <v>0</v>
      </c>
      <c r="H5555" s="42"/>
      <c r="I5555" s="42"/>
      <c r="J5555" s="42"/>
    </row>
    <row r="5556" spans="5:10">
      <c r="E5556" s="43">
        <v>45344.97916664806</v>
      </c>
      <c r="F5556" s="41">
        <v>10.581684596999921</v>
      </c>
      <c r="G5556" s="41">
        <v>0</v>
      </c>
      <c r="H5556" s="42"/>
      <c r="I5556" s="42"/>
      <c r="J5556" s="42"/>
    </row>
    <row r="5557" spans="5:10">
      <c r="E5557" s="43">
        <v>45344.982638870279</v>
      </c>
      <c r="F5557" s="41">
        <v>10.581684596999921</v>
      </c>
      <c r="G5557" s="41">
        <v>0</v>
      </c>
      <c r="H5557" s="42"/>
      <c r="I5557" s="42"/>
      <c r="J5557" s="42"/>
    </row>
    <row r="5558" spans="5:10">
      <c r="E5558" s="43">
        <v>45344.986111092498</v>
      </c>
      <c r="F5558" s="41">
        <v>10.581684596999921</v>
      </c>
      <c r="G5558" s="41">
        <v>0</v>
      </c>
      <c r="H5558" s="42"/>
      <c r="I5558" s="42"/>
      <c r="J5558" s="42"/>
    </row>
    <row r="5559" spans="5:10">
      <c r="E5559" s="43">
        <v>45344.989583314717</v>
      </c>
      <c r="F5559" s="41">
        <v>10.581684596999921</v>
      </c>
      <c r="G5559" s="41">
        <v>0</v>
      </c>
      <c r="H5559" s="42"/>
      <c r="I5559" s="42"/>
      <c r="J5559" s="42"/>
    </row>
    <row r="5560" spans="5:10">
      <c r="E5560" s="43">
        <v>45344.993055536936</v>
      </c>
      <c r="F5560" s="41">
        <v>10.581684596999921</v>
      </c>
      <c r="G5560" s="41">
        <v>0</v>
      </c>
      <c r="H5560" s="42"/>
      <c r="I5560" s="42"/>
      <c r="J5560" s="42"/>
    </row>
    <row r="5561" spans="5:10">
      <c r="E5561" s="43">
        <v>45344.996527759155</v>
      </c>
      <c r="F5561" s="41">
        <v>10.581684596999921</v>
      </c>
      <c r="G5561" s="41">
        <v>0</v>
      </c>
      <c r="H5561" s="42"/>
      <c r="I5561" s="42"/>
      <c r="J5561" s="42"/>
    </row>
    <row r="5562" spans="5:10">
      <c r="E5562" s="43">
        <v>45344.999999981374</v>
      </c>
      <c r="F5562" s="41">
        <v>10.581684596999921</v>
      </c>
      <c r="G5562" s="41">
        <v>0</v>
      </c>
      <c r="H5562" s="42"/>
      <c r="I5562" s="42"/>
      <c r="J5562" s="42"/>
    </row>
    <row r="5563" spans="5:10">
      <c r="E5563" s="43">
        <v>45345.003472203593</v>
      </c>
      <c r="F5563" s="41">
        <v>10.581684596999921</v>
      </c>
      <c r="G5563" s="41">
        <v>0</v>
      </c>
      <c r="H5563" s="42"/>
      <c r="I5563" s="42"/>
      <c r="J5563" s="42"/>
    </row>
    <row r="5564" spans="5:10">
      <c r="E5564" s="43">
        <v>45345.006944425812</v>
      </c>
      <c r="F5564" s="41">
        <v>10.581684596999921</v>
      </c>
      <c r="G5564" s="41">
        <v>0</v>
      </c>
      <c r="H5564" s="42"/>
      <c r="I5564" s="42"/>
      <c r="J5564" s="42"/>
    </row>
    <row r="5565" spans="5:10">
      <c r="E5565" s="43">
        <v>45345.010416648031</v>
      </c>
      <c r="F5565" s="41">
        <v>10.581684596999921</v>
      </c>
      <c r="G5565" s="41">
        <v>0</v>
      </c>
      <c r="H5565" s="42"/>
      <c r="I5565" s="42"/>
      <c r="J5565" s="42"/>
    </row>
    <row r="5566" spans="5:10">
      <c r="E5566" s="43">
        <v>45345.01388887025</v>
      </c>
      <c r="F5566" s="41">
        <v>10.581684596999921</v>
      </c>
      <c r="G5566" s="41">
        <v>0</v>
      </c>
      <c r="H5566" s="42"/>
      <c r="I5566" s="42"/>
      <c r="J5566" s="42"/>
    </row>
    <row r="5567" spans="5:10">
      <c r="E5567" s="43">
        <v>45345.017361092468</v>
      </c>
      <c r="F5567" s="41">
        <v>10.581684596999921</v>
      </c>
      <c r="G5567" s="41">
        <v>0</v>
      </c>
      <c r="H5567" s="42"/>
      <c r="I5567" s="42"/>
      <c r="J5567" s="42"/>
    </row>
    <row r="5568" spans="5:10">
      <c r="E5568" s="43">
        <v>45345.020833314687</v>
      </c>
      <c r="F5568" s="41">
        <v>10.581684596999921</v>
      </c>
      <c r="G5568" s="41">
        <v>0</v>
      </c>
      <c r="H5568" s="42"/>
      <c r="I5568" s="42"/>
      <c r="J5568" s="42"/>
    </row>
    <row r="5569" spans="5:10">
      <c r="E5569" s="43">
        <v>45345.024305536906</v>
      </c>
      <c r="F5569" s="41">
        <v>10.581684596999921</v>
      </c>
      <c r="G5569" s="41">
        <v>0</v>
      </c>
      <c r="H5569" s="42"/>
      <c r="I5569" s="42"/>
      <c r="J5569" s="42"/>
    </row>
    <row r="5570" spans="5:10">
      <c r="E5570" s="43">
        <v>45345.027777759125</v>
      </c>
      <c r="F5570" s="41">
        <v>10.581684596999921</v>
      </c>
      <c r="G5570" s="41">
        <v>0</v>
      </c>
      <c r="H5570" s="42"/>
      <c r="I5570" s="42"/>
      <c r="J5570" s="42"/>
    </row>
    <row r="5571" spans="5:10">
      <c r="E5571" s="43">
        <v>45345.031249981344</v>
      </c>
      <c r="F5571" s="41">
        <v>10.581684596999921</v>
      </c>
      <c r="G5571" s="41">
        <v>0</v>
      </c>
      <c r="H5571" s="42"/>
      <c r="I5571" s="42"/>
      <c r="J5571" s="42"/>
    </row>
    <row r="5572" spans="5:10">
      <c r="E5572" s="43">
        <v>45345.034722203563</v>
      </c>
      <c r="F5572" s="41">
        <v>10.581684596999921</v>
      </c>
      <c r="G5572" s="41">
        <v>0</v>
      </c>
      <c r="H5572" s="42"/>
      <c r="I5572" s="42"/>
      <c r="J5572" s="42"/>
    </row>
    <row r="5573" spans="5:10">
      <c r="E5573" s="43">
        <v>45345.038194425782</v>
      </c>
      <c r="F5573" s="41">
        <v>10.581684596999921</v>
      </c>
      <c r="G5573" s="41">
        <v>0</v>
      </c>
      <c r="H5573" s="42"/>
      <c r="I5573" s="42"/>
      <c r="J5573" s="42"/>
    </row>
    <row r="5574" spans="5:10">
      <c r="E5574" s="43">
        <v>45345.041666648001</v>
      </c>
      <c r="F5574" s="41">
        <v>10.581684596999921</v>
      </c>
      <c r="G5574" s="41">
        <v>0</v>
      </c>
      <c r="H5574" s="42"/>
      <c r="I5574" s="42"/>
      <c r="J5574" s="42"/>
    </row>
    <row r="5575" spans="5:10">
      <c r="E5575" s="43">
        <v>45345.04513887022</v>
      </c>
      <c r="F5575" s="41">
        <v>10.581684596999921</v>
      </c>
      <c r="G5575" s="41">
        <v>0</v>
      </c>
      <c r="H5575" s="42"/>
      <c r="I5575" s="42"/>
      <c r="J5575" s="42"/>
    </row>
    <row r="5576" spans="5:10">
      <c r="E5576" s="43">
        <v>45345.048611092439</v>
      </c>
      <c r="F5576" s="41">
        <v>10.581684596999921</v>
      </c>
      <c r="G5576" s="41">
        <v>0</v>
      </c>
      <c r="H5576" s="42"/>
      <c r="I5576" s="42"/>
      <c r="J5576" s="42"/>
    </row>
    <row r="5577" spans="5:10">
      <c r="E5577" s="43">
        <v>45345.052083314658</v>
      </c>
      <c r="F5577" s="41">
        <v>10.581684596999921</v>
      </c>
      <c r="G5577" s="41">
        <v>0</v>
      </c>
      <c r="H5577" s="42"/>
      <c r="I5577" s="42"/>
      <c r="J5577" s="42"/>
    </row>
    <row r="5578" spans="5:10">
      <c r="E5578" s="43">
        <v>45345.055555536877</v>
      </c>
      <c r="F5578" s="41">
        <v>10.581684596999921</v>
      </c>
      <c r="G5578" s="41">
        <v>0</v>
      </c>
      <c r="H5578" s="42"/>
      <c r="I5578" s="42"/>
      <c r="J5578" s="42"/>
    </row>
    <row r="5579" spans="5:10">
      <c r="E5579" s="43">
        <v>45345.059027759096</v>
      </c>
      <c r="F5579" s="41">
        <v>10.581684596999921</v>
      </c>
      <c r="G5579" s="41">
        <v>0</v>
      </c>
      <c r="H5579" s="42"/>
      <c r="I5579" s="42"/>
      <c r="J5579" s="42"/>
    </row>
    <row r="5580" spans="5:10">
      <c r="E5580" s="43">
        <v>45345.062499981315</v>
      </c>
      <c r="F5580" s="41">
        <v>10.581684596999921</v>
      </c>
      <c r="G5580" s="41">
        <v>0</v>
      </c>
      <c r="H5580" s="42"/>
      <c r="I5580" s="42"/>
      <c r="J5580" s="42"/>
    </row>
    <row r="5581" spans="5:10">
      <c r="E5581" s="43">
        <v>45345.065972203534</v>
      </c>
      <c r="F5581" s="41">
        <v>10.581684596999921</v>
      </c>
      <c r="G5581" s="41">
        <v>0</v>
      </c>
      <c r="H5581" s="42"/>
      <c r="I5581" s="42"/>
      <c r="J5581" s="42"/>
    </row>
    <row r="5582" spans="5:10">
      <c r="E5582" s="43">
        <v>45345.069444425753</v>
      </c>
      <c r="F5582" s="41">
        <v>10.581684596999921</v>
      </c>
      <c r="G5582" s="41">
        <v>0</v>
      </c>
      <c r="H5582" s="42"/>
      <c r="I5582" s="42"/>
      <c r="J5582" s="42"/>
    </row>
    <row r="5583" spans="5:10">
      <c r="E5583" s="43">
        <v>45345.072916647972</v>
      </c>
      <c r="F5583" s="41">
        <v>10.581684596999921</v>
      </c>
      <c r="G5583" s="41">
        <v>0</v>
      </c>
      <c r="H5583" s="42"/>
      <c r="I5583" s="42"/>
      <c r="J5583" s="42"/>
    </row>
    <row r="5584" spans="5:10">
      <c r="E5584" s="43">
        <v>45345.076388870191</v>
      </c>
      <c r="F5584" s="41">
        <v>10.581684596999921</v>
      </c>
      <c r="G5584" s="41">
        <v>0</v>
      </c>
      <c r="H5584" s="42"/>
      <c r="I5584" s="42"/>
      <c r="J5584" s="42"/>
    </row>
    <row r="5585" spans="5:10">
      <c r="E5585" s="43">
        <v>45345.07986109241</v>
      </c>
      <c r="F5585" s="41">
        <v>10.581684596999921</v>
      </c>
      <c r="G5585" s="41">
        <v>0</v>
      </c>
      <c r="H5585" s="42"/>
      <c r="I5585" s="42"/>
      <c r="J5585" s="42"/>
    </row>
    <row r="5586" spans="5:10">
      <c r="E5586" s="43">
        <v>45345.083333314629</v>
      </c>
      <c r="F5586" s="41">
        <v>10.581684596999921</v>
      </c>
      <c r="G5586" s="41">
        <v>0</v>
      </c>
      <c r="H5586" s="42"/>
      <c r="I5586" s="42"/>
      <c r="J5586" s="42"/>
    </row>
    <row r="5587" spans="5:10">
      <c r="E5587" s="43">
        <v>45345.086805536848</v>
      </c>
      <c r="F5587" s="41">
        <v>10.581684596999921</v>
      </c>
      <c r="G5587" s="41">
        <v>0</v>
      </c>
      <c r="H5587" s="42"/>
      <c r="I5587" s="42"/>
      <c r="J5587" s="42"/>
    </row>
    <row r="5588" spans="5:10">
      <c r="E5588" s="43">
        <v>45345.090277759067</v>
      </c>
      <c r="F5588" s="41">
        <v>10.581684596999921</v>
      </c>
      <c r="G5588" s="41">
        <v>0</v>
      </c>
      <c r="H5588" s="42"/>
      <c r="I5588" s="42"/>
      <c r="J5588" s="42"/>
    </row>
    <row r="5589" spans="5:10">
      <c r="E5589" s="43">
        <v>45345.093749981286</v>
      </c>
      <c r="F5589" s="41">
        <v>10.581684596999921</v>
      </c>
      <c r="G5589" s="41">
        <v>0</v>
      </c>
      <c r="H5589" s="42"/>
      <c r="I5589" s="42"/>
      <c r="J5589" s="42"/>
    </row>
    <row r="5590" spans="5:10">
      <c r="E5590" s="43">
        <v>45345.097222203505</v>
      </c>
      <c r="F5590" s="41">
        <v>10.581684596999921</v>
      </c>
      <c r="G5590" s="41">
        <v>0</v>
      </c>
      <c r="H5590" s="42"/>
      <c r="I5590" s="42"/>
      <c r="J5590" s="42"/>
    </row>
    <row r="5591" spans="5:10">
      <c r="E5591" s="43">
        <v>45345.100694425724</v>
      </c>
      <c r="F5591" s="41">
        <v>10.581684596999921</v>
      </c>
      <c r="G5591" s="41">
        <v>0</v>
      </c>
      <c r="H5591" s="42"/>
      <c r="I5591" s="42"/>
      <c r="J5591" s="42"/>
    </row>
    <row r="5592" spans="5:10">
      <c r="E5592" s="43">
        <v>45345.104166647943</v>
      </c>
      <c r="F5592" s="41">
        <v>10.581684596999921</v>
      </c>
      <c r="G5592" s="41">
        <v>0</v>
      </c>
      <c r="H5592" s="42"/>
      <c r="I5592" s="42"/>
      <c r="J5592" s="42"/>
    </row>
    <row r="5593" spans="5:10">
      <c r="E5593" s="43">
        <v>45345.107638870162</v>
      </c>
      <c r="F5593" s="41">
        <v>10.581684596999921</v>
      </c>
      <c r="G5593" s="41">
        <v>0</v>
      </c>
      <c r="H5593" s="42"/>
      <c r="I5593" s="42"/>
      <c r="J5593" s="42"/>
    </row>
    <row r="5594" spans="5:10">
      <c r="E5594" s="43">
        <v>45345.111111092381</v>
      </c>
      <c r="F5594" s="41">
        <v>10.581684596999921</v>
      </c>
      <c r="G5594" s="41">
        <v>0</v>
      </c>
      <c r="H5594" s="42"/>
      <c r="I5594" s="42"/>
      <c r="J5594" s="42"/>
    </row>
    <row r="5595" spans="5:10">
      <c r="E5595" s="43">
        <v>45345.1145833146</v>
      </c>
      <c r="F5595" s="41">
        <v>10.581684596999921</v>
      </c>
      <c r="G5595" s="41">
        <v>0</v>
      </c>
      <c r="H5595" s="42"/>
      <c r="I5595" s="42"/>
      <c r="J5595" s="42"/>
    </row>
    <row r="5596" spans="5:10">
      <c r="E5596" s="43">
        <v>45345.118055536819</v>
      </c>
      <c r="F5596" s="41">
        <v>10.581684596999921</v>
      </c>
      <c r="G5596" s="41">
        <v>0</v>
      </c>
      <c r="H5596" s="42"/>
      <c r="I5596" s="42"/>
      <c r="J5596" s="42"/>
    </row>
    <row r="5597" spans="5:10">
      <c r="E5597" s="43">
        <v>45345.121527759038</v>
      </c>
      <c r="F5597" s="41">
        <v>10.581684596999921</v>
      </c>
      <c r="G5597" s="41">
        <v>0</v>
      </c>
      <c r="H5597" s="42"/>
      <c r="I5597" s="42"/>
      <c r="J5597" s="42"/>
    </row>
    <row r="5598" spans="5:10">
      <c r="E5598" s="43">
        <v>45345.124999981257</v>
      </c>
      <c r="F5598" s="41">
        <v>10.581684596999921</v>
      </c>
      <c r="G5598" s="41">
        <v>0</v>
      </c>
      <c r="H5598" s="42"/>
      <c r="I5598" s="42"/>
      <c r="J5598" s="42"/>
    </row>
    <row r="5599" spans="5:10">
      <c r="E5599" s="43">
        <v>45345.128472203476</v>
      </c>
      <c r="F5599" s="41">
        <v>10.581684596999921</v>
      </c>
      <c r="G5599" s="41">
        <v>0</v>
      </c>
      <c r="H5599" s="42"/>
      <c r="I5599" s="42"/>
      <c r="J5599" s="42"/>
    </row>
    <row r="5600" spans="5:10">
      <c r="E5600" s="43">
        <v>45345.131944425695</v>
      </c>
      <c r="F5600" s="41">
        <v>10.581684596999921</v>
      </c>
      <c r="G5600" s="41">
        <v>0</v>
      </c>
      <c r="H5600" s="42"/>
      <c r="I5600" s="42"/>
      <c r="J5600" s="42"/>
    </row>
    <row r="5601" spans="5:10">
      <c r="E5601" s="43">
        <v>45345.135416647914</v>
      </c>
      <c r="F5601" s="41">
        <v>10.581684596999921</v>
      </c>
      <c r="G5601" s="41">
        <v>0</v>
      </c>
      <c r="H5601" s="42"/>
      <c r="I5601" s="42"/>
      <c r="J5601" s="42"/>
    </row>
    <row r="5602" spans="5:10">
      <c r="E5602" s="43">
        <v>45345.138888870133</v>
      </c>
      <c r="F5602" s="41">
        <v>10.581684596999921</v>
      </c>
      <c r="G5602" s="41">
        <v>0</v>
      </c>
      <c r="H5602" s="42"/>
      <c r="I5602" s="42"/>
      <c r="J5602" s="42"/>
    </row>
    <row r="5603" spans="5:10">
      <c r="E5603" s="43">
        <v>45345.142361092352</v>
      </c>
      <c r="F5603" s="41">
        <v>10.581684596999921</v>
      </c>
      <c r="G5603" s="41">
        <v>0</v>
      </c>
      <c r="H5603" s="42"/>
      <c r="I5603" s="42"/>
      <c r="J5603" s="42"/>
    </row>
    <row r="5604" spans="5:10">
      <c r="E5604" s="43">
        <v>45345.145833314571</v>
      </c>
      <c r="F5604" s="41">
        <v>10.581684596999921</v>
      </c>
      <c r="G5604" s="41">
        <v>0</v>
      </c>
      <c r="H5604" s="42"/>
      <c r="I5604" s="42"/>
      <c r="J5604" s="42"/>
    </row>
    <row r="5605" spans="5:10">
      <c r="E5605" s="43">
        <v>45345.14930553679</v>
      </c>
      <c r="F5605" s="41">
        <v>10.581684596999921</v>
      </c>
      <c r="G5605" s="41">
        <v>0</v>
      </c>
      <c r="H5605" s="42"/>
      <c r="I5605" s="42"/>
      <c r="J5605" s="42"/>
    </row>
    <row r="5606" spans="5:10">
      <c r="E5606" s="43">
        <v>45345.152777759009</v>
      </c>
      <c r="F5606" s="41">
        <v>10.581684596999921</v>
      </c>
      <c r="G5606" s="41">
        <v>0</v>
      </c>
      <c r="H5606" s="42"/>
      <c r="I5606" s="42"/>
      <c r="J5606" s="42"/>
    </row>
    <row r="5607" spans="5:10">
      <c r="E5607" s="43">
        <v>45345.156249981228</v>
      </c>
      <c r="F5607" s="41">
        <v>10.581684596999921</v>
      </c>
      <c r="G5607" s="41">
        <v>0</v>
      </c>
      <c r="H5607" s="42"/>
      <c r="I5607" s="42"/>
      <c r="J5607" s="42"/>
    </row>
    <row r="5608" spans="5:10">
      <c r="E5608" s="43">
        <v>45345.159722203447</v>
      </c>
      <c r="F5608" s="41">
        <v>10.581684596999921</v>
      </c>
      <c r="G5608" s="41">
        <v>0</v>
      </c>
      <c r="H5608" s="42"/>
      <c r="I5608" s="42"/>
      <c r="J5608" s="42"/>
    </row>
    <row r="5609" spans="5:10">
      <c r="E5609" s="43">
        <v>45345.163194425666</v>
      </c>
      <c r="F5609" s="41">
        <v>10.581684596999921</v>
      </c>
      <c r="G5609" s="41">
        <v>0</v>
      </c>
      <c r="H5609" s="42"/>
      <c r="I5609" s="42"/>
      <c r="J5609" s="42"/>
    </row>
    <row r="5610" spans="5:10">
      <c r="E5610" s="43">
        <v>45345.166666647885</v>
      </c>
      <c r="F5610" s="41">
        <v>10.581684596999921</v>
      </c>
      <c r="G5610" s="41">
        <v>0</v>
      </c>
      <c r="H5610" s="42"/>
      <c r="I5610" s="42"/>
      <c r="J5610" s="42"/>
    </row>
    <row r="5611" spans="5:10">
      <c r="E5611" s="43">
        <v>45345.170138870104</v>
      </c>
      <c r="F5611" s="41">
        <v>10.581684596999921</v>
      </c>
      <c r="G5611" s="41">
        <v>0</v>
      </c>
      <c r="H5611" s="42"/>
      <c r="I5611" s="42"/>
      <c r="J5611" s="42"/>
    </row>
    <row r="5612" spans="5:10">
      <c r="E5612" s="43">
        <v>45345.173611092323</v>
      </c>
      <c r="F5612" s="41">
        <v>10.581684596999921</v>
      </c>
      <c r="G5612" s="41">
        <v>0</v>
      </c>
      <c r="H5612" s="42"/>
      <c r="I5612" s="42"/>
      <c r="J5612" s="42"/>
    </row>
    <row r="5613" spans="5:10">
      <c r="E5613" s="43">
        <v>45345.177083314542</v>
      </c>
      <c r="F5613" s="41">
        <v>10.581684596999921</v>
      </c>
      <c r="G5613" s="41">
        <v>0</v>
      </c>
      <c r="H5613" s="42"/>
      <c r="I5613" s="42"/>
      <c r="J5613" s="42"/>
    </row>
    <row r="5614" spans="5:10">
      <c r="E5614" s="43">
        <v>45345.180555536761</v>
      </c>
      <c r="F5614" s="41">
        <v>10.581684596999921</v>
      </c>
      <c r="G5614" s="41">
        <v>0</v>
      </c>
      <c r="H5614" s="42"/>
      <c r="I5614" s="42"/>
      <c r="J5614" s="42"/>
    </row>
    <row r="5615" spans="5:10">
      <c r="E5615" s="43">
        <v>45345.18402775898</v>
      </c>
      <c r="F5615" s="41">
        <v>10.581684596999921</v>
      </c>
      <c r="G5615" s="41">
        <v>0</v>
      </c>
      <c r="H5615" s="42"/>
      <c r="I5615" s="42"/>
      <c r="J5615" s="42"/>
    </row>
    <row r="5616" spans="5:10">
      <c r="E5616" s="43">
        <v>45345.187499981199</v>
      </c>
      <c r="F5616" s="41">
        <v>10.581684596999921</v>
      </c>
      <c r="G5616" s="41">
        <v>0</v>
      </c>
      <c r="H5616" s="42"/>
      <c r="I5616" s="42"/>
      <c r="J5616" s="42"/>
    </row>
    <row r="5617" spans="5:10">
      <c r="E5617" s="43">
        <v>45345.190972203418</v>
      </c>
      <c r="F5617" s="41">
        <v>10.581684596999921</v>
      </c>
      <c r="G5617" s="41">
        <v>0</v>
      </c>
      <c r="H5617" s="42"/>
      <c r="I5617" s="42"/>
      <c r="J5617" s="42"/>
    </row>
    <row r="5618" spans="5:10">
      <c r="E5618" s="43">
        <v>45345.194444425637</v>
      </c>
      <c r="F5618" s="41">
        <v>10.581684596999921</v>
      </c>
      <c r="G5618" s="41">
        <v>0</v>
      </c>
      <c r="H5618" s="42"/>
      <c r="I5618" s="42"/>
      <c r="J5618" s="42"/>
    </row>
    <row r="5619" spans="5:10">
      <c r="E5619" s="43">
        <v>45345.197916647856</v>
      </c>
      <c r="F5619" s="41">
        <v>10.581684596999921</v>
      </c>
      <c r="G5619" s="41">
        <v>0</v>
      </c>
      <c r="H5619" s="42"/>
      <c r="I5619" s="42"/>
      <c r="J5619" s="42"/>
    </row>
    <row r="5620" spans="5:10">
      <c r="E5620" s="43">
        <v>45345.201388870075</v>
      </c>
      <c r="F5620" s="41">
        <v>10.581684596999921</v>
      </c>
      <c r="G5620" s="41">
        <v>0</v>
      </c>
      <c r="H5620" s="42"/>
      <c r="I5620" s="42"/>
      <c r="J5620" s="42"/>
    </row>
    <row r="5621" spans="5:10">
      <c r="E5621" s="43">
        <v>45345.204861092294</v>
      </c>
      <c r="F5621" s="41">
        <v>10.581684596999921</v>
      </c>
      <c r="G5621" s="41">
        <v>0</v>
      </c>
      <c r="H5621" s="42"/>
      <c r="I5621" s="42"/>
      <c r="J5621" s="42"/>
    </row>
    <row r="5622" spans="5:10">
      <c r="E5622" s="43">
        <v>45345.208333314513</v>
      </c>
      <c r="F5622" s="41">
        <v>10.581684596999921</v>
      </c>
      <c r="G5622" s="41">
        <v>0</v>
      </c>
      <c r="H5622" s="42"/>
      <c r="I5622" s="42"/>
      <c r="J5622" s="42"/>
    </row>
    <row r="5623" spans="5:10">
      <c r="E5623" s="43">
        <v>45345.211805536732</v>
      </c>
      <c r="F5623" s="41">
        <v>10.581684596999921</v>
      </c>
      <c r="G5623" s="41">
        <v>0</v>
      </c>
      <c r="H5623" s="42"/>
      <c r="I5623" s="42"/>
      <c r="J5623" s="42"/>
    </row>
    <row r="5624" spans="5:10">
      <c r="E5624" s="43">
        <v>45345.215277758951</v>
      </c>
      <c r="F5624" s="41">
        <v>10.581684596999921</v>
      </c>
      <c r="G5624" s="41">
        <v>0</v>
      </c>
      <c r="H5624" s="42"/>
      <c r="I5624" s="42"/>
      <c r="J5624" s="42"/>
    </row>
    <row r="5625" spans="5:10">
      <c r="E5625" s="43">
        <v>45345.21874998117</v>
      </c>
      <c r="F5625" s="41">
        <v>10.581684596999921</v>
      </c>
      <c r="G5625" s="41">
        <v>0</v>
      </c>
      <c r="H5625" s="42"/>
      <c r="I5625" s="42"/>
      <c r="J5625" s="42"/>
    </row>
    <row r="5626" spans="5:10">
      <c r="E5626" s="43">
        <v>45345.222222203389</v>
      </c>
      <c r="F5626" s="41">
        <v>10.581684596999921</v>
      </c>
      <c r="G5626" s="41">
        <v>0</v>
      </c>
      <c r="H5626" s="42"/>
      <c r="I5626" s="42"/>
      <c r="J5626" s="42"/>
    </row>
    <row r="5627" spans="5:10">
      <c r="E5627" s="43">
        <v>45345.225694425608</v>
      </c>
      <c r="F5627" s="41">
        <v>10.581684596999921</v>
      </c>
      <c r="G5627" s="41">
        <v>0</v>
      </c>
      <c r="H5627" s="42"/>
      <c r="I5627" s="42"/>
      <c r="J5627" s="42"/>
    </row>
    <row r="5628" spans="5:10">
      <c r="E5628" s="43">
        <v>45345.229166647827</v>
      </c>
      <c r="F5628" s="41">
        <v>10.581684596999921</v>
      </c>
      <c r="G5628" s="41">
        <v>0</v>
      </c>
      <c r="H5628" s="42"/>
      <c r="I5628" s="42"/>
      <c r="J5628" s="42"/>
    </row>
    <row r="5629" spans="5:10">
      <c r="E5629" s="43">
        <v>45345.232638870046</v>
      </c>
      <c r="F5629" s="41">
        <v>10.581684596999921</v>
      </c>
      <c r="G5629" s="41">
        <v>0</v>
      </c>
      <c r="H5629" s="42"/>
      <c r="I5629" s="42"/>
      <c r="J5629" s="42"/>
    </row>
    <row r="5630" spans="5:10">
      <c r="E5630" s="43">
        <v>45345.236111092265</v>
      </c>
      <c r="F5630" s="41">
        <v>10.581684596999921</v>
      </c>
      <c r="G5630" s="41">
        <v>0</v>
      </c>
      <c r="H5630" s="42"/>
      <c r="I5630" s="42"/>
      <c r="J5630" s="42"/>
    </row>
    <row r="5631" spans="5:10">
      <c r="E5631" s="43">
        <v>45345.239583314484</v>
      </c>
      <c r="F5631" s="41">
        <v>10.581684596999921</v>
      </c>
      <c r="G5631" s="41">
        <v>0</v>
      </c>
      <c r="H5631" s="42"/>
      <c r="I5631" s="42"/>
      <c r="J5631" s="42"/>
    </row>
    <row r="5632" spans="5:10">
      <c r="E5632" s="43">
        <v>45345.243055536703</v>
      </c>
      <c r="F5632" s="41">
        <v>10.581684596999921</v>
      </c>
      <c r="G5632" s="41">
        <v>0</v>
      </c>
      <c r="H5632" s="42"/>
      <c r="I5632" s="42"/>
      <c r="J5632" s="42"/>
    </row>
    <row r="5633" spans="5:10">
      <c r="E5633" s="43">
        <v>45345.246527758922</v>
      </c>
      <c r="F5633" s="41">
        <v>10.581684596999921</v>
      </c>
      <c r="G5633" s="41">
        <v>0</v>
      </c>
      <c r="H5633" s="42"/>
      <c r="I5633" s="42"/>
      <c r="J5633" s="42"/>
    </row>
    <row r="5634" spans="5:10">
      <c r="E5634" s="43">
        <v>45345.249999981141</v>
      </c>
      <c r="F5634" s="41">
        <v>10.581684596999921</v>
      </c>
      <c r="G5634" s="41">
        <v>0</v>
      </c>
      <c r="H5634" s="42"/>
      <c r="I5634" s="42"/>
      <c r="J5634" s="42"/>
    </row>
    <row r="5635" spans="5:10">
      <c r="E5635" s="43">
        <v>45345.25347220336</v>
      </c>
      <c r="F5635" s="41">
        <v>10.581684596999921</v>
      </c>
      <c r="G5635" s="41">
        <v>0</v>
      </c>
      <c r="H5635" s="42"/>
      <c r="I5635" s="42"/>
      <c r="J5635" s="42"/>
    </row>
    <row r="5636" spans="5:10">
      <c r="E5636" s="43">
        <v>45345.256944425579</v>
      </c>
      <c r="F5636" s="41">
        <v>10.581684596999921</v>
      </c>
      <c r="G5636" s="41">
        <v>0</v>
      </c>
      <c r="H5636" s="42"/>
      <c r="I5636" s="42"/>
      <c r="J5636" s="42"/>
    </row>
    <row r="5637" spans="5:10">
      <c r="E5637" s="43">
        <v>45345.260416647798</v>
      </c>
      <c r="F5637" s="41">
        <v>10.581684596999921</v>
      </c>
      <c r="G5637" s="41">
        <v>0</v>
      </c>
      <c r="H5637" s="42"/>
      <c r="I5637" s="42"/>
      <c r="J5637" s="42"/>
    </row>
    <row r="5638" spans="5:10">
      <c r="E5638" s="43">
        <v>45345.263888870017</v>
      </c>
      <c r="F5638" s="41">
        <v>10.581684596999921</v>
      </c>
      <c r="G5638" s="41">
        <v>0</v>
      </c>
      <c r="H5638" s="42"/>
      <c r="I5638" s="42"/>
      <c r="J5638" s="42"/>
    </row>
    <row r="5639" spans="5:10">
      <c r="E5639" s="43">
        <v>45345.267361092236</v>
      </c>
      <c r="F5639" s="41">
        <v>10.581684596999921</v>
      </c>
      <c r="G5639" s="41">
        <v>0</v>
      </c>
      <c r="H5639" s="42"/>
      <c r="I5639" s="42"/>
      <c r="J5639" s="42"/>
    </row>
    <row r="5640" spans="5:10">
      <c r="E5640" s="43">
        <v>45345.270833314455</v>
      </c>
      <c r="F5640" s="41">
        <v>10.581684596999921</v>
      </c>
      <c r="G5640" s="41">
        <v>0</v>
      </c>
      <c r="H5640" s="42"/>
      <c r="I5640" s="42"/>
      <c r="J5640" s="42"/>
    </row>
    <row r="5641" spans="5:10">
      <c r="E5641" s="43">
        <v>45345.274305536674</v>
      </c>
      <c r="F5641" s="41">
        <v>10.581684596999921</v>
      </c>
      <c r="G5641" s="41">
        <v>0</v>
      </c>
      <c r="H5641" s="42"/>
      <c r="I5641" s="42"/>
      <c r="J5641" s="42"/>
    </row>
    <row r="5642" spans="5:10">
      <c r="E5642" s="43">
        <v>45345.277777758893</v>
      </c>
      <c r="F5642" s="41">
        <v>10.581684596999921</v>
      </c>
      <c r="G5642" s="41">
        <v>0</v>
      </c>
      <c r="H5642" s="42"/>
      <c r="I5642" s="42"/>
      <c r="J5642" s="42"/>
    </row>
    <row r="5643" spans="5:10">
      <c r="E5643" s="43">
        <v>45345.281249981112</v>
      </c>
      <c r="F5643" s="41">
        <v>10.581684596999921</v>
      </c>
      <c r="G5643" s="41">
        <v>0</v>
      </c>
      <c r="H5643" s="42"/>
      <c r="I5643" s="42"/>
      <c r="J5643" s="42"/>
    </row>
    <row r="5644" spans="5:10">
      <c r="E5644" s="43">
        <v>45345.284722203331</v>
      </c>
      <c r="F5644" s="41">
        <v>10.581684596999921</v>
      </c>
      <c r="G5644" s="41">
        <v>0</v>
      </c>
      <c r="H5644" s="42"/>
      <c r="I5644" s="42"/>
      <c r="J5644" s="42"/>
    </row>
    <row r="5645" spans="5:10">
      <c r="E5645" s="43">
        <v>45345.28819442555</v>
      </c>
      <c r="F5645" s="41">
        <v>10.581684596999921</v>
      </c>
      <c r="G5645" s="41">
        <v>0</v>
      </c>
      <c r="H5645" s="42"/>
      <c r="I5645" s="42"/>
      <c r="J5645" s="42"/>
    </row>
    <row r="5646" spans="5:10">
      <c r="E5646" s="43">
        <v>45345.291666647769</v>
      </c>
      <c r="F5646" s="41">
        <v>10.581684596999921</v>
      </c>
      <c r="G5646" s="41">
        <v>0</v>
      </c>
      <c r="H5646" s="42"/>
      <c r="I5646" s="42"/>
      <c r="J5646" s="42"/>
    </row>
    <row r="5647" spans="5:10">
      <c r="E5647" s="43">
        <v>45345.295138869988</v>
      </c>
      <c r="F5647" s="41">
        <v>10.581684596999921</v>
      </c>
      <c r="G5647" s="41">
        <v>0</v>
      </c>
      <c r="H5647" s="42"/>
      <c r="I5647" s="42"/>
      <c r="J5647" s="42"/>
    </row>
    <row r="5648" spans="5:10">
      <c r="E5648" s="43">
        <v>45345.298611092207</v>
      </c>
      <c r="F5648" s="41">
        <v>10.581684596999921</v>
      </c>
      <c r="G5648" s="41">
        <v>0</v>
      </c>
      <c r="H5648" s="42"/>
      <c r="I5648" s="42"/>
      <c r="J5648" s="42"/>
    </row>
    <row r="5649" spans="5:10">
      <c r="E5649" s="43">
        <v>45345.302083314426</v>
      </c>
      <c r="F5649" s="41">
        <v>10.581684596999921</v>
      </c>
      <c r="G5649" s="41">
        <v>0</v>
      </c>
      <c r="H5649" s="42"/>
      <c r="I5649" s="42"/>
      <c r="J5649" s="42"/>
    </row>
    <row r="5650" spans="5:10">
      <c r="E5650" s="43">
        <v>45345.305555536645</v>
      </c>
      <c r="F5650" s="41">
        <v>10.581684596999921</v>
      </c>
      <c r="G5650" s="41">
        <v>0</v>
      </c>
      <c r="H5650" s="42"/>
      <c r="I5650" s="42"/>
      <c r="J5650" s="42"/>
    </row>
    <row r="5651" spans="5:10">
      <c r="E5651" s="43">
        <v>45345.309027758864</v>
      </c>
      <c r="F5651" s="41">
        <v>10.581684596999921</v>
      </c>
      <c r="G5651" s="41">
        <v>0</v>
      </c>
      <c r="H5651" s="42"/>
      <c r="I5651" s="42"/>
      <c r="J5651" s="42"/>
    </row>
    <row r="5652" spans="5:10">
      <c r="E5652" s="43">
        <v>45345.312499981083</v>
      </c>
      <c r="F5652" s="41">
        <v>10.581684596999921</v>
      </c>
      <c r="G5652" s="41">
        <v>0</v>
      </c>
      <c r="H5652" s="42"/>
      <c r="I5652" s="42"/>
      <c r="J5652" s="42"/>
    </row>
    <row r="5653" spans="5:10">
      <c r="E5653" s="43">
        <v>45345.315972203301</v>
      </c>
      <c r="F5653" s="41">
        <v>10.581684596999921</v>
      </c>
      <c r="G5653" s="41">
        <v>0</v>
      </c>
      <c r="H5653" s="42"/>
      <c r="I5653" s="42"/>
      <c r="J5653" s="42"/>
    </row>
    <row r="5654" spans="5:10">
      <c r="E5654" s="43">
        <v>45345.31944442552</v>
      </c>
      <c r="F5654" s="41">
        <v>10.581684596999921</v>
      </c>
      <c r="G5654" s="41">
        <v>0</v>
      </c>
      <c r="H5654" s="42"/>
      <c r="I5654" s="42"/>
      <c r="J5654" s="42"/>
    </row>
    <row r="5655" spans="5:10">
      <c r="E5655" s="43">
        <v>45345.322916647739</v>
      </c>
      <c r="F5655" s="41">
        <v>10.581684596999921</v>
      </c>
      <c r="G5655" s="41">
        <v>0</v>
      </c>
      <c r="H5655" s="42"/>
      <c r="I5655" s="42"/>
      <c r="J5655" s="42"/>
    </row>
    <row r="5656" spans="5:10">
      <c r="E5656" s="43">
        <v>45345.326388869958</v>
      </c>
      <c r="F5656" s="41">
        <v>10.581684596999921</v>
      </c>
      <c r="G5656" s="41">
        <v>0</v>
      </c>
      <c r="H5656" s="42"/>
      <c r="I5656" s="42"/>
      <c r="J5656" s="42"/>
    </row>
    <row r="5657" spans="5:10">
      <c r="E5657" s="43">
        <v>45345.329861092177</v>
      </c>
      <c r="F5657" s="41">
        <v>10.581684596999921</v>
      </c>
      <c r="G5657" s="41">
        <v>0</v>
      </c>
      <c r="H5657" s="42"/>
      <c r="I5657" s="42"/>
      <c r="J5657" s="42"/>
    </row>
    <row r="5658" spans="5:10">
      <c r="E5658" s="43">
        <v>45345.333333314396</v>
      </c>
      <c r="F5658" s="41">
        <v>10.581684596999921</v>
      </c>
      <c r="G5658" s="41">
        <v>0</v>
      </c>
      <c r="H5658" s="42"/>
      <c r="I5658" s="42"/>
      <c r="J5658" s="42"/>
    </row>
    <row r="5659" spans="5:10">
      <c r="E5659" s="43">
        <v>45345.336805536615</v>
      </c>
      <c r="F5659" s="41">
        <v>10.581684596999921</v>
      </c>
      <c r="G5659" s="41">
        <v>0</v>
      </c>
      <c r="H5659" s="42"/>
      <c r="I5659" s="42"/>
      <c r="J5659" s="42"/>
    </row>
    <row r="5660" spans="5:10">
      <c r="E5660" s="43">
        <v>45345.340277758834</v>
      </c>
      <c r="F5660" s="41">
        <v>10.581684596999921</v>
      </c>
      <c r="G5660" s="41">
        <v>0</v>
      </c>
      <c r="H5660" s="42"/>
      <c r="I5660" s="42"/>
      <c r="J5660" s="42"/>
    </row>
    <row r="5661" spans="5:10">
      <c r="E5661" s="43">
        <v>45345.343749981053</v>
      </c>
      <c r="F5661" s="41">
        <v>10.581684596999921</v>
      </c>
      <c r="G5661" s="41">
        <v>0</v>
      </c>
      <c r="H5661" s="42"/>
      <c r="I5661" s="42"/>
      <c r="J5661" s="42"/>
    </row>
    <row r="5662" spans="5:10">
      <c r="E5662" s="43">
        <v>45345.347222203272</v>
      </c>
      <c r="F5662" s="41">
        <v>10.581684596999921</v>
      </c>
      <c r="G5662" s="41">
        <v>0</v>
      </c>
      <c r="H5662" s="42"/>
      <c r="I5662" s="42"/>
      <c r="J5662" s="42"/>
    </row>
    <row r="5663" spans="5:10">
      <c r="E5663" s="43">
        <v>45345.350694425491</v>
      </c>
      <c r="F5663" s="41">
        <v>10.581684596999921</v>
      </c>
      <c r="G5663" s="41">
        <v>0</v>
      </c>
      <c r="H5663" s="42"/>
      <c r="I5663" s="42"/>
      <c r="J5663" s="42"/>
    </row>
    <row r="5664" spans="5:10">
      <c r="E5664" s="43">
        <v>45345.35416664771</v>
      </c>
      <c r="F5664" s="41">
        <v>10.581684596999921</v>
      </c>
      <c r="G5664" s="41">
        <v>0</v>
      </c>
      <c r="H5664" s="42"/>
      <c r="I5664" s="42"/>
      <c r="J5664" s="42"/>
    </row>
    <row r="5665" spans="5:10">
      <c r="E5665" s="43">
        <v>45345.357638869929</v>
      </c>
      <c r="F5665" s="41">
        <v>10.581684596999921</v>
      </c>
      <c r="G5665" s="41">
        <v>0</v>
      </c>
      <c r="H5665" s="42"/>
      <c r="I5665" s="42"/>
      <c r="J5665" s="42"/>
    </row>
    <row r="5666" spans="5:10">
      <c r="E5666" s="43">
        <v>45345.361111092148</v>
      </c>
      <c r="F5666" s="41">
        <v>10.581684596999921</v>
      </c>
      <c r="G5666" s="41">
        <v>0</v>
      </c>
      <c r="H5666" s="42"/>
      <c r="I5666" s="42"/>
      <c r="J5666" s="42"/>
    </row>
    <row r="5667" spans="5:10">
      <c r="E5667" s="43">
        <v>45345.364583314367</v>
      </c>
      <c r="F5667" s="41">
        <v>10.581684596999921</v>
      </c>
      <c r="G5667" s="41">
        <v>0</v>
      </c>
      <c r="H5667" s="42"/>
      <c r="I5667" s="42"/>
      <c r="J5667" s="42"/>
    </row>
    <row r="5668" spans="5:10">
      <c r="E5668" s="43">
        <v>45345.368055536586</v>
      </c>
      <c r="F5668" s="41">
        <v>10.581684596999921</v>
      </c>
      <c r="G5668" s="41">
        <v>0</v>
      </c>
      <c r="H5668" s="42"/>
      <c r="I5668" s="42"/>
      <c r="J5668" s="42"/>
    </row>
    <row r="5669" spans="5:10">
      <c r="E5669" s="43">
        <v>45345.371527758805</v>
      </c>
      <c r="F5669" s="41">
        <v>10.581684596999921</v>
      </c>
      <c r="G5669" s="41">
        <v>0</v>
      </c>
      <c r="H5669" s="42"/>
      <c r="I5669" s="42"/>
      <c r="J5669" s="42"/>
    </row>
    <row r="5670" spans="5:10">
      <c r="E5670" s="43">
        <v>45345.374999981024</v>
      </c>
      <c r="F5670" s="41">
        <v>10.581684596999921</v>
      </c>
      <c r="G5670" s="41">
        <v>0</v>
      </c>
      <c r="H5670" s="42"/>
      <c r="I5670" s="42"/>
      <c r="J5670" s="42"/>
    </row>
    <row r="5671" spans="5:10">
      <c r="E5671" s="43">
        <v>45345.378472203243</v>
      </c>
      <c r="F5671" s="41">
        <v>10.581684596999921</v>
      </c>
      <c r="G5671" s="41">
        <v>0</v>
      </c>
      <c r="H5671" s="42"/>
      <c r="I5671" s="42"/>
      <c r="J5671" s="42"/>
    </row>
    <row r="5672" spans="5:10">
      <c r="E5672" s="43">
        <v>45345.381944425462</v>
      </c>
      <c r="F5672" s="41">
        <v>10.581684596999921</v>
      </c>
      <c r="G5672" s="41">
        <v>0</v>
      </c>
      <c r="H5672" s="42"/>
      <c r="I5672" s="42"/>
      <c r="J5672" s="42"/>
    </row>
    <row r="5673" spans="5:10">
      <c r="E5673" s="43">
        <v>45345.385416647681</v>
      </c>
      <c r="F5673" s="41">
        <v>10.581684596999921</v>
      </c>
      <c r="G5673" s="41">
        <v>0</v>
      </c>
      <c r="H5673" s="42"/>
      <c r="I5673" s="42"/>
      <c r="J5673" s="42"/>
    </row>
    <row r="5674" spans="5:10">
      <c r="E5674" s="43">
        <v>45345.3888888699</v>
      </c>
      <c r="F5674" s="41">
        <v>10.581684596999921</v>
      </c>
      <c r="G5674" s="41">
        <v>0</v>
      </c>
      <c r="H5674" s="42"/>
      <c r="I5674" s="42"/>
      <c r="J5674" s="42"/>
    </row>
    <row r="5675" spans="5:10">
      <c r="E5675" s="43">
        <v>45345.392361092119</v>
      </c>
      <c r="F5675" s="41">
        <v>10.581684596999921</v>
      </c>
      <c r="G5675" s="41">
        <v>0</v>
      </c>
      <c r="H5675" s="42"/>
      <c r="I5675" s="42"/>
      <c r="J5675" s="42"/>
    </row>
    <row r="5676" spans="5:10">
      <c r="E5676" s="43">
        <v>45345.395833314338</v>
      </c>
      <c r="F5676" s="41">
        <v>10.581684596999921</v>
      </c>
      <c r="G5676" s="41">
        <v>0</v>
      </c>
      <c r="H5676" s="42"/>
      <c r="I5676" s="42"/>
      <c r="J5676" s="42"/>
    </row>
    <row r="5677" spans="5:10">
      <c r="E5677" s="43">
        <v>45345.399305536557</v>
      </c>
      <c r="F5677" s="41">
        <v>10.581684596999921</v>
      </c>
      <c r="G5677" s="41">
        <v>0</v>
      </c>
      <c r="H5677" s="42"/>
      <c r="I5677" s="42"/>
      <c r="J5677" s="42"/>
    </row>
    <row r="5678" spans="5:10">
      <c r="E5678" s="43">
        <v>45345.402777758776</v>
      </c>
      <c r="F5678" s="41">
        <v>10.581684596999921</v>
      </c>
      <c r="G5678" s="41">
        <v>0</v>
      </c>
      <c r="H5678" s="42"/>
      <c r="I5678" s="42"/>
      <c r="J5678" s="42"/>
    </row>
    <row r="5679" spans="5:10">
      <c r="E5679" s="43">
        <v>45345.406249980995</v>
      </c>
      <c r="F5679" s="41">
        <v>23.195815442711677</v>
      </c>
      <c r="G5679" s="41">
        <v>0</v>
      </c>
      <c r="H5679" s="42"/>
      <c r="I5679" s="42"/>
      <c r="J5679" s="42"/>
    </row>
    <row r="5680" spans="5:10">
      <c r="E5680" s="43">
        <v>45345.409722203214</v>
      </c>
      <c r="F5680" s="41">
        <v>20.513523025091555</v>
      </c>
      <c r="G5680" s="41">
        <v>0</v>
      </c>
      <c r="H5680" s="42"/>
      <c r="I5680" s="42"/>
      <c r="J5680" s="42"/>
    </row>
    <row r="5681" spans="5:10">
      <c r="E5681" s="43">
        <v>45345.413194425433</v>
      </c>
      <c r="F5681" s="41">
        <v>20.513523025091555</v>
      </c>
      <c r="G5681" s="41">
        <v>0</v>
      </c>
      <c r="H5681" s="42"/>
      <c r="I5681" s="42"/>
      <c r="J5681" s="42"/>
    </row>
    <row r="5682" spans="5:10">
      <c r="E5682" s="43">
        <v>45345.416666647652</v>
      </c>
      <c r="F5682" s="41">
        <v>20.513523025091555</v>
      </c>
      <c r="G5682" s="41">
        <v>0</v>
      </c>
      <c r="H5682" s="42"/>
      <c r="I5682" s="42"/>
      <c r="J5682" s="42"/>
    </row>
    <row r="5683" spans="5:10">
      <c r="E5683" s="43">
        <v>45345.420138869871</v>
      </c>
      <c r="F5683" s="41">
        <v>20.513523025091555</v>
      </c>
      <c r="G5683" s="41">
        <v>0</v>
      </c>
      <c r="H5683" s="42"/>
      <c r="I5683" s="42"/>
      <c r="J5683" s="42"/>
    </row>
    <row r="5684" spans="5:10">
      <c r="E5684" s="43">
        <v>45345.42361109209</v>
      </c>
      <c r="F5684" s="41">
        <v>20.513523025091555</v>
      </c>
      <c r="G5684" s="41">
        <v>0</v>
      </c>
      <c r="H5684" s="42"/>
      <c r="I5684" s="42"/>
      <c r="J5684" s="42"/>
    </row>
    <row r="5685" spans="5:10">
      <c r="E5685" s="43">
        <v>45345.427083314309</v>
      </c>
      <c r="F5685" s="41">
        <v>20.513523025091555</v>
      </c>
      <c r="G5685" s="41">
        <v>0</v>
      </c>
      <c r="H5685" s="42"/>
      <c r="I5685" s="42"/>
      <c r="J5685" s="42"/>
    </row>
    <row r="5686" spans="5:10">
      <c r="E5686" s="43">
        <v>45345.430555536528</v>
      </c>
      <c r="F5686" s="41">
        <v>20.513523025091555</v>
      </c>
      <c r="G5686" s="41">
        <v>0</v>
      </c>
      <c r="H5686" s="42"/>
      <c r="I5686" s="42"/>
      <c r="J5686" s="42"/>
    </row>
    <row r="5687" spans="5:10">
      <c r="E5687" s="43">
        <v>45345.434027758747</v>
      </c>
      <c r="F5687" s="41">
        <v>20.513523025091555</v>
      </c>
      <c r="G5687" s="41">
        <v>0</v>
      </c>
      <c r="H5687" s="42"/>
      <c r="I5687" s="42"/>
      <c r="J5687" s="42"/>
    </row>
    <row r="5688" spans="5:10">
      <c r="E5688" s="43">
        <v>45345.437499980966</v>
      </c>
      <c r="F5688" s="41">
        <v>20.513523025091555</v>
      </c>
      <c r="G5688" s="41">
        <v>0</v>
      </c>
      <c r="H5688" s="42"/>
      <c r="I5688" s="42"/>
      <c r="J5688" s="42"/>
    </row>
    <row r="5689" spans="5:10">
      <c r="E5689" s="43">
        <v>45345.440972203185</v>
      </c>
      <c r="F5689" s="41">
        <v>20.513523025091555</v>
      </c>
      <c r="G5689" s="41">
        <v>0</v>
      </c>
      <c r="H5689" s="42"/>
      <c r="I5689" s="42"/>
      <c r="J5689" s="42"/>
    </row>
    <row r="5690" spans="5:10">
      <c r="E5690" s="43">
        <v>45345.444444425404</v>
      </c>
      <c r="F5690" s="41">
        <v>20.513523025091555</v>
      </c>
      <c r="G5690" s="41">
        <v>0</v>
      </c>
      <c r="H5690" s="42"/>
      <c r="I5690" s="42"/>
      <c r="J5690" s="42"/>
    </row>
    <row r="5691" spans="5:10">
      <c r="E5691" s="43">
        <v>45345.447916647623</v>
      </c>
      <c r="F5691" s="41">
        <v>20.513523025091555</v>
      </c>
      <c r="G5691" s="41">
        <v>0</v>
      </c>
      <c r="H5691" s="42"/>
      <c r="I5691" s="42"/>
      <c r="J5691" s="42"/>
    </row>
    <row r="5692" spans="5:10">
      <c r="E5692" s="43">
        <v>45345.451388869842</v>
      </c>
      <c r="F5692" s="41">
        <v>20.513523025091555</v>
      </c>
      <c r="G5692" s="41">
        <v>0</v>
      </c>
      <c r="H5692" s="42"/>
      <c r="I5692" s="42"/>
      <c r="J5692" s="42"/>
    </row>
    <row r="5693" spans="5:10">
      <c r="E5693" s="43">
        <v>45345.454861092061</v>
      </c>
      <c r="F5693" s="41">
        <v>20.513523025091555</v>
      </c>
      <c r="G5693" s="41">
        <v>0</v>
      </c>
      <c r="H5693" s="42"/>
      <c r="I5693" s="42"/>
      <c r="J5693" s="42"/>
    </row>
    <row r="5694" spans="5:10">
      <c r="E5694" s="43">
        <v>45345.45833331428</v>
      </c>
      <c r="F5694" s="41">
        <v>20.513523025091555</v>
      </c>
      <c r="G5694" s="41">
        <v>0</v>
      </c>
      <c r="H5694" s="42"/>
      <c r="I5694" s="42"/>
      <c r="J5694" s="42"/>
    </row>
    <row r="5695" spans="5:10">
      <c r="E5695" s="43">
        <v>45345.461805536499</v>
      </c>
      <c r="F5695" s="41">
        <v>20.513523025091555</v>
      </c>
      <c r="G5695" s="41">
        <v>0</v>
      </c>
      <c r="H5695" s="42"/>
      <c r="I5695" s="42"/>
      <c r="J5695" s="42"/>
    </row>
    <row r="5696" spans="5:10">
      <c r="E5696" s="43">
        <v>45345.465277758718</v>
      </c>
      <c r="F5696" s="41">
        <v>20.513523025091555</v>
      </c>
      <c r="G5696" s="41">
        <v>0</v>
      </c>
      <c r="H5696" s="42"/>
      <c r="I5696" s="42"/>
      <c r="J5696" s="42"/>
    </row>
    <row r="5697" spans="5:10">
      <c r="E5697" s="43">
        <v>45345.468749980937</v>
      </c>
      <c r="F5697" s="41">
        <v>20.513523025091555</v>
      </c>
      <c r="G5697" s="41">
        <v>0</v>
      </c>
      <c r="H5697" s="42"/>
      <c r="I5697" s="42"/>
      <c r="J5697" s="42"/>
    </row>
    <row r="5698" spans="5:10">
      <c r="E5698" s="43">
        <v>45345.472222203156</v>
      </c>
      <c r="F5698" s="41">
        <v>20.513523025091555</v>
      </c>
      <c r="G5698" s="41">
        <v>0</v>
      </c>
      <c r="H5698" s="42"/>
      <c r="I5698" s="42"/>
      <c r="J5698" s="42"/>
    </row>
    <row r="5699" spans="5:10">
      <c r="E5699" s="43">
        <v>45345.475694425375</v>
      </c>
      <c r="F5699" s="41">
        <v>20.513523025091555</v>
      </c>
      <c r="G5699" s="41">
        <v>0</v>
      </c>
      <c r="H5699" s="42"/>
      <c r="I5699" s="42"/>
      <c r="J5699" s="42"/>
    </row>
    <row r="5700" spans="5:10">
      <c r="E5700" s="43">
        <v>45345.479166647594</v>
      </c>
      <c r="F5700" s="41">
        <v>20.513523025091555</v>
      </c>
      <c r="G5700" s="41">
        <v>0</v>
      </c>
      <c r="H5700" s="42"/>
      <c r="I5700" s="42"/>
      <c r="J5700" s="42"/>
    </row>
    <row r="5701" spans="5:10">
      <c r="E5701" s="43">
        <v>45345.482638869813</v>
      </c>
      <c r="F5701" s="41">
        <v>20.513523025091555</v>
      </c>
      <c r="G5701" s="41">
        <v>0</v>
      </c>
      <c r="H5701" s="42"/>
      <c r="I5701" s="42"/>
      <c r="J5701" s="42"/>
    </row>
    <row r="5702" spans="5:10">
      <c r="E5702" s="43">
        <v>45345.486111092032</v>
      </c>
      <c r="F5702" s="41">
        <v>20.513523025091555</v>
      </c>
      <c r="G5702" s="41">
        <v>0</v>
      </c>
      <c r="H5702" s="42"/>
      <c r="I5702" s="42"/>
      <c r="J5702" s="42"/>
    </row>
    <row r="5703" spans="5:10">
      <c r="E5703" s="43">
        <v>45345.489583314251</v>
      </c>
      <c r="F5703" s="41">
        <v>20.513523025091555</v>
      </c>
      <c r="G5703" s="41">
        <v>0</v>
      </c>
      <c r="H5703" s="42"/>
      <c r="I5703" s="42"/>
      <c r="J5703" s="42"/>
    </row>
    <row r="5704" spans="5:10">
      <c r="E5704" s="43">
        <v>45345.49305553647</v>
      </c>
      <c r="F5704" s="41">
        <v>20.513523025091555</v>
      </c>
      <c r="G5704" s="41">
        <v>0</v>
      </c>
      <c r="H5704" s="42"/>
      <c r="I5704" s="42"/>
      <c r="J5704" s="42"/>
    </row>
    <row r="5705" spans="5:10">
      <c r="E5705" s="43">
        <v>45345.496527758689</v>
      </c>
      <c r="F5705" s="41">
        <v>20.513523025091555</v>
      </c>
      <c r="G5705" s="41">
        <v>0</v>
      </c>
      <c r="H5705" s="42"/>
      <c r="I5705" s="42"/>
      <c r="J5705" s="42"/>
    </row>
    <row r="5706" spans="5:10">
      <c r="E5706" s="43">
        <v>45345.499999980908</v>
      </c>
      <c r="F5706" s="41">
        <v>20.513523025091555</v>
      </c>
      <c r="G5706" s="41">
        <v>0</v>
      </c>
      <c r="H5706" s="42"/>
      <c r="I5706" s="42"/>
      <c r="J5706" s="42"/>
    </row>
    <row r="5707" spans="5:10">
      <c r="E5707" s="43">
        <v>45345.503472203127</v>
      </c>
      <c r="F5707" s="41">
        <v>20.513523025091555</v>
      </c>
      <c r="G5707" s="41">
        <v>0</v>
      </c>
      <c r="H5707" s="42"/>
      <c r="I5707" s="42"/>
      <c r="J5707" s="42"/>
    </row>
    <row r="5708" spans="5:10">
      <c r="E5708" s="43">
        <v>45345.506944425346</v>
      </c>
      <c r="F5708" s="41">
        <v>20.513523025091555</v>
      </c>
      <c r="G5708" s="41">
        <v>0</v>
      </c>
      <c r="H5708" s="42"/>
      <c r="I5708" s="42"/>
      <c r="J5708" s="42"/>
    </row>
    <row r="5709" spans="5:10">
      <c r="E5709" s="43">
        <v>45345.510416647565</v>
      </c>
      <c r="F5709" s="41">
        <v>20.513523025091555</v>
      </c>
      <c r="G5709" s="41">
        <v>0</v>
      </c>
      <c r="H5709" s="42"/>
      <c r="I5709" s="42"/>
      <c r="J5709" s="42"/>
    </row>
    <row r="5710" spans="5:10">
      <c r="E5710" s="43">
        <v>45345.513888869784</v>
      </c>
      <c r="F5710" s="41">
        <v>20.513523025091555</v>
      </c>
      <c r="G5710" s="41">
        <v>0</v>
      </c>
      <c r="H5710" s="42"/>
      <c r="I5710" s="42"/>
      <c r="J5710" s="42"/>
    </row>
    <row r="5711" spans="5:10">
      <c r="E5711" s="43">
        <v>45345.517361092003</v>
      </c>
      <c r="F5711" s="41">
        <v>20.513523025091555</v>
      </c>
      <c r="G5711" s="41">
        <v>0</v>
      </c>
      <c r="H5711" s="42"/>
      <c r="I5711" s="42"/>
      <c r="J5711" s="42"/>
    </row>
    <row r="5712" spans="5:10">
      <c r="E5712" s="43">
        <v>45345.520833314222</v>
      </c>
      <c r="F5712" s="41">
        <v>20.513523025091555</v>
      </c>
      <c r="G5712" s="41">
        <v>0</v>
      </c>
      <c r="H5712" s="42"/>
      <c r="I5712" s="42"/>
      <c r="J5712" s="42"/>
    </row>
    <row r="5713" spans="5:10">
      <c r="E5713" s="43">
        <v>45345.524305536441</v>
      </c>
      <c r="F5713" s="41">
        <v>20.513523025091555</v>
      </c>
      <c r="G5713" s="41">
        <v>0</v>
      </c>
      <c r="H5713" s="42"/>
      <c r="I5713" s="42"/>
      <c r="J5713" s="42"/>
    </row>
    <row r="5714" spans="5:10">
      <c r="E5714" s="43">
        <v>45345.52777775866</v>
      </c>
      <c r="F5714" s="41">
        <v>20.513523025091555</v>
      </c>
      <c r="G5714" s="41">
        <v>0</v>
      </c>
      <c r="H5714" s="42"/>
      <c r="I5714" s="42"/>
      <c r="J5714" s="42"/>
    </row>
    <row r="5715" spans="5:10">
      <c r="E5715" s="43">
        <v>45345.531249980879</v>
      </c>
      <c r="F5715" s="41">
        <v>20.513523025091555</v>
      </c>
      <c r="G5715" s="41">
        <v>0</v>
      </c>
      <c r="H5715" s="42"/>
      <c r="I5715" s="42"/>
      <c r="J5715" s="42"/>
    </row>
    <row r="5716" spans="5:10">
      <c r="E5716" s="43">
        <v>45345.534722203098</v>
      </c>
      <c r="F5716" s="41">
        <v>20.513523025091555</v>
      </c>
      <c r="G5716" s="41">
        <v>0</v>
      </c>
      <c r="H5716" s="42"/>
      <c r="I5716" s="42"/>
      <c r="J5716" s="42"/>
    </row>
    <row r="5717" spans="5:10">
      <c r="E5717" s="43">
        <v>45345.538194425317</v>
      </c>
      <c r="F5717" s="41">
        <v>20.513523025091555</v>
      </c>
      <c r="G5717" s="41">
        <v>0</v>
      </c>
      <c r="H5717" s="42"/>
      <c r="I5717" s="42"/>
      <c r="J5717" s="42"/>
    </row>
    <row r="5718" spans="5:10">
      <c r="E5718" s="43">
        <v>45345.541666647536</v>
      </c>
      <c r="F5718" s="41">
        <v>20.513523025091555</v>
      </c>
      <c r="G5718" s="41">
        <v>0</v>
      </c>
      <c r="H5718" s="42"/>
      <c r="I5718" s="42"/>
      <c r="J5718" s="42"/>
    </row>
    <row r="5719" spans="5:10">
      <c r="E5719" s="43">
        <v>45345.545138869755</v>
      </c>
      <c r="F5719" s="41">
        <v>20.513523025091555</v>
      </c>
      <c r="G5719" s="41">
        <v>0</v>
      </c>
      <c r="H5719" s="42"/>
      <c r="I5719" s="42"/>
      <c r="J5719" s="42"/>
    </row>
    <row r="5720" spans="5:10">
      <c r="E5720" s="43">
        <v>45345.548611091974</v>
      </c>
      <c r="F5720" s="41">
        <v>20.513523025091555</v>
      </c>
      <c r="G5720" s="41">
        <v>0</v>
      </c>
      <c r="H5720" s="42"/>
      <c r="I5720" s="42"/>
      <c r="J5720" s="42"/>
    </row>
    <row r="5721" spans="5:10">
      <c r="E5721" s="43">
        <v>45345.552083314193</v>
      </c>
      <c r="F5721" s="41">
        <v>20.513523025091555</v>
      </c>
      <c r="G5721" s="41">
        <v>0</v>
      </c>
      <c r="H5721" s="42"/>
      <c r="I5721" s="42"/>
      <c r="J5721" s="42"/>
    </row>
    <row r="5722" spans="5:10">
      <c r="E5722" s="43">
        <v>45345.555555536412</v>
      </c>
      <c r="F5722" s="41">
        <v>20.513523025091555</v>
      </c>
      <c r="G5722" s="41">
        <v>0</v>
      </c>
      <c r="H5722" s="42"/>
      <c r="I5722" s="42"/>
      <c r="J5722" s="42"/>
    </row>
    <row r="5723" spans="5:10">
      <c r="E5723" s="43">
        <v>45345.559027758631</v>
      </c>
      <c r="F5723" s="41">
        <v>20.513523025091555</v>
      </c>
      <c r="G5723" s="41">
        <v>0</v>
      </c>
      <c r="H5723" s="42"/>
      <c r="I5723" s="42"/>
      <c r="J5723" s="42"/>
    </row>
    <row r="5724" spans="5:10">
      <c r="E5724" s="43">
        <v>45345.56249998085</v>
      </c>
      <c r="F5724" s="41">
        <v>20.513523025091555</v>
      </c>
      <c r="G5724" s="41">
        <v>0</v>
      </c>
      <c r="H5724" s="42"/>
      <c r="I5724" s="42"/>
      <c r="J5724" s="42"/>
    </row>
    <row r="5725" spans="5:10">
      <c r="E5725" s="43">
        <v>45345.565972203069</v>
      </c>
      <c r="F5725" s="41">
        <v>20.513523025091555</v>
      </c>
      <c r="G5725" s="41">
        <v>0</v>
      </c>
      <c r="H5725" s="42"/>
      <c r="I5725" s="42"/>
      <c r="J5725" s="42"/>
    </row>
    <row r="5726" spans="5:10">
      <c r="E5726" s="43">
        <v>45345.569444425288</v>
      </c>
      <c r="F5726" s="41">
        <v>20.513523025091555</v>
      </c>
      <c r="G5726" s="41">
        <v>0</v>
      </c>
      <c r="H5726" s="42"/>
      <c r="I5726" s="42"/>
      <c r="J5726" s="42"/>
    </row>
    <row r="5727" spans="5:10">
      <c r="E5727" s="43">
        <v>45345.572916647507</v>
      </c>
      <c r="F5727" s="41">
        <v>20.513523025091555</v>
      </c>
      <c r="G5727" s="41">
        <v>0</v>
      </c>
      <c r="H5727" s="42"/>
      <c r="I5727" s="42"/>
      <c r="J5727" s="42"/>
    </row>
    <row r="5728" spans="5:10">
      <c r="E5728" s="43">
        <v>45345.576388869726</v>
      </c>
      <c r="F5728" s="41">
        <v>20.513523025091555</v>
      </c>
      <c r="G5728" s="41">
        <v>0</v>
      </c>
      <c r="H5728" s="42"/>
      <c r="I5728" s="42"/>
      <c r="J5728" s="42"/>
    </row>
    <row r="5729" spans="5:10">
      <c r="E5729" s="43">
        <v>45345.579861091945</v>
      </c>
      <c r="F5729" s="41">
        <v>20.513523025091555</v>
      </c>
      <c r="G5729" s="41">
        <v>0</v>
      </c>
      <c r="H5729" s="42"/>
      <c r="I5729" s="42"/>
      <c r="J5729" s="42"/>
    </row>
    <row r="5730" spans="5:10">
      <c r="E5730" s="43">
        <v>45345.583333314164</v>
      </c>
      <c r="F5730" s="41">
        <v>20.513523025091555</v>
      </c>
      <c r="G5730" s="41">
        <v>0</v>
      </c>
      <c r="H5730" s="42"/>
      <c r="I5730" s="42"/>
      <c r="J5730" s="42"/>
    </row>
    <row r="5731" spans="5:10">
      <c r="E5731" s="43">
        <v>45345.586805536383</v>
      </c>
      <c r="F5731" s="41">
        <v>20.513523025091555</v>
      </c>
      <c r="G5731" s="41">
        <v>0</v>
      </c>
      <c r="H5731" s="42"/>
      <c r="I5731" s="42"/>
      <c r="J5731" s="42"/>
    </row>
    <row r="5732" spans="5:10">
      <c r="E5732" s="43">
        <v>45345.590277758602</v>
      </c>
      <c r="F5732" s="41">
        <v>20.513523025091555</v>
      </c>
      <c r="G5732" s="41">
        <v>0</v>
      </c>
      <c r="H5732" s="42"/>
      <c r="I5732" s="42"/>
      <c r="J5732" s="42"/>
    </row>
    <row r="5733" spans="5:10">
      <c r="E5733" s="43">
        <v>45345.593749980821</v>
      </c>
      <c r="F5733" s="41">
        <v>20.513523025091555</v>
      </c>
      <c r="G5733" s="41">
        <v>0</v>
      </c>
      <c r="H5733" s="42"/>
      <c r="I5733" s="42"/>
      <c r="J5733" s="42"/>
    </row>
    <row r="5734" spans="5:10">
      <c r="E5734" s="43">
        <v>45345.59722220304</v>
      </c>
      <c r="F5734" s="41">
        <v>20.513523025091555</v>
      </c>
      <c r="G5734" s="41">
        <v>0</v>
      </c>
      <c r="H5734" s="42"/>
      <c r="I5734" s="42"/>
      <c r="J5734" s="42"/>
    </row>
    <row r="5735" spans="5:10">
      <c r="E5735" s="43">
        <v>45345.600694425259</v>
      </c>
      <c r="F5735" s="41">
        <v>20.513523025091555</v>
      </c>
      <c r="G5735" s="41">
        <v>0</v>
      </c>
      <c r="H5735" s="42"/>
      <c r="I5735" s="42"/>
      <c r="J5735" s="42"/>
    </row>
    <row r="5736" spans="5:10">
      <c r="E5736" s="43">
        <v>45345.604166647478</v>
      </c>
      <c r="F5736" s="41">
        <v>20.513523025091555</v>
      </c>
      <c r="G5736" s="41">
        <v>0</v>
      </c>
      <c r="H5736" s="42"/>
      <c r="I5736" s="42"/>
      <c r="J5736" s="42"/>
    </row>
    <row r="5737" spans="5:10">
      <c r="E5737" s="43">
        <v>45345.607638869697</v>
      </c>
      <c r="F5737" s="41">
        <v>20.513523025091555</v>
      </c>
      <c r="G5737" s="41">
        <v>0</v>
      </c>
      <c r="H5737" s="42"/>
      <c r="I5737" s="42"/>
      <c r="J5737" s="42"/>
    </row>
    <row r="5738" spans="5:10">
      <c r="E5738" s="43">
        <v>45345.611111091916</v>
      </c>
      <c r="F5738" s="41">
        <v>20.513523025091555</v>
      </c>
      <c r="G5738" s="41">
        <v>0</v>
      </c>
      <c r="H5738" s="42"/>
      <c r="I5738" s="42"/>
      <c r="J5738" s="42"/>
    </row>
    <row r="5739" spans="5:10">
      <c r="E5739" s="43">
        <v>45345.614583314135</v>
      </c>
      <c r="F5739" s="41">
        <v>20.513523025091555</v>
      </c>
      <c r="G5739" s="41">
        <v>0</v>
      </c>
      <c r="H5739" s="42"/>
      <c r="I5739" s="42"/>
      <c r="J5739" s="42"/>
    </row>
    <row r="5740" spans="5:10">
      <c r="E5740" s="43">
        <v>45345.618055536353</v>
      </c>
      <c r="F5740" s="41">
        <v>20.513523025091555</v>
      </c>
      <c r="G5740" s="41">
        <v>0</v>
      </c>
      <c r="H5740" s="42"/>
      <c r="I5740" s="42"/>
      <c r="J5740" s="42"/>
    </row>
    <row r="5741" spans="5:10">
      <c r="E5741" s="43">
        <v>45345.621527758572</v>
      </c>
      <c r="F5741" s="41">
        <v>20.513523025091555</v>
      </c>
      <c r="G5741" s="41">
        <v>0</v>
      </c>
      <c r="H5741" s="42"/>
      <c r="I5741" s="42"/>
      <c r="J5741" s="42"/>
    </row>
    <row r="5742" spans="5:10">
      <c r="E5742" s="43">
        <v>45345.624999980791</v>
      </c>
      <c r="F5742" s="41">
        <v>20.513523025091555</v>
      </c>
      <c r="G5742" s="41">
        <v>0</v>
      </c>
      <c r="H5742" s="42"/>
      <c r="I5742" s="42"/>
      <c r="J5742" s="42"/>
    </row>
    <row r="5743" spans="5:10">
      <c r="E5743" s="43">
        <v>45345.62847220301</v>
      </c>
      <c r="F5743" s="41">
        <v>20.513523025091555</v>
      </c>
      <c r="G5743" s="41">
        <v>0</v>
      </c>
      <c r="H5743" s="42"/>
      <c r="I5743" s="42"/>
      <c r="J5743" s="42"/>
    </row>
    <row r="5744" spans="5:10">
      <c r="E5744" s="43">
        <v>45345.631944425229</v>
      </c>
      <c r="F5744" s="41">
        <v>20.513523025091555</v>
      </c>
      <c r="G5744" s="41">
        <v>0</v>
      </c>
      <c r="H5744" s="42"/>
      <c r="I5744" s="42"/>
      <c r="J5744" s="42"/>
    </row>
    <row r="5745" spans="5:10">
      <c r="E5745" s="43">
        <v>45345.635416647448</v>
      </c>
      <c r="F5745" s="41">
        <v>20.513523025091555</v>
      </c>
      <c r="G5745" s="41">
        <v>0</v>
      </c>
      <c r="H5745" s="42"/>
      <c r="I5745" s="42"/>
      <c r="J5745" s="42"/>
    </row>
    <row r="5746" spans="5:10">
      <c r="E5746" s="43">
        <v>45345.638888869667</v>
      </c>
      <c r="F5746" s="41">
        <v>20.513523025091555</v>
      </c>
      <c r="G5746" s="41">
        <v>0</v>
      </c>
      <c r="H5746" s="42"/>
      <c r="I5746" s="42"/>
      <c r="J5746" s="42"/>
    </row>
    <row r="5747" spans="5:10">
      <c r="E5747" s="43">
        <v>45345.642361091886</v>
      </c>
      <c r="F5747" s="41">
        <v>20.513523025091555</v>
      </c>
      <c r="G5747" s="41">
        <v>0</v>
      </c>
      <c r="H5747" s="42"/>
      <c r="I5747" s="42"/>
      <c r="J5747" s="42"/>
    </row>
    <row r="5748" spans="5:10">
      <c r="E5748" s="43">
        <v>45345.645833314105</v>
      </c>
      <c r="F5748" s="41">
        <v>20.513523025091555</v>
      </c>
      <c r="G5748" s="41">
        <v>0</v>
      </c>
      <c r="H5748" s="42"/>
      <c r="I5748" s="42"/>
      <c r="J5748" s="42"/>
    </row>
    <row r="5749" spans="5:10">
      <c r="E5749" s="43">
        <v>45345.649305536324</v>
      </c>
      <c r="F5749" s="41">
        <v>20.513523025091555</v>
      </c>
      <c r="G5749" s="41">
        <v>0</v>
      </c>
      <c r="H5749" s="42"/>
      <c r="I5749" s="42"/>
      <c r="J5749" s="42"/>
    </row>
    <row r="5750" spans="5:10">
      <c r="E5750" s="43">
        <v>45345.652777758543</v>
      </c>
      <c r="F5750" s="41">
        <v>20.513523025091555</v>
      </c>
      <c r="G5750" s="41">
        <v>0</v>
      </c>
      <c r="H5750" s="42"/>
      <c r="I5750" s="42"/>
      <c r="J5750" s="42"/>
    </row>
    <row r="5751" spans="5:10">
      <c r="E5751" s="43">
        <v>45345.656249980762</v>
      </c>
      <c r="F5751" s="41">
        <v>20.513523025091555</v>
      </c>
      <c r="G5751" s="41">
        <v>0</v>
      </c>
      <c r="H5751" s="42"/>
      <c r="I5751" s="42"/>
      <c r="J5751" s="42"/>
    </row>
    <row r="5752" spans="5:10">
      <c r="E5752" s="43">
        <v>45345.659722202981</v>
      </c>
      <c r="F5752" s="41">
        <v>20.513523025091555</v>
      </c>
      <c r="G5752" s="41">
        <v>0</v>
      </c>
      <c r="H5752" s="42"/>
      <c r="I5752" s="42"/>
      <c r="J5752" s="42"/>
    </row>
    <row r="5753" spans="5:10">
      <c r="E5753" s="43">
        <v>45345.6631944252</v>
      </c>
      <c r="F5753" s="41">
        <v>20.513523025091555</v>
      </c>
      <c r="G5753" s="41">
        <v>0</v>
      </c>
      <c r="H5753" s="42"/>
      <c r="I5753" s="42"/>
      <c r="J5753" s="42"/>
    </row>
    <row r="5754" spans="5:10">
      <c r="E5754" s="43">
        <v>45345.666666647419</v>
      </c>
      <c r="F5754" s="41">
        <v>20.513523025091555</v>
      </c>
      <c r="G5754" s="41">
        <v>0</v>
      </c>
      <c r="H5754" s="42"/>
      <c r="I5754" s="42"/>
      <c r="J5754" s="42"/>
    </row>
    <row r="5755" spans="5:10">
      <c r="E5755" s="43">
        <v>45345.670138869638</v>
      </c>
      <c r="F5755" s="41">
        <v>20.513523025091555</v>
      </c>
      <c r="G5755" s="41">
        <v>0</v>
      </c>
      <c r="H5755" s="42"/>
      <c r="I5755" s="42"/>
      <c r="J5755" s="42"/>
    </row>
    <row r="5756" spans="5:10">
      <c r="E5756" s="43">
        <v>45345.673611091857</v>
      </c>
      <c r="F5756" s="41">
        <v>20.513523025091555</v>
      </c>
      <c r="G5756" s="41">
        <v>0</v>
      </c>
      <c r="H5756" s="42"/>
      <c r="I5756" s="42"/>
      <c r="J5756" s="42"/>
    </row>
    <row r="5757" spans="5:10">
      <c r="E5757" s="43">
        <v>45345.677083314076</v>
      </c>
      <c r="F5757" s="41">
        <v>20.513523025091555</v>
      </c>
      <c r="G5757" s="41">
        <v>0</v>
      </c>
      <c r="H5757" s="42"/>
      <c r="I5757" s="42"/>
      <c r="J5757" s="42"/>
    </row>
    <row r="5758" spans="5:10">
      <c r="E5758" s="43">
        <v>45345.680555536295</v>
      </c>
      <c r="F5758" s="41">
        <v>20.513523025091555</v>
      </c>
      <c r="G5758" s="41">
        <v>0</v>
      </c>
      <c r="H5758" s="42"/>
      <c r="I5758" s="42"/>
      <c r="J5758" s="42"/>
    </row>
    <row r="5759" spans="5:10">
      <c r="E5759" s="43">
        <v>45345.684027758514</v>
      </c>
      <c r="F5759" s="41">
        <v>20.513523025091555</v>
      </c>
      <c r="G5759" s="41">
        <v>0</v>
      </c>
      <c r="H5759" s="42"/>
      <c r="I5759" s="42"/>
      <c r="J5759" s="42"/>
    </row>
    <row r="5760" spans="5:10">
      <c r="E5760" s="43">
        <v>45345.687499980733</v>
      </c>
      <c r="F5760" s="41">
        <v>20.513523025091555</v>
      </c>
      <c r="G5760" s="41">
        <v>0</v>
      </c>
      <c r="H5760" s="42"/>
      <c r="I5760" s="42"/>
      <c r="J5760" s="42"/>
    </row>
    <row r="5761" spans="5:10">
      <c r="E5761" s="43">
        <v>45345.690972202952</v>
      </c>
      <c r="F5761" s="41">
        <v>20.513523025091555</v>
      </c>
      <c r="G5761" s="41">
        <v>0</v>
      </c>
      <c r="H5761" s="42"/>
      <c r="I5761" s="42"/>
      <c r="J5761" s="42"/>
    </row>
    <row r="5762" spans="5:10">
      <c r="E5762" s="43">
        <v>45345.694444425171</v>
      </c>
      <c r="F5762" s="41">
        <v>20.513523025091555</v>
      </c>
      <c r="G5762" s="41">
        <v>0</v>
      </c>
      <c r="H5762" s="42"/>
      <c r="I5762" s="42"/>
      <c r="J5762" s="42"/>
    </row>
    <row r="5763" spans="5:10">
      <c r="E5763" s="43">
        <v>45345.69791664739</v>
      </c>
      <c r="F5763" s="41">
        <v>20.513523025091555</v>
      </c>
      <c r="G5763" s="41">
        <v>0</v>
      </c>
      <c r="H5763" s="42"/>
      <c r="I5763" s="42"/>
      <c r="J5763" s="42"/>
    </row>
    <row r="5764" spans="5:10">
      <c r="E5764" s="43">
        <v>45345.701388869609</v>
      </c>
      <c r="F5764" s="41">
        <v>20.513523025091555</v>
      </c>
      <c r="G5764" s="41">
        <v>0</v>
      </c>
      <c r="H5764" s="42"/>
      <c r="I5764" s="42"/>
      <c r="J5764" s="42"/>
    </row>
    <row r="5765" spans="5:10">
      <c r="E5765" s="43">
        <v>45345.704861091828</v>
      </c>
      <c r="F5765" s="41">
        <v>20.513523025091555</v>
      </c>
      <c r="G5765" s="41">
        <v>0</v>
      </c>
      <c r="H5765" s="42"/>
      <c r="I5765" s="42"/>
      <c r="J5765" s="42"/>
    </row>
    <row r="5766" spans="5:10">
      <c r="E5766" s="43">
        <v>45345.708333314047</v>
      </c>
      <c r="F5766" s="41">
        <v>20.513523025091555</v>
      </c>
      <c r="G5766" s="41">
        <v>0</v>
      </c>
      <c r="H5766" s="42"/>
      <c r="I5766" s="42"/>
      <c r="J5766" s="42"/>
    </row>
    <row r="5767" spans="5:10">
      <c r="E5767" s="43">
        <v>45345.711805536266</v>
      </c>
      <c r="F5767" s="41">
        <v>20.513523025091555</v>
      </c>
      <c r="G5767" s="41">
        <v>0</v>
      </c>
      <c r="H5767" s="42"/>
      <c r="I5767" s="42"/>
      <c r="J5767" s="42"/>
    </row>
    <row r="5768" spans="5:10">
      <c r="E5768" s="43">
        <v>45345.715277758485</v>
      </c>
      <c r="F5768" s="41">
        <v>20.513523025091555</v>
      </c>
      <c r="G5768" s="41">
        <v>0</v>
      </c>
      <c r="H5768" s="42"/>
      <c r="I5768" s="42"/>
      <c r="J5768" s="42"/>
    </row>
    <row r="5769" spans="5:10">
      <c r="E5769" s="43">
        <v>45345.718749980704</v>
      </c>
      <c r="F5769" s="41">
        <v>20.513523025091555</v>
      </c>
      <c r="G5769" s="41">
        <v>0</v>
      </c>
      <c r="H5769" s="42"/>
      <c r="I5769" s="42"/>
      <c r="J5769" s="42"/>
    </row>
    <row r="5770" spans="5:10">
      <c r="E5770" s="43">
        <v>45345.722222202923</v>
      </c>
      <c r="F5770" s="41">
        <v>20.513523025091555</v>
      </c>
      <c r="G5770" s="41">
        <v>0</v>
      </c>
      <c r="H5770" s="42"/>
      <c r="I5770" s="42"/>
      <c r="J5770" s="42"/>
    </row>
    <row r="5771" spans="5:10">
      <c r="E5771" s="43">
        <v>45345.725694425142</v>
      </c>
      <c r="F5771" s="41">
        <v>20.513523025091555</v>
      </c>
      <c r="G5771" s="41">
        <v>0</v>
      </c>
      <c r="H5771" s="42"/>
      <c r="I5771" s="42"/>
      <c r="J5771" s="42"/>
    </row>
    <row r="5772" spans="5:10">
      <c r="E5772" s="43">
        <v>45345.729166647361</v>
      </c>
      <c r="F5772" s="41">
        <v>20.513523025091555</v>
      </c>
      <c r="G5772" s="41">
        <v>0</v>
      </c>
      <c r="H5772" s="42"/>
      <c r="I5772" s="42"/>
      <c r="J5772" s="42"/>
    </row>
    <row r="5773" spans="5:10">
      <c r="E5773" s="43">
        <v>45345.73263886958</v>
      </c>
      <c r="F5773" s="41">
        <v>20.513523025091555</v>
      </c>
      <c r="G5773" s="41">
        <v>0</v>
      </c>
      <c r="H5773" s="42"/>
      <c r="I5773" s="42"/>
      <c r="J5773" s="42"/>
    </row>
    <row r="5774" spans="5:10">
      <c r="E5774" s="43">
        <v>45345.736111091799</v>
      </c>
      <c r="F5774" s="41">
        <v>20.513523025091555</v>
      </c>
      <c r="G5774" s="41">
        <v>0</v>
      </c>
      <c r="H5774" s="42"/>
      <c r="I5774" s="42"/>
      <c r="J5774" s="42"/>
    </row>
    <row r="5775" spans="5:10">
      <c r="E5775" s="43">
        <v>45345.739583314018</v>
      </c>
      <c r="F5775" s="41">
        <v>20.513523025091555</v>
      </c>
      <c r="G5775" s="41">
        <v>0</v>
      </c>
      <c r="H5775" s="42"/>
      <c r="I5775" s="42"/>
      <c r="J5775" s="42"/>
    </row>
    <row r="5776" spans="5:10">
      <c r="E5776" s="43">
        <v>45345.743055536237</v>
      </c>
      <c r="F5776" s="41">
        <v>20.513523025091555</v>
      </c>
      <c r="G5776" s="41">
        <v>0</v>
      </c>
      <c r="H5776" s="42"/>
      <c r="I5776" s="42"/>
      <c r="J5776" s="42"/>
    </row>
    <row r="5777" spans="5:10">
      <c r="E5777" s="43">
        <v>45345.746527758456</v>
      </c>
      <c r="F5777" s="41">
        <v>20.513523025091555</v>
      </c>
      <c r="G5777" s="41">
        <v>0</v>
      </c>
      <c r="H5777" s="42"/>
      <c r="I5777" s="42"/>
      <c r="J5777" s="42"/>
    </row>
    <row r="5778" spans="5:10">
      <c r="E5778" s="43">
        <v>45345.749999980675</v>
      </c>
      <c r="F5778" s="41">
        <v>20.513523025091555</v>
      </c>
      <c r="G5778" s="41">
        <v>0</v>
      </c>
      <c r="H5778" s="42"/>
      <c r="I5778" s="42"/>
      <c r="J5778" s="42"/>
    </row>
    <row r="5779" spans="5:10">
      <c r="E5779" s="43">
        <v>45345.753472202894</v>
      </c>
      <c r="F5779" s="41">
        <v>20.513523025091555</v>
      </c>
      <c r="G5779" s="41">
        <v>0</v>
      </c>
      <c r="H5779" s="42"/>
      <c r="I5779" s="42"/>
      <c r="J5779" s="42"/>
    </row>
    <row r="5780" spans="5:10">
      <c r="E5780" s="43">
        <v>45345.756944425113</v>
      </c>
      <c r="F5780" s="41">
        <v>20.513523025091555</v>
      </c>
      <c r="G5780" s="41">
        <v>0</v>
      </c>
      <c r="H5780" s="42"/>
      <c r="I5780" s="42"/>
      <c r="J5780" s="42"/>
    </row>
    <row r="5781" spans="5:10">
      <c r="E5781" s="43">
        <v>45345.760416647332</v>
      </c>
      <c r="F5781" s="41">
        <v>20.513523025091555</v>
      </c>
      <c r="G5781" s="41">
        <v>0</v>
      </c>
      <c r="H5781" s="42"/>
      <c r="I5781" s="42"/>
      <c r="J5781" s="42"/>
    </row>
    <row r="5782" spans="5:10">
      <c r="E5782" s="43">
        <v>45345.763888869551</v>
      </c>
      <c r="F5782" s="41">
        <v>20.513523025091555</v>
      </c>
      <c r="G5782" s="41">
        <v>0</v>
      </c>
      <c r="H5782" s="42"/>
      <c r="I5782" s="42"/>
      <c r="J5782" s="42"/>
    </row>
    <row r="5783" spans="5:10">
      <c r="E5783" s="43">
        <v>45345.76736109177</v>
      </c>
      <c r="F5783" s="41">
        <v>20.513523025091555</v>
      </c>
      <c r="G5783" s="41">
        <v>0</v>
      </c>
      <c r="H5783" s="42"/>
      <c r="I5783" s="42"/>
      <c r="J5783" s="42"/>
    </row>
    <row r="5784" spans="5:10">
      <c r="E5784" s="43">
        <v>45345.770833313989</v>
      </c>
      <c r="F5784" s="41">
        <v>20.513523025091555</v>
      </c>
      <c r="G5784" s="41">
        <v>0</v>
      </c>
      <c r="H5784" s="42"/>
      <c r="I5784" s="42"/>
      <c r="J5784" s="42"/>
    </row>
    <row r="5785" spans="5:10">
      <c r="E5785" s="43">
        <v>45345.774305536208</v>
      </c>
      <c r="F5785" s="41">
        <v>20.513523025091555</v>
      </c>
      <c r="G5785" s="41">
        <v>0</v>
      </c>
      <c r="H5785" s="42"/>
      <c r="I5785" s="42"/>
      <c r="J5785" s="42"/>
    </row>
    <row r="5786" spans="5:10">
      <c r="E5786" s="43">
        <v>45345.777777758427</v>
      </c>
      <c r="F5786" s="41">
        <v>20.513523025091555</v>
      </c>
      <c r="G5786" s="41">
        <v>0</v>
      </c>
      <c r="H5786" s="42"/>
      <c r="I5786" s="42"/>
      <c r="J5786" s="42"/>
    </row>
    <row r="5787" spans="5:10">
      <c r="E5787" s="43">
        <v>45345.781249980646</v>
      </c>
      <c r="F5787" s="41">
        <v>20.513523025091555</v>
      </c>
      <c r="G5787" s="41">
        <v>0</v>
      </c>
      <c r="H5787" s="42"/>
      <c r="I5787" s="42"/>
      <c r="J5787" s="42"/>
    </row>
    <row r="5788" spans="5:10">
      <c r="E5788" s="43">
        <v>45345.784722202865</v>
      </c>
      <c r="F5788" s="41">
        <v>20.513523025091555</v>
      </c>
      <c r="G5788" s="41">
        <v>0</v>
      </c>
      <c r="H5788" s="42"/>
      <c r="I5788" s="42"/>
      <c r="J5788" s="42"/>
    </row>
    <row r="5789" spans="5:10">
      <c r="E5789" s="43">
        <v>45345.788194425084</v>
      </c>
      <c r="F5789" s="41">
        <v>20.513523025091555</v>
      </c>
      <c r="G5789" s="41">
        <v>0</v>
      </c>
      <c r="H5789" s="42"/>
      <c r="I5789" s="42"/>
      <c r="J5789" s="42"/>
    </row>
    <row r="5790" spans="5:10">
      <c r="E5790" s="43">
        <v>45345.791666647303</v>
      </c>
      <c r="F5790" s="41">
        <v>20.513523025091555</v>
      </c>
      <c r="G5790" s="41">
        <v>0</v>
      </c>
      <c r="H5790" s="42"/>
      <c r="I5790" s="42"/>
      <c r="J5790" s="42"/>
    </row>
    <row r="5791" spans="5:10">
      <c r="E5791" s="43">
        <v>45345.795138869522</v>
      </c>
      <c r="F5791" s="41">
        <v>20.513523025091555</v>
      </c>
      <c r="G5791" s="41">
        <v>0</v>
      </c>
      <c r="H5791" s="42"/>
      <c r="I5791" s="42"/>
      <c r="J5791" s="42"/>
    </row>
    <row r="5792" spans="5:10">
      <c r="E5792" s="43">
        <v>45345.798611091741</v>
      </c>
      <c r="F5792" s="41">
        <v>20.513523025091555</v>
      </c>
      <c r="G5792" s="41">
        <v>0</v>
      </c>
      <c r="H5792" s="42"/>
      <c r="I5792" s="42"/>
      <c r="J5792" s="42"/>
    </row>
    <row r="5793" spans="5:10">
      <c r="E5793" s="43">
        <v>45345.80208331396</v>
      </c>
      <c r="F5793" s="41">
        <v>20.513523025091555</v>
      </c>
      <c r="G5793" s="41">
        <v>0</v>
      </c>
      <c r="H5793" s="42"/>
      <c r="I5793" s="42"/>
      <c r="J5793" s="42"/>
    </row>
    <row r="5794" spans="5:10">
      <c r="E5794" s="43">
        <v>45345.805555536179</v>
      </c>
      <c r="F5794" s="41">
        <v>20.513523025091555</v>
      </c>
      <c r="G5794" s="41">
        <v>0</v>
      </c>
      <c r="H5794" s="42"/>
      <c r="I5794" s="42"/>
      <c r="J5794" s="42"/>
    </row>
    <row r="5795" spans="5:10">
      <c r="E5795" s="43">
        <v>45345.809027758398</v>
      </c>
      <c r="F5795" s="41">
        <v>20.513523025091555</v>
      </c>
      <c r="G5795" s="41">
        <v>0</v>
      </c>
      <c r="H5795" s="42"/>
      <c r="I5795" s="42"/>
      <c r="J5795" s="42"/>
    </row>
    <row r="5796" spans="5:10">
      <c r="E5796" s="43">
        <v>45345.812499980617</v>
      </c>
      <c r="F5796" s="41">
        <v>20.513523025091555</v>
      </c>
      <c r="G5796" s="41">
        <v>0</v>
      </c>
      <c r="H5796" s="42"/>
      <c r="I5796" s="42"/>
      <c r="J5796" s="42"/>
    </row>
    <row r="5797" spans="5:10">
      <c r="E5797" s="43">
        <v>45345.815972202836</v>
      </c>
      <c r="F5797" s="41">
        <v>20.513523025091555</v>
      </c>
      <c r="G5797" s="41">
        <v>0</v>
      </c>
      <c r="H5797" s="42"/>
      <c r="I5797" s="42"/>
      <c r="J5797" s="42"/>
    </row>
    <row r="5798" spans="5:10">
      <c r="E5798" s="43">
        <v>45345.819444425055</v>
      </c>
      <c r="F5798" s="41">
        <v>20.513523025091555</v>
      </c>
      <c r="G5798" s="41">
        <v>0</v>
      </c>
      <c r="H5798" s="42"/>
      <c r="I5798" s="42"/>
      <c r="J5798" s="42"/>
    </row>
    <row r="5799" spans="5:10">
      <c r="E5799" s="43">
        <v>45345.822916647274</v>
      </c>
      <c r="F5799" s="41">
        <v>20.513523025091555</v>
      </c>
      <c r="G5799" s="41">
        <v>0</v>
      </c>
      <c r="H5799" s="42"/>
      <c r="I5799" s="42"/>
      <c r="J5799" s="42"/>
    </row>
    <row r="5800" spans="5:10">
      <c r="E5800" s="43">
        <v>45345.826388869493</v>
      </c>
      <c r="F5800" s="41">
        <v>20.513523025091555</v>
      </c>
      <c r="G5800" s="41">
        <v>0</v>
      </c>
      <c r="H5800" s="42"/>
      <c r="I5800" s="42"/>
      <c r="J5800" s="42"/>
    </row>
    <row r="5801" spans="5:10">
      <c r="E5801" s="43">
        <v>45345.829861091712</v>
      </c>
      <c r="F5801" s="41">
        <v>20.513523025091555</v>
      </c>
      <c r="G5801" s="41">
        <v>0</v>
      </c>
      <c r="H5801" s="42"/>
      <c r="I5801" s="42"/>
      <c r="J5801" s="42"/>
    </row>
    <row r="5802" spans="5:10">
      <c r="E5802" s="43">
        <v>45345.833333313931</v>
      </c>
      <c r="F5802" s="41">
        <v>20.513523025091555</v>
      </c>
      <c r="G5802" s="41">
        <v>0</v>
      </c>
      <c r="H5802" s="42"/>
      <c r="I5802" s="42"/>
      <c r="J5802" s="42"/>
    </row>
    <row r="5803" spans="5:10">
      <c r="E5803" s="43">
        <v>45345.83680553615</v>
      </c>
      <c r="F5803" s="41">
        <v>20.513523025091555</v>
      </c>
      <c r="G5803" s="41">
        <v>0</v>
      </c>
      <c r="H5803" s="42"/>
      <c r="I5803" s="42"/>
      <c r="J5803" s="42"/>
    </row>
    <row r="5804" spans="5:10">
      <c r="E5804" s="43">
        <v>45345.840277758369</v>
      </c>
      <c r="F5804" s="41">
        <v>20.513523025091555</v>
      </c>
      <c r="G5804" s="41">
        <v>0</v>
      </c>
      <c r="H5804" s="42"/>
      <c r="I5804" s="42"/>
      <c r="J5804" s="42"/>
    </row>
    <row r="5805" spans="5:10">
      <c r="E5805" s="43">
        <v>45345.843749980588</v>
      </c>
      <c r="F5805" s="41">
        <v>20.513523025091555</v>
      </c>
      <c r="G5805" s="41">
        <v>0</v>
      </c>
      <c r="H5805" s="42"/>
      <c r="I5805" s="42"/>
      <c r="J5805" s="42"/>
    </row>
    <row r="5806" spans="5:10">
      <c r="E5806" s="43">
        <v>45345.847222202807</v>
      </c>
      <c r="F5806" s="41">
        <v>20.513523025091555</v>
      </c>
      <c r="G5806" s="41">
        <v>0</v>
      </c>
      <c r="H5806" s="42"/>
      <c r="I5806" s="42"/>
      <c r="J5806" s="42"/>
    </row>
    <row r="5807" spans="5:10">
      <c r="E5807" s="43">
        <v>45345.850694425026</v>
      </c>
      <c r="F5807" s="41">
        <v>20.513523025091555</v>
      </c>
      <c r="G5807" s="41">
        <v>0</v>
      </c>
      <c r="H5807" s="42"/>
      <c r="I5807" s="42"/>
      <c r="J5807" s="42"/>
    </row>
    <row r="5808" spans="5:10">
      <c r="E5808" s="43">
        <v>45345.854166647245</v>
      </c>
      <c r="F5808" s="41">
        <v>20.513523025091555</v>
      </c>
      <c r="G5808" s="41">
        <v>0</v>
      </c>
      <c r="H5808" s="42"/>
      <c r="I5808" s="42"/>
      <c r="J5808" s="42"/>
    </row>
    <row r="5809" spans="5:10">
      <c r="E5809" s="43">
        <v>45345.857638869464</v>
      </c>
      <c r="F5809" s="41">
        <v>20.513523025091555</v>
      </c>
      <c r="G5809" s="41">
        <v>0</v>
      </c>
      <c r="H5809" s="42"/>
      <c r="I5809" s="42"/>
      <c r="J5809" s="42"/>
    </row>
    <row r="5810" spans="5:10">
      <c r="E5810" s="43">
        <v>45345.861111091683</v>
      </c>
      <c r="F5810" s="41">
        <v>20.513523025091555</v>
      </c>
      <c r="G5810" s="41">
        <v>0</v>
      </c>
      <c r="H5810" s="42"/>
      <c r="I5810" s="42"/>
      <c r="J5810" s="42"/>
    </row>
    <row r="5811" spans="5:10">
      <c r="E5811" s="43">
        <v>45345.864583313902</v>
      </c>
      <c r="F5811" s="41">
        <v>20.513523025091555</v>
      </c>
      <c r="G5811" s="41">
        <v>0</v>
      </c>
      <c r="H5811" s="42"/>
      <c r="I5811" s="42"/>
      <c r="J5811" s="42"/>
    </row>
    <row r="5812" spans="5:10">
      <c r="E5812" s="43">
        <v>45345.868055536121</v>
      </c>
      <c r="F5812" s="41">
        <v>20.513523025091555</v>
      </c>
      <c r="G5812" s="41">
        <v>0</v>
      </c>
      <c r="H5812" s="42"/>
      <c r="I5812" s="42"/>
      <c r="J5812" s="42"/>
    </row>
    <row r="5813" spans="5:10">
      <c r="E5813" s="43">
        <v>45345.87152775834</v>
      </c>
      <c r="F5813" s="41">
        <v>20.513523025091555</v>
      </c>
      <c r="G5813" s="41">
        <v>0</v>
      </c>
      <c r="H5813" s="42"/>
      <c r="I5813" s="42"/>
      <c r="J5813" s="42"/>
    </row>
    <row r="5814" spans="5:10">
      <c r="E5814" s="43">
        <v>45345.874999980559</v>
      </c>
      <c r="F5814" s="41">
        <v>20.513523025091555</v>
      </c>
      <c r="G5814" s="41">
        <v>0</v>
      </c>
      <c r="H5814" s="42"/>
      <c r="I5814" s="42"/>
      <c r="J5814" s="42"/>
    </row>
    <row r="5815" spans="5:10">
      <c r="E5815" s="43">
        <v>45345.878472202778</v>
      </c>
      <c r="F5815" s="41">
        <v>20.513523025091555</v>
      </c>
      <c r="G5815" s="41">
        <v>0</v>
      </c>
      <c r="H5815" s="42"/>
      <c r="I5815" s="42"/>
      <c r="J5815" s="42"/>
    </row>
    <row r="5816" spans="5:10">
      <c r="E5816" s="43">
        <v>45345.881944424997</v>
      </c>
      <c r="F5816" s="41">
        <v>20.513523025091555</v>
      </c>
      <c r="G5816" s="41">
        <v>0</v>
      </c>
      <c r="H5816" s="42"/>
      <c r="I5816" s="42"/>
      <c r="J5816" s="42"/>
    </row>
    <row r="5817" spans="5:10">
      <c r="E5817" s="43">
        <v>45345.885416647216</v>
      </c>
      <c r="F5817" s="41">
        <v>20.513523025091555</v>
      </c>
      <c r="G5817" s="41">
        <v>0</v>
      </c>
      <c r="H5817" s="42"/>
      <c r="I5817" s="42"/>
      <c r="J5817" s="42"/>
    </row>
    <row r="5818" spans="5:10">
      <c r="E5818" s="43">
        <v>45345.888888869435</v>
      </c>
      <c r="F5818" s="41">
        <v>20.513523025091555</v>
      </c>
      <c r="G5818" s="41">
        <v>0</v>
      </c>
      <c r="H5818" s="42"/>
      <c r="I5818" s="42"/>
      <c r="J5818" s="42"/>
    </row>
    <row r="5819" spans="5:10">
      <c r="E5819" s="43">
        <v>45345.892361091654</v>
      </c>
      <c r="F5819" s="41">
        <v>20.513523025091555</v>
      </c>
      <c r="G5819" s="41">
        <v>0</v>
      </c>
      <c r="H5819" s="42"/>
      <c r="I5819" s="42"/>
      <c r="J5819" s="42"/>
    </row>
    <row r="5820" spans="5:10">
      <c r="E5820" s="43">
        <v>45345.895833313873</v>
      </c>
      <c r="F5820" s="41">
        <v>20.513523025091555</v>
      </c>
      <c r="G5820" s="41">
        <v>0</v>
      </c>
      <c r="H5820" s="42"/>
      <c r="I5820" s="42"/>
      <c r="J5820" s="42"/>
    </row>
    <row r="5821" spans="5:10">
      <c r="E5821" s="43">
        <v>45345.899305536092</v>
      </c>
      <c r="F5821" s="41">
        <v>20.513523025091555</v>
      </c>
      <c r="G5821" s="41">
        <v>0</v>
      </c>
      <c r="H5821" s="42"/>
      <c r="I5821" s="42"/>
      <c r="J5821" s="42"/>
    </row>
    <row r="5822" spans="5:10">
      <c r="E5822" s="43">
        <v>45345.902777758311</v>
      </c>
      <c r="F5822" s="41">
        <v>20.513523025091555</v>
      </c>
      <c r="G5822" s="41">
        <v>0</v>
      </c>
      <c r="H5822" s="42"/>
      <c r="I5822" s="42"/>
      <c r="J5822" s="42"/>
    </row>
    <row r="5823" spans="5:10">
      <c r="E5823" s="43">
        <v>45345.90624998053</v>
      </c>
      <c r="F5823" s="41">
        <v>20.513523025091555</v>
      </c>
      <c r="G5823" s="41">
        <v>0</v>
      </c>
      <c r="H5823" s="42"/>
      <c r="I5823" s="42"/>
      <c r="J5823" s="42"/>
    </row>
    <row r="5824" spans="5:10">
      <c r="E5824" s="43">
        <v>45345.909722202749</v>
      </c>
      <c r="F5824" s="41">
        <v>20.513523025091555</v>
      </c>
      <c r="G5824" s="41">
        <v>0</v>
      </c>
      <c r="H5824" s="42"/>
      <c r="I5824" s="42"/>
      <c r="J5824" s="42"/>
    </row>
    <row r="5825" spans="5:10">
      <c r="E5825" s="43">
        <v>45345.913194424968</v>
      </c>
      <c r="F5825" s="41">
        <v>20.513523025091555</v>
      </c>
      <c r="G5825" s="41">
        <v>0</v>
      </c>
      <c r="H5825" s="42"/>
      <c r="I5825" s="42"/>
      <c r="J5825" s="42"/>
    </row>
    <row r="5826" spans="5:10">
      <c r="E5826" s="43">
        <v>45345.916666647187</v>
      </c>
      <c r="F5826" s="41">
        <v>20.513523025091555</v>
      </c>
      <c r="G5826" s="41">
        <v>0</v>
      </c>
      <c r="H5826" s="42"/>
      <c r="I5826" s="42"/>
      <c r="J5826" s="42"/>
    </row>
    <row r="5827" spans="5:10">
      <c r="E5827" s="43">
        <v>45345.920138869405</v>
      </c>
      <c r="F5827" s="41">
        <v>20.513523025091555</v>
      </c>
      <c r="G5827" s="41">
        <v>0</v>
      </c>
      <c r="H5827" s="42"/>
      <c r="I5827" s="42"/>
      <c r="J5827" s="42"/>
    </row>
    <row r="5828" spans="5:10">
      <c r="E5828" s="43">
        <v>45345.923611091624</v>
      </c>
      <c r="F5828" s="41">
        <v>20.513523025091555</v>
      </c>
      <c r="G5828" s="41">
        <v>0</v>
      </c>
      <c r="H5828" s="42"/>
      <c r="I5828" s="42"/>
      <c r="J5828" s="42"/>
    </row>
    <row r="5829" spans="5:10">
      <c r="E5829" s="43">
        <v>45345.927083313843</v>
      </c>
      <c r="F5829" s="41">
        <v>20.513523025091555</v>
      </c>
      <c r="G5829" s="41">
        <v>0</v>
      </c>
      <c r="H5829" s="42"/>
      <c r="I5829" s="42"/>
      <c r="J5829" s="42"/>
    </row>
    <row r="5830" spans="5:10">
      <c r="E5830" s="43">
        <v>45345.930555536062</v>
      </c>
      <c r="F5830" s="41">
        <v>20.513523025091555</v>
      </c>
      <c r="G5830" s="41">
        <v>0</v>
      </c>
      <c r="H5830" s="42"/>
      <c r="I5830" s="42"/>
      <c r="J5830" s="42"/>
    </row>
    <row r="5831" spans="5:10">
      <c r="E5831" s="43">
        <v>45345.934027758281</v>
      </c>
      <c r="F5831" s="41">
        <v>20.513523025091555</v>
      </c>
      <c r="G5831" s="41">
        <v>0</v>
      </c>
      <c r="H5831" s="42"/>
      <c r="I5831" s="42"/>
      <c r="J5831" s="42"/>
    </row>
    <row r="5832" spans="5:10">
      <c r="E5832" s="43">
        <v>45345.9374999805</v>
      </c>
      <c r="F5832" s="41">
        <v>20.513523025091555</v>
      </c>
      <c r="G5832" s="41">
        <v>0</v>
      </c>
      <c r="H5832" s="42"/>
      <c r="I5832" s="42"/>
      <c r="J5832" s="42"/>
    </row>
    <row r="5833" spans="5:10">
      <c r="E5833" s="43">
        <v>45345.940972202719</v>
      </c>
      <c r="F5833" s="41">
        <v>20.513523025091555</v>
      </c>
      <c r="G5833" s="41">
        <v>0</v>
      </c>
      <c r="H5833" s="42"/>
      <c r="I5833" s="42"/>
      <c r="J5833" s="42"/>
    </row>
    <row r="5834" spans="5:10">
      <c r="E5834" s="43">
        <v>45345.944444424938</v>
      </c>
      <c r="F5834" s="41">
        <v>20.513523025091555</v>
      </c>
      <c r="G5834" s="41">
        <v>0</v>
      </c>
      <c r="H5834" s="42"/>
      <c r="I5834" s="42"/>
      <c r="J5834" s="42"/>
    </row>
    <row r="5835" spans="5:10">
      <c r="E5835" s="43">
        <v>45345.947916647157</v>
      </c>
      <c r="F5835" s="41">
        <v>20.513523025091555</v>
      </c>
      <c r="G5835" s="41">
        <v>0</v>
      </c>
      <c r="H5835" s="42"/>
      <c r="I5835" s="42"/>
      <c r="J5835" s="42"/>
    </row>
    <row r="5836" spans="5:10">
      <c r="E5836" s="43">
        <v>45345.951388869376</v>
      </c>
      <c r="F5836" s="41">
        <v>20.513523025091555</v>
      </c>
      <c r="G5836" s="41">
        <v>0</v>
      </c>
      <c r="H5836" s="42"/>
      <c r="I5836" s="42"/>
      <c r="J5836" s="42"/>
    </row>
    <row r="5837" spans="5:10">
      <c r="E5837" s="43">
        <v>45345.954861091595</v>
      </c>
      <c r="F5837" s="41">
        <v>20.513523025091555</v>
      </c>
      <c r="G5837" s="41">
        <v>0</v>
      </c>
      <c r="H5837" s="42"/>
      <c r="I5837" s="42"/>
      <c r="J5837" s="42"/>
    </row>
    <row r="5838" spans="5:10">
      <c r="E5838" s="43">
        <v>45345.958333313814</v>
      </c>
      <c r="F5838" s="41">
        <v>20.513523025091555</v>
      </c>
      <c r="G5838" s="41">
        <v>0</v>
      </c>
      <c r="H5838" s="42"/>
      <c r="I5838" s="42"/>
      <c r="J5838" s="42"/>
    </row>
    <row r="5839" spans="5:10">
      <c r="E5839" s="43">
        <v>45345.961805536033</v>
      </c>
      <c r="F5839" s="41">
        <v>20.513523025091555</v>
      </c>
      <c r="G5839" s="41">
        <v>0</v>
      </c>
      <c r="H5839" s="42"/>
      <c r="I5839" s="42"/>
      <c r="J5839" s="42"/>
    </row>
    <row r="5840" spans="5:10">
      <c r="E5840" s="43">
        <v>45345.965277758252</v>
      </c>
      <c r="F5840" s="41">
        <v>20.513523025091555</v>
      </c>
      <c r="G5840" s="41">
        <v>0</v>
      </c>
      <c r="H5840" s="42"/>
      <c r="I5840" s="42"/>
      <c r="J5840" s="42"/>
    </row>
    <row r="5841" spans="5:10">
      <c r="E5841" s="43">
        <v>45345.968749980471</v>
      </c>
      <c r="F5841" s="41">
        <v>20.513523025091555</v>
      </c>
      <c r="G5841" s="41">
        <v>0</v>
      </c>
      <c r="H5841" s="42"/>
      <c r="I5841" s="42"/>
      <c r="J5841" s="42"/>
    </row>
    <row r="5842" spans="5:10">
      <c r="E5842" s="43">
        <v>45345.97222220269</v>
      </c>
      <c r="F5842" s="41">
        <v>20.513523025091555</v>
      </c>
      <c r="G5842" s="41">
        <v>0</v>
      </c>
      <c r="H5842" s="42"/>
      <c r="I5842" s="42"/>
      <c r="J5842" s="42"/>
    </row>
    <row r="5843" spans="5:10">
      <c r="E5843" s="43">
        <v>45345.975694424909</v>
      </c>
      <c r="F5843" s="41">
        <v>20.513523025091555</v>
      </c>
      <c r="G5843" s="41">
        <v>0</v>
      </c>
      <c r="H5843" s="42"/>
      <c r="I5843" s="42"/>
      <c r="J5843" s="42"/>
    </row>
    <row r="5844" spans="5:10">
      <c r="E5844" s="43">
        <v>45345.979166647128</v>
      </c>
      <c r="F5844" s="41">
        <v>20.513523025091555</v>
      </c>
      <c r="G5844" s="41">
        <v>0</v>
      </c>
      <c r="H5844" s="42"/>
      <c r="I5844" s="42"/>
      <c r="J5844" s="42"/>
    </row>
    <row r="5845" spans="5:10">
      <c r="E5845" s="43">
        <v>45345.982638869347</v>
      </c>
      <c r="F5845" s="41">
        <v>20.513523025091555</v>
      </c>
      <c r="G5845" s="41">
        <v>0</v>
      </c>
      <c r="H5845" s="42"/>
      <c r="I5845" s="42"/>
      <c r="J5845" s="42"/>
    </row>
    <row r="5846" spans="5:10">
      <c r="E5846" s="43">
        <v>45345.986111091566</v>
      </c>
      <c r="F5846" s="41">
        <v>20.513523025091555</v>
      </c>
      <c r="G5846" s="41">
        <v>0</v>
      </c>
      <c r="H5846" s="42"/>
      <c r="I5846" s="42"/>
      <c r="J5846" s="42"/>
    </row>
    <row r="5847" spans="5:10">
      <c r="E5847" s="43">
        <v>45345.989583313785</v>
      </c>
      <c r="F5847" s="41">
        <v>20.513523025091555</v>
      </c>
      <c r="G5847" s="41">
        <v>0</v>
      </c>
      <c r="H5847" s="42"/>
      <c r="I5847" s="42"/>
      <c r="J5847" s="42"/>
    </row>
    <row r="5848" spans="5:10">
      <c r="E5848" s="43">
        <v>45345.993055536004</v>
      </c>
      <c r="F5848" s="41">
        <v>20.513523025091555</v>
      </c>
      <c r="G5848" s="41">
        <v>0</v>
      </c>
      <c r="H5848" s="42"/>
      <c r="I5848" s="42"/>
      <c r="J5848" s="42"/>
    </row>
    <row r="5849" spans="5:10">
      <c r="E5849" s="43">
        <v>45345.996527758223</v>
      </c>
      <c r="F5849" s="41">
        <v>20.513523025091555</v>
      </c>
      <c r="G5849" s="41">
        <v>0</v>
      </c>
      <c r="H5849" s="42"/>
      <c r="I5849" s="42"/>
      <c r="J5849" s="42"/>
    </row>
    <row r="5850" spans="5:10">
      <c r="E5850" s="43">
        <v>45345.999999980442</v>
      </c>
      <c r="F5850" s="41">
        <v>20.513523025091555</v>
      </c>
      <c r="G5850" s="41">
        <v>0</v>
      </c>
      <c r="H5850" s="42"/>
      <c r="I5850" s="42"/>
      <c r="J5850" s="42"/>
    </row>
    <row r="5851" spans="5:10">
      <c r="E5851" s="43">
        <v>45346.003472202661</v>
      </c>
      <c r="F5851" s="41">
        <v>20.513523025091555</v>
      </c>
      <c r="G5851" s="41">
        <v>0</v>
      </c>
      <c r="H5851" s="42"/>
      <c r="I5851" s="42"/>
      <c r="J5851" s="42"/>
    </row>
    <row r="5852" spans="5:10">
      <c r="E5852" s="43">
        <v>45346.00694442488</v>
      </c>
      <c r="F5852" s="41">
        <v>20.513523025091555</v>
      </c>
      <c r="G5852" s="41">
        <v>0</v>
      </c>
      <c r="H5852" s="42"/>
      <c r="I5852" s="42"/>
      <c r="J5852" s="42"/>
    </row>
    <row r="5853" spans="5:10">
      <c r="E5853" s="43">
        <v>45346.010416647099</v>
      </c>
      <c r="F5853" s="41">
        <v>20.513523025091555</v>
      </c>
      <c r="G5853" s="41">
        <v>0</v>
      </c>
      <c r="H5853" s="42"/>
      <c r="I5853" s="42"/>
      <c r="J5853" s="42"/>
    </row>
    <row r="5854" spans="5:10">
      <c r="E5854" s="43">
        <v>45346.013888869318</v>
      </c>
      <c r="F5854" s="41">
        <v>20.513523025091555</v>
      </c>
      <c r="G5854" s="41">
        <v>0</v>
      </c>
      <c r="H5854" s="42"/>
      <c r="I5854" s="42"/>
      <c r="J5854" s="42"/>
    </row>
    <row r="5855" spans="5:10">
      <c r="E5855" s="43">
        <v>45346.017361091537</v>
      </c>
      <c r="F5855" s="41">
        <v>20.513523025091555</v>
      </c>
      <c r="G5855" s="41">
        <v>0</v>
      </c>
      <c r="H5855" s="42"/>
      <c r="I5855" s="42"/>
      <c r="J5855" s="42"/>
    </row>
    <row r="5856" spans="5:10">
      <c r="E5856" s="43">
        <v>45346.020833313756</v>
      </c>
      <c r="F5856" s="41">
        <v>20.513523025091555</v>
      </c>
      <c r="G5856" s="41">
        <v>0</v>
      </c>
      <c r="H5856" s="42"/>
      <c r="I5856" s="42"/>
      <c r="J5856" s="42"/>
    </row>
    <row r="5857" spans="5:10">
      <c r="E5857" s="43">
        <v>45346.024305535975</v>
      </c>
      <c r="F5857" s="41">
        <v>20.513523025091555</v>
      </c>
      <c r="G5857" s="41">
        <v>0</v>
      </c>
      <c r="H5857" s="42"/>
      <c r="I5857" s="42"/>
      <c r="J5857" s="42"/>
    </row>
    <row r="5858" spans="5:10">
      <c r="E5858" s="43">
        <v>45346.027777758194</v>
      </c>
      <c r="F5858" s="41">
        <v>20.513523025091555</v>
      </c>
      <c r="G5858" s="41">
        <v>0</v>
      </c>
      <c r="H5858" s="42"/>
      <c r="I5858" s="42"/>
      <c r="J5858" s="42"/>
    </row>
    <row r="5859" spans="5:10">
      <c r="E5859" s="43">
        <v>45346.031249980413</v>
      </c>
      <c r="F5859" s="41">
        <v>20.513523025091555</v>
      </c>
      <c r="G5859" s="41">
        <v>0</v>
      </c>
      <c r="H5859" s="42"/>
      <c r="I5859" s="42"/>
      <c r="J5859" s="42"/>
    </row>
    <row r="5860" spans="5:10">
      <c r="E5860" s="43">
        <v>45346.034722202632</v>
      </c>
      <c r="F5860" s="41">
        <v>20.513523025091555</v>
      </c>
      <c r="G5860" s="41">
        <v>0</v>
      </c>
      <c r="H5860" s="42"/>
      <c r="I5860" s="42"/>
      <c r="J5860" s="42"/>
    </row>
    <row r="5861" spans="5:10">
      <c r="E5861" s="43">
        <v>45346.038194424851</v>
      </c>
      <c r="F5861" s="41">
        <v>20.513523025091555</v>
      </c>
      <c r="G5861" s="41">
        <v>0</v>
      </c>
      <c r="H5861" s="42"/>
      <c r="I5861" s="42"/>
      <c r="J5861" s="42"/>
    </row>
    <row r="5862" spans="5:10">
      <c r="E5862" s="43">
        <v>45346.04166664707</v>
      </c>
      <c r="F5862" s="41">
        <v>20.513523025091555</v>
      </c>
      <c r="G5862" s="41">
        <v>0</v>
      </c>
      <c r="H5862" s="42"/>
      <c r="I5862" s="42"/>
      <c r="J5862" s="42"/>
    </row>
    <row r="5863" spans="5:10">
      <c r="E5863" s="43">
        <v>45346.045138869289</v>
      </c>
      <c r="F5863" s="41">
        <v>20.513523025091555</v>
      </c>
      <c r="G5863" s="41">
        <v>0</v>
      </c>
      <c r="H5863" s="42"/>
      <c r="I5863" s="42"/>
      <c r="J5863" s="42"/>
    </row>
    <row r="5864" spans="5:10">
      <c r="E5864" s="43">
        <v>45346.048611091508</v>
      </c>
      <c r="F5864" s="41">
        <v>20.513523025091555</v>
      </c>
      <c r="G5864" s="41">
        <v>0</v>
      </c>
      <c r="H5864" s="42"/>
      <c r="I5864" s="42"/>
      <c r="J5864" s="42"/>
    </row>
    <row r="5865" spans="5:10">
      <c r="E5865" s="43">
        <v>45346.052083313727</v>
      </c>
      <c r="F5865" s="41">
        <v>20.513523025091555</v>
      </c>
      <c r="G5865" s="41">
        <v>0</v>
      </c>
      <c r="H5865" s="42"/>
      <c r="I5865" s="42"/>
      <c r="J5865" s="42"/>
    </row>
    <row r="5866" spans="5:10">
      <c r="E5866" s="43">
        <v>45346.055555535946</v>
      </c>
      <c r="F5866" s="41">
        <v>20.513523025091555</v>
      </c>
      <c r="G5866" s="41">
        <v>0</v>
      </c>
      <c r="H5866" s="42"/>
      <c r="I5866" s="42"/>
      <c r="J5866" s="42"/>
    </row>
    <row r="5867" spans="5:10">
      <c r="E5867" s="43">
        <v>45346.059027758165</v>
      </c>
      <c r="F5867" s="41">
        <v>20.513523025091555</v>
      </c>
      <c r="G5867" s="41">
        <v>0</v>
      </c>
      <c r="H5867" s="42"/>
      <c r="I5867" s="42"/>
      <c r="J5867" s="42"/>
    </row>
    <row r="5868" spans="5:10">
      <c r="E5868" s="43">
        <v>45346.062499980384</v>
      </c>
      <c r="F5868" s="41">
        <v>20.513523025091555</v>
      </c>
      <c r="G5868" s="41">
        <v>0</v>
      </c>
      <c r="H5868" s="42"/>
      <c r="I5868" s="42"/>
      <c r="J5868" s="42"/>
    </row>
    <row r="5869" spans="5:10">
      <c r="E5869" s="43">
        <v>45346.065972202603</v>
      </c>
      <c r="F5869" s="41">
        <v>20.513523025091555</v>
      </c>
      <c r="G5869" s="41">
        <v>0</v>
      </c>
      <c r="H5869" s="42"/>
      <c r="I5869" s="42"/>
      <c r="J5869" s="42"/>
    </row>
    <row r="5870" spans="5:10">
      <c r="E5870" s="43">
        <v>45346.069444424822</v>
      </c>
      <c r="F5870" s="41">
        <v>20.513523025091555</v>
      </c>
      <c r="G5870" s="41">
        <v>0</v>
      </c>
      <c r="H5870" s="42"/>
      <c r="I5870" s="42"/>
      <c r="J5870" s="42"/>
    </row>
    <row r="5871" spans="5:10">
      <c r="E5871" s="43">
        <v>45346.072916647041</v>
      </c>
      <c r="F5871" s="41">
        <v>20.513523025091555</v>
      </c>
      <c r="G5871" s="41">
        <v>0</v>
      </c>
      <c r="H5871" s="42"/>
      <c r="I5871" s="42"/>
      <c r="J5871" s="42"/>
    </row>
    <row r="5872" spans="5:10">
      <c r="E5872" s="43">
        <v>45346.07638886926</v>
      </c>
      <c r="F5872" s="41">
        <v>20.513523025091555</v>
      </c>
      <c r="G5872" s="41">
        <v>0</v>
      </c>
      <c r="H5872" s="42"/>
      <c r="I5872" s="42"/>
      <c r="J5872" s="42"/>
    </row>
    <row r="5873" spans="5:10">
      <c r="E5873" s="43">
        <v>45346.079861091479</v>
      </c>
      <c r="F5873" s="41">
        <v>20.513523025091555</v>
      </c>
      <c r="G5873" s="41">
        <v>0</v>
      </c>
      <c r="H5873" s="42"/>
      <c r="I5873" s="42"/>
      <c r="J5873" s="42"/>
    </row>
    <row r="5874" spans="5:10">
      <c r="E5874" s="43">
        <v>45346.083333313698</v>
      </c>
      <c r="F5874" s="41">
        <v>20.513523025091555</v>
      </c>
      <c r="G5874" s="41">
        <v>0</v>
      </c>
      <c r="H5874" s="42"/>
      <c r="I5874" s="42"/>
      <c r="J5874" s="42"/>
    </row>
    <row r="5875" spans="5:10">
      <c r="E5875" s="43">
        <v>45346.086805535917</v>
      </c>
      <c r="F5875" s="41">
        <v>20.513523025091555</v>
      </c>
      <c r="G5875" s="41">
        <v>0</v>
      </c>
      <c r="H5875" s="42"/>
      <c r="I5875" s="42"/>
      <c r="J5875" s="42"/>
    </row>
    <row r="5876" spans="5:10">
      <c r="E5876" s="43">
        <v>45346.090277758136</v>
      </c>
      <c r="F5876" s="41">
        <v>20.513523025091555</v>
      </c>
      <c r="G5876" s="41">
        <v>0</v>
      </c>
      <c r="H5876" s="42"/>
      <c r="I5876" s="42"/>
      <c r="J5876" s="42"/>
    </row>
    <row r="5877" spans="5:10">
      <c r="E5877" s="43">
        <v>45346.093749980355</v>
      </c>
      <c r="F5877" s="41">
        <v>20.513523025091555</v>
      </c>
      <c r="G5877" s="41">
        <v>0</v>
      </c>
      <c r="H5877" s="42"/>
      <c r="I5877" s="42"/>
      <c r="J5877" s="42"/>
    </row>
    <row r="5878" spans="5:10">
      <c r="E5878" s="43">
        <v>45346.097222202574</v>
      </c>
      <c r="F5878" s="41">
        <v>20.513523025091555</v>
      </c>
      <c r="G5878" s="41">
        <v>0</v>
      </c>
      <c r="H5878" s="42"/>
      <c r="I5878" s="42"/>
      <c r="J5878" s="42"/>
    </row>
    <row r="5879" spans="5:10">
      <c r="E5879" s="43">
        <v>45346.100694424793</v>
      </c>
      <c r="F5879" s="41">
        <v>20.513523025091555</v>
      </c>
      <c r="G5879" s="41">
        <v>0</v>
      </c>
      <c r="H5879" s="42"/>
      <c r="I5879" s="42"/>
      <c r="J5879" s="42"/>
    </row>
    <row r="5880" spans="5:10">
      <c r="E5880" s="43">
        <v>45346.104166647012</v>
      </c>
      <c r="F5880" s="41">
        <v>20.513523025091555</v>
      </c>
      <c r="G5880" s="41">
        <v>0</v>
      </c>
      <c r="H5880" s="42"/>
      <c r="I5880" s="42"/>
      <c r="J5880" s="42"/>
    </row>
    <row r="5881" spans="5:10">
      <c r="E5881" s="43">
        <v>45346.107638869231</v>
      </c>
      <c r="F5881" s="41">
        <v>20.513523025091555</v>
      </c>
      <c r="G5881" s="41">
        <v>0</v>
      </c>
      <c r="H5881" s="42"/>
      <c r="I5881" s="42"/>
      <c r="J5881" s="42"/>
    </row>
    <row r="5882" spans="5:10">
      <c r="E5882" s="43">
        <v>45346.11111109145</v>
      </c>
      <c r="F5882" s="41">
        <v>20.513523025091555</v>
      </c>
      <c r="G5882" s="41">
        <v>0</v>
      </c>
      <c r="H5882" s="42"/>
      <c r="I5882" s="42"/>
      <c r="J5882" s="42"/>
    </row>
    <row r="5883" spans="5:10">
      <c r="E5883" s="43">
        <v>45346.114583313669</v>
      </c>
      <c r="F5883" s="41">
        <v>20.513523025091555</v>
      </c>
      <c r="G5883" s="41">
        <v>0</v>
      </c>
      <c r="H5883" s="42"/>
      <c r="I5883" s="42"/>
      <c r="J5883" s="42"/>
    </row>
    <row r="5884" spans="5:10">
      <c r="E5884" s="43">
        <v>45346.118055535888</v>
      </c>
      <c r="F5884" s="41">
        <v>20.513523025091555</v>
      </c>
      <c r="G5884" s="41">
        <v>0</v>
      </c>
      <c r="H5884" s="42"/>
      <c r="I5884" s="42"/>
      <c r="J5884" s="42"/>
    </row>
    <row r="5885" spans="5:10">
      <c r="E5885" s="43">
        <v>45346.121527758107</v>
      </c>
      <c r="F5885" s="41">
        <v>20.513523025091555</v>
      </c>
      <c r="G5885" s="41">
        <v>0</v>
      </c>
      <c r="H5885" s="42"/>
      <c r="I5885" s="42"/>
      <c r="J5885" s="42"/>
    </row>
    <row r="5886" spans="5:10">
      <c r="E5886" s="43">
        <v>45346.124999980326</v>
      </c>
      <c r="F5886" s="41">
        <v>20.513523025091555</v>
      </c>
      <c r="G5886" s="41">
        <v>0</v>
      </c>
      <c r="H5886" s="42"/>
      <c r="I5886" s="42"/>
      <c r="J5886" s="42"/>
    </row>
    <row r="5887" spans="5:10">
      <c r="E5887" s="43">
        <v>45346.128472202545</v>
      </c>
      <c r="F5887" s="41">
        <v>20.513523025091555</v>
      </c>
      <c r="G5887" s="41">
        <v>0</v>
      </c>
      <c r="H5887" s="42"/>
      <c r="I5887" s="42"/>
      <c r="J5887" s="42"/>
    </row>
    <row r="5888" spans="5:10">
      <c r="E5888" s="43">
        <v>45346.131944424764</v>
      </c>
      <c r="F5888" s="41">
        <v>20.513523025091555</v>
      </c>
      <c r="G5888" s="41">
        <v>0</v>
      </c>
      <c r="H5888" s="42"/>
      <c r="I5888" s="42"/>
      <c r="J5888" s="42"/>
    </row>
    <row r="5889" spans="5:10">
      <c r="E5889" s="43">
        <v>45346.135416646983</v>
      </c>
      <c r="F5889" s="41">
        <v>20.513523025091555</v>
      </c>
      <c r="G5889" s="41">
        <v>0</v>
      </c>
      <c r="H5889" s="42"/>
      <c r="I5889" s="42"/>
      <c r="J5889" s="42"/>
    </row>
    <row r="5890" spans="5:10">
      <c r="E5890" s="43">
        <v>45346.138888869202</v>
      </c>
      <c r="F5890" s="41">
        <v>20.513523025091555</v>
      </c>
      <c r="G5890" s="41">
        <v>0</v>
      </c>
      <c r="H5890" s="42"/>
      <c r="I5890" s="42"/>
      <c r="J5890" s="42"/>
    </row>
    <row r="5891" spans="5:10">
      <c r="E5891" s="43">
        <v>45346.142361091421</v>
      </c>
      <c r="F5891" s="41">
        <v>20.513523025091555</v>
      </c>
      <c r="G5891" s="41">
        <v>0</v>
      </c>
      <c r="H5891" s="42"/>
      <c r="I5891" s="42"/>
      <c r="J5891" s="42"/>
    </row>
    <row r="5892" spans="5:10">
      <c r="E5892" s="43">
        <v>45346.14583331364</v>
      </c>
      <c r="F5892" s="41">
        <v>20.513523025091555</v>
      </c>
      <c r="G5892" s="41">
        <v>0</v>
      </c>
      <c r="H5892" s="42"/>
      <c r="I5892" s="42"/>
      <c r="J5892" s="42"/>
    </row>
    <row r="5893" spans="5:10">
      <c r="E5893" s="43">
        <v>45346.149305535859</v>
      </c>
      <c r="F5893" s="41">
        <v>20.513523025091555</v>
      </c>
      <c r="G5893" s="41">
        <v>0</v>
      </c>
      <c r="H5893" s="42"/>
      <c r="I5893" s="42"/>
      <c r="J5893" s="42"/>
    </row>
    <row r="5894" spans="5:10">
      <c r="E5894" s="43">
        <v>45346.152777758078</v>
      </c>
      <c r="F5894" s="41">
        <v>20.513523025091555</v>
      </c>
      <c r="G5894" s="41">
        <v>0</v>
      </c>
      <c r="H5894" s="42"/>
      <c r="I5894" s="42"/>
      <c r="J5894" s="42"/>
    </row>
    <row r="5895" spans="5:10">
      <c r="E5895" s="43">
        <v>45346.156249980297</v>
      </c>
      <c r="F5895" s="41">
        <v>20.513523025091555</v>
      </c>
      <c r="G5895" s="41">
        <v>0</v>
      </c>
      <c r="H5895" s="42"/>
      <c r="I5895" s="42"/>
      <c r="J5895" s="42"/>
    </row>
    <row r="5896" spans="5:10">
      <c r="E5896" s="43">
        <v>45346.159722202516</v>
      </c>
      <c r="F5896" s="41">
        <v>20.513523025091555</v>
      </c>
      <c r="G5896" s="41">
        <v>0</v>
      </c>
      <c r="H5896" s="42"/>
      <c r="I5896" s="42"/>
      <c r="J5896" s="42"/>
    </row>
    <row r="5897" spans="5:10">
      <c r="E5897" s="43">
        <v>45346.163194424735</v>
      </c>
      <c r="F5897" s="41">
        <v>20.513523025091555</v>
      </c>
      <c r="G5897" s="41">
        <v>0</v>
      </c>
      <c r="H5897" s="42"/>
      <c r="I5897" s="42"/>
      <c r="J5897" s="42"/>
    </row>
    <row r="5898" spans="5:10">
      <c r="E5898" s="43">
        <v>45346.166666646954</v>
      </c>
      <c r="F5898" s="41">
        <v>20.513523025091555</v>
      </c>
      <c r="G5898" s="41">
        <v>0</v>
      </c>
      <c r="H5898" s="42"/>
      <c r="I5898" s="42"/>
      <c r="J5898" s="42"/>
    </row>
    <row r="5899" spans="5:10">
      <c r="E5899" s="43">
        <v>45346.170138869173</v>
      </c>
      <c r="F5899" s="41">
        <v>20.513523025091555</v>
      </c>
      <c r="G5899" s="41">
        <v>0</v>
      </c>
      <c r="H5899" s="42"/>
      <c r="I5899" s="42"/>
      <c r="J5899" s="42"/>
    </row>
    <row r="5900" spans="5:10">
      <c r="E5900" s="43">
        <v>45346.173611091392</v>
      </c>
      <c r="F5900" s="41">
        <v>20.513523025091555</v>
      </c>
      <c r="G5900" s="41">
        <v>0</v>
      </c>
      <c r="H5900" s="42"/>
      <c r="I5900" s="42"/>
      <c r="J5900" s="42"/>
    </row>
    <row r="5901" spans="5:10">
      <c r="E5901" s="43">
        <v>45346.177083313611</v>
      </c>
      <c r="F5901" s="41">
        <v>20.513523025091555</v>
      </c>
      <c r="G5901" s="41">
        <v>0</v>
      </c>
      <c r="H5901" s="42"/>
      <c r="I5901" s="42"/>
      <c r="J5901" s="42"/>
    </row>
    <row r="5902" spans="5:10">
      <c r="E5902" s="43">
        <v>45346.18055553583</v>
      </c>
      <c r="F5902" s="41">
        <v>20.513523025091555</v>
      </c>
      <c r="G5902" s="41">
        <v>0</v>
      </c>
      <c r="H5902" s="42"/>
      <c r="I5902" s="42"/>
      <c r="J5902" s="42"/>
    </row>
    <row r="5903" spans="5:10">
      <c r="E5903" s="43">
        <v>45346.184027758049</v>
      </c>
      <c r="F5903" s="41">
        <v>20.513523025091555</v>
      </c>
      <c r="G5903" s="41">
        <v>0</v>
      </c>
      <c r="H5903" s="42"/>
      <c r="I5903" s="42"/>
      <c r="J5903" s="42"/>
    </row>
    <row r="5904" spans="5:10">
      <c r="E5904" s="43">
        <v>45346.187499980268</v>
      </c>
      <c r="F5904" s="41">
        <v>20.513523025091555</v>
      </c>
      <c r="G5904" s="41">
        <v>0</v>
      </c>
      <c r="H5904" s="42"/>
      <c r="I5904" s="42"/>
      <c r="J5904" s="42"/>
    </row>
    <row r="5905" spans="5:10">
      <c r="E5905" s="43">
        <v>45346.190972202487</v>
      </c>
      <c r="F5905" s="41">
        <v>20.513523025091555</v>
      </c>
      <c r="G5905" s="41">
        <v>0</v>
      </c>
      <c r="H5905" s="42"/>
      <c r="I5905" s="42"/>
      <c r="J5905" s="42"/>
    </row>
    <row r="5906" spans="5:10">
      <c r="E5906" s="43">
        <v>45346.194444424706</v>
      </c>
      <c r="F5906" s="41">
        <v>20.513523025091555</v>
      </c>
      <c r="G5906" s="41">
        <v>0</v>
      </c>
      <c r="H5906" s="42"/>
      <c r="I5906" s="42"/>
      <c r="J5906" s="42"/>
    </row>
    <row r="5907" spans="5:10">
      <c r="E5907" s="43">
        <v>45346.197916646925</v>
      </c>
      <c r="F5907" s="41">
        <v>20.513523025091555</v>
      </c>
      <c r="G5907" s="41">
        <v>0</v>
      </c>
      <c r="H5907" s="42"/>
      <c r="I5907" s="42"/>
      <c r="J5907" s="42"/>
    </row>
    <row r="5908" spans="5:10">
      <c r="E5908" s="43">
        <v>45346.201388869144</v>
      </c>
      <c r="F5908" s="41">
        <v>20.513523025091555</v>
      </c>
      <c r="G5908" s="41">
        <v>0</v>
      </c>
      <c r="H5908" s="42"/>
      <c r="I5908" s="42"/>
      <c r="J5908" s="42"/>
    </row>
    <row r="5909" spans="5:10">
      <c r="E5909" s="43">
        <v>45346.204861091363</v>
      </c>
      <c r="F5909" s="41">
        <v>20.513523025091555</v>
      </c>
      <c r="G5909" s="41">
        <v>0</v>
      </c>
      <c r="H5909" s="42"/>
      <c r="I5909" s="42"/>
      <c r="J5909" s="42"/>
    </row>
    <row r="5910" spans="5:10">
      <c r="E5910" s="43">
        <v>45346.208333313582</v>
      </c>
      <c r="F5910" s="41">
        <v>20.513523025091555</v>
      </c>
      <c r="G5910" s="41">
        <v>0</v>
      </c>
      <c r="H5910" s="42"/>
      <c r="I5910" s="42"/>
      <c r="J5910" s="42"/>
    </row>
    <row r="5911" spans="5:10">
      <c r="E5911" s="43">
        <v>45346.211805535801</v>
      </c>
      <c r="F5911" s="41">
        <v>20.513523025091555</v>
      </c>
      <c r="G5911" s="41">
        <v>0</v>
      </c>
      <c r="H5911" s="42"/>
      <c r="I5911" s="42"/>
      <c r="J5911" s="42"/>
    </row>
    <row r="5912" spans="5:10">
      <c r="E5912" s="43">
        <v>45346.21527775802</v>
      </c>
      <c r="F5912" s="41">
        <v>20.513523025091555</v>
      </c>
      <c r="G5912" s="41">
        <v>0</v>
      </c>
      <c r="H5912" s="42"/>
      <c r="I5912" s="42"/>
      <c r="J5912" s="42"/>
    </row>
    <row r="5913" spans="5:10">
      <c r="E5913" s="43">
        <v>45346.218749980238</v>
      </c>
      <c r="F5913" s="41">
        <v>20.513523025091555</v>
      </c>
      <c r="G5913" s="41">
        <v>0</v>
      </c>
      <c r="H5913" s="42"/>
      <c r="I5913" s="42"/>
      <c r="J5913" s="42"/>
    </row>
    <row r="5914" spans="5:10">
      <c r="E5914" s="43">
        <v>45346.222222202457</v>
      </c>
      <c r="F5914" s="41">
        <v>20.513523025091555</v>
      </c>
      <c r="G5914" s="41">
        <v>0</v>
      </c>
      <c r="H5914" s="42"/>
      <c r="I5914" s="42"/>
      <c r="J5914" s="42"/>
    </row>
    <row r="5915" spans="5:10">
      <c r="E5915" s="43">
        <v>45346.225694424676</v>
      </c>
      <c r="F5915" s="41">
        <v>20.513523025091555</v>
      </c>
      <c r="G5915" s="41">
        <v>0</v>
      </c>
      <c r="H5915" s="42"/>
      <c r="I5915" s="42"/>
      <c r="J5915" s="42"/>
    </row>
    <row r="5916" spans="5:10">
      <c r="E5916" s="43">
        <v>45346.229166646895</v>
      </c>
      <c r="F5916" s="41">
        <v>20.513523025091555</v>
      </c>
      <c r="G5916" s="41">
        <v>0</v>
      </c>
      <c r="H5916" s="42"/>
      <c r="I5916" s="42"/>
      <c r="J5916" s="42"/>
    </row>
    <row r="5917" spans="5:10">
      <c r="E5917" s="43">
        <v>45346.232638869114</v>
      </c>
      <c r="F5917" s="41">
        <v>20.513523025091555</v>
      </c>
      <c r="G5917" s="41">
        <v>0</v>
      </c>
      <c r="H5917" s="42"/>
      <c r="I5917" s="42"/>
      <c r="J5917" s="42"/>
    </row>
    <row r="5918" spans="5:10">
      <c r="E5918" s="43">
        <v>45346.236111091333</v>
      </c>
      <c r="F5918" s="41">
        <v>20.513523025091555</v>
      </c>
      <c r="G5918" s="41">
        <v>0</v>
      </c>
      <c r="H5918" s="42"/>
      <c r="I5918" s="42"/>
      <c r="J5918" s="42"/>
    </row>
    <row r="5919" spans="5:10">
      <c r="E5919" s="43">
        <v>45346.239583313552</v>
      </c>
      <c r="F5919" s="41">
        <v>20.513523025091555</v>
      </c>
      <c r="G5919" s="41">
        <v>0</v>
      </c>
      <c r="H5919" s="42"/>
      <c r="I5919" s="42"/>
      <c r="J5919" s="42"/>
    </row>
    <row r="5920" spans="5:10">
      <c r="E5920" s="43">
        <v>45346.243055535771</v>
      </c>
      <c r="F5920" s="41">
        <v>20.513523025091555</v>
      </c>
      <c r="G5920" s="41">
        <v>0</v>
      </c>
      <c r="H5920" s="42"/>
      <c r="I5920" s="42"/>
      <c r="J5920" s="42"/>
    </row>
    <row r="5921" spans="5:10">
      <c r="E5921" s="43">
        <v>45346.24652775799</v>
      </c>
      <c r="F5921" s="41">
        <v>20.513523025091555</v>
      </c>
      <c r="G5921" s="41">
        <v>0</v>
      </c>
      <c r="H5921" s="42"/>
      <c r="I5921" s="42"/>
      <c r="J5921" s="42"/>
    </row>
    <row r="5922" spans="5:10">
      <c r="E5922" s="43">
        <v>45346.249999980209</v>
      </c>
      <c r="F5922" s="41">
        <v>20.513523025091555</v>
      </c>
      <c r="G5922" s="41">
        <v>0</v>
      </c>
      <c r="H5922" s="42"/>
      <c r="I5922" s="42"/>
      <c r="J5922" s="42"/>
    </row>
    <row r="5923" spans="5:10">
      <c r="E5923" s="43">
        <v>45346.253472202428</v>
      </c>
      <c r="F5923" s="41">
        <v>20.513523025091555</v>
      </c>
      <c r="G5923" s="41">
        <v>0</v>
      </c>
      <c r="H5923" s="42"/>
      <c r="I5923" s="42"/>
      <c r="J5923" s="42"/>
    </row>
    <row r="5924" spans="5:10">
      <c r="E5924" s="43">
        <v>45346.256944424647</v>
      </c>
      <c r="F5924" s="41">
        <v>20.513523025091555</v>
      </c>
      <c r="G5924" s="41">
        <v>0</v>
      </c>
      <c r="H5924" s="42"/>
      <c r="I5924" s="42"/>
      <c r="J5924" s="42"/>
    </row>
    <row r="5925" spans="5:10">
      <c r="E5925" s="43">
        <v>45346.260416646866</v>
      </c>
      <c r="F5925" s="41">
        <v>20.513523025091555</v>
      </c>
      <c r="G5925" s="41">
        <v>0</v>
      </c>
      <c r="H5925" s="42"/>
      <c r="I5925" s="42"/>
      <c r="J5925" s="42"/>
    </row>
    <row r="5926" spans="5:10">
      <c r="E5926" s="43">
        <v>45346.263888869085</v>
      </c>
      <c r="F5926" s="41">
        <v>20.513523025091555</v>
      </c>
      <c r="G5926" s="41">
        <v>0</v>
      </c>
      <c r="H5926" s="42"/>
      <c r="I5926" s="42"/>
      <c r="J5926" s="42"/>
    </row>
    <row r="5927" spans="5:10">
      <c r="E5927" s="43">
        <v>45346.267361091304</v>
      </c>
      <c r="F5927" s="41">
        <v>20.513523025091555</v>
      </c>
      <c r="G5927" s="41">
        <v>0</v>
      </c>
      <c r="H5927" s="42"/>
      <c r="I5927" s="42"/>
      <c r="J5927" s="42"/>
    </row>
    <row r="5928" spans="5:10">
      <c r="E5928" s="43">
        <v>45346.270833313523</v>
      </c>
      <c r="F5928" s="41">
        <v>20.513523025091555</v>
      </c>
      <c r="G5928" s="41">
        <v>0</v>
      </c>
      <c r="H5928" s="42"/>
      <c r="I5928" s="42"/>
      <c r="J5928" s="42"/>
    </row>
    <row r="5929" spans="5:10">
      <c r="E5929" s="43">
        <v>45346.274305535742</v>
      </c>
      <c r="F5929" s="41">
        <v>20.513523025091555</v>
      </c>
      <c r="G5929" s="41">
        <v>0</v>
      </c>
      <c r="H5929" s="42"/>
      <c r="I5929" s="42"/>
      <c r="J5929" s="42"/>
    </row>
    <row r="5930" spans="5:10">
      <c r="E5930" s="43">
        <v>45346.277777757961</v>
      </c>
      <c r="F5930" s="41">
        <v>20.513523025091555</v>
      </c>
      <c r="G5930" s="41">
        <v>0</v>
      </c>
      <c r="H5930" s="42"/>
      <c r="I5930" s="42"/>
      <c r="J5930" s="42"/>
    </row>
    <row r="5931" spans="5:10">
      <c r="E5931" s="43">
        <v>45346.28124998018</v>
      </c>
      <c r="F5931" s="41">
        <v>20.513523025091555</v>
      </c>
      <c r="G5931" s="41">
        <v>0</v>
      </c>
      <c r="H5931" s="42"/>
      <c r="I5931" s="42"/>
      <c r="J5931" s="42"/>
    </row>
    <row r="5932" spans="5:10">
      <c r="E5932" s="43">
        <v>45346.284722202399</v>
      </c>
      <c r="F5932" s="41">
        <v>20.513523025091555</v>
      </c>
      <c r="G5932" s="41">
        <v>0</v>
      </c>
      <c r="H5932" s="42"/>
      <c r="I5932" s="42"/>
      <c r="J5932" s="42"/>
    </row>
    <row r="5933" spans="5:10">
      <c r="E5933" s="43">
        <v>45346.288194424618</v>
      </c>
      <c r="F5933" s="41">
        <v>20.513523025091555</v>
      </c>
      <c r="G5933" s="41">
        <v>0</v>
      </c>
      <c r="H5933" s="42"/>
      <c r="I5933" s="42"/>
      <c r="J5933" s="42"/>
    </row>
    <row r="5934" spans="5:10">
      <c r="E5934" s="43">
        <v>45346.291666646837</v>
      </c>
      <c r="F5934" s="41">
        <v>20.513523025091555</v>
      </c>
      <c r="G5934" s="41">
        <v>0</v>
      </c>
      <c r="H5934" s="42"/>
      <c r="I5934" s="42"/>
      <c r="J5934" s="42"/>
    </row>
    <row r="5935" spans="5:10">
      <c r="E5935" s="43">
        <v>45346.295138869056</v>
      </c>
      <c r="F5935" s="41">
        <v>20.513523025091555</v>
      </c>
      <c r="G5935" s="41">
        <v>0</v>
      </c>
      <c r="H5935" s="42"/>
      <c r="I5935" s="42"/>
      <c r="J5935" s="42"/>
    </row>
    <row r="5936" spans="5:10">
      <c r="E5936" s="43">
        <v>45346.298611091275</v>
      </c>
      <c r="F5936" s="41">
        <v>20.513523025091555</v>
      </c>
      <c r="G5936" s="41">
        <v>0</v>
      </c>
      <c r="H5936" s="42"/>
      <c r="I5936" s="42"/>
      <c r="J5936" s="42"/>
    </row>
    <row r="5937" spans="5:10">
      <c r="E5937" s="43">
        <v>45346.302083313494</v>
      </c>
      <c r="F5937" s="41">
        <v>20.513523025091555</v>
      </c>
      <c r="G5937" s="41">
        <v>0</v>
      </c>
      <c r="H5937" s="42"/>
      <c r="I5937" s="42"/>
      <c r="J5937" s="42"/>
    </row>
    <row r="5938" spans="5:10">
      <c r="E5938" s="43">
        <v>45346.305555535713</v>
      </c>
      <c r="F5938" s="41">
        <v>20.513523025091555</v>
      </c>
      <c r="G5938" s="41">
        <v>0</v>
      </c>
      <c r="H5938" s="42"/>
      <c r="I5938" s="42"/>
      <c r="J5938" s="42"/>
    </row>
    <row r="5939" spans="5:10">
      <c r="E5939" s="43">
        <v>45346.309027757932</v>
      </c>
      <c r="F5939" s="41">
        <v>20.513523025091555</v>
      </c>
      <c r="G5939" s="41">
        <v>0</v>
      </c>
      <c r="H5939" s="42"/>
      <c r="I5939" s="42"/>
      <c r="J5939" s="42"/>
    </row>
    <row r="5940" spans="5:10">
      <c r="E5940" s="43">
        <v>45346.312499980151</v>
      </c>
      <c r="F5940" s="41">
        <v>20.513523025091555</v>
      </c>
      <c r="G5940" s="41">
        <v>0</v>
      </c>
      <c r="H5940" s="42"/>
      <c r="I5940" s="42"/>
      <c r="J5940" s="42"/>
    </row>
    <row r="5941" spans="5:10">
      <c r="E5941" s="43">
        <v>45346.31597220237</v>
      </c>
      <c r="F5941" s="41">
        <v>20.513523025091555</v>
      </c>
      <c r="G5941" s="41">
        <v>0</v>
      </c>
      <c r="H5941" s="42"/>
      <c r="I5941" s="42"/>
      <c r="J5941" s="42"/>
    </row>
    <row r="5942" spans="5:10">
      <c r="E5942" s="43">
        <v>45346.319444424589</v>
      </c>
      <c r="F5942" s="41">
        <v>20.513523025091555</v>
      </c>
      <c r="G5942" s="41">
        <v>0</v>
      </c>
      <c r="H5942" s="42"/>
      <c r="I5942" s="42"/>
      <c r="J5942" s="42"/>
    </row>
    <row r="5943" spans="5:10">
      <c r="E5943" s="43">
        <v>45346.322916646808</v>
      </c>
      <c r="F5943" s="41">
        <v>20.513523025091555</v>
      </c>
      <c r="G5943" s="41">
        <v>0</v>
      </c>
      <c r="H5943" s="42"/>
      <c r="I5943" s="42"/>
      <c r="J5943" s="42"/>
    </row>
    <row r="5944" spans="5:10">
      <c r="E5944" s="43">
        <v>45346.326388869027</v>
      </c>
      <c r="F5944" s="41">
        <v>20.513523025091555</v>
      </c>
      <c r="G5944" s="41">
        <v>0</v>
      </c>
      <c r="H5944" s="42"/>
      <c r="I5944" s="42"/>
      <c r="J5944" s="42"/>
    </row>
    <row r="5945" spans="5:10">
      <c r="E5945" s="43">
        <v>45346.329861091246</v>
      </c>
      <c r="F5945" s="41">
        <v>20.513523025091555</v>
      </c>
      <c r="G5945" s="41">
        <v>0</v>
      </c>
      <c r="H5945" s="42"/>
      <c r="I5945" s="42"/>
      <c r="J5945" s="42"/>
    </row>
    <row r="5946" spans="5:10">
      <c r="E5946" s="43">
        <v>45346.333333313465</v>
      </c>
      <c r="F5946" s="41">
        <v>20.513523025091555</v>
      </c>
      <c r="G5946" s="41">
        <v>0</v>
      </c>
      <c r="H5946" s="42"/>
      <c r="I5946" s="42"/>
      <c r="J5946" s="42"/>
    </row>
    <row r="5947" spans="5:10">
      <c r="E5947" s="43">
        <v>45346.336805535684</v>
      </c>
      <c r="F5947" s="41">
        <v>20.513523025091555</v>
      </c>
      <c r="G5947" s="41">
        <v>0</v>
      </c>
      <c r="H5947" s="42"/>
      <c r="I5947" s="42"/>
      <c r="J5947" s="42"/>
    </row>
    <row r="5948" spans="5:10">
      <c r="E5948" s="43">
        <v>45346.340277757903</v>
      </c>
      <c r="F5948" s="41">
        <v>20.513523025091555</v>
      </c>
      <c r="G5948" s="41">
        <v>0</v>
      </c>
      <c r="H5948" s="42"/>
      <c r="I5948" s="42"/>
      <c r="J5948" s="42"/>
    </row>
    <row r="5949" spans="5:10">
      <c r="E5949" s="43">
        <v>45346.343749980122</v>
      </c>
      <c r="F5949" s="41">
        <v>20.513523025091555</v>
      </c>
      <c r="G5949" s="41">
        <v>0</v>
      </c>
      <c r="H5949" s="42"/>
      <c r="I5949" s="42"/>
      <c r="J5949" s="42"/>
    </row>
    <row r="5950" spans="5:10">
      <c r="E5950" s="43">
        <v>45346.347222202341</v>
      </c>
      <c r="F5950" s="41">
        <v>20.513523025091555</v>
      </c>
      <c r="G5950" s="41">
        <v>0</v>
      </c>
      <c r="H5950" s="42"/>
      <c r="I5950" s="42"/>
      <c r="J5950" s="42"/>
    </row>
    <row r="5951" spans="5:10">
      <c r="E5951" s="43">
        <v>45346.35069442456</v>
      </c>
      <c r="F5951" s="41">
        <v>20.513523025091555</v>
      </c>
      <c r="G5951" s="41">
        <v>0</v>
      </c>
      <c r="H5951" s="42"/>
      <c r="I5951" s="42"/>
      <c r="J5951" s="42"/>
    </row>
    <row r="5952" spans="5:10">
      <c r="E5952" s="43">
        <v>45346.354166646779</v>
      </c>
      <c r="F5952" s="41">
        <v>20.513523025091555</v>
      </c>
      <c r="G5952" s="41">
        <v>0</v>
      </c>
      <c r="H5952" s="42"/>
      <c r="I5952" s="42"/>
      <c r="J5952" s="42"/>
    </row>
    <row r="5953" spans="5:10">
      <c r="E5953" s="43">
        <v>45346.357638868998</v>
      </c>
      <c r="F5953" s="41">
        <v>20.513523025091555</v>
      </c>
      <c r="G5953" s="41">
        <v>0</v>
      </c>
      <c r="H5953" s="42"/>
      <c r="I5953" s="42"/>
      <c r="J5953" s="42"/>
    </row>
    <row r="5954" spans="5:10">
      <c r="E5954" s="43">
        <v>45346.361111091217</v>
      </c>
      <c r="F5954" s="41">
        <v>20.513523025091555</v>
      </c>
      <c r="G5954" s="41">
        <v>0</v>
      </c>
      <c r="H5954" s="42"/>
      <c r="I5954" s="42"/>
      <c r="J5954" s="42"/>
    </row>
    <row r="5955" spans="5:10">
      <c r="E5955" s="43">
        <v>45346.364583313436</v>
      </c>
      <c r="F5955" s="41">
        <v>20.513523025091555</v>
      </c>
      <c r="G5955" s="41">
        <v>0</v>
      </c>
      <c r="H5955" s="42"/>
      <c r="I5955" s="42"/>
      <c r="J5955" s="42"/>
    </row>
    <row r="5956" spans="5:10">
      <c r="E5956" s="43">
        <v>45346.368055535655</v>
      </c>
      <c r="F5956" s="41">
        <v>20.513523025091555</v>
      </c>
      <c r="G5956" s="41">
        <v>0</v>
      </c>
      <c r="H5956" s="42"/>
      <c r="I5956" s="42"/>
      <c r="J5956" s="42"/>
    </row>
    <row r="5957" spans="5:10">
      <c r="E5957" s="43">
        <v>45346.371527757874</v>
      </c>
      <c r="F5957" s="41">
        <v>20.513523025091555</v>
      </c>
      <c r="G5957" s="41">
        <v>0</v>
      </c>
      <c r="H5957" s="42"/>
      <c r="I5957" s="42"/>
      <c r="J5957" s="42"/>
    </row>
    <row r="5958" spans="5:10">
      <c r="E5958" s="43">
        <v>45346.374999980093</v>
      </c>
      <c r="F5958" s="41">
        <v>20.513523025091555</v>
      </c>
      <c r="G5958" s="41">
        <v>0</v>
      </c>
      <c r="H5958" s="42"/>
      <c r="I5958" s="42"/>
      <c r="J5958" s="42"/>
    </row>
    <row r="5959" spans="5:10">
      <c r="E5959" s="43">
        <v>45346.378472202312</v>
      </c>
      <c r="F5959" s="41">
        <v>20.513523025091555</v>
      </c>
      <c r="G5959" s="41">
        <v>0</v>
      </c>
      <c r="H5959" s="42"/>
      <c r="I5959" s="42"/>
      <c r="J5959" s="42"/>
    </row>
    <row r="5960" spans="5:10">
      <c r="E5960" s="43">
        <v>45346.381944424531</v>
      </c>
      <c r="F5960" s="41">
        <v>20.513523025091555</v>
      </c>
      <c r="G5960" s="41">
        <v>0</v>
      </c>
      <c r="H5960" s="42"/>
      <c r="I5960" s="42"/>
      <c r="J5960" s="42"/>
    </row>
    <row r="5961" spans="5:10">
      <c r="E5961" s="43">
        <v>45346.38541664675</v>
      </c>
      <c r="F5961" s="41">
        <v>20.513523025091555</v>
      </c>
      <c r="G5961" s="41">
        <v>0</v>
      </c>
      <c r="H5961" s="42"/>
      <c r="I5961" s="42"/>
      <c r="J5961" s="42"/>
    </row>
    <row r="5962" spans="5:10">
      <c r="E5962" s="43">
        <v>45346.388888868969</v>
      </c>
      <c r="F5962" s="41">
        <v>20.513523025091555</v>
      </c>
      <c r="G5962" s="41">
        <v>0</v>
      </c>
      <c r="H5962" s="42"/>
      <c r="I5962" s="42"/>
      <c r="J5962" s="42"/>
    </row>
    <row r="5963" spans="5:10">
      <c r="E5963" s="43">
        <v>45346.392361091188</v>
      </c>
      <c r="F5963" s="41">
        <v>20.513523025091555</v>
      </c>
      <c r="G5963" s="41">
        <v>0</v>
      </c>
      <c r="H5963" s="42"/>
      <c r="I5963" s="42"/>
      <c r="J5963" s="42"/>
    </row>
    <row r="5964" spans="5:10">
      <c r="E5964" s="43">
        <v>45346.395833313407</v>
      </c>
      <c r="F5964" s="41">
        <v>20.513523025091555</v>
      </c>
      <c r="G5964" s="41">
        <v>0</v>
      </c>
      <c r="H5964" s="42"/>
      <c r="I5964" s="42"/>
      <c r="J5964" s="42"/>
    </row>
    <row r="5965" spans="5:10">
      <c r="E5965" s="43">
        <v>45346.399305535626</v>
      </c>
      <c r="F5965" s="41">
        <v>20.513523025091555</v>
      </c>
      <c r="G5965" s="41">
        <v>0</v>
      </c>
      <c r="H5965" s="42"/>
      <c r="I5965" s="42"/>
      <c r="J5965" s="42"/>
    </row>
    <row r="5966" spans="5:10">
      <c r="E5966" s="43">
        <v>45346.402777757845</v>
      </c>
      <c r="F5966" s="41">
        <v>20.513523025091555</v>
      </c>
      <c r="G5966" s="41">
        <v>0</v>
      </c>
      <c r="H5966" s="42"/>
      <c r="I5966" s="42"/>
      <c r="J5966" s="42"/>
    </row>
    <row r="5967" spans="5:10">
      <c r="E5967" s="43">
        <v>45346.406249980064</v>
      </c>
      <c r="F5967" s="41">
        <v>20.513523025091555</v>
      </c>
      <c r="G5967" s="41">
        <v>0</v>
      </c>
      <c r="H5967" s="42"/>
      <c r="I5967" s="42"/>
      <c r="J5967" s="42"/>
    </row>
    <row r="5968" spans="5:10">
      <c r="E5968" s="43">
        <v>45346.409722202283</v>
      </c>
      <c r="F5968" s="41">
        <v>20.513523025091555</v>
      </c>
      <c r="G5968" s="41">
        <v>0</v>
      </c>
      <c r="H5968" s="42"/>
      <c r="I5968" s="42"/>
      <c r="J5968" s="42"/>
    </row>
    <row r="5969" spans="5:10">
      <c r="E5969" s="43">
        <v>45346.413194424502</v>
      </c>
      <c r="F5969" s="41">
        <v>20.513523025091555</v>
      </c>
      <c r="G5969" s="41">
        <v>0</v>
      </c>
      <c r="H5969" s="42"/>
      <c r="I5969" s="42"/>
      <c r="J5969" s="42"/>
    </row>
    <row r="5970" spans="5:10">
      <c r="E5970" s="43">
        <v>45346.416666646721</v>
      </c>
      <c r="F5970" s="41">
        <v>20.513523025091555</v>
      </c>
      <c r="G5970" s="41">
        <v>0</v>
      </c>
      <c r="H5970" s="42"/>
      <c r="I5970" s="42"/>
      <c r="J5970" s="42"/>
    </row>
    <row r="5971" spans="5:10">
      <c r="E5971" s="43">
        <v>45346.42013886894</v>
      </c>
      <c r="F5971" s="41">
        <v>20.513523025091555</v>
      </c>
      <c r="G5971" s="41">
        <v>0</v>
      </c>
      <c r="H5971" s="42"/>
      <c r="I5971" s="42"/>
      <c r="J5971" s="42"/>
    </row>
    <row r="5972" spans="5:10">
      <c r="E5972" s="43">
        <v>45346.423611091159</v>
      </c>
      <c r="F5972" s="41">
        <v>20.513523025091555</v>
      </c>
      <c r="G5972" s="41">
        <v>0</v>
      </c>
      <c r="H5972" s="42"/>
      <c r="I5972" s="42"/>
      <c r="J5972" s="42"/>
    </row>
    <row r="5973" spans="5:10">
      <c r="E5973" s="43">
        <v>45346.427083313378</v>
      </c>
      <c r="F5973" s="41">
        <v>20.513523025091555</v>
      </c>
      <c r="G5973" s="41">
        <v>0</v>
      </c>
      <c r="H5973" s="42"/>
      <c r="I5973" s="42"/>
      <c r="J5973" s="42"/>
    </row>
    <row r="5974" spans="5:10">
      <c r="E5974" s="43">
        <v>45346.430555535597</v>
      </c>
      <c r="F5974" s="41">
        <v>20.513523025091555</v>
      </c>
      <c r="G5974" s="41">
        <v>0</v>
      </c>
      <c r="H5974" s="42"/>
      <c r="I5974" s="42"/>
      <c r="J5974" s="42"/>
    </row>
    <row r="5975" spans="5:10">
      <c r="E5975" s="43">
        <v>45346.434027757816</v>
      </c>
      <c r="F5975" s="41">
        <v>20.513523025091555</v>
      </c>
      <c r="G5975" s="41">
        <v>0</v>
      </c>
      <c r="H5975" s="42"/>
      <c r="I5975" s="42"/>
      <c r="J5975" s="42"/>
    </row>
    <row r="5976" spans="5:10">
      <c r="E5976" s="43">
        <v>45346.437499980035</v>
      </c>
      <c r="F5976" s="41">
        <v>20.513523025091555</v>
      </c>
      <c r="G5976" s="41">
        <v>0</v>
      </c>
      <c r="H5976" s="42"/>
      <c r="I5976" s="42"/>
      <c r="J5976" s="42"/>
    </row>
    <row r="5977" spans="5:10">
      <c r="E5977" s="43">
        <v>45346.440972202254</v>
      </c>
      <c r="F5977" s="41">
        <v>20.513523025091555</v>
      </c>
      <c r="G5977" s="41">
        <v>0</v>
      </c>
      <c r="H5977" s="42"/>
      <c r="I5977" s="42"/>
      <c r="J5977" s="42"/>
    </row>
    <row r="5978" spans="5:10">
      <c r="E5978" s="43">
        <v>45346.444444424473</v>
      </c>
      <c r="F5978" s="41">
        <v>20.513523025091555</v>
      </c>
      <c r="G5978" s="41">
        <v>0</v>
      </c>
      <c r="H5978" s="42"/>
      <c r="I5978" s="42"/>
      <c r="J5978" s="42"/>
    </row>
    <row r="5979" spans="5:10">
      <c r="E5979" s="43">
        <v>45346.447916646692</v>
      </c>
      <c r="F5979" s="41">
        <v>20.513523025091555</v>
      </c>
      <c r="G5979" s="41">
        <v>0</v>
      </c>
      <c r="H5979" s="42"/>
      <c r="I5979" s="42"/>
      <c r="J5979" s="42"/>
    </row>
    <row r="5980" spans="5:10">
      <c r="E5980" s="43">
        <v>45346.451388868911</v>
      </c>
      <c r="F5980" s="41">
        <v>20.513523025091555</v>
      </c>
      <c r="G5980" s="41">
        <v>0</v>
      </c>
      <c r="H5980" s="42"/>
      <c r="I5980" s="42"/>
      <c r="J5980" s="42"/>
    </row>
    <row r="5981" spans="5:10">
      <c r="E5981" s="43">
        <v>45346.45486109113</v>
      </c>
      <c r="F5981" s="41">
        <v>20.513523025091555</v>
      </c>
      <c r="G5981" s="41">
        <v>0</v>
      </c>
      <c r="H5981" s="42"/>
      <c r="I5981" s="42"/>
      <c r="J5981" s="42"/>
    </row>
    <row r="5982" spans="5:10">
      <c r="E5982" s="43">
        <v>45346.458333313349</v>
      </c>
      <c r="F5982" s="41">
        <v>20.513523025091555</v>
      </c>
      <c r="G5982" s="41">
        <v>0</v>
      </c>
      <c r="H5982" s="42"/>
      <c r="I5982" s="42"/>
      <c r="J5982" s="42"/>
    </row>
    <row r="5983" spans="5:10">
      <c r="E5983" s="43">
        <v>45346.461805535568</v>
      </c>
      <c r="F5983" s="41">
        <v>20.513523025091555</v>
      </c>
      <c r="G5983" s="41">
        <v>0</v>
      </c>
      <c r="H5983" s="42"/>
      <c r="I5983" s="42"/>
      <c r="J5983" s="42"/>
    </row>
    <row r="5984" spans="5:10">
      <c r="E5984" s="43">
        <v>45346.465277757787</v>
      </c>
      <c r="F5984" s="41">
        <v>20.513523025091555</v>
      </c>
      <c r="G5984" s="41">
        <v>0</v>
      </c>
      <c r="H5984" s="42"/>
      <c r="I5984" s="42"/>
      <c r="J5984" s="42"/>
    </row>
    <row r="5985" spans="5:10">
      <c r="E5985" s="43">
        <v>45346.468749980006</v>
      </c>
      <c r="F5985" s="41">
        <v>20.513523025091555</v>
      </c>
      <c r="G5985" s="41">
        <v>0</v>
      </c>
      <c r="H5985" s="42"/>
      <c r="I5985" s="42"/>
      <c r="J5985" s="42"/>
    </row>
    <row r="5986" spans="5:10">
      <c r="E5986" s="43">
        <v>45346.472222202225</v>
      </c>
      <c r="F5986" s="41">
        <v>20.513523025091555</v>
      </c>
      <c r="G5986" s="41">
        <v>0</v>
      </c>
      <c r="H5986" s="42"/>
      <c r="I5986" s="42"/>
      <c r="J5986" s="42"/>
    </row>
    <row r="5987" spans="5:10">
      <c r="E5987" s="43">
        <v>45346.475694424444</v>
      </c>
      <c r="F5987" s="41">
        <v>20.513523025091555</v>
      </c>
      <c r="G5987" s="41">
        <v>0</v>
      </c>
      <c r="H5987" s="42"/>
      <c r="I5987" s="42"/>
      <c r="J5987" s="42"/>
    </row>
    <row r="5988" spans="5:10">
      <c r="E5988" s="43">
        <v>45346.479166646663</v>
      </c>
      <c r="F5988" s="41">
        <v>20.513523025091555</v>
      </c>
      <c r="G5988" s="41">
        <v>0</v>
      </c>
      <c r="H5988" s="42"/>
      <c r="I5988" s="42"/>
      <c r="J5988" s="42"/>
    </row>
    <row r="5989" spans="5:10">
      <c r="E5989" s="43">
        <v>45346.482638868882</v>
      </c>
      <c r="F5989" s="41">
        <v>20.513523025091555</v>
      </c>
      <c r="G5989" s="41">
        <v>0</v>
      </c>
      <c r="H5989" s="42"/>
      <c r="I5989" s="42"/>
      <c r="J5989" s="42"/>
    </row>
    <row r="5990" spans="5:10">
      <c r="E5990" s="43">
        <v>45346.486111091101</v>
      </c>
      <c r="F5990" s="41">
        <v>20.513523025091555</v>
      </c>
      <c r="G5990" s="41">
        <v>0</v>
      </c>
      <c r="H5990" s="42"/>
      <c r="I5990" s="42"/>
      <c r="J5990" s="42"/>
    </row>
    <row r="5991" spans="5:10">
      <c r="E5991" s="43">
        <v>45346.48958331332</v>
      </c>
      <c r="F5991" s="41">
        <v>20.513523025091555</v>
      </c>
      <c r="G5991" s="41">
        <v>0</v>
      </c>
      <c r="H5991" s="42"/>
      <c r="I5991" s="42"/>
      <c r="J5991" s="42"/>
    </row>
    <row r="5992" spans="5:10">
      <c r="E5992" s="43">
        <v>45346.493055535539</v>
      </c>
      <c r="F5992" s="41">
        <v>20.513523025091555</v>
      </c>
      <c r="G5992" s="41">
        <v>0</v>
      </c>
      <c r="H5992" s="42"/>
      <c r="I5992" s="42"/>
      <c r="J5992" s="42"/>
    </row>
    <row r="5993" spans="5:10">
      <c r="E5993" s="43">
        <v>45346.496527757758</v>
      </c>
      <c r="F5993" s="41">
        <v>20.513523025091555</v>
      </c>
      <c r="G5993" s="41">
        <v>0</v>
      </c>
      <c r="H5993" s="42"/>
      <c r="I5993" s="42"/>
      <c r="J5993" s="42"/>
    </row>
    <row r="5994" spans="5:10">
      <c r="E5994" s="43">
        <v>45346.499999979977</v>
      </c>
      <c r="F5994" s="41">
        <v>20.513523025091555</v>
      </c>
      <c r="G5994" s="41">
        <v>0</v>
      </c>
      <c r="H5994" s="42"/>
      <c r="I5994" s="42"/>
      <c r="J5994" s="42"/>
    </row>
    <row r="5995" spans="5:10">
      <c r="E5995" s="43">
        <v>45346.503472202196</v>
      </c>
      <c r="F5995" s="41">
        <v>20.513523025091555</v>
      </c>
      <c r="G5995" s="41">
        <v>0</v>
      </c>
      <c r="H5995" s="42"/>
      <c r="I5995" s="42"/>
      <c r="J5995" s="42"/>
    </row>
    <row r="5996" spans="5:10">
      <c r="E5996" s="43">
        <v>45346.506944424415</v>
      </c>
      <c r="F5996" s="41">
        <v>20.513523025091555</v>
      </c>
      <c r="G5996" s="41">
        <v>0</v>
      </c>
      <c r="H5996" s="42"/>
      <c r="I5996" s="42"/>
      <c r="J5996" s="42"/>
    </row>
    <row r="5997" spans="5:10">
      <c r="E5997" s="43">
        <v>45346.510416646634</v>
      </c>
      <c r="F5997" s="41">
        <v>20.513523025091555</v>
      </c>
      <c r="G5997" s="41">
        <v>0</v>
      </c>
      <c r="H5997" s="42"/>
      <c r="I5997" s="42"/>
      <c r="J5997" s="42"/>
    </row>
    <row r="5998" spans="5:10">
      <c r="E5998" s="43">
        <v>45346.513888868853</v>
      </c>
      <c r="F5998" s="41">
        <v>20.513523025091555</v>
      </c>
      <c r="G5998" s="41">
        <v>0</v>
      </c>
      <c r="H5998" s="42"/>
      <c r="I5998" s="42"/>
      <c r="J5998" s="42"/>
    </row>
    <row r="5999" spans="5:10">
      <c r="E5999" s="43">
        <v>45346.517361091072</v>
      </c>
      <c r="F5999" s="41">
        <v>20.513523025091555</v>
      </c>
      <c r="G5999" s="41">
        <v>0</v>
      </c>
      <c r="H5999" s="42"/>
      <c r="I5999" s="42"/>
      <c r="J5999" s="42"/>
    </row>
    <row r="6000" spans="5:10">
      <c r="E6000" s="43">
        <v>45346.52083331329</v>
      </c>
      <c r="F6000" s="41">
        <v>20.513523025091555</v>
      </c>
      <c r="G6000" s="41">
        <v>0</v>
      </c>
      <c r="H6000" s="42"/>
      <c r="I6000" s="42"/>
      <c r="J6000" s="42"/>
    </row>
    <row r="6001" spans="5:10">
      <c r="E6001" s="43">
        <v>45346.524305535509</v>
      </c>
      <c r="F6001" s="41">
        <v>20.513523025091555</v>
      </c>
      <c r="G6001" s="41">
        <v>0</v>
      </c>
      <c r="H6001" s="42"/>
      <c r="I6001" s="42"/>
      <c r="J6001" s="42"/>
    </row>
    <row r="6002" spans="5:10">
      <c r="E6002" s="43">
        <v>45346.527777757728</v>
      </c>
      <c r="F6002" s="41">
        <v>20.513523025091555</v>
      </c>
      <c r="G6002" s="41">
        <v>0</v>
      </c>
      <c r="H6002" s="42"/>
      <c r="I6002" s="42"/>
      <c r="J6002" s="42"/>
    </row>
    <row r="6003" spans="5:10">
      <c r="E6003" s="43">
        <v>45346.531249979947</v>
      </c>
      <c r="F6003" s="41">
        <v>20.513523025091555</v>
      </c>
      <c r="G6003" s="41">
        <v>0</v>
      </c>
      <c r="H6003" s="42"/>
      <c r="I6003" s="42"/>
      <c r="J6003" s="42"/>
    </row>
    <row r="6004" spans="5:10">
      <c r="E6004" s="43">
        <v>45346.534722202166</v>
      </c>
      <c r="F6004" s="41">
        <v>20.513523025091555</v>
      </c>
      <c r="G6004" s="41">
        <v>0</v>
      </c>
      <c r="H6004" s="42"/>
      <c r="I6004" s="42"/>
      <c r="J6004" s="42"/>
    </row>
    <row r="6005" spans="5:10">
      <c r="E6005" s="43">
        <v>45346.538194424385</v>
      </c>
      <c r="F6005" s="41">
        <v>20.513523025091555</v>
      </c>
      <c r="G6005" s="41">
        <v>0</v>
      </c>
      <c r="H6005" s="42"/>
      <c r="I6005" s="42"/>
      <c r="J6005" s="42"/>
    </row>
    <row r="6006" spans="5:10">
      <c r="E6006" s="43">
        <v>45346.541666646604</v>
      </c>
      <c r="F6006" s="41">
        <v>26.860260349604204</v>
      </c>
      <c r="G6006" s="41">
        <v>0</v>
      </c>
      <c r="H6006" s="42"/>
      <c r="I6006" s="42"/>
      <c r="J6006" s="42"/>
    </row>
    <row r="6007" spans="5:10">
      <c r="E6007" s="43">
        <v>45346.545138868823</v>
      </c>
      <c r="F6007" s="41">
        <v>26.860260349604204</v>
      </c>
      <c r="G6007" s="41">
        <v>0</v>
      </c>
      <c r="H6007" s="42"/>
      <c r="I6007" s="42"/>
      <c r="J6007" s="42"/>
    </row>
    <row r="6008" spans="5:10">
      <c r="E6008" s="43">
        <v>45346.548611091042</v>
      </c>
      <c r="F6008" s="41">
        <v>26.860260349604204</v>
      </c>
      <c r="G6008" s="41">
        <v>0</v>
      </c>
      <c r="H6008" s="42"/>
      <c r="I6008" s="42"/>
      <c r="J6008" s="42"/>
    </row>
    <row r="6009" spans="5:10">
      <c r="E6009" s="43">
        <v>45346.552083313261</v>
      </c>
      <c r="F6009" s="41">
        <v>26.860260349604204</v>
      </c>
      <c r="G6009" s="41">
        <v>0</v>
      </c>
      <c r="H6009" s="42"/>
      <c r="I6009" s="42"/>
      <c r="J6009" s="42"/>
    </row>
    <row r="6010" spans="5:10">
      <c r="E6010" s="43">
        <v>45346.55555553548</v>
      </c>
      <c r="F6010" s="41">
        <v>26.860260349604204</v>
      </c>
      <c r="G6010" s="41">
        <v>0</v>
      </c>
      <c r="H6010" s="42"/>
      <c r="I6010" s="42"/>
      <c r="J6010" s="42"/>
    </row>
    <row r="6011" spans="5:10">
      <c r="E6011" s="43">
        <v>45346.559027757699</v>
      </c>
      <c r="F6011" s="41">
        <v>26.860260349604204</v>
      </c>
      <c r="G6011" s="41">
        <v>0</v>
      </c>
      <c r="H6011" s="42"/>
      <c r="I6011" s="42"/>
      <c r="J6011" s="42"/>
    </row>
    <row r="6012" spans="5:10">
      <c r="E6012" s="43">
        <v>45346.562499979918</v>
      </c>
      <c r="F6012" s="41">
        <v>26.860260349604204</v>
      </c>
      <c r="G6012" s="41">
        <v>0</v>
      </c>
      <c r="H6012" s="42"/>
      <c r="I6012" s="42"/>
      <c r="J6012" s="42"/>
    </row>
    <row r="6013" spans="5:10">
      <c r="E6013" s="43">
        <v>45346.565972202137</v>
      </c>
      <c r="F6013" s="41">
        <v>26.860260349604204</v>
      </c>
      <c r="G6013" s="41">
        <v>0</v>
      </c>
      <c r="H6013" s="42"/>
      <c r="I6013" s="42"/>
      <c r="J6013" s="42"/>
    </row>
    <row r="6014" spans="5:10">
      <c r="E6014" s="43">
        <v>45346.569444424356</v>
      </c>
      <c r="F6014" s="41">
        <v>26.860260349604204</v>
      </c>
      <c r="G6014" s="41">
        <v>0</v>
      </c>
      <c r="H6014" s="42"/>
      <c r="I6014" s="42"/>
      <c r="J6014" s="42"/>
    </row>
    <row r="6015" spans="5:10">
      <c r="E6015" s="43">
        <v>45346.572916646575</v>
      </c>
      <c r="F6015" s="41">
        <v>26.860260349604204</v>
      </c>
      <c r="G6015" s="41">
        <v>0</v>
      </c>
      <c r="H6015" s="42"/>
      <c r="I6015" s="42"/>
      <c r="J6015" s="42"/>
    </row>
    <row r="6016" spans="5:10">
      <c r="E6016" s="43">
        <v>45346.576388868794</v>
      </c>
      <c r="F6016" s="41">
        <v>26.860260349604204</v>
      </c>
      <c r="G6016" s="41">
        <v>0</v>
      </c>
      <c r="H6016" s="42"/>
      <c r="I6016" s="42"/>
      <c r="J6016" s="42"/>
    </row>
    <row r="6017" spans="5:10">
      <c r="E6017" s="43">
        <v>45346.579861091013</v>
      </c>
      <c r="F6017" s="41">
        <v>26.860260349604204</v>
      </c>
      <c r="G6017" s="41">
        <v>0</v>
      </c>
      <c r="H6017" s="42"/>
      <c r="I6017" s="42"/>
      <c r="J6017" s="42"/>
    </row>
    <row r="6018" spans="5:10">
      <c r="E6018" s="43">
        <v>45346.583333313232</v>
      </c>
      <c r="F6018" s="41">
        <v>26.860260349604204</v>
      </c>
      <c r="G6018" s="41">
        <v>0</v>
      </c>
      <c r="H6018" s="42"/>
      <c r="I6018" s="42"/>
      <c r="J6018" s="42"/>
    </row>
    <row r="6019" spans="5:10">
      <c r="E6019" s="43">
        <v>45346.586805535451</v>
      </c>
      <c r="F6019" s="41">
        <v>26.860260349604204</v>
      </c>
      <c r="G6019" s="41">
        <v>0</v>
      </c>
      <c r="H6019" s="42"/>
      <c r="I6019" s="42"/>
      <c r="J6019" s="42"/>
    </row>
    <row r="6020" spans="5:10">
      <c r="E6020" s="43">
        <v>45346.59027775767</v>
      </c>
      <c r="F6020" s="41">
        <v>26.860260349604204</v>
      </c>
      <c r="G6020" s="41">
        <v>0</v>
      </c>
      <c r="H6020" s="42"/>
      <c r="I6020" s="42"/>
      <c r="J6020" s="42"/>
    </row>
    <row r="6021" spans="5:10">
      <c r="E6021" s="43">
        <v>45346.593749979889</v>
      </c>
      <c r="F6021" s="41">
        <v>26.860260349604204</v>
      </c>
      <c r="G6021" s="41">
        <v>0</v>
      </c>
      <c r="H6021" s="42"/>
      <c r="I6021" s="42"/>
      <c r="J6021" s="42"/>
    </row>
    <row r="6022" spans="5:10">
      <c r="E6022" s="43">
        <v>45346.597222202108</v>
      </c>
      <c r="F6022" s="41">
        <v>26.860260349604204</v>
      </c>
      <c r="G6022" s="41">
        <v>0</v>
      </c>
      <c r="H6022" s="42"/>
      <c r="I6022" s="42"/>
      <c r="J6022" s="42"/>
    </row>
    <row r="6023" spans="5:10">
      <c r="E6023" s="43">
        <v>45346.600694424327</v>
      </c>
      <c r="F6023" s="41">
        <v>26.860260349604204</v>
      </c>
      <c r="G6023" s="41">
        <v>0</v>
      </c>
      <c r="H6023" s="42"/>
      <c r="I6023" s="42"/>
      <c r="J6023" s="42"/>
    </row>
    <row r="6024" spans="5:10">
      <c r="E6024" s="43">
        <v>45346.604166646546</v>
      </c>
      <c r="F6024" s="41">
        <v>26.860260349604204</v>
      </c>
      <c r="G6024" s="41">
        <v>0</v>
      </c>
      <c r="H6024" s="42"/>
      <c r="I6024" s="42"/>
      <c r="J6024" s="42"/>
    </row>
    <row r="6025" spans="5:10">
      <c r="E6025" s="43">
        <v>45346.607638868765</v>
      </c>
      <c r="F6025" s="41">
        <v>26.860260349604204</v>
      </c>
      <c r="G6025" s="41">
        <v>0</v>
      </c>
      <c r="H6025" s="42"/>
      <c r="I6025" s="42"/>
      <c r="J6025" s="42"/>
    </row>
    <row r="6026" spans="5:10">
      <c r="E6026" s="43">
        <v>45346.611111090984</v>
      </c>
      <c r="F6026" s="41">
        <v>26.860260349604204</v>
      </c>
      <c r="G6026" s="41">
        <v>0</v>
      </c>
      <c r="H6026" s="42"/>
      <c r="I6026" s="42"/>
      <c r="J6026" s="42"/>
    </row>
    <row r="6027" spans="5:10">
      <c r="E6027" s="43">
        <v>45346.614583313203</v>
      </c>
      <c r="F6027" s="41">
        <v>26.860260349604204</v>
      </c>
      <c r="G6027" s="41">
        <v>0</v>
      </c>
      <c r="H6027" s="42"/>
      <c r="I6027" s="42"/>
      <c r="J6027" s="42"/>
    </row>
    <row r="6028" spans="5:10">
      <c r="E6028" s="43">
        <v>45346.618055535422</v>
      </c>
      <c r="F6028" s="41">
        <v>26.860260349604204</v>
      </c>
      <c r="G6028" s="41">
        <v>0</v>
      </c>
      <c r="H6028" s="42"/>
      <c r="I6028" s="42"/>
      <c r="J6028" s="42"/>
    </row>
    <row r="6029" spans="5:10">
      <c r="E6029" s="43">
        <v>45346.621527757641</v>
      </c>
      <c r="F6029" s="41">
        <v>26.860260349604204</v>
      </c>
      <c r="G6029" s="41">
        <v>0</v>
      </c>
      <c r="H6029" s="42"/>
      <c r="I6029" s="42"/>
      <c r="J6029" s="42"/>
    </row>
    <row r="6030" spans="5:10">
      <c r="E6030" s="43">
        <v>45346.62499997986</v>
      </c>
      <c r="F6030" s="41">
        <v>26.860260349604204</v>
      </c>
      <c r="G6030" s="41">
        <v>0</v>
      </c>
      <c r="H6030" s="42"/>
      <c r="I6030" s="42"/>
      <c r="J6030" s="42"/>
    </row>
    <row r="6031" spans="5:10">
      <c r="E6031" s="43">
        <v>45346.628472202079</v>
      </c>
      <c r="F6031" s="41">
        <v>26.860260349604204</v>
      </c>
      <c r="G6031" s="41">
        <v>0</v>
      </c>
      <c r="H6031" s="42"/>
      <c r="I6031" s="42"/>
      <c r="J6031" s="42"/>
    </row>
    <row r="6032" spans="5:10">
      <c r="E6032" s="43">
        <v>45346.631944424298</v>
      </c>
      <c r="F6032" s="41">
        <v>26.860260349604204</v>
      </c>
      <c r="G6032" s="41">
        <v>0</v>
      </c>
      <c r="H6032" s="42"/>
      <c r="I6032" s="42"/>
      <c r="J6032" s="42"/>
    </row>
    <row r="6033" spans="5:10">
      <c r="E6033" s="43">
        <v>45346.635416646517</v>
      </c>
      <c r="F6033" s="41">
        <v>26.860260349604204</v>
      </c>
      <c r="G6033" s="41">
        <v>0</v>
      </c>
      <c r="H6033" s="42"/>
      <c r="I6033" s="42"/>
      <c r="J6033" s="42"/>
    </row>
    <row r="6034" spans="5:10">
      <c r="E6034" s="43">
        <v>45346.638888868736</v>
      </c>
      <c r="F6034" s="41">
        <v>26.860260349604204</v>
      </c>
      <c r="G6034" s="41">
        <v>0</v>
      </c>
      <c r="H6034" s="42"/>
      <c r="I6034" s="42"/>
      <c r="J6034" s="42"/>
    </row>
    <row r="6035" spans="5:10">
      <c r="E6035" s="43">
        <v>45346.642361090955</v>
      </c>
      <c r="F6035" s="41">
        <v>26.860260349604204</v>
      </c>
      <c r="G6035" s="41">
        <v>0</v>
      </c>
      <c r="H6035" s="42"/>
      <c r="I6035" s="42"/>
      <c r="J6035" s="42"/>
    </row>
    <row r="6036" spans="5:10">
      <c r="E6036" s="43">
        <v>45346.645833313174</v>
      </c>
      <c r="F6036" s="41">
        <v>26.860260349604204</v>
      </c>
      <c r="G6036" s="41">
        <v>0</v>
      </c>
      <c r="H6036" s="42"/>
      <c r="I6036" s="42"/>
      <c r="J6036" s="42"/>
    </row>
    <row r="6037" spans="5:10">
      <c r="E6037" s="43">
        <v>45346.649305535393</v>
      </c>
      <c r="F6037" s="41">
        <v>26.860260349604204</v>
      </c>
      <c r="G6037" s="41">
        <v>0</v>
      </c>
      <c r="H6037" s="42"/>
      <c r="I6037" s="42"/>
      <c r="J6037" s="42"/>
    </row>
    <row r="6038" spans="5:10">
      <c r="E6038" s="43">
        <v>45346.652777757612</v>
      </c>
      <c r="F6038" s="41">
        <v>26.860260349604204</v>
      </c>
      <c r="G6038" s="41">
        <v>0</v>
      </c>
      <c r="H6038" s="42"/>
      <c r="I6038" s="42"/>
      <c r="J6038" s="42"/>
    </row>
    <row r="6039" spans="5:10">
      <c r="E6039" s="43">
        <v>45346.656249979831</v>
      </c>
      <c r="F6039" s="41">
        <v>26.860260349604204</v>
      </c>
      <c r="G6039" s="41">
        <v>0</v>
      </c>
      <c r="H6039" s="42"/>
      <c r="I6039" s="42"/>
      <c r="J6039" s="42"/>
    </row>
    <row r="6040" spans="5:10">
      <c r="E6040" s="43">
        <v>45346.65972220205</v>
      </c>
      <c r="F6040" s="41">
        <v>26.860260349604204</v>
      </c>
      <c r="G6040" s="41">
        <v>0</v>
      </c>
      <c r="H6040" s="42"/>
      <c r="I6040" s="42"/>
      <c r="J6040" s="42"/>
    </row>
    <row r="6041" spans="5:10">
      <c r="E6041" s="43">
        <v>45346.663194424269</v>
      </c>
      <c r="F6041" s="41">
        <v>26.860260349604204</v>
      </c>
      <c r="G6041" s="41">
        <v>0</v>
      </c>
      <c r="H6041" s="42"/>
      <c r="I6041" s="42"/>
      <c r="J6041" s="42"/>
    </row>
    <row r="6042" spans="5:10">
      <c r="E6042" s="43">
        <v>45346.666666646488</v>
      </c>
      <c r="F6042" s="41">
        <v>26.860260349604204</v>
      </c>
      <c r="G6042" s="41">
        <v>0</v>
      </c>
      <c r="H6042" s="42"/>
      <c r="I6042" s="42"/>
      <c r="J6042" s="42"/>
    </row>
    <row r="6043" spans="5:10">
      <c r="E6043" s="43">
        <v>45346.670138868707</v>
      </c>
      <c r="F6043" s="41">
        <v>18.960868170224401</v>
      </c>
      <c r="G6043" s="41">
        <v>0</v>
      </c>
      <c r="H6043" s="42"/>
      <c r="I6043" s="42"/>
      <c r="J6043" s="42"/>
    </row>
    <row r="6044" spans="5:10">
      <c r="E6044" s="43">
        <v>45346.673611090926</v>
      </c>
      <c r="F6044" s="41">
        <v>18.960868170224401</v>
      </c>
      <c r="G6044" s="41">
        <v>0</v>
      </c>
      <c r="H6044" s="42"/>
      <c r="I6044" s="42"/>
      <c r="J6044" s="42"/>
    </row>
    <row r="6045" spans="5:10">
      <c r="E6045" s="43">
        <v>45346.677083313145</v>
      </c>
      <c r="F6045" s="41">
        <v>18.960868170224401</v>
      </c>
      <c r="G6045" s="41">
        <v>0</v>
      </c>
      <c r="H6045" s="42"/>
      <c r="I6045" s="42"/>
      <c r="J6045" s="42"/>
    </row>
    <row r="6046" spans="5:10">
      <c r="E6046" s="43">
        <v>45346.680555535364</v>
      </c>
      <c r="F6046" s="41">
        <v>18.960868170224401</v>
      </c>
      <c r="G6046" s="41">
        <v>0</v>
      </c>
      <c r="H6046" s="42"/>
      <c r="I6046" s="42"/>
      <c r="J6046" s="42"/>
    </row>
    <row r="6047" spans="5:10">
      <c r="E6047" s="43">
        <v>45346.684027757583</v>
      </c>
      <c r="F6047" s="41">
        <v>18.960868170224401</v>
      </c>
      <c r="G6047" s="41">
        <v>0</v>
      </c>
      <c r="H6047" s="42"/>
      <c r="I6047" s="42"/>
      <c r="J6047" s="42"/>
    </row>
    <row r="6048" spans="5:10">
      <c r="E6048" s="43">
        <v>45346.687499979802</v>
      </c>
      <c r="F6048" s="41">
        <v>18.960868170224401</v>
      </c>
      <c r="G6048" s="41">
        <v>0</v>
      </c>
      <c r="H6048" s="42"/>
      <c r="I6048" s="42"/>
      <c r="J6048" s="42"/>
    </row>
    <row r="6049" spans="5:10">
      <c r="E6049" s="43">
        <v>45346.690972202021</v>
      </c>
      <c r="F6049" s="41">
        <v>18.960868170224401</v>
      </c>
      <c r="G6049" s="41">
        <v>0</v>
      </c>
      <c r="H6049" s="42"/>
      <c r="I6049" s="42"/>
      <c r="J6049" s="42"/>
    </row>
    <row r="6050" spans="5:10">
      <c r="E6050" s="43">
        <v>45346.69444442424</v>
      </c>
      <c r="F6050" s="41">
        <v>18.960868170224401</v>
      </c>
      <c r="G6050" s="41">
        <v>0</v>
      </c>
      <c r="H6050" s="42"/>
      <c r="I6050" s="42"/>
      <c r="J6050" s="42"/>
    </row>
    <row r="6051" spans="5:10">
      <c r="E6051" s="43">
        <v>45346.697916646459</v>
      </c>
      <c r="F6051" s="41">
        <v>29.591329682431748</v>
      </c>
      <c r="G6051" s="41">
        <v>0</v>
      </c>
      <c r="H6051" s="42"/>
      <c r="I6051" s="42"/>
      <c r="J6051" s="42"/>
    </row>
    <row r="6052" spans="5:10">
      <c r="E6052" s="43">
        <v>45346.701388868678</v>
      </c>
      <c r="F6052" s="41">
        <v>29.591329682431748</v>
      </c>
      <c r="G6052" s="41">
        <v>0</v>
      </c>
      <c r="H6052" s="42"/>
      <c r="I6052" s="42"/>
      <c r="J6052" s="42"/>
    </row>
    <row r="6053" spans="5:10">
      <c r="E6053" s="43">
        <v>45346.704861090897</v>
      </c>
      <c r="F6053" s="41">
        <v>29.591329682431748</v>
      </c>
      <c r="G6053" s="41">
        <v>0</v>
      </c>
      <c r="H6053" s="42"/>
      <c r="I6053" s="42"/>
      <c r="J6053" s="42"/>
    </row>
    <row r="6054" spans="5:10">
      <c r="E6054" s="43">
        <v>45346.708333313116</v>
      </c>
      <c r="F6054" s="41">
        <v>29.591329682431748</v>
      </c>
      <c r="G6054" s="41">
        <v>0</v>
      </c>
      <c r="H6054" s="42"/>
      <c r="I6054" s="42"/>
      <c r="J6054" s="42"/>
    </row>
    <row r="6055" spans="5:10">
      <c r="E6055" s="43">
        <v>45346.711805535335</v>
      </c>
      <c r="F6055" s="41">
        <v>29.591329682431748</v>
      </c>
      <c r="G6055" s="41">
        <v>0</v>
      </c>
      <c r="H6055" s="42"/>
      <c r="I6055" s="42"/>
      <c r="J6055" s="42"/>
    </row>
    <row r="6056" spans="5:10">
      <c r="E6056" s="43">
        <v>45346.715277757554</v>
      </c>
      <c r="F6056" s="41">
        <v>29.591329682431748</v>
      </c>
      <c r="G6056" s="41">
        <v>0</v>
      </c>
      <c r="H6056" s="42"/>
      <c r="I6056" s="42"/>
      <c r="J6056" s="42"/>
    </row>
    <row r="6057" spans="5:10">
      <c r="E6057" s="43">
        <v>45346.718749979773</v>
      </c>
      <c r="F6057" s="41">
        <v>29.591329682431748</v>
      </c>
      <c r="G6057" s="41">
        <v>0</v>
      </c>
      <c r="H6057" s="42"/>
      <c r="I6057" s="42"/>
      <c r="J6057" s="42"/>
    </row>
    <row r="6058" spans="5:10">
      <c r="E6058" s="43">
        <v>45346.722222201992</v>
      </c>
      <c r="F6058" s="41">
        <v>29.591329682431748</v>
      </c>
      <c r="G6058" s="41">
        <v>0</v>
      </c>
      <c r="H6058" s="42"/>
      <c r="I6058" s="42"/>
      <c r="J6058" s="42"/>
    </row>
    <row r="6059" spans="5:10">
      <c r="E6059" s="43">
        <v>45346.725694424211</v>
      </c>
      <c r="F6059" s="41">
        <v>29.591329682431748</v>
      </c>
      <c r="G6059" s="41">
        <v>0</v>
      </c>
      <c r="H6059" s="42"/>
      <c r="I6059" s="42"/>
      <c r="J6059" s="42"/>
    </row>
    <row r="6060" spans="5:10">
      <c r="E6060" s="43">
        <v>45346.72916664643</v>
      </c>
      <c r="F6060" s="41">
        <v>29.591329682431748</v>
      </c>
      <c r="G6060" s="41">
        <v>0</v>
      </c>
      <c r="H6060" s="42"/>
      <c r="I6060" s="42"/>
      <c r="J6060" s="42"/>
    </row>
    <row r="6061" spans="5:10">
      <c r="E6061" s="43">
        <v>45346.732638868649</v>
      </c>
      <c r="F6061" s="41">
        <v>29.591329682431748</v>
      </c>
      <c r="G6061" s="41">
        <v>0</v>
      </c>
      <c r="H6061" s="42"/>
      <c r="I6061" s="42"/>
      <c r="J6061" s="42"/>
    </row>
    <row r="6062" spans="5:10">
      <c r="E6062" s="43">
        <v>45346.736111090868</v>
      </c>
      <c r="F6062" s="41">
        <v>29.591329682431748</v>
      </c>
      <c r="G6062" s="41">
        <v>0</v>
      </c>
      <c r="H6062" s="42"/>
      <c r="I6062" s="42"/>
      <c r="J6062" s="42"/>
    </row>
    <row r="6063" spans="5:10">
      <c r="E6063" s="43">
        <v>45346.739583313087</v>
      </c>
      <c r="F6063" s="41">
        <v>29.591329682431748</v>
      </c>
      <c r="G6063" s="41">
        <v>0</v>
      </c>
      <c r="H6063" s="42"/>
      <c r="I6063" s="42"/>
      <c r="J6063" s="42"/>
    </row>
    <row r="6064" spans="5:10">
      <c r="E6064" s="43">
        <v>45346.743055535306</v>
      </c>
      <c r="F6064" s="41">
        <v>16.97719883672</v>
      </c>
      <c r="G6064" s="41">
        <v>0</v>
      </c>
      <c r="H6064" s="42"/>
      <c r="I6064" s="42"/>
      <c r="J6064" s="42"/>
    </row>
    <row r="6065" spans="5:10">
      <c r="E6065" s="43">
        <v>45346.746527757525</v>
      </c>
      <c r="F6065" s="41">
        <v>16.97719883672</v>
      </c>
      <c r="G6065" s="41">
        <v>0</v>
      </c>
      <c r="H6065" s="42"/>
      <c r="I6065" s="42"/>
      <c r="J6065" s="42"/>
    </row>
    <row r="6066" spans="5:10">
      <c r="E6066" s="43">
        <v>45346.749999979744</v>
      </c>
      <c r="F6066" s="41">
        <v>16.97719883672</v>
      </c>
      <c r="G6066" s="41">
        <v>0</v>
      </c>
      <c r="H6066" s="42"/>
      <c r="I6066" s="42"/>
      <c r="J6066" s="42"/>
    </row>
    <row r="6067" spans="5:10">
      <c r="E6067" s="43">
        <v>45346.753472201963</v>
      </c>
      <c r="F6067" s="41">
        <v>16.97719883672</v>
      </c>
      <c r="G6067" s="41">
        <v>0</v>
      </c>
      <c r="H6067" s="42"/>
      <c r="I6067" s="42"/>
      <c r="J6067" s="42"/>
    </row>
    <row r="6068" spans="5:10">
      <c r="E6068" s="43">
        <v>45346.756944424182</v>
      </c>
      <c r="F6068" s="41">
        <v>16.97719883672</v>
      </c>
      <c r="G6068" s="41">
        <v>0</v>
      </c>
      <c r="H6068" s="42"/>
      <c r="I6068" s="42"/>
      <c r="J6068" s="42"/>
    </row>
    <row r="6069" spans="5:10">
      <c r="E6069" s="43">
        <v>45346.760416646401</v>
      </c>
      <c r="F6069" s="41">
        <v>16.97719883672</v>
      </c>
      <c r="G6069" s="41">
        <v>0</v>
      </c>
      <c r="H6069" s="42"/>
      <c r="I6069" s="42"/>
      <c r="J6069" s="42"/>
    </row>
    <row r="6070" spans="5:10">
      <c r="E6070" s="43">
        <v>45346.76388886862</v>
      </c>
      <c r="F6070" s="41">
        <v>16.97719883672</v>
      </c>
      <c r="G6070" s="41">
        <v>0</v>
      </c>
      <c r="H6070" s="42"/>
      <c r="I6070" s="42"/>
      <c r="J6070" s="42"/>
    </row>
    <row r="6071" spans="5:10">
      <c r="E6071" s="43">
        <v>45346.767361090839</v>
      </c>
      <c r="F6071" s="41">
        <v>16.97719883672</v>
      </c>
      <c r="G6071" s="41">
        <v>0</v>
      </c>
      <c r="H6071" s="42"/>
      <c r="I6071" s="42"/>
      <c r="J6071" s="42"/>
    </row>
    <row r="6072" spans="5:10">
      <c r="E6072" s="43">
        <v>45346.770833313058</v>
      </c>
      <c r="F6072" s="41">
        <v>16.97719883672</v>
      </c>
      <c r="G6072" s="41">
        <v>0</v>
      </c>
      <c r="H6072" s="42"/>
      <c r="I6072" s="42"/>
      <c r="J6072" s="42"/>
    </row>
    <row r="6073" spans="5:10">
      <c r="E6073" s="43">
        <v>45346.774305535277</v>
      </c>
      <c r="F6073" s="41">
        <v>16.97719883672</v>
      </c>
      <c r="G6073" s="41">
        <v>0</v>
      </c>
      <c r="H6073" s="42"/>
      <c r="I6073" s="42"/>
      <c r="J6073" s="42"/>
    </row>
    <row r="6074" spans="5:10">
      <c r="E6074" s="43">
        <v>45346.777777757496</v>
      </c>
      <c r="F6074" s="41">
        <v>16.97719883672</v>
      </c>
      <c r="G6074" s="41">
        <v>0</v>
      </c>
      <c r="H6074" s="42"/>
      <c r="I6074" s="42"/>
      <c r="J6074" s="42"/>
    </row>
    <row r="6075" spans="5:10">
      <c r="E6075" s="43">
        <v>45346.781249979715</v>
      </c>
      <c r="F6075" s="41">
        <v>16.97719883672</v>
      </c>
      <c r="G6075" s="41">
        <v>0</v>
      </c>
      <c r="H6075" s="42"/>
      <c r="I6075" s="42"/>
      <c r="J6075" s="42"/>
    </row>
    <row r="6076" spans="5:10">
      <c r="E6076" s="43">
        <v>45346.784722201934</v>
      </c>
      <c r="F6076" s="41">
        <v>16.97719883672</v>
      </c>
      <c r="G6076" s="41">
        <v>0</v>
      </c>
      <c r="H6076" s="42"/>
      <c r="I6076" s="42"/>
      <c r="J6076" s="42"/>
    </row>
    <row r="6077" spans="5:10">
      <c r="E6077" s="43">
        <v>45346.788194424153</v>
      </c>
      <c r="F6077" s="41">
        <v>16.97719883672</v>
      </c>
      <c r="G6077" s="41">
        <v>0</v>
      </c>
      <c r="H6077" s="42"/>
      <c r="I6077" s="42"/>
      <c r="J6077" s="42"/>
    </row>
    <row r="6078" spans="5:10">
      <c r="E6078" s="43">
        <v>45346.791666646372</v>
      </c>
      <c r="F6078" s="41">
        <v>16.97719883672</v>
      </c>
      <c r="G6078" s="41">
        <v>0</v>
      </c>
      <c r="H6078" s="42"/>
      <c r="I6078" s="42"/>
      <c r="J6078" s="42"/>
    </row>
    <row r="6079" spans="5:10">
      <c r="E6079" s="43">
        <v>45346.795138868591</v>
      </c>
      <c r="F6079" s="41">
        <v>16.97719883672</v>
      </c>
      <c r="G6079" s="41">
        <v>0</v>
      </c>
      <c r="H6079" s="42"/>
      <c r="I6079" s="42"/>
      <c r="J6079" s="42"/>
    </row>
    <row r="6080" spans="5:10">
      <c r="E6080" s="43">
        <v>45346.79861109081</v>
      </c>
      <c r="F6080" s="41">
        <v>16.97719883672</v>
      </c>
      <c r="G6080" s="41">
        <v>0</v>
      </c>
      <c r="H6080" s="42"/>
      <c r="I6080" s="42"/>
      <c r="J6080" s="42"/>
    </row>
    <row r="6081" spans="5:10">
      <c r="E6081" s="43">
        <v>45346.802083313029</v>
      </c>
      <c r="F6081" s="41">
        <v>16.97719883672</v>
      </c>
      <c r="G6081" s="41">
        <v>0</v>
      </c>
      <c r="H6081" s="42"/>
      <c r="I6081" s="42"/>
      <c r="J6081" s="42"/>
    </row>
    <row r="6082" spans="5:10">
      <c r="E6082" s="43">
        <v>45346.805555535248</v>
      </c>
      <c r="F6082" s="41">
        <v>16.97719883672</v>
      </c>
      <c r="G6082" s="41">
        <v>0</v>
      </c>
      <c r="H6082" s="42"/>
      <c r="I6082" s="42"/>
      <c r="J6082" s="42"/>
    </row>
    <row r="6083" spans="5:10">
      <c r="E6083" s="43">
        <v>45346.809027757467</v>
      </c>
      <c r="F6083" s="41">
        <v>16.97719883672</v>
      </c>
      <c r="G6083" s="41">
        <v>0</v>
      </c>
      <c r="H6083" s="42"/>
      <c r="I6083" s="42"/>
      <c r="J6083" s="42"/>
    </row>
    <row r="6084" spans="5:10">
      <c r="E6084" s="43">
        <v>45346.812499979686</v>
      </c>
      <c r="F6084" s="41">
        <v>16.97719883672</v>
      </c>
      <c r="G6084" s="41">
        <v>0</v>
      </c>
      <c r="H6084" s="42"/>
      <c r="I6084" s="42"/>
      <c r="J6084" s="42"/>
    </row>
    <row r="6085" spans="5:10">
      <c r="E6085" s="43">
        <v>45346.815972201905</v>
      </c>
      <c r="F6085" s="41">
        <v>16.97719883672</v>
      </c>
      <c r="G6085" s="41">
        <v>0</v>
      </c>
      <c r="H6085" s="42"/>
      <c r="I6085" s="42"/>
      <c r="J6085" s="42"/>
    </row>
    <row r="6086" spans="5:10">
      <c r="E6086" s="43">
        <v>45346.819444424124</v>
      </c>
      <c r="F6086" s="41">
        <v>16.97719883672</v>
      </c>
      <c r="G6086" s="41">
        <v>0</v>
      </c>
      <c r="H6086" s="42"/>
      <c r="I6086" s="42"/>
      <c r="J6086" s="42"/>
    </row>
    <row r="6087" spans="5:10">
      <c r="E6087" s="43">
        <v>45346.822916646342</v>
      </c>
      <c r="F6087" s="41">
        <v>16.97719883672</v>
      </c>
      <c r="G6087" s="41">
        <v>0</v>
      </c>
      <c r="H6087" s="42"/>
      <c r="I6087" s="42"/>
      <c r="J6087" s="42"/>
    </row>
    <row r="6088" spans="5:10">
      <c r="E6088" s="43">
        <v>45346.826388868561</v>
      </c>
      <c r="F6088" s="41">
        <v>16.97719883672</v>
      </c>
      <c r="G6088" s="41">
        <v>0</v>
      </c>
      <c r="H6088" s="42"/>
      <c r="I6088" s="42"/>
      <c r="J6088" s="42"/>
    </row>
    <row r="6089" spans="5:10">
      <c r="E6089" s="43">
        <v>45346.82986109078</v>
      </c>
      <c r="F6089" s="41">
        <v>16.97719883672</v>
      </c>
      <c r="G6089" s="41">
        <v>0</v>
      </c>
      <c r="H6089" s="42"/>
      <c r="I6089" s="42"/>
      <c r="J6089" s="42"/>
    </row>
    <row r="6090" spans="5:10">
      <c r="E6090" s="43">
        <v>45346.833333312999</v>
      </c>
      <c r="F6090" s="41">
        <v>16.97719883672</v>
      </c>
      <c r="G6090" s="41">
        <v>0</v>
      </c>
      <c r="H6090" s="42"/>
      <c r="I6090" s="42"/>
      <c r="J6090" s="42"/>
    </row>
    <row r="6091" spans="5:10">
      <c r="E6091" s="43">
        <v>45346.836805535218</v>
      </c>
      <c r="F6091" s="41">
        <v>16.97719883672</v>
      </c>
      <c r="G6091" s="41">
        <v>0</v>
      </c>
      <c r="H6091" s="42"/>
      <c r="I6091" s="42"/>
      <c r="J6091" s="42"/>
    </row>
    <row r="6092" spans="5:10">
      <c r="E6092" s="43">
        <v>45346.840277757437</v>
      </c>
      <c r="F6092" s="41">
        <v>16.97719883672</v>
      </c>
      <c r="G6092" s="41">
        <v>0</v>
      </c>
      <c r="H6092" s="42"/>
      <c r="I6092" s="42"/>
      <c r="J6092" s="42"/>
    </row>
    <row r="6093" spans="5:10">
      <c r="E6093" s="43">
        <v>45346.843749979656</v>
      </c>
      <c r="F6093" s="41">
        <v>16.97719883672</v>
      </c>
      <c r="G6093" s="41">
        <v>0</v>
      </c>
      <c r="H6093" s="42"/>
      <c r="I6093" s="42"/>
      <c r="J6093" s="42"/>
    </row>
    <row r="6094" spans="5:10">
      <c r="E6094" s="43">
        <v>45346.847222201875</v>
      </c>
      <c r="F6094" s="41">
        <v>16.97719883672</v>
      </c>
      <c r="G6094" s="41">
        <v>0</v>
      </c>
      <c r="H6094" s="42"/>
      <c r="I6094" s="42"/>
      <c r="J6094" s="42"/>
    </row>
    <row r="6095" spans="5:10">
      <c r="E6095" s="43">
        <v>45346.850694424094</v>
      </c>
      <c r="F6095" s="41">
        <v>16.97719883672</v>
      </c>
      <c r="G6095" s="41">
        <v>0</v>
      </c>
      <c r="H6095" s="42"/>
      <c r="I6095" s="42"/>
      <c r="J6095" s="42"/>
    </row>
    <row r="6096" spans="5:10">
      <c r="E6096" s="43">
        <v>45346.854166646313</v>
      </c>
      <c r="F6096" s="41">
        <v>16.97719883672</v>
      </c>
      <c r="G6096" s="41">
        <v>0</v>
      </c>
      <c r="H6096" s="42"/>
      <c r="I6096" s="42"/>
      <c r="J6096" s="42"/>
    </row>
    <row r="6097" spans="5:10">
      <c r="E6097" s="43">
        <v>45346.857638868532</v>
      </c>
      <c r="F6097" s="41">
        <v>16.97719883672</v>
      </c>
      <c r="G6097" s="41">
        <v>0</v>
      </c>
      <c r="H6097" s="42"/>
      <c r="I6097" s="42"/>
      <c r="J6097" s="42"/>
    </row>
    <row r="6098" spans="5:10">
      <c r="E6098" s="43">
        <v>45346.861111090751</v>
      </c>
      <c r="F6098" s="41">
        <v>16.97719883672</v>
      </c>
      <c r="G6098" s="41">
        <v>0</v>
      </c>
      <c r="H6098" s="42"/>
      <c r="I6098" s="42"/>
      <c r="J6098" s="42"/>
    </row>
    <row r="6099" spans="5:10">
      <c r="E6099" s="43">
        <v>45346.86458331297</v>
      </c>
      <c r="F6099" s="41">
        <v>16.97719883672</v>
      </c>
      <c r="G6099" s="41">
        <v>0</v>
      </c>
      <c r="H6099" s="42"/>
      <c r="I6099" s="42"/>
      <c r="J6099" s="42"/>
    </row>
    <row r="6100" spans="5:10">
      <c r="E6100" s="43">
        <v>45346.868055535189</v>
      </c>
      <c r="F6100" s="41">
        <v>16.97719883672</v>
      </c>
      <c r="G6100" s="41">
        <v>0</v>
      </c>
      <c r="H6100" s="42"/>
      <c r="I6100" s="42"/>
      <c r="J6100" s="42"/>
    </row>
    <row r="6101" spans="5:10">
      <c r="E6101" s="43">
        <v>45346.871527757408</v>
      </c>
      <c r="F6101" s="41">
        <v>16.97719883672</v>
      </c>
      <c r="G6101" s="41">
        <v>0</v>
      </c>
      <c r="H6101" s="42"/>
      <c r="I6101" s="42"/>
      <c r="J6101" s="42"/>
    </row>
    <row r="6102" spans="5:10">
      <c r="E6102" s="43">
        <v>45346.874999979627</v>
      </c>
      <c r="F6102" s="41">
        <v>16.97719883672</v>
      </c>
      <c r="G6102" s="41">
        <v>0</v>
      </c>
      <c r="H6102" s="42"/>
      <c r="I6102" s="42"/>
      <c r="J6102" s="42"/>
    </row>
    <row r="6103" spans="5:10">
      <c r="E6103" s="43">
        <v>45346.878472201846</v>
      </c>
      <c r="F6103" s="41">
        <v>16.97719883672</v>
      </c>
      <c r="G6103" s="41">
        <v>0</v>
      </c>
      <c r="H6103" s="42"/>
      <c r="I6103" s="42"/>
      <c r="J6103" s="42"/>
    </row>
    <row r="6104" spans="5:10">
      <c r="E6104" s="43">
        <v>45346.881944424065</v>
      </c>
      <c r="F6104" s="41">
        <v>16.97719883672</v>
      </c>
      <c r="G6104" s="41">
        <v>0</v>
      </c>
      <c r="H6104" s="42"/>
      <c r="I6104" s="42"/>
      <c r="J6104" s="42"/>
    </row>
    <row r="6105" spans="5:10">
      <c r="E6105" s="43">
        <v>45346.885416646284</v>
      </c>
      <c r="F6105" s="41">
        <v>16.97719883672</v>
      </c>
      <c r="G6105" s="41">
        <v>0</v>
      </c>
      <c r="H6105" s="42"/>
      <c r="I6105" s="42"/>
      <c r="J6105" s="42"/>
    </row>
    <row r="6106" spans="5:10">
      <c r="E6106" s="43">
        <v>45346.888888868503</v>
      </c>
      <c r="F6106" s="41">
        <v>16.97719883672</v>
      </c>
      <c r="G6106" s="41">
        <v>0</v>
      </c>
      <c r="H6106" s="42"/>
      <c r="I6106" s="42"/>
      <c r="J6106" s="42"/>
    </row>
    <row r="6107" spans="5:10">
      <c r="E6107" s="43">
        <v>45346.892361090722</v>
      </c>
      <c r="F6107" s="41">
        <v>16.97719883672</v>
      </c>
      <c r="G6107" s="41">
        <v>0</v>
      </c>
      <c r="H6107" s="42"/>
      <c r="I6107" s="42"/>
      <c r="J6107" s="42"/>
    </row>
    <row r="6108" spans="5:10">
      <c r="E6108" s="43">
        <v>45346.895833312941</v>
      </c>
      <c r="F6108" s="41">
        <v>16.97719883672</v>
      </c>
      <c r="G6108" s="41">
        <v>0</v>
      </c>
      <c r="H6108" s="42"/>
      <c r="I6108" s="42"/>
      <c r="J6108" s="42"/>
    </row>
    <row r="6109" spans="5:10">
      <c r="E6109" s="43">
        <v>45346.89930553516</v>
      </c>
      <c r="F6109" s="41">
        <v>16.97719883672</v>
      </c>
      <c r="G6109" s="41">
        <v>0</v>
      </c>
      <c r="H6109" s="42"/>
      <c r="I6109" s="42"/>
      <c r="J6109" s="42"/>
    </row>
    <row r="6110" spans="5:10">
      <c r="E6110" s="43">
        <v>45346.902777757379</v>
      </c>
      <c r="F6110" s="41">
        <v>16.97719883672</v>
      </c>
      <c r="G6110" s="41">
        <v>0</v>
      </c>
      <c r="H6110" s="42"/>
      <c r="I6110" s="42"/>
      <c r="J6110" s="42"/>
    </row>
    <row r="6111" spans="5:10">
      <c r="E6111" s="43">
        <v>45346.906249979598</v>
      </c>
      <c r="F6111" s="41">
        <v>16.97719883672</v>
      </c>
      <c r="G6111" s="41">
        <v>0</v>
      </c>
      <c r="H6111" s="42"/>
      <c r="I6111" s="42"/>
      <c r="J6111" s="42"/>
    </row>
    <row r="6112" spans="5:10">
      <c r="E6112" s="43">
        <v>45346.909722201817</v>
      </c>
      <c r="F6112" s="41">
        <v>16.97719883672</v>
      </c>
      <c r="G6112" s="41">
        <v>0</v>
      </c>
      <c r="H6112" s="42"/>
      <c r="I6112" s="42"/>
      <c r="J6112" s="42"/>
    </row>
    <row r="6113" spans="5:10">
      <c r="E6113" s="43">
        <v>45346.913194424036</v>
      </c>
      <c r="F6113" s="41">
        <v>16.97719883672</v>
      </c>
      <c r="G6113" s="41">
        <v>0</v>
      </c>
      <c r="H6113" s="42"/>
      <c r="I6113" s="42"/>
      <c r="J6113" s="42"/>
    </row>
    <row r="6114" spans="5:10">
      <c r="E6114" s="43">
        <v>45346.916666646255</v>
      </c>
      <c r="F6114" s="41">
        <v>16.97719883672</v>
      </c>
      <c r="G6114" s="41">
        <v>0</v>
      </c>
      <c r="H6114" s="42"/>
      <c r="I6114" s="42"/>
      <c r="J6114" s="42"/>
    </row>
    <row r="6115" spans="5:10">
      <c r="E6115" s="43">
        <v>45346.920138868474</v>
      </c>
      <c r="F6115" s="41">
        <v>16.97719883672</v>
      </c>
      <c r="G6115" s="41">
        <v>0</v>
      </c>
      <c r="H6115" s="42"/>
      <c r="I6115" s="42"/>
      <c r="J6115" s="42"/>
    </row>
    <row r="6116" spans="5:10">
      <c r="E6116" s="43">
        <v>45346.923611090693</v>
      </c>
      <c r="F6116" s="41">
        <v>16.97719883672</v>
      </c>
      <c r="G6116" s="41">
        <v>0</v>
      </c>
      <c r="H6116" s="42"/>
      <c r="I6116" s="42"/>
      <c r="J6116" s="42"/>
    </row>
    <row r="6117" spans="5:10">
      <c r="E6117" s="43">
        <v>45346.927083312912</v>
      </c>
      <c r="F6117" s="41">
        <v>16.97719883672</v>
      </c>
      <c r="G6117" s="41">
        <v>0</v>
      </c>
      <c r="H6117" s="42"/>
      <c r="I6117" s="42"/>
      <c r="J6117" s="42"/>
    </row>
    <row r="6118" spans="5:10">
      <c r="E6118" s="43">
        <v>45346.930555535131</v>
      </c>
      <c r="F6118" s="41">
        <v>16.97719883672</v>
      </c>
      <c r="G6118" s="41">
        <v>0</v>
      </c>
      <c r="H6118" s="42"/>
      <c r="I6118" s="42"/>
      <c r="J6118" s="42"/>
    </row>
    <row r="6119" spans="5:10">
      <c r="E6119" s="43">
        <v>45346.93402775735</v>
      </c>
      <c r="F6119" s="41">
        <v>16.97719883672</v>
      </c>
      <c r="G6119" s="41">
        <v>0</v>
      </c>
      <c r="H6119" s="42"/>
      <c r="I6119" s="42"/>
      <c r="J6119" s="42"/>
    </row>
    <row r="6120" spans="5:10">
      <c r="E6120" s="43">
        <v>45346.937499979569</v>
      </c>
      <c r="F6120" s="41">
        <v>16.97719883672</v>
      </c>
      <c r="G6120" s="41">
        <v>0</v>
      </c>
      <c r="H6120" s="42"/>
      <c r="I6120" s="42"/>
      <c r="J6120" s="42"/>
    </row>
    <row r="6121" spans="5:10">
      <c r="E6121" s="43">
        <v>45346.940972201788</v>
      </c>
      <c r="F6121" s="41">
        <v>16.97719883672</v>
      </c>
      <c r="G6121" s="41">
        <v>0</v>
      </c>
      <c r="H6121" s="42"/>
      <c r="I6121" s="42"/>
      <c r="J6121" s="42"/>
    </row>
    <row r="6122" spans="5:10">
      <c r="E6122" s="43">
        <v>45346.944444424007</v>
      </c>
      <c r="F6122" s="41">
        <v>16.97719883672</v>
      </c>
      <c r="G6122" s="41">
        <v>0</v>
      </c>
      <c r="H6122" s="42"/>
      <c r="I6122" s="42"/>
      <c r="J6122" s="42"/>
    </row>
    <row r="6123" spans="5:10">
      <c r="E6123" s="43">
        <v>45346.947916646226</v>
      </c>
      <c r="F6123" s="41">
        <v>16.97719883672</v>
      </c>
      <c r="G6123" s="41">
        <v>0</v>
      </c>
      <c r="H6123" s="42"/>
      <c r="I6123" s="42"/>
      <c r="J6123" s="42"/>
    </row>
    <row r="6124" spans="5:10">
      <c r="E6124" s="43">
        <v>45346.951388868445</v>
      </c>
      <c r="F6124" s="41">
        <v>16.97719883672</v>
      </c>
      <c r="G6124" s="41">
        <v>0</v>
      </c>
      <c r="H6124" s="42"/>
      <c r="I6124" s="42"/>
      <c r="J6124" s="42"/>
    </row>
    <row r="6125" spans="5:10">
      <c r="E6125" s="43">
        <v>45346.954861090664</v>
      </c>
      <c r="F6125" s="41">
        <v>16.97719883672</v>
      </c>
      <c r="G6125" s="41">
        <v>0</v>
      </c>
      <c r="H6125" s="42"/>
      <c r="I6125" s="42"/>
      <c r="J6125" s="42"/>
    </row>
    <row r="6126" spans="5:10">
      <c r="E6126" s="43">
        <v>45346.958333312883</v>
      </c>
      <c r="F6126" s="41">
        <v>16.97719883672</v>
      </c>
      <c r="G6126" s="41">
        <v>0</v>
      </c>
      <c r="H6126" s="42"/>
      <c r="I6126" s="42"/>
      <c r="J6126" s="42"/>
    </row>
    <row r="6127" spans="5:10">
      <c r="E6127" s="43">
        <v>45346.961805535102</v>
      </c>
      <c r="F6127" s="41">
        <v>16.97719883672</v>
      </c>
      <c r="G6127" s="41">
        <v>0</v>
      </c>
      <c r="H6127" s="42"/>
      <c r="I6127" s="42"/>
      <c r="J6127" s="42"/>
    </row>
    <row r="6128" spans="5:10">
      <c r="E6128" s="43">
        <v>45346.965277757321</v>
      </c>
      <c r="F6128" s="41">
        <v>16.97719883672</v>
      </c>
      <c r="G6128" s="41">
        <v>0</v>
      </c>
      <c r="H6128" s="42"/>
      <c r="I6128" s="42"/>
      <c r="J6128" s="42"/>
    </row>
    <row r="6129" spans="5:10">
      <c r="E6129" s="43">
        <v>45346.96874997954</v>
      </c>
      <c r="F6129" s="41">
        <v>16.97719883672</v>
      </c>
      <c r="G6129" s="41">
        <v>0</v>
      </c>
      <c r="H6129" s="42"/>
      <c r="I6129" s="42"/>
      <c r="J6129" s="42"/>
    </row>
    <row r="6130" spans="5:10">
      <c r="E6130" s="43">
        <v>45346.972222201759</v>
      </c>
      <c r="F6130" s="41">
        <v>16.97719883672</v>
      </c>
      <c r="G6130" s="41">
        <v>0</v>
      </c>
      <c r="H6130" s="42"/>
      <c r="I6130" s="42"/>
      <c r="J6130" s="42"/>
    </row>
    <row r="6131" spans="5:10">
      <c r="E6131" s="43">
        <v>45346.975694423978</v>
      </c>
      <c r="F6131" s="41">
        <v>16.97719883672</v>
      </c>
      <c r="G6131" s="41">
        <v>0</v>
      </c>
      <c r="H6131" s="42"/>
      <c r="I6131" s="42"/>
      <c r="J6131" s="42"/>
    </row>
    <row r="6132" spans="5:10">
      <c r="E6132" s="43">
        <v>45346.979166646197</v>
      </c>
      <c r="F6132" s="41">
        <v>16.97719883672</v>
      </c>
      <c r="G6132" s="41">
        <v>0</v>
      </c>
      <c r="H6132" s="42"/>
      <c r="I6132" s="42"/>
      <c r="J6132" s="42"/>
    </row>
    <row r="6133" spans="5:10">
      <c r="E6133" s="43">
        <v>45346.982638868416</v>
      </c>
      <c r="F6133" s="41">
        <v>16.97719883672</v>
      </c>
      <c r="G6133" s="41">
        <v>0</v>
      </c>
      <c r="H6133" s="42"/>
      <c r="I6133" s="42"/>
      <c r="J6133" s="42"/>
    </row>
    <row r="6134" spans="5:10">
      <c r="E6134" s="43">
        <v>45346.986111090635</v>
      </c>
      <c r="F6134" s="41">
        <v>16.97719883672</v>
      </c>
      <c r="G6134" s="41">
        <v>0</v>
      </c>
      <c r="H6134" s="42"/>
      <c r="I6134" s="42"/>
      <c r="J6134" s="42"/>
    </row>
    <row r="6135" spans="5:10">
      <c r="E6135" s="43">
        <v>45346.989583312854</v>
      </c>
      <c r="F6135" s="41">
        <v>16.97719883672</v>
      </c>
      <c r="G6135" s="41">
        <v>0</v>
      </c>
      <c r="H6135" s="42"/>
      <c r="I6135" s="42"/>
      <c r="J6135" s="42"/>
    </row>
    <row r="6136" spans="5:10">
      <c r="E6136" s="43">
        <v>45346.993055535073</v>
      </c>
      <c r="F6136" s="41">
        <v>16.97719883672</v>
      </c>
      <c r="G6136" s="41">
        <v>0</v>
      </c>
      <c r="H6136" s="42"/>
      <c r="I6136" s="42"/>
      <c r="J6136" s="42"/>
    </row>
    <row r="6137" spans="5:10">
      <c r="E6137" s="43">
        <v>45346.996527757292</v>
      </c>
      <c r="F6137" s="41">
        <v>16.97719883672</v>
      </c>
      <c r="G6137" s="41">
        <v>0</v>
      </c>
      <c r="H6137" s="42"/>
      <c r="I6137" s="42"/>
      <c r="J6137" s="42"/>
    </row>
    <row r="6138" spans="5:10">
      <c r="E6138" s="43">
        <v>45346.999999979511</v>
      </c>
      <c r="F6138" s="41">
        <v>16.97719883672</v>
      </c>
      <c r="G6138" s="41">
        <v>0</v>
      </c>
      <c r="H6138" s="42"/>
      <c r="I6138" s="42"/>
      <c r="J6138" s="42"/>
    </row>
    <row r="6139" spans="5:10">
      <c r="E6139" s="43">
        <v>45347.00347220173</v>
      </c>
      <c r="F6139" s="41">
        <v>16.97719883672</v>
      </c>
      <c r="G6139" s="41">
        <v>0</v>
      </c>
      <c r="H6139" s="42"/>
      <c r="I6139" s="42"/>
      <c r="J6139" s="42"/>
    </row>
    <row r="6140" spans="5:10">
      <c r="E6140" s="43">
        <v>45347.006944423949</v>
      </c>
      <c r="F6140" s="41">
        <v>16.97719883672</v>
      </c>
      <c r="G6140" s="41">
        <v>0</v>
      </c>
      <c r="H6140" s="42"/>
      <c r="I6140" s="42"/>
      <c r="J6140" s="42"/>
    </row>
    <row r="6141" spans="5:10">
      <c r="E6141" s="43">
        <v>45347.010416646168</v>
      </c>
      <c r="F6141" s="41">
        <v>16.97719883672</v>
      </c>
      <c r="G6141" s="41">
        <v>0</v>
      </c>
      <c r="H6141" s="42"/>
      <c r="I6141" s="42"/>
      <c r="J6141" s="42"/>
    </row>
    <row r="6142" spans="5:10">
      <c r="E6142" s="43">
        <v>45347.013888868387</v>
      </c>
      <c r="F6142" s="41">
        <v>16.97719883672</v>
      </c>
      <c r="G6142" s="41">
        <v>0</v>
      </c>
      <c r="H6142" s="42"/>
      <c r="I6142" s="42"/>
      <c r="J6142" s="42"/>
    </row>
    <row r="6143" spans="5:10">
      <c r="E6143" s="43">
        <v>45347.017361090606</v>
      </c>
      <c r="F6143" s="41">
        <v>16.97719883672</v>
      </c>
      <c r="G6143" s="41">
        <v>0</v>
      </c>
      <c r="H6143" s="42"/>
      <c r="I6143" s="42"/>
      <c r="J6143" s="42"/>
    </row>
    <row r="6144" spans="5:10">
      <c r="E6144" s="43">
        <v>45347.020833312825</v>
      </c>
      <c r="F6144" s="41">
        <v>16.97719883672</v>
      </c>
      <c r="G6144" s="41">
        <v>0</v>
      </c>
      <c r="H6144" s="42"/>
      <c r="I6144" s="42"/>
      <c r="J6144" s="42"/>
    </row>
    <row r="6145" spans="5:10">
      <c r="E6145" s="43">
        <v>45347.024305535044</v>
      </c>
      <c r="F6145" s="41">
        <v>16.97719883672</v>
      </c>
      <c r="G6145" s="41">
        <v>0</v>
      </c>
      <c r="H6145" s="42"/>
      <c r="I6145" s="42"/>
      <c r="J6145" s="42"/>
    </row>
    <row r="6146" spans="5:10">
      <c r="E6146" s="43">
        <v>45347.027777757263</v>
      </c>
      <c r="F6146" s="41">
        <v>16.97719883672</v>
      </c>
      <c r="G6146" s="41">
        <v>0</v>
      </c>
      <c r="H6146" s="42"/>
      <c r="I6146" s="42"/>
      <c r="J6146" s="42"/>
    </row>
    <row r="6147" spans="5:10">
      <c r="E6147" s="43">
        <v>45347.031249979482</v>
      </c>
      <c r="F6147" s="41">
        <v>16.97719883672</v>
      </c>
      <c r="G6147" s="41">
        <v>0</v>
      </c>
      <c r="H6147" s="42"/>
      <c r="I6147" s="42"/>
      <c r="J6147" s="42"/>
    </row>
    <row r="6148" spans="5:10">
      <c r="E6148" s="43">
        <v>45347.034722201701</v>
      </c>
      <c r="F6148" s="41">
        <v>16.97719883672</v>
      </c>
      <c r="G6148" s="41">
        <v>0</v>
      </c>
      <c r="H6148" s="42"/>
      <c r="I6148" s="42"/>
      <c r="J6148" s="42"/>
    </row>
    <row r="6149" spans="5:10">
      <c r="E6149" s="43">
        <v>45347.03819442392</v>
      </c>
      <c r="F6149" s="41">
        <v>16.97719883672</v>
      </c>
      <c r="G6149" s="41">
        <v>0</v>
      </c>
      <c r="H6149" s="42"/>
      <c r="I6149" s="42"/>
      <c r="J6149" s="42"/>
    </row>
    <row r="6150" spans="5:10">
      <c r="E6150" s="43">
        <v>45347.041666646139</v>
      </c>
      <c r="F6150" s="41">
        <v>16.97719883672</v>
      </c>
      <c r="G6150" s="41">
        <v>0</v>
      </c>
      <c r="H6150" s="42"/>
      <c r="I6150" s="42"/>
      <c r="J6150" s="42"/>
    </row>
    <row r="6151" spans="5:10">
      <c r="E6151" s="43">
        <v>45347.045138868358</v>
      </c>
      <c r="F6151" s="41">
        <v>16.97719883672</v>
      </c>
      <c r="G6151" s="41">
        <v>0</v>
      </c>
      <c r="H6151" s="42"/>
      <c r="I6151" s="42"/>
      <c r="J6151" s="42"/>
    </row>
    <row r="6152" spans="5:10">
      <c r="E6152" s="43">
        <v>45347.048611090577</v>
      </c>
      <c r="F6152" s="41">
        <v>16.97719883672</v>
      </c>
      <c r="G6152" s="41">
        <v>0</v>
      </c>
      <c r="H6152" s="42"/>
      <c r="I6152" s="42"/>
      <c r="J6152" s="42"/>
    </row>
    <row r="6153" spans="5:10">
      <c r="E6153" s="43">
        <v>45347.052083312796</v>
      </c>
      <c r="F6153" s="41">
        <v>16.97719883672</v>
      </c>
      <c r="G6153" s="41">
        <v>0</v>
      </c>
      <c r="H6153" s="42"/>
      <c r="I6153" s="42"/>
      <c r="J6153" s="42"/>
    </row>
    <row r="6154" spans="5:10">
      <c r="E6154" s="43">
        <v>45347.055555535015</v>
      </c>
      <c r="F6154" s="41">
        <v>16.97719883672</v>
      </c>
      <c r="G6154" s="41">
        <v>0</v>
      </c>
      <c r="H6154" s="42"/>
      <c r="I6154" s="42"/>
      <c r="J6154" s="42"/>
    </row>
    <row r="6155" spans="5:10">
      <c r="E6155" s="43">
        <v>45347.059027757234</v>
      </c>
      <c r="F6155" s="41">
        <v>16.97719883672</v>
      </c>
      <c r="G6155" s="41">
        <v>0</v>
      </c>
      <c r="H6155" s="42"/>
      <c r="I6155" s="42"/>
      <c r="J6155" s="42"/>
    </row>
    <row r="6156" spans="5:10">
      <c r="E6156" s="43">
        <v>45347.062499979453</v>
      </c>
      <c r="F6156" s="41">
        <v>16.97719883672</v>
      </c>
      <c r="G6156" s="41">
        <v>0</v>
      </c>
      <c r="H6156" s="42"/>
      <c r="I6156" s="42"/>
      <c r="J6156" s="42"/>
    </row>
    <row r="6157" spans="5:10">
      <c r="E6157" s="43">
        <v>45347.065972201672</v>
      </c>
      <c r="F6157" s="41">
        <v>16.97719883672</v>
      </c>
      <c r="G6157" s="41">
        <v>0</v>
      </c>
      <c r="H6157" s="42"/>
      <c r="I6157" s="42"/>
      <c r="J6157" s="42"/>
    </row>
    <row r="6158" spans="5:10">
      <c r="E6158" s="43">
        <v>45347.069444423891</v>
      </c>
      <c r="F6158" s="41">
        <v>16.97719883672</v>
      </c>
      <c r="G6158" s="41">
        <v>0</v>
      </c>
      <c r="H6158" s="42"/>
      <c r="I6158" s="42"/>
      <c r="J6158" s="42"/>
    </row>
    <row r="6159" spans="5:10">
      <c r="E6159" s="43">
        <v>45347.07291664611</v>
      </c>
      <c r="F6159" s="41">
        <v>16.97719883672</v>
      </c>
      <c r="G6159" s="41">
        <v>0</v>
      </c>
      <c r="H6159" s="42"/>
      <c r="I6159" s="42"/>
      <c r="J6159" s="42"/>
    </row>
    <row r="6160" spans="5:10">
      <c r="E6160" s="43">
        <v>45347.076388868329</v>
      </c>
      <c r="F6160" s="41">
        <v>16.97719883672</v>
      </c>
      <c r="G6160" s="41">
        <v>0</v>
      </c>
      <c r="H6160" s="42"/>
      <c r="I6160" s="42"/>
      <c r="J6160" s="42"/>
    </row>
    <row r="6161" spans="5:10">
      <c r="E6161" s="43">
        <v>45347.079861090548</v>
      </c>
      <c r="F6161" s="41">
        <v>16.97719883672</v>
      </c>
      <c r="G6161" s="41">
        <v>0</v>
      </c>
      <c r="H6161" s="42"/>
      <c r="I6161" s="42"/>
      <c r="J6161" s="42"/>
    </row>
    <row r="6162" spans="5:10">
      <c r="E6162" s="43">
        <v>45347.083333312767</v>
      </c>
      <c r="F6162" s="41">
        <v>16.97719883672</v>
      </c>
      <c r="G6162" s="41">
        <v>0</v>
      </c>
      <c r="H6162" s="42"/>
      <c r="I6162" s="42"/>
      <c r="J6162" s="42"/>
    </row>
    <row r="6163" spans="5:10">
      <c r="E6163" s="43">
        <v>45347.086805534986</v>
      </c>
      <c r="F6163" s="41">
        <v>16.97719883672</v>
      </c>
      <c r="G6163" s="41">
        <v>0</v>
      </c>
      <c r="H6163" s="42"/>
      <c r="I6163" s="42"/>
      <c r="J6163" s="42"/>
    </row>
    <row r="6164" spans="5:10">
      <c r="E6164" s="43">
        <v>45347.090277757205</v>
      </c>
      <c r="F6164" s="41">
        <v>16.97719883672</v>
      </c>
      <c r="G6164" s="41">
        <v>0</v>
      </c>
      <c r="H6164" s="42"/>
      <c r="I6164" s="42"/>
      <c r="J6164" s="42"/>
    </row>
    <row r="6165" spans="5:10">
      <c r="E6165" s="43">
        <v>45347.093749979424</v>
      </c>
      <c r="F6165" s="41">
        <v>16.97719883672</v>
      </c>
      <c r="G6165" s="41">
        <v>0</v>
      </c>
      <c r="H6165" s="42"/>
      <c r="I6165" s="42"/>
      <c r="J6165" s="42"/>
    </row>
    <row r="6166" spans="5:10">
      <c r="E6166" s="43">
        <v>45347.097222201643</v>
      </c>
      <c r="F6166" s="41">
        <v>16.97719883672</v>
      </c>
      <c r="G6166" s="41">
        <v>0</v>
      </c>
      <c r="H6166" s="42"/>
      <c r="I6166" s="42"/>
      <c r="J6166" s="42"/>
    </row>
    <row r="6167" spans="5:10">
      <c r="E6167" s="43">
        <v>45347.100694423862</v>
      </c>
      <c r="F6167" s="41">
        <v>16.97719883672</v>
      </c>
      <c r="G6167" s="41">
        <v>0</v>
      </c>
      <c r="H6167" s="42"/>
      <c r="I6167" s="42"/>
      <c r="J6167" s="42"/>
    </row>
    <row r="6168" spans="5:10">
      <c r="E6168" s="43">
        <v>45347.104166646081</v>
      </c>
      <c r="F6168" s="41">
        <v>16.97719883672</v>
      </c>
      <c r="G6168" s="41">
        <v>0</v>
      </c>
      <c r="H6168" s="42"/>
      <c r="I6168" s="42"/>
      <c r="J6168" s="42"/>
    </row>
    <row r="6169" spans="5:10">
      <c r="E6169" s="43">
        <v>45347.1076388683</v>
      </c>
      <c r="F6169" s="41">
        <v>16.97719883672</v>
      </c>
      <c r="G6169" s="41">
        <v>0</v>
      </c>
      <c r="H6169" s="42"/>
      <c r="I6169" s="42"/>
      <c r="J6169" s="42"/>
    </row>
    <row r="6170" spans="5:10">
      <c r="E6170" s="43">
        <v>45347.111111090519</v>
      </c>
      <c r="F6170" s="41">
        <v>16.97719883672</v>
      </c>
      <c r="G6170" s="41">
        <v>0</v>
      </c>
      <c r="H6170" s="42"/>
      <c r="I6170" s="42"/>
      <c r="J6170" s="42"/>
    </row>
    <row r="6171" spans="5:10">
      <c r="E6171" s="43">
        <v>45347.114583312738</v>
      </c>
      <c r="F6171" s="41">
        <v>16.97719883672</v>
      </c>
      <c r="G6171" s="41">
        <v>0</v>
      </c>
      <c r="H6171" s="42"/>
      <c r="I6171" s="42"/>
      <c r="J6171" s="42"/>
    </row>
    <row r="6172" spans="5:10">
      <c r="E6172" s="43">
        <v>45347.118055534957</v>
      </c>
      <c r="F6172" s="41">
        <v>16.97719883672</v>
      </c>
      <c r="G6172" s="41">
        <v>0</v>
      </c>
      <c r="H6172" s="42"/>
      <c r="I6172" s="42"/>
      <c r="J6172" s="42"/>
    </row>
    <row r="6173" spans="5:10">
      <c r="E6173" s="43">
        <v>45347.121527757175</v>
      </c>
      <c r="F6173" s="41">
        <v>16.97719883672</v>
      </c>
      <c r="G6173" s="41">
        <v>0</v>
      </c>
      <c r="H6173" s="42"/>
      <c r="I6173" s="42"/>
      <c r="J6173" s="42"/>
    </row>
    <row r="6174" spans="5:10">
      <c r="E6174" s="43">
        <v>45347.124999979394</v>
      </c>
      <c r="F6174" s="41">
        <v>16.97719883672</v>
      </c>
      <c r="G6174" s="41">
        <v>0</v>
      </c>
      <c r="H6174" s="42"/>
      <c r="I6174" s="42"/>
      <c r="J6174" s="42"/>
    </row>
    <row r="6175" spans="5:10">
      <c r="E6175" s="43">
        <v>45347.128472201613</v>
      </c>
      <c r="F6175" s="41">
        <v>16.97719883672</v>
      </c>
      <c r="G6175" s="41">
        <v>0</v>
      </c>
      <c r="H6175" s="42"/>
      <c r="I6175" s="42"/>
      <c r="J6175" s="42"/>
    </row>
    <row r="6176" spans="5:10">
      <c r="E6176" s="43">
        <v>45347.131944423832</v>
      </c>
      <c r="F6176" s="41">
        <v>16.97719883672</v>
      </c>
      <c r="G6176" s="41">
        <v>0</v>
      </c>
      <c r="H6176" s="42"/>
      <c r="I6176" s="42"/>
      <c r="J6176" s="42"/>
    </row>
    <row r="6177" spans="5:10">
      <c r="E6177" s="43">
        <v>45347.135416646051</v>
      </c>
      <c r="F6177" s="41">
        <v>16.97719883672</v>
      </c>
      <c r="G6177" s="41">
        <v>0</v>
      </c>
      <c r="H6177" s="42"/>
      <c r="I6177" s="42"/>
      <c r="J6177" s="42"/>
    </row>
    <row r="6178" spans="5:10">
      <c r="E6178" s="43">
        <v>45347.13888886827</v>
      </c>
      <c r="F6178" s="41">
        <v>16.97719883672</v>
      </c>
      <c r="G6178" s="41">
        <v>0</v>
      </c>
      <c r="H6178" s="42"/>
      <c r="I6178" s="42"/>
      <c r="J6178" s="42"/>
    </row>
    <row r="6179" spans="5:10">
      <c r="E6179" s="43">
        <v>45347.142361090489</v>
      </c>
      <c r="F6179" s="41">
        <v>16.97719883672</v>
      </c>
      <c r="G6179" s="41">
        <v>0</v>
      </c>
      <c r="H6179" s="42"/>
      <c r="I6179" s="42"/>
      <c r="J6179" s="42"/>
    </row>
    <row r="6180" spans="5:10">
      <c r="E6180" s="43">
        <v>45347.145833312708</v>
      </c>
      <c r="F6180" s="41">
        <v>16.97719883672</v>
      </c>
      <c r="G6180" s="41">
        <v>0</v>
      </c>
      <c r="H6180" s="42"/>
      <c r="I6180" s="42"/>
      <c r="J6180" s="42"/>
    </row>
    <row r="6181" spans="5:10">
      <c r="E6181" s="43">
        <v>45347.149305534927</v>
      </c>
      <c r="F6181" s="41">
        <v>16.97719883672</v>
      </c>
      <c r="G6181" s="41">
        <v>0</v>
      </c>
      <c r="H6181" s="42"/>
      <c r="I6181" s="42"/>
      <c r="J6181" s="42"/>
    </row>
    <row r="6182" spans="5:10">
      <c r="E6182" s="43">
        <v>45347.152777757146</v>
      </c>
      <c r="F6182" s="41">
        <v>16.97719883672</v>
      </c>
      <c r="G6182" s="41">
        <v>0</v>
      </c>
      <c r="H6182" s="42"/>
      <c r="I6182" s="42"/>
      <c r="J6182" s="42"/>
    </row>
    <row r="6183" spans="5:10">
      <c r="E6183" s="43">
        <v>45347.156249979365</v>
      </c>
      <c r="F6183" s="41">
        <v>16.97719883672</v>
      </c>
      <c r="G6183" s="41">
        <v>0</v>
      </c>
      <c r="H6183" s="42"/>
      <c r="I6183" s="42"/>
      <c r="J6183" s="42"/>
    </row>
    <row r="6184" spans="5:10">
      <c r="E6184" s="43">
        <v>45347.159722201584</v>
      </c>
      <c r="F6184" s="41">
        <v>16.97719883672</v>
      </c>
      <c r="G6184" s="41">
        <v>0</v>
      </c>
      <c r="H6184" s="42"/>
      <c r="I6184" s="42"/>
      <c r="J6184" s="42"/>
    </row>
    <row r="6185" spans="5:10">
      <c r="E6185" s="43">
        <v>45347.163194423803</v>
      </c>
      <c r="F6185" s="41">
        <v>16.97719883672</v>
      </c>
      <c r="G6185" s="41">
        <v>0</v>
      </c>
      <c r="H6185" s="42"/>
      <c r="I6185" s="42"/>
      <c r="J6185" s="42"/>
    </row>
    <row r="6186" spans="5:10">
      <c r="E6186" s="43">
        <v>45347.166666646022</v>
      </c>
      <c r="F6186" s="41">
        <v>16.97719883672</v>
      </c>
      <c r="G6186" s="41">
        <v>0</v>
      </c>
      <c r="H6186" s="42"/>
      <c r="I6186" s="42"/>
      <c r="J6186" s="42"/>
    </row>
    <row r="6187" spans="5:10">
      <c r="E6187" s="43">
        <v>45347.170138868241</v>
      </c>
      <c r="F6187" s="41">
        <v>16.97719883672</v>
      </c>
      <c r="G6187" s="41">
        <v>0</v>
      </c>
      <c r="H6187" s="42"/>
      <c r="I6187" s="42"/>
      <c r="J6187" s="42"/>
    </row>
    <row r="6188" spans="5:10">
      <c r="E6188" s="43">
        <v>45347.17361109046</v>
      </c>
      <c r="F6188" s="41">
        <v>16.97719883672</v>
      </c>
      <c r="G6188" s="41">
        <v>0</v>
      </c>
      <c r="H6188" s="42"/>
      <c r="I6188" s="42"/>
      <c r="J6188" s="42"/>
    </row>
    <row r="6189" spans="5:10">
      <c r="E6189" s="43">
        <v>45347.177083312679</v>
      </c>
      <c r="F6189" s="41">
        <v>16.97719883672</v>
      </c>
      <c r="G6189" s="41">
        <v>0</v>
      </c>
      <c r="H6189" s="42"/>
      <c r="I6189" s="42"/>
      <c r="J6189" s="42"/>
    </row>
    <row r="6190" spans="5:10">
      <c r="E6190" s="43">
        <v>45347.180555534898</v>
      </c>
      <c r="F6190" s="41">
        <v>16.97719883672</v>
      </c>
      <c r="G6190" s="41">
        <v>0</v>
      </c>
      <c r="H6190" s="42"/>
      <c r="I6190" s="42"/>
      <c r="J6190" s="42"/>
    </row>
    <row r="6191" spans="5:10">
      <c r="E6191" s="43">
        <v>45347.184027757117</v>
      </c>
      <c r="F6191" s="41">
        <v>16.97719883672</v>
      </c>
      <c r="G6191" s="41">
        <v>0</v>
      </c>
      <c r="H6191" s="42"/>
      <c r="I6191" s="42"/>
      <c r="J6191" s="42"/>
    </row>
    <row r="6192" spans="5:10">
      <c r="E6192" s="43">
        <v>45347.187499979336</v>
      </c>
      <c r="F6192" s="41">
        <v>16.97719883672</v>
      </c>
      <c r="G6192" s="41">
        <v>0</v>
      </c>
      <c r="H6192" s="42"/>
      <c r="I6192" s="42"/>
      <c r="J6192" s="42"/>
    </row>
    <row r="6193" spans="5:10">
      <c r="E6193" s="43">
        <v>45347.190972201555</v>
      </c>
      <c r="F6193" s="41">
        <v>16.97719883672</v>
      </c>
      <c r="G6193" s="41">
        <v>0</v>
      </c>
      <c r="H6193" s="42"/>
      <c r="I6193" s="42"/>
      <c r="J6193" s="42"/>
    </row>
    <row r="6194" spans="5:10">
      <c r="E6194" s="43">
        <v>45347.194444423774</v>
      </c>
      <c r="F6194" s="41">
        <v>16.97719883672</v>
      </c>
      <c r="G6194" s="41">
        <v>0</v>
      </c>
      <c r="H6194" s="42"/>
      <c r="I6194" s="42"/>
      <c r="J6194" s="42"/>
    </row>
    <row r="6195" spans="5:10">
      <c r="E6195" s="43">
        <v>45347.197916645993</v>
      </c>
      <c r="F6195" s="41">
        <v>16.97719883672</v>
      </c>
      <c r="G6195" s="41">
        <v>0</v>
      </c>
      <c r="H6195" s="42"/>
      <c r="I6195" s="42"/>
      <c r="J6195" s="42"/>
    </row>
    <row r="6196" spans="5:10">
      <c r="E6196" s="43">
        <v>45347.201388868212</v>
      </c>
      <c r="F6196" s="41">
        <v>16.97719883672</v>
      </c>
      <c r="G6196" s="41">
        <v>0</v>
      </c>
      <c r="H6196" s="42"/>
      <c r="I6196" s="42"/>
      <c r="J6196" s="42"/>
    </row>
    <row r="6197" spans="5:10">
      <c r="E6197" s="43">
        <v>45347.204861090431</v>
      </c>
      <c r="F6197" s="41">
        <v>16.97719883672</v>
      </c>
      <c r="G6197" s="41">
        <v>0</v>
      </c>
      <c r="H6197" s="42"/>
      <c r="I6197" s="42"/>
      <c r="J6197" s="42"/>
    </row>
    <row r="6198" spans="5:10">
      <c r="E6198" s="43">
        <v>45347.20833331265</v>
      </c>
      <c r="F6198" s="41">
        <v>16.97719883672</v>
      </c>
      <c r="G6198" s="41">
        <v>0</v>
      </c>
      <c r="H6198" s="42"/>
      <c r="I6198" s="42"/>
      <c r="J6198" s="42"/>
    </row>
    <row r="6199" spans="5:10">
      <c r="E6199" s="43">
        <v>45347.211805534869</v>
      </c>
      <c r="F6199" s="41">
        <v>16.97719883672</v>
      </c>
      <c r="G6199" s="41">
        <v>0</v>
      </c>
      <c r="H6199" s="42"/>
      <c r="I6199" s="42"/>
      <c r="J6199" s="42"/>
    </row>
    <row r="6200" spans="5:10">
      <c r="E6200" s="43">
        <v>45347.215277757088</v>
      </c>
      <c r="F6200" s="41">
        <v>16.97719883672</v>
      </c>
      <c r="G6200" s="41">
        <v>0</v>
      </c>
      <c r="H6200" s="42"/>
      <c r="I6200" s="42"/>
      <c r="J6200" s="42"/>
    </row>
    <row r="6201" spans="5:10">
      <c r="E6201" s="43">
        <v>45347.218749979307</v>
      </c>
      <c r="F6201" s="41">
        <v>16.97719883672</v>
      </c>
      <c r="G6201" s="41">
        <v>0</v>
      </c>
      <c r="H6201" s="42"/>
      <c r="I6201" s="42"/>
      <c r="J6201" s="42"/>
    </row>
    <row r="6202" spans="5:10">
      <c r="E6202" s="43">
        <v>45347.222222201526</v>
      </c>
      <c r="F6202" s="41">
        <v>16.97719883672</v>
      </c>
      <c r="G6202" s="41">
        <v>0</v>
      </c>
      <c r="H6202" s="42"/>
      <c r="I6202" s="42"/>
      <c r="J6202" s="42"/>
    </row>
    <row r="6203" spans="5:10">
      <c r="E6203" s="43">
        <v>45347.225694423745</v>
      </c>
      <c r="F6203" s="41">
        <v>16.97719883672</v>
      </c>
      <c r="G6203" s="41">
        <v>0</v>
      </c>
      <c r="H6203" s="42"/>
      <c r="I6203" s="42"/>
      <c r="J6203" s="42"/>
    </row>
    <row r="6204" spans="5:10">
      <c r="E6204" s="43">
        <v>45347.229166645964</v>
      </c>
      <c r="F6204" s="41">
        <v>16.97719883672</v>
      </c>
      <c r="G6204" s="41">
        <v>0</v>
      </c>
      <c r="H6204" s="42"/>
      <c r="I6204" s="42"/>
      <c r="J6204" s="42"/>
    </row>
    <row r="6205" spans="5:10">
      <c r="E6205" s="43">
        <v>45347.232638868183</v>
      </c>
      <c r="F6205" s="41">
        <v>16.97719883672</v>
      </c>
      <c r="G6205" s="41">
        <v>0</v>
      </c>
      <c r="H6205" s="42"/>
      <c r="I6205" s="42"/>
      <c r="J6205" s="42"/>
    </row>
    <row r="6206" spans="5:10">
      <c r="E6206" s="43">
        <v>45347.236111090402</v>
      </c>
      <c r="F6206" s="41">
        <v>16.97719883672</v>
      </c>
      <c r="G6206" s="41">
        <v>0</v>
      </c>
      <c r="H6206" s="42"/>
      <c r="I6206" s="42"/>
      <c r="J6206" s="42"/>
    </row>
    <row r="6207" spans="5:10">
      <c r="E6207" s="43">
        <v>45347.239583312621</v>
      </c>
      <c r="F6207" s="41">
        <v>16.97719883672</v>
      </c>
      <c r="G6207" s="41">
        <v>0</v>
      </c>
      <c r="H6207" s="42"/>
      <c r="I6207" s="42"/>
      <c r="J6207" s="42"/>
    </row>
    <row r="6208" spans="5:10">
      <c r="E6208" s="43">
        <v>45347.24305553484</v>
      </c>
      <c r="F6208" s="41">
        <v>16.97719883672</v>
      </c>
      <c r="G6208" s="41">
        <v>0</v>
      </c>
      <c r="H6208" s="42"/>
      <c r="I6208" s="42"/>
      <c r="J6208" s="42"/>
    </row>
    <row r="6209" spans="5:10">
      <c r="E6209" s="43">
        <v>45347.246527757059</v>
      </c>
      <c r="F6209" s="41">
        <v>16.97719883672</v>
      </c>
      <c r="G6209" s="41">
        <v>0</v>
      </c>
      <c r="H6209" s="42"/>
      <c r="I6209" s="42"/>
      <c r="J6209" s="42"/>
    </row>
    <row r="6210" spans="5:10">
      <c r="E6210" s="43">
        <v>45347.249999979278</v>
      </c>
      <c r="F6210" s="41">
        <v>16.97719883672</v>
      </c>
      <c r="G6210" s="41">
        <v>0</v>
      </c>
      <c r="H6210" s="42"/>
      <c r="I6210" s="42"/>
      <c r="J6210" s="42"/>
    </row>
    <row r="6211" spans="5:10">
      <c r="E6211" s="43">
        <v>45347.253472201497</v>
      </c>
      <c r="F6211" s="41">
        <v>16.97719883672</v>
      </c>
      <c r="G6211" s="41">
        <v>0</v>
      </c>
      <c r="H6211" s="42"/>
      <c r="I6211" s="42"/>
      <c r="J6211" s="42"/>
    </row>
    <row r="6212" spans="5:10">
      <c r="E6212" s="43">
        <v>45347.256944423716</v>
      </c>
      <c r="F6212" s="41">
        <v>16.97719883672</v>
      </c>
      <c r="G6212" s="41">
        <v>0</v>
      </c>
      <c r="H6212" s="42"/>
      <c r="I6212" s="42"/>
      <c r="J6212" s="42"/>
    </row>
    <row r="6213" spans="5:10">
      <c r="E6213" s="43">
        <v>45347.260416645935</v>
      </c>
      <c r="F6213" s="41">
        <v>16.97719883672</v>
      </c>
      <c r="G6213" s="41">
        <v>0</v>
      </c>
      <c r="H6213" s="42"/>
      <c r="I6213" s="42"/>
      <c r="J6213" s="42"/>
    </row>
    <row r="6214" spans="5:10">
      <c r="E6214" s="43">
        <v>45347.263888868154</v>
      </c>
      <c r="F6214" s="41">
        <v>16.97719883672</v>
      </c>
      <c r="G6214" s="41">
        <v>0</v>
      </c>
      <c r="H6214" s="42"/>
      <c r="I6214" s="42"/>
      <c r="J6214" s="42"/>
    </row>
    <row r="6215" spans="5:10">
      <c r="E6215" s="43">
        <v>45347.267361090373</v>
      </c>
      <c r="F6215" s="41">
        <v>16.97719883672</v>
      </c>
      <c r="G6215" s="41">
        <v>0</v>
      </c>
      <c r="H6215" s="42"/>
      <c r="I6215" s="42"/>
      <c r="J6215" s="42"/>
    </row>
    <row r="6216" spans="5:10">
      <c r="E6216" s="43">
        <v>45347.270833312592</v>
      </c>
      <c r="F6216" s="41">
        <v>16.97719883672</v>
      </c>
      <c r="G6216" s="41">
        <v>0</v>
      </c>
      <c r="H6216" s="42"/>
      <c r="I6216" s="42"/>
      <c r="J6216" s="42"/>
    </row>
    <row r="6217" spans="5:10">
      <c r="E6217" s="43">
        <v>45347.274305534811</v>
      </c>
      <c r="F6217" s="41">
        <v>16.97719883672</v>
      </c>
      <c r="G6217" s="41">
        <v>0</v>
      </c>
      <c r="H6217" s="42"/>
      <c r="I6217" s="42"/>
      <c r="J6217" s="42"/>
    </row>
    <row r="6218" spans="5:10">
      <c r="E6218" s="43">
        <v>45347.27777775703</v>
      </c>
      <c r="F6218" s="41">
        <v>16.97719883672</v>
      </c>
      <c r="G6218" s="41">
        <v>0</v>
      </c>
      <c r="H6218" s="42"/>
      <c r="I6218" s="42"/>
      <c r="J6218" s="42"/>
    </row>
    <row r="6219" spans="5:10">
      <c r="E6219" s="43">
        <v>45347.281249979249</v>
      </c>
      <c r="F6219" s="41">
        <v>16.97719883672</v>
      </c>
      <c r="G6219" s="41">
        <v>0</v>
      </c>
      <c r="H6219" s="42"/>
      <c r="I6219" s="42"/>
      <c r="J6219" s="42"/>
    </row>
    <row r="6220" spans="5:10">
      <c r="E6220" s="43">
        <v>45347.284722201468</v>
      </c>
      <c r="F6220" s="41">
        <v>16.97719883672</v>
      </c>
      <c r="G6220" s="41">
        <v>0</v>
      </c>
      <c r="H6220" s="42"/>
      <c r="I6220" s="42"/>
      <c r="J6220" s="42"/>
    </row>
    <row r="6221" spans="5:10">
      <c r="E6221" s="43">
        <v>45347.288194423687</v>
      </c>
      <c r="F6221" s="41">
        <v>16.97719883672</v>
      </c>
      <c r="G6221" s="41">
        <v>0</v>
      </c>
      <c r="H6221" s="42"/>
      <c r="I6221" s="42"/>
      <c r="J6221" s="42"/>
    </row>
    <row r="6222" spans="5:10">
      <c r="E6222" s="43">
        <v>45347.291666645906</v>
      </c>
      <c r="F6222" s="41">
        <v>16.97719883672</v>
      </c>
      <c r="G6222" s="41">
        <v>0</v>
      </c>
      <c r="H6222" s="42"/>
      <c r="I6222" s="42"/>
      <c r="J6222" s="42"/>
    </row>
    <row r="6223" spans="5:10">
      <c r="E6223" s="43">
        <v>45347.295138868125</v>
      </c>
      <c r="F6223" s="41">
        <v>16.97719883672</v>
      </c>
      <c r="G6223" s="41">
        <v>0</v>
      </c>
      <c r="H6223" s="42"/>
      <c r="I6223" s="42"/>
      <c r="J6223" s="42"/>
    </row>
    <row r="6224" spans="5:10">
      <c r="E6224" s="43">
        <v>45347.298611090344</v>
      </c>
      <c r="F6224" s="41">
        <v>16.97719883672</v>
      </c>
      <c r="G6224" s="41">
        <v>0</v>
      </c>
      <c r="H6224" s="42"/>
      <c r="I6224" s="42"/>
      <c r="J6224" s="42"/>
    </row>
    <row r="6225" spans="5:10">
      <c r="E6225" s="43">
        <v>45347.302083312563</v>
      </c>
      <c r="F6225" s="41">
        <v>16.97719883672</v>
      </c>
      <c r="G6225" s="41">
        <v>0</v>
      </c>
      <c r="H6225" s="42"/>
      <c r="I6225" s="42"/>
      <c r="J6225" s="42"/>
    </row>
    <row r="6226" spans="5:10">
      <c r="E6226" s="43">
        <v>45347.305555534782</v>
      </c>
      <c r="F6226" s="41">
        <v>16.97719883672</v>
      </c>
      <c r="G6226" s="41">
        <v>0</v>
      </c>
      <c r="H6226" s="42"/>
      <c r="I6226" s="42"/>
      <c r="J6226" s="42"/>
    </row>
    <row r="6227" spans="5:10">
      <c r="E6227" s="43">
        <v>45347.309027757001</v>
      </c>
      <c r="F6227" s="41">
        <v>16.97719883672</v>
      </c>
      <c r="G6227" s="41">
        <v>0</v>
      </c>
      <c r="H6227" s="42"/>
      <c r="I6227" s="42"/>
      <c r="J6227" s="42"/>
    </row>
    <row r="6228" spans="5:10">
      <c r="E6228" s="43">
        <v>45347.31249997922</v>
      </c>
      <c r="F6228" s="41">
        <v>16.97719883672</v>
      </c>
      <c r="G6228" s="41">
        <v>0</v>
      </c>
      <c r="H6228" s="42"/>
      <c r="I6228" s="42"/>
      <c r="J6228" s="42"/>
    </row>
    <row r="6229" spans="5:10">
      <c r="E6229" s="43">
        <v>45347.315972201439</v>
      </c>
      <c r="F6229" s="41">
        <v>16.97719883672</v>
      </c>
      <c r="G6229" s="41">
        <v>0</v>
      </c>
      <c r="H6229" s="42"/>
      <c r="I6229" s="42"/>
      <c r="J6229" s="42"/>
    </row>
    <row r="6230" spans="5:10">
      <c r="E6230" s="43">
        <v>45347.319444423658</v>
      </c>
      <c r="F6230" s="41">
        <v>16.97719883672</v>
      </c>
      <c r="G6230" s="41">
        <v>0</v>
      </c>
      <c r="H6230" s="42"/>
      <c r="I6230" s="42"/>
      <c r="J6230" s="42"/>
    </row>
    <row r="6231" spans="5:10">
      <c r="E6231" s="43">
        <v>45347.322916645877</v>
      </c>
      <c r="F6231" s="41">
        <v>16.97719883672</v>
      </c>
      <c r="G6231" s="41">
        <v>0</v>
      </c>
      <c r="H6231" s="42"/>
      <c r="I6231" s="42"/>
      <c r="J6231" s="42"/>
    </row>
    <row r="6232" spans="5:10">
      <c r="E6232" s="43">
        <v>45347.326388868096</v>
      </c>
      <c r="F6232" s="41">
        <v>16.97719883672</v>
      </c>
      <c r="G6232" s="41">
        <v>0</v>
      </c>
      <c r="H6232" s="42"/>
      <c r="I6232" s="42"/>
      <c r="J6232" s="42"/>
    </row>
    <row r="6233" spans="5:10">
      <c r="E6233" s="43">
        <v>45347.329861090315</v>
      </c>
      <c r="F6233" s="41">
        <v>16.97719883672</v>
      </c>
      <c r="G6233" s="41">
        <v>0</v>
      </c>
      <c r="H6233" s="42"/>
      <c r="I6233" s="42"/>
      <c r="J6233" s="42"/>
    </row>
    <row r="6234" spans="5:10">
      <c r="E6234" s="43">
        <v>45347.333333312534</v>
      </c>
      <c r="F6234" s="41">
        <v>16.97719883672</v>
      </c>
      <c r="G6234" s="41">
        <v>0</v>
      </c>
      <c r="H6234" s="42"/>
      <c r="I6234" s="42"/>
      <c r="J6234" s="42"/>
    </row>
    <row r="6235" spans="5:10">
      <c r="E6235" s="43">
        <v>45347.336805534753</v>
      </c>
      <c r="F6235" s="41">
        <v>16.97719883672</v>
      </c>
      <c r="G6235" s="41">
        <v>0</v>
      </c>
      <c r="H6235" s="42"/>
      <c r="I6235" s="42"/>
      <c r="J6235" s="42"/>
    </row>
    <row r="6236" spans="5:10">
      <c r="E6236" s="43">
        <v>45347.340277756972</v>
      </c>
      <c r="F6236" s="41">
        <v>16.97719883672</v>
      </c>
      <c r="G6236" s="41">
        <v>0</v>
      </c>
      <c r="H6236" s="42"/>
      <c r="I6236" s="42"/>
      <c r="J6236" s="42"/>
    </row>
    <row r="6237" spans="5:10">
      <c r="E6237" s="43">
        <v>45347.343749979191</v>
      </c>
      <c r="F6237" s="41">
        <v>16.97719883672</v>
      </c>
      <c r="G6237" s="41">
        <v>0</v>
      </c>
      <c r="H6237" s="42"/>
      <c r="I6237" s="42"/>
      <c r="J6237" s="42"/>
    </row>
    <row r="6238" spans="5:10">
      <c r="E6238" s="43">
        <v>45347.34722220141</v>
      </c>
      <c r="F6238" s="41">
        <v>16.97719883672</v>
      </c>
      <c r="G6238" s="41">
        <v>0</v>
      </c>
      <c r="H6238" s="42"/>
      <c r="I6238" s="42"/>
      <c r="J6238" s="42"/>
    </row>
    <row r="6239" spans="5:10">
      <c r="E6239" s="43">
        <v>45347.350694423629</v>
      </c>
      <c r="F6239" s="41">
        <v>16.97719883672</v>
      </c>
      <c r="G6239" s="41">
        <v>0</v>
      </c>
      <c r="H6239" s="42"/>
      <c r="I6239" s="42"/>
      <c r="J6239" s="42"/>
    </row>
    <row r="6240" spans="5:10">
      <c r="E6240" s="43">
        <v>45347.354166645848</v>
      </c>
      <c r="F6240" s="41">
        <v>16.97719883672</v>
      </c>
      <c r="G6240" s="41">
        <v>0</v>
      </c>
      <c r="H6240" s="42"/>
      <c r="I6240" s="42"/>
      <c r="J6240" s="42"/>
    </row>
    <row r="6241" spans="5:10">
      <c r="E6241" s="43">
        <v>45347.357638868067</v>
      </c>
      <c r="F6241" s="41">
        <v>16.97719883672</v>
      </c>
      <c r="G6241" s="41">
        <v>0</v>
      </c>
      <c r="H6241" s="42"/>
      <c r="I6241" s="42"/>
      <c r="J6241" s="42"/>
    </row>
    <row r="6242" spans="5:10">
      <c r="E6242" s="43">
        <v>45347.361111090286</v>
      </c>
      <c r="F6242" s="41">
        <v>16.97719883672</v>
      </c>
      <c r="G6242" s="41">
        <v>0</v>
      </c>
      <c r="H6242" s="42"/>
      <c r="I6242" s="42"/>
      <c r="J6242" s="42"/>
    </row>
    <row r="6243" spans="5:10">
      <c r="E6243" s="43">
        <v>45347.364583312505</v>
      </c>
      <c r="F6243" s="41">
        <v>16.97719883672</v>
      </c>
      <c r="G6243" s="41">
        <v>0</v>
      </c>
      <c r="H6243" s="42"/>
      <c r="I6243" s="42"/>
      <c r="J6243" s="42"/>
    </row>
    <row r="6244" spans="5:10">
      <c r="E6244" s="43">
        <v>45347.368055534724</v>
      </c>
      <c r="F6244" s="41">
        <v>16.97719883672</v>
      </c>
      <c r="G6244" s="41">
        <v>0</v>
      </c>
      <c r="H6244" s="42"/>
      <c r="I6244" s="42"/>
      <c r="J6244" s="42"/>
    </row>
    <row r="6245" spans="5:10">
      <c r="E6245" s="43">
        <v>45347.371527756943</v>
      </c>
      <c r="F6245" s="41">
        <v>16.97719883672</v>
      </c>
      <c r="G6245" s="41">
        <v>0</v>
      </c>
      <c r="H6245" s="42"/>
      <c r="I6245" s="42"/>
      <c r="J6245" s="42"/>
    </row>
    <row r="6246" spans="5:10">
      <c r="E6246" s="43">
        <v>45347.374999979162</v>
      </c>
      <c r="F6246" s="41">
        <v>16.97719883672</v>
      </c>
      <c r="G6246" s="41">
        <v>0</v>
      </c>
      <c r="H6246" s="42"/>
      <c r="I6246" s="42"/>
      <c r="J6246" s="42"/>
    </row>
    <row r="6247" spans="5:10">
      <c r="E6247" s="43">
        <v>45347.378472201381</v>
      </c>
      <c r="F6247" s="41">
        <v>16.97719883672</v>
      </c>
      <c r="G6247" s="41">
        <v>0</v>
      </c>
      <c r="H6247" s="42"/>
      <c r="I6247" s="42"/>
      <c r="J6247" s="42"/>
    </row>
    <row r="6248" spans="5:10">
      <c r="E6248" s="43">
        <v>45347.3819444236</v>
      </c>
      <c r="F6248" s="41">
        <v>16.97719883672</v>
      </c>
      <c r="G6248" s="41">
        <v>0</v>
      </c>
      <c r="H6248" s="42"/>
      <c r="I6248" s="42"/>
      <c r="J6248" s="42"/>
    </row>
    <row r="6249" spans="5:10">
      <c r="E6249" s="43">
        <v>45347.385416645819</v>
      </c>
      <c r="F6249" s="41">
        <v>16.97719883672</v>
      </c>
      <c r="G6249" s="41">
        <v>0</v>
      </c>
      <c r="H6249" s="42"/>
      <c r="I6249" s="42"/>
      <c r="J6249" s="42"/>
    </row>
    <row r="6250" spans="5:10">
      <c r="E6250" s="43">
        <v>45347.388888868038</v>
      </c>
      <c r="F6250" s="41">
        <v>16.97719883672</v>
      </c>
      <c r="G6250" s="41">
        <v>0</v>
      </c>
      <c r="H6250" s="42"/>
      <c r="I6250" s="42"/>
      <c r="J6250" s="42"/>
    </row>
    <row r="6251" spans="5:10">
      <c r="E6251" s="43">
        <v>45347.392361090257</v>
      </c>
      <c r="F6251" s="41">
        <v>16.97719883672</v>
      </c>
      <c r="G6251" s="41">
        <v>0</v>
      </c>
      <c r="H6251" s="42"/>
      <c r="I6251" s="42"/>
      <c r="J6251" s="42"/>
    </row>
    <row r="6252" spans="5:10">
      <c r="E6252" s="43">
        <v>45347.395833312476</v>
      </c>
      <c r="F6252" s="41">
        <v>16.97719883672</v>
      </c>
      <c r="G6252" s="41">
        <v>0</v>
      </c>
      <c r="H6252" s="42"/>
      <c r="I6252" s="42"/>
      <c r="J6252" s="42"/>
    </row>
    <row r="6253" spans="5:10">
      <c r="E6253" s="43">
        <v>45347.399305534695</v>
      </c>
      <c r="F6253" s="41">
        <v>16.97719883672</v>
      </c>
      <c r="G6253" s="41">
        <v>0</v>
      </c>
      <c r="H6253" s="42"/>
      <c r="I6253" s="42"/>
      <c r="J6253" s="42"/>
    </row>
    <row r="6254" spans="5:10">
      <c r="E6254" s="43">
        <v>45347.402777756914</v>
      </c>
      <c r="F6254" s="41">
        <v>16.97719883672</v>
      </c>
      <c r="G6254" s="41">
        <v>0</v>
      </c>
      <c r="H6254" s="42"/>
      <c r="I6254" s="42"/>
      <c r="J6254" s="42"/>
    </row>
    <row r="6255" spans="5:10">
      <c r="E6255" s="43">
        <v>45347.406249979133</v>
      </c>
      <c r="F6255" s="41">
        <v>16.97719883672</v>
      </c>
      <c r="G6255" s="41">
        <v>0</v>
      </c>
      <c r="H6255" s="42"/>
      <c r="I6255" s="42"/>
      <c r="J6255" s="42"/>
    </row>
    <row r="6256" spans="5:10">
      <c r="E6256" s="43">
        <v>45347.409722201352</v>
      </c>
      <c r="F6256" s="41">
        <v>16.97719883672</v>
      </c>
      <c r="G6256" s="41">
        <v>0</v>
      </c>
      <c r="H6256" s="42"/>
      <c r="I6256" s="42"/>
      <c r="J6256" s="42"/>
    </row>
    <row r="6257" spans="5:10">
      <c r="E6257" s="43">
        <v>45347.413194423571</v>
      </c>
      <c r="F6257" s="41">
        <v>16.97719883672</v>
      </c>
      <c r="G6257" s="41">
        <v>0</v>
      </c>
      <c r="H6257" s="42"/>
      <c r="I6257" s="42"/>
      <c r="J6257" s="42"/>
    </row>
    <row r="6258" spans="5:10">
      <c r="E6258" s="43">
        <v>45347.41666664579</v>
      </c>
      <c r="F6258" s="41">
        <v>16.97719883672</v>
      </c>
      <c r="G6258" s="41">
        <v>0</v>
      </c>
      <c r="H6258" s="42"/>
      <c r="I6258" s="42"/>
      <c r="J6258" s="42"/>
    </row>
    <row r="6259" spans="5:10">
      <c r="E6259" s="43">
        <v>45347.420138868009</v>
      </c>
      <c r="F6259" s="41">
        <v>16.97719883672</v>
      </c>
      <c r="G6259" s="41">
        <v>0</v>
      </c>
      <c r="H6259" s="42"/>
      <c r="I6259" s="42"/>
      <c r="J6259" s="42"/>
    </row>
    <row r="6260" spans="5:10">
      <c r="E6260" s="43">
        <v>45347.423611090227</v>
      </c>
      <c r="F6260" s="41">
        <v>16.97719883672</v>
      </c>
      <c r="G6260" s="41">
        <v>0</v>
      </c>
      <c r="H6260" s="42"/>
      <c r="I6260" s="42"/>
      <c r="J6260" s="42"/>
    </row>
    <row r="6261" spans="5:10">
      <c r="E6261" s="43">
        <v>45347.427083312446</v>
      </c>
      <c r="F6261" s="41">
        <v>16.97719883672</v>
      </c>
      <c r="G6261" s="41">
        <v>0</v>
      </c>
      <c r="H6261" s="42"/>
      <c r="I6261" s="42"/>
      <c r="J6261" s="42"/>
    </row>
    <row r="6262" spans="5:10">
      <c r="E6262" s="43">
        <v>45347.430555534665</v>
      </c>
      <c r="F6262" s="41">
        <v>16.97719883672</v>
      </c>
      <c r="G6262" s="41">
        <v>0</v>
      </c>
      <c r="H6262" s="42"/>
      <c r="I6262" s="42"/>
      <c r="J6262" s="42"/>
    </row>
    <row r="6263" spans="5:10">
      <c r="E6263" s="43">
        <v>45347.434027756884</v>
      </c>
      <c r="F6263" s="41">
        <v>16.97719883672</v>
      </c>
      <c r="G6263" s="41">
        <v>0</v>
      </c>
      <c r="H6263" s="42"/>
      <c r="I6263" s="42"/>
      <c r="J6263" s="42"/>
    </row>
    <row r="6264" spans="5:10">
      <c r="E6264" s="43">
        <v>45347.437499979103</v>
      </c>
      <c r="F6264" s="41">
        <v>16.97719883672</v>
      </c>
      <c r="G6264" s="41">
        <v>0</v>
      </c>
      <c r="H6264" s="42"/>
      <c r="I6264" s="42"/>
      <c r="J6264" s="42"/>
    </row>
    <row r="6265" spans="5:10">
      <c r="E6265" s="43">
        <v>45347.440972201322</v>
      </c>
      <c r="F6265" s="41">
        <v>16.97719883672</v>
      </c>
      <c r="G6265" s="41">
        <v>0</v>
      </c>
      <c r="H6265" s="42"/>
      <c r="I6265" s="42"/>
      <c r="J6265" s="42"/>
    </row>
    <row r="6266" spans="5:10">
      <c r="E6266" s="43">
        <v>45347.444444423541</v>
      </c>
      <c r="F6266" s="41">
        <v>16.97719883672</v>
      </c>
      <c r="G6266" s="41">
        <v>0</v>
      </c>
      <c r="H6266" s="42"/>
      <c r="I6266" s="42"/>
      <c r="J6266" s="42"/>
    </row>
    <row r="6267" spans="5:10">
      <c r="E6267" s="43">
        <v>45347.44791664576</v>
      </c>
      <c r="F6267" s="41">
        <v>16.97719883672</v>
      </c>
      <c r="G6267" s="41">
        <v>0</v>
      </c>
      <c r="H6267" s="42"/>
      <c r="I6267" s="42"/>
      <c r="J6267" s="42"/>
    </row>
    <row r="6268" spans="5:10">
      <c r="E6268" s="43">
        <v>45347.451388867979</v>
      </c>
      <c r="F6268" s="41">
        <v>16.97719883672</v>
      </c>
      <c r="G6268" s="41">
        <v>0</v>
      </c>
      <c r="H6268" s="42"/>
      <c r="I6268" s="42"/>
      <c r="J6268" s="42"/>
    </row>
    <row r="6269" spans="5:10">
      <c r="E6269" s="43">
        <v>45347.454861090198</v>
      </c>
      <c r="F6269" s="41">
        <v>16.97719883672</v>
      </c>
      <c r="G6269" s="41">
        <v>0</v>
      </c>
      <c r="H6269" s="42"/>
      <c r="I6269" s="42"/>
      <c r="J6269" s="42"/>
    </row>
    <row r="6270" spans="5:10">
      <c r="E6270" s="43">
        <v>45347.458333312417</v>
      </c>
      <c r="F6270" s="41">
        <v>16.97719883672</v>
      </c>
      <c r="G6270" s="41">
        <v>0</v>
      </c>
      <c r="H6270" s="42"/>
      <c r="I6270" s="42"/>
      <c r="J6270" s="42"/>
    </row>
    <row r="6271" spans="5:10">
      <c r="E6271" s="43">
        <v>45347.461805534636</v>
      </c>
      <c r="F6271" s="41">
        <v>16.97719883672</v>
      </c>
      <c r="G6271" s="41">
        <v>0</v>
      </c>
      <c r="H6271" s="42"/>
      <c r="I6271" s="42"/>
      <c r="J6271" s="42"/>
    </row>
    <row r="6272" spans="5:10">
      <c r="E6272" s="43">
        <v>45347.465277756855</v>
      </c>
      <c r="F6272" s="41">
        <v>16.97719883672</v>
      </c>
      <c r="G6272" s="41">
        <v>0</v>
      </c>
      <c r="H6272" s="42"/>
      <c r="I6272" s="42"/>
      <c r="J6272" s="42"/>
    </row>
    <row r="6273" spans="5:10">
      <c r="E6273" s="43">
        <v>45347.468749979074</v>
      </c>
      <c r="F6273" s="41">
        <v>16.97719883672</v>
      </c>
      <c r="G6273" s="41">
        <v>0</v>
      </c>
      <c r="H6273" s="42"/>
      <c r="I6273" s="42"/>
      <c r="J6273" s="42"/>
    </row>
    <row r="6274" spans="5:10">
      <c r="E6274" s="43">
        <v>45347.472222201293</v>
      </c>
      <c r="F6274" s="41">
        <v>16.97719883672</v>
      </c>
      <c r="G6274" s="41">
        <v>0</v>
      </c>
      <c r="H6274" s="42"/>
      <c r="I6274" s="42"/>
      <c r="J6274" s="42"/>
    </row>
    <row r="6275" spans="5:10">
      <c r="E6275" s="43">
        <v>45347.475694423512</v>
      </c>
      <c r="F6275" s="41">
        <v>16.97719883672</v>
      </c>
      <c r="G6275" s="41">
        <v>0</v>
      </c>
      <c r="H6275" s="42"/>
      <c r="I6275" s="42"/>
      <c r="J6275" s="42"/>
    </row>
    <row r="6276" spans="5:10">
      <c r="E6276" s="43">
        <v>45347.479166645731</v>
      </c>
      <c r="F6276" s="41">
        <v>16.97719883672</v>
      </c>
      <c r="G6276" s="41">
        <v>0</v>
      </c>
      <c r="H6276" s="42"/>
      <c r="I6276" s="42"/>
      <c r="J6276" s="42"/>
    </row>
    <row r="6277" spans="5:10">
      <c r="E6277" s="43">
        <v>45347.48263886795</v>
      </c>
      <c r="F6277" s="41">
        <v>16.97719883672</v>
      </c>
      <c r="G6277" s="41">
        <v>0</v>
      </c>
      <c r="H6277" s="42"/>
      <c r="I6277" s="42"/>
      <c r="J6277" s="42"/>
    </row>
    <row r="6278" spans="5:10">
      <c r="E6278" s="43">
        <v>45347.486111090169</v>
      </c>
      <c r="F6278" s="41">
        <v>16.97719883672</v>
      </c>
      <c r="G6278" s="41">
        <v>0</v>
      </c>
      <c r="H6278" s="42"/>
      <c r="I6278" s="42"/>
      <c r="J6278" s="42"/>
    </row>
    <row r="6279" spans="5:10">
      <c r="E6279" s="43">
        <v>45347.489583312388</v>
      </c>
      <c r="F6279" s="41">
        <v>16.97719883672</v>
      </c>
      <c r="G6279" s="41">
        <v>0</v>
      </c>
      <c r="H6279" s="42"/>
      <c r="I6279" s="42"/>
      <c r="J6279" s="42"/>
    </row>
    <row r="6280" spans="5:10">
      <c r="E6280" s="43">
        <v>45347.493055534607</v>
      </c>
      <c r="F6280" s="41">
        <v>16.97719883672</v>
      </c>
      <c r="G6280" s="41">
        <v>0</v>
      </c>
      <c r="H6280" s="42"/>
      <c r="I6280" s="42"/>
      <c r="J6280" s="42"/>
    </row>
    <row r="6281" spans="5:10">
      <c r="E6281" s="43">
        <v>45347.496527756826</v>
      </c>
      <c r="F6281" s="41">
        <v>16.97719883672</v>
      </c>
      <c r="G6281" s="41">
        <v>0</v>
      </c>
      <c r="H6281" s="42"/>
      <c r="I6281" s="42"/>
      <c r="J6281" s="42"/>
    </row>
    <row r="6282" spans="5:10">
      <c r="E6282" s="43">
        <v>45347.499999979045</v>
      </c>
      <c r="F6282" s="41">
        <v>20.819156415473017</v>
      </c>
      <c r="G6282" s="41">
        <v>0</v>
      </c>
      <c r="H6282" s="42"/>
      <c r="I6282" s="42"/>
      <c r="J6282" s="42"/>
    </row>
    <row r="6283" spans="5:10">
      <c r="E6283" s="43">
        <v>45347.503472201264</v>
      </c>
      <c r="F6283" s="41">
        <v>20.819156415473017</v>
      </c>
      <c r="G6283" s="41">
        <v>0</v>
      </c>
      <c r="H6283" s="42"/>
      <c r="I6283" s="42"/>
      <c r="J6283" s="42"/>
    </row>
    <row r="6284" spans="5:10">
      <c r="E6284" s="43">
        <v>45347.506944423483</v>
      </c>
      <c r="F6284" s="41">
        <v>20.819156415473017</v>
      </c>
      <c r="G6284" s="41">
        <v>0</v>
      </c>
      <c r="H6284" s="42"/>
      <c r="I6284" s="42"/>
      <c r="J6284" s="42"/>
    </row>
    <row r="6285" spans="5:10">
      <c r="E6285" s="43">
        <v>45347.510416645702</v>
      </c>
      <c r="F6285" s="41">
        <v>20.819156415473017</v>
      </c>
      <c r="G6285" s="41">
        <v>0</v>
      </c>
      <c r="H6285" s="42"/>
      <c r="I6285" s="42"/>
      <c r="J6285" s="42"/>
    </row>
    <row r="6286" spans="5:10">
      <c r="E6286" s="43">
        <v>45347.513888867921</v>
      </c>
      <c r="F6286" s="41">
        <v>20.819156415473017</v>
      </c>
      <c r="G6286" s="41">
        <v>0</v>
      </c>
      <c r="H6286" s="42"/>
      <c r="I6286" s="42"/>
      <c r="J6286" s="42"/>
    </row>
    <row r="6287" spans="5:10">
      <c r="E6287" s="43">
        <v>45347.51736109014</v>
      </c>
      <c r="F6287" s="41">
        <v>20.819156415473017</v>
      </c>
      <c r="G6287" s="41">
        <v>0</v>
      </c>
      <c r="H6287" s="42"/>
      <c r="I6287" s="42"/>
      <c r="J6287" s="42"/>
    </row>
    <row r="6288" spans="5:10">
      <c r="E6288" s="43">
        <v>45347.520833312359</v>
      </c>
      <c r="F6288" s="41">
        <v>20.819156415473017</v>
      </c>
      <c r="G6288" s="41">
        <v>0</v>
      </c>
      <c r="H6288" s="42"/>
      <c r="I6288" s="42"/>
      <c r="J6288" s="42"/>
    </row>
    <row r="6289" spans="5:10">
      <c r="E6289" s="43">
        <v>45347.524305534578</v>
      </c>
      <c r="F6289" s="41">
        <v>20.819156415473017</v>
      </c>
      <c r="G6289" s="41">
        <v>0</v>
      </c>
      <c r="H6289" s="42"/>
      <c r="I6289" s="42"/>
      <c r="J6289" s="42"/>
    </row>
    <row r="6290" spans="5:10">
      <c r="E6290" s="43">
        <v>45347.527777756797</v>
      </c>
      <c r="F6290" s="41">
        <v>20.819156415473017</v>
      </c>
      <c r="G6290" s="41">
        <v>0</v>
      </c>
      <c r="H6290" s="42"/>
      <c r="I6290" s="42"/>
      <c r="J6290" s="42"/>
    </row>
    <row r="6291" spans="5:10">
      <c r="E6291" s="43">
        <v>45347.531249979016</v>
      </c>
      <c r="F6291" s="41">
        <v>20.819156415473017</v>
      </c>
      <c r="G6291" s="41">
        <v>0</v>
      </c>
      <c r="H6291" s="42"/>
      <c r="I6291" s="42"/>
      <c r="J6291" s="42"/>
    </row>
    <row r="6292" spans="5:10">
      <c r="E6292" s="43">
        <v>45347.534722201235</v>
      </c>
      <c r="F6292" s="41">
        <v>20.819156415473017</v>
      </c>
      <c r="G6292" s="41">
        <v>0</v>
      </c>
      <c r="H6292" s="42"/>
      <c r="I6292" s="42"/>
      <c r="J6292" s="42"/>
    </row>
    <row r="6293" spans="5:10">
      <c r="E6293" s="43">
        <v>45347.538194423454</v>
      </c>
      <c r="F6293" s="41">
        <v>20.819156415473017</v>
      </c>
      <c r="G6293" s="41">
        <v>0</v>
      </c>
      <c r="H6293" s="42"/>
      <c r="I6293" s="42"/>
      <c r="J6293" s="42"/>
    </row>
    <row r="6294" spans="5:10">
      <c r="E6294" s="43">
        <v>45347.541666645673</v>
      </c>
      <c r="F6294" s="41">
        <v>20.819156415473017</v>
      </c>
      <c r="G6294" s="41">
        <v>0</v>
      </c>
      <c r="H6294" s="42"/>
      <c r="I6294" s="42"/>
      <c r="J6294" s="42"/>
    </row>
    <row r="6295" spans="5:10">
      <c r="E6295" s="43">
        <v>45347.545138867892</v>
      </c>
      <c r="F6295" s="41">
        <v>20.819156415473017</v>
      </c>
      <c r="G6295" s="41">
        <v>0</v>
      </c>
      <c r="H6295" s="42"/>
      <c r="I6295" s="42"/>
      <c r="J6295" s="42"/>
    </row>
    <row r="6296" spans="5:10">
      <c r="E6296" s="43">
        <v>45347.548611090111</v>
      </c>
      <c r="F6296" s="41">
        <v>20.819156415473017</v>
      </c>
      <c r="G6296" s="41">
        <v>0</v>
      </c>
      <c r="H6296" s="42"/>
      <c r="I6296" s="42"/>
      <c r="J6296" s="42"/>
    </row>
    <row r="6297" spans="5:10">
      <c r="E6297" s="43">
        <v>45347.55208331233</v>
      </c>
      <c r="F6297" s="41">
        <v>20.819156415473017</v>
      </c>
      <c r="G6297" s="41">
        <v>0</v>
      </c>
      <c r="H6297" s="42"/>
      <c r="I6297" s="42"/>
      <c r="J6297" s="42"/>
    </row>
    <row r="6298" spans="5:10">
      <c r="E6298" s="43">
        <v>45347.555555534549</v>
      </c>
      <c r="F6298" s="41">
        <v>20.819156415473017</v>
      </c>
      <c r="G6298" s="41">
        <v>0</v>
      </c>
      <c r="H6298" s="42"/>
      <c r="I6298" s="42"/>
      <c r="J6298" s="42"/>
    </row>
    <row r="6299" spans="5:10">
      <c r="E6299" s="43">
        <v>45347.559027756768</v>
      </c>
      <c r="F6299" s="41">
        <v>20.819156415473017</v>
      </c>
      <c r="G6299" s="41">
        <v>0</v>
      </c>
      <c r="H6299" s="42"/>
      <c r="I6299" s="42"/>
      <c r="J6299" s="42"/>
    </row>
    <row r="6300" spans="5:10">
      <c r="E6300" s="43">
        <v>45347.562499978987</v>
      </c>
      <c r="F6300" s="41">
        <v>20.819156415473017</v>
      </c>
      <c r="G6300" s="41">
        <v>0</v>
      </c>
      <c r="H6300" s="42"/>
      <c r="I6300" s="42"/>
      <c r="J6300" s="42"/>
    </row>
    <row r="6301" spans="5:10">
      <c r="E6301" s="43">
        <v>45347.565972201206</v>
      </c>
      <c r="F6301" s="41">
        <v>20.819156415473017</v>
      </c>
      <c r="G6301" s="41">
        <v>0</v>
      </c>
      <c r="H6301" s="42"/>
      <c r="I6301" s="42"/>
      <c r="J6301" s="42"/>
    </row>
    <row r="6302" spans="5:10">
      <c r="E6302" s="43">
        <v>45347.569444423425</v>
      </c>
      <c r="F6302" s="41">
        <v>20.819156415473017</v>
      </c>
      <c r="G6302" s="41">
        <v>0</v>
      </c>
      <c r="H6302" s="42"/>
      <c r="I6302" s="42"/>
      <c r="J6302" s="42"/>
    </row>
    <row r="6303" spans="5:10">
      <c r="E6303" s="43">
        <v>45347.572916645644</v>
      </c>
      <c r="F6303" s="41">
        <v>20.819156415473017</v>
      </c>
      <c r="G6303" s="41">
        <v>0</v>
      </c>
      <c r="H6303" s="42"/>
      <c r="I6303" s="42"/>
      <c r="J6303" s="42"/>
    </row>
    <row r="6304" spans="5:10">
      <c r="E6304" s="43">
        <v>45347.576388867863</v>
      </c>
      <c r="F6304" s="41">
        <v>20.819156415473017</v>
      </c>
      <c r="G6304" s="41">
        <v>0</v>
      </c>
      <c r="H6304" s="42"/>
      <c r="I6304" s="42"/>
      <c r="J6304" s="42"/>
    </row>
    <row r="6305" spans="5:10">
      <c r="E6305" s="43">
        <v>45347.579861090082</v>
      </c>
      <c r="F6305" s="41">
        <v>20.819156415473017</v>
      </c>
      <c r="G6305" s="41">
        <v>0</v>
      </c>
      <c r="H6305" s="42"/>
      <c r="I6305" s="42"/>
      <c r="J6305" s="42"/>
    </row>
    <row r="6306" spans="5:10">
      <c r="E6306" s="43">
        <v>45347.583333312301</v>
      </c>
      <c r="F6306" s="41">
        <v>20.819156415473017</v>
      </c>
      <c r="G6306" s="41">
        <v>0</v>
      </c>
      <c r="H6306" s="42"/>
      <c r="I6306" s="42"/>
      <c r="J6306" s="42"/>
    </row>
    <row r="6307" spans="5:10">
      <c r="E6307" s="43">
        <v>45347.58680553452</v>
      </c>
      <c r="F6307" s="41">
        <v>20.819156415473017</v>
      </c>
      <c r="G6307" s="41">
        <v>0</v>
      </c>
      <c r="H6307" s="42"/>
      <c r="I6307" s="42"/>
      <c r="J6307" s="42"/>
    </row>
    <row r="6308" spans="5:10">
      <c r="E6308" s="43">
        <v>45347.590277756739</v>
      </c>
      <c r="F6308" s="41">
        <v>20.819156415473017</v>
      </c>
      <c r="G6308" s="41">
        <v>0</v>
      </c>
      <c r="H6308" s="42"/>
      <c r="I6308" s="42"/>
      <c r="J6308" s="42"/>
    </row>
    <row r="6309" spans="5:10">
      <c r="E6309" s="43">
        <v>45347.593749978958</v>
      </c>
      <c r="F6309" s="41">
        <v>20.819156415473017</v>
      </c>
      <c r="G6309" s="41">
        <v>0</v>
      </c>
      <c r="H6309" s="42"/>
      <c r="I6309" s="42"/>
      <c r="J6309" s="42"/>
    </row>
    <row r="6310" spans="5:10">
      <c r="E6310" s="43">
        <v>45347.597222201177</v>
      </c>
      <c r="F6310" s="41">
        <v>20.819156415473017</v>
      </c>
      <c r="G6310" s="41">
        <v>0</v>
      </c>
      <c r="H6310" s="42"/>
      <c r="I6310" s="42"/>
      <c r="J6310" s="42"/>
    </row>
    <row r="6311" spans="5:10">
      <c r="E6311" s="43">
        <v>45347.600694423396</v>
      </c>
      <c r="F6311" s="41">
        <v>20.819156415473017</v>
      </c>
      <c r="G6311" s="41">
        <v>0</v>
      </c>
      <c r="H6311" s="42"/>
      <c r="I6311" s="42"/>
      <c r="J6311" s="42"/>
    </row>
    <row r="6312" spans="5:10">
      <c r="E6312" s="43">
        <v>45347.604166645615</v>
      </c>
      <c r="F6312" s="41">
        <v>20.819156415473017</v>
      </c>
      <c r="G6312" s="41">
        <v>0</v>
      </c>
      <c r="H6312" s="42"/>
      <c r="I6312" s="42"/>
      <c r="J6312" s="42"/>
    </row>
    <row r="6313" spans="5:10">
      <c r="E6313" s="43">
        <v>45347.607638867834</v>
      </c>
      <c r="F6313" s="41">
        <v>20.819156415473017</v>
      </c>
      <c r="G6313" s="41">
        <v>0</v>
      </c>
      <c r="H6313" s="42"/>
      <c r="I6313" s="42"/>
      <c r="J6313" s="42"/>
    </row>
    <row r="6314" spans="5:10">
      <c r="E6314" s="43">
        <v>45347.611111090053</v>
      </c>
      <c r="F6314" s="41">
        <v>20.819156415473017</v>
      </c>
      <c r="G6314" s="41">
        <v>0</v>
      </c>
      <c r="H6314" s="42"/>
      <c r="I6314" s="42"/>
      <c r="J6314" s="42"/>
    </row>
    <row r="6315" spans="5:10">
      <c r="E6315" s="43">
        <v>45347.614583312272</v>
      </c>
      <c r="F6315" s="41">
        <v>20.819156415473017</v>
      </c>
      <c r="G6315" s="41">
        <v>0</v>
      </c>
      <c r="H6315" s="42"/>
      <c r="I6315" s="42"/>
      <c r="J6315" s="42"/>
    </row>
    <row r="6316" spans="5:10">
      <c r="E6316" s="43">
        <v>45347.618055534491</v>
      </c>
      <c r="F6316" s="41">
        <v>20.819156415473017</v>
      </c>
      <c r="G6316" s="41">
        <v>0</v>
      </c>
      <c r="H6316" s="42"/>
      <c r="I6316" s="42"/>
      <c r="J6316" s="42"/>
    </row>
    <row r="6317" spans="5:10">
      <c r="E6317" s="43">
        <v>45347.62152775671</v>
      </c>
      <c r="F6317" s="41">
        <v>20.819156415473017</v>
      </c>
      <c r="G6317" s="41">
        <v>0</v>
      </c>
      <c r="H6317" s="42"/>
      <c r="I6317" s="42"/>
      <c r="J6317" s="42"/>
    </row>
    <row r="6318" spans="5:10">
      <c r="E6318" s="43">
        <v>45347.624999978929</v>
      </c>
      <c r="F6318" s="41">
        <v>20.819156415473017</v>
      </c>
      <c r="G6318" s="41">
        <v>0</v>
      </c>
      <c r="H6318" s="42"/>
      <c r="I6318" s="42"/>
      <c r="J6318" s="42"/>
    </row>
    <row r="6319" spans="5:10">
      <c r="E6319" s="43">
        <v>45347.628472201148</v>
      </c>
      <c r="F6319" s="41">
        <v>20.819156415473017</v>
      </c>
      <c r="G6319" s="41">
        <v>0</v>
      </c>
      <c r="H6319" s="42"/>
      <c r="I6319" s="42"/>
      <c r="J6319" s="42"/>
    </row>
    <row r="6320" spans="5:10">
      <c r="E6320" s="43">
        <v>45347.631944423367</v>
      </c>
      <c r="F6320" s="41">
        <v>20.819156415473017</v>
      </c>
      <c r="G6320" s="41">
        <v>0</v>
      </c>
      <c r="H6320" s="42"/>
      <c r="I6320" s="42"/>
      <c r="J6320" s="42"/>
    </row>
    <row r="6321" spans="5:10">
      <c r="E6321" s="43">
        <v>45347.635416645586</v>
      </c>
      <c r="F6321" s="41">
        <v>20.819156415473017</v>
      </c>
      <c r="G6321" s="41">
        <v>0</v>
      </c>
      <c r="H6321" s="42"/>
      <c r="I6321" s="42"/>
      <c r="J6321" s="42"/>
    </row>
    <row r="6322" spans="5:10">
      <c r="E6322" s="43">
        <v>45347.638888867805</v>
      </c>
      <c r="F6322" s="41">
        <v>20.819156415473017</v>
      </c>
      <c r="G6322" s="41">
        <v>0</v>
      </c>
      <c r="H6322" s="42"/>
      <c r="I6322" s="42"/>
      <c r="J6322" s="42"/>
    </row>
    <row r="6323" spans="5:10">
      <c r="E6323" s="43">
        <v>45347.642361090024</v>
      </c>
      <c r="F6323" s="41">
        <v>20.819156415473017</v>
      </c>
      <c r="G6323" s="41">
        <v>0</v>
      </c>
      <c r="H6323" s="42"/>
      <c r="I6323" s="42"/>
      <c r="J6323" s="42"/>
    </row>
    <row r="6324" spans="5:10">
      <c r="E6324" s="43">
        <v>45347.645833312243</v>
      </c>
      <c r="F6324" s="41">
        <v>20.819156415473017</v>
      </c>
      <c r="G6324" s="41">
        <v>0</v>
      </c>
      <c r="H6324" s="42"/>
      <c r="I6324" s="42"/>
      <c r="J6324" s="42"/>
    </row>
    <row r="6325" spans="5:10">
      <c r="E6325" s="43">
        <v>45347.649305534462</v>
      </c>
      <c r="F6325" s="41">
        <v>10.188694903265668</v>
      </c>
      <c r="G6325" s="41">
        <v>0</v>
      </c>
      <c r="H6325" s="42"/>
      <c r="I6325" s="42"/>
      <c r="J6325" s="42"/>
    </row>
    <row r="6326" spans="5:10">
      <c r="E6326" s="43">
        <v>45347.652777756681</v>
      </c>
      <c r="F6326" s="41">
        <v>10.188694903265668</v>
      </c>
      <c r="G6326" s="41">
        <v>0</v>
      </c>
      <c r="H6326" s="42"/>
      <c r="I6326" s="42"/>
      <c r="J6326" s="42"/>
    </row>
    <row r="6327" spans="5:10">
      <c r="E6327" s="43">
        <v>45347.6562499789</v>
      </c>
      <c r="F6327" s="41">
        <v>10.188694903265668</v>
      </c>
      <c r="G6327" s="41">
        <v>0</v>
      </c>
      <c r="H6327" s="42"/>
      <c r="I6327" s="42"/>
      <c r="J6327" s="42"/>
    </row>
    <row r="6328" spans="5:10">
      <c r="E6328" s="43">
        <v>45347.659722201119</v>
      </c>
      <c r="F6328" s="41">
        <v>10.188694903265668</v>
      </c>
      <c r="G6328" s="41">
        <v>0</v>
      </c>
      <c r="H6328" s="42"/>
      <c r="I6328" s="42"/>
      <c r="J6328" s="42"/>
    </row>
    <row r="6329" spans="5:10">
      <c r="E6329" s="43">
        <v>45347.663194423338</v>
      </c>
      <c r="F6329" s="41">
        <v>10.188694903265668</v>
      </c>
      <c r="G6329" s="41">
        <v>0</v>
      </c>
      <c r="H6329" s="42"/>
      <c r="I6329" s="42"/>
      <c r="J6329" s="42"/>
    </row>
    <row r="6330" spans="5:10">
      <c r="E6330" s="43">
        <v>45347.666666645557</v>
      </c>
      <c r="F6330" s="41">
        <v>13.335899302534688</v>
      </c>
      <c r="G6330" s="41">
        <v>0</v>
      </c>
      <c r="H6330" s="42"/>
      <c r="I6330" s="42"/>
      <c r="J6330" s="42"/>
    </row>
    <row r="6331" spans="5:10">
      <c r="E6331" s="43">
        <v>45347.670138867776</v>
      </c>
      <c r="F6331" s="41">
        <v>13.335899302534688</v>
      </c>
      <c r="G6331" s="41">
        <v>0</v>
      </c>
      <c r="H6331" s="42"/>
      <c r="I6331" s="42"/>
      <c r="J6331" s="42"/>
    </row>
    <row r="6332" spans="5:10">
      <c r="E6332" s="43">
        <v>45347.673611089995</v>
      </c>
      <c r="F6332" s="41">
        <v>13.335899302534688</v>
      </c>
      <c r="G6332" s="41">
        <v>0</v>
      </c>
      <c r="H6332" s="42"/>
      <c r="I6332" s="42"/>
      <c r="J6332" s="42"/>
    </row>
    <row r="6333" spans="5:10">
      <c r="E6333" s="43">
        <v>45347.677083312214</v>
      </c>
      <c r="F6333" s="41">
        <v>13.335899302534688</v>
      </c>
      <c r="G6333" s="41">
        <v>0</v>
      </c>
      <c r="H6333" s="42"/>
      <c r="I6333" s="42"/>
      <c r="J6333" s="42"/>
    </row>
    <row r="6334" spans="5:10">
      <c r="E6334" s="43">
        <v>45347.680555534433</v>
      </c>
      <c r="F6334" s="41">
        <v>13.335899302534688</v>
      </c>
      <c r="G6334" s="41">
        <v>0</v>
      </c>
      <c r="H6334" s="42"/>
      <c r="I6334" s="42"/>
      <c r="J6334" s="42"/>
    </row>
    <row r="6335" spans="5:10">
      <c r="E6335" s="43">
        <v>45347.684027756652</v>
      </c>
      <c r="F6335" s="41">
        <v>13.335899302534688</v>
      </c>
      <c r="G6335" s="41">
        <v>0</v>
      </c>
      <c r="H6335" s="42"/>
      <c r="I6335" s="42"/>
      <c r="J6335" s="42"/>
    </row>
    <row r="6336" spans="5:10">
      <c r="E6336" s="43">
        <v>45347.687499978871</v>
      </c>
      <c r="F6336" s="41">
        <v>13.335899302534688</v>
      </c>
      <c r="G6336" s="41">
        <v>0</v>
      </c>
      <c r="H6336" s="42"/>
      <c r="I6336" s="42"/>
      <c r="J6336" s="42"/>
    </row>
    <row r="6337" spans="5:10">
      <c r="E6337" s="43">
        <v>45347.69097220109</v>
      </c>
      <c r="F6337" s="41">
        <v>13.335899302534688</v>
      </c>
      <c r="G6337" s="41">
        <v>0</v>
      </c>
      <c r="H6337" s="42"/>
      <c r="I6337" s="42"/>
      <c r="J6337" s="42"/>
    </row>
    <row r="6338" spans="5:10">
      <c r="E6338" s="43">
        <v>45347.694444423309</v>
      </c>
      <c r="F6338" s="41">
        <v>13.335899302534688</v>
      </c>
      <c r="G6338" s="41">
        <v>0</v>
      </c>
      <c r="H6338" s="42"/>
      <c r="I6338" s="42"/>
      <c r="J6338" s="42"/>
    </row>
    <row r="6339" spans="5:10">
      <c r="E6339" s="43">
        <v>45347.697916645528</v>
      </c>
      <c r="F6339" s="41">
        <v>13.335899302534688</v>
      </c>
      <c r="G6339" s="41">
        <v>0</v>
      </c>
      <c r="H6339" s="42"/>
      <c r="I6339" s="42"/>
      <c r="J6339" s="42"/>
    </row>
    <row r="6340" spans="5:10">
      <c r="E6340" s="43">
        <v>45347.701388867747</v>
      </c>
      <c r="F6340" s="41">
        <v>13.335899302534688</v>
      </c>
      <c r="G6340" s="41">
        <v>0</v>
      </c>
      <c r="H6340" s="42"/>
      <c r="I6340" s="42"/>
      <c r="J6340" s="42"/>
    </row>
    <row r="6341" spans="5:10">
      <c r="E6341" s="43">
        <v>45347.704861089966</v>
      </c>
      <c r="F6341" s="41">
        <v>13.335899302534688</v>
      </c>
      <c r="G6341" s="41">
        <v>0</v>
      </c>
      <c r="H6341" s="42"/>
      <c r="I6341" s="42"/>
      <c r="J6341" s="42"/>
    </row>
    <row r="6342" spans="5:10">
      <c r="E6342" s="43">
        <v>45347.708333312185</v>
      </c>
      <c r="F6342" s="41">
        <v>13.335899302534688</v>
      </c>
      <c r="G6342" s="41">
        <v>0</v>
      </c>
      <c r="H6342" s="42"/>
      <c r="I6342" s="42"/>
      <c r="J6342" s="42"/>
    </row>
    <row r="6343" spans="5:10">
      <c r="E6343" s="43">
        <v>45347.711805534404</v>
      </c>
      <c r="F6343" s="41">
        <v>13.335899302534688</v>
      </c>
      <c r="G6343" s="41">
        <v>0</v>
      </c>
      <c r="H6343" s="42"/>
      <c r="I6343" s="42"/>
      <c r="J6343" s="42"/>
    </row>
    <row r="6344" spans="5:10">
      <c r="E6344" s="43">
        <v>45347.715277756623</v>
      </c>
      <c r="F6344" s="41">
        <v>13.335899302534688</v>
      </c>
      <c r="G6344" s="41">
        <v>0</v>
      </c>
      <c r="H6344" s="42"/>
      <c r="I6344" s="42"/>
      <c r="J6344" s="42"/>
    </row>
    <row r="6345" spans="5:10">
      <c r="E6345" s="43">
        <v>45347.718749978842</v>
      </c>
      <c r="F6345" s="41">
        <v>13.335899302534688</v>
      </c>
      <c r="G6345" s="41">
        <v>0</v>
      </c>
      <c r="H6345" s="42"/>
      <c r="I6345" s="42"/>
      <c r="J6345" s="42"/>
    </row>
    <row r="6346" spans="5:10">
      <c r="E6346" s="43">
        <v>45347.722222201061</v>
      </c>
      <c r="F6346" s="41">
        <v>13.335899302534688</v>
      </c>
      <c r="G6346" s="41">
        <v>0</v>
      </c>
      <c r="H6346" s="42"/>
      <c r="I6346" s="42"/>
      <c r="J6346" s="42"/>
    </row>
    <row r="6347" spans="5:10">
      <c r="E6347" s="43">
        <v>45347.725694423279</v>
      </c>
      <c r="F6347" s="41">
        <v>13.335899302534688</v>
      </c>
      <c r="G6347" s="41">
        <v>0</v>
      </c>
      <c r="H6347" s="42"/>
      <c r="I6347" s="42"/>
      <c r="J6347" s="42"/>
    </row>
    <row r="6348" spans="5:10">
      <c r="E6348" s="43">
        <v>45347.729166645498</v>
      </c>
      <c r="F6348" s="41">
        <v>13.335899302534688</v>
      </c>
      <c r="G6348" s="41">
        <v>0</v>
      </c>
      <c r="H6348" s="42"/>
      <c r="I6348" s="42"/>
      <c r="J6348" s="42"/>
    </row>
    <row r="6349" spans="5:10">
      <c r="E6349" s="43">
        <v>45347.732638867717</v>
      </c>
      <c r="F6349" s="41">
        <v>6.9891619780220395</v>
      </c>
      <c r="G6349" s="41">
        <v>0</v>
      </c>
      <c r="H6349" s="42"/>
      <c r="I6349" s="42"/>
      <c r="J6349" s="42"/>
    </row>
    <row r="6350" spans="5:10">
      <c r="E6350" s="43">
        <v>45347.736111089936</v>
      </c>
      <c r="F6350" s="41">
        <v>6.9891619780220395</v>
      </c>
      <c r="G6350" s="41">
        <v>0</v>
      </c>
      <c r="H6350" s="42"/>
      <c r="I6350" s="42"/>
      <c r="J6350" s="42"/>
    </row>
    <row r="6351" spans="5:10">
      <c r="E6351" s="43">
        <v>45347.739583312155</v>
      </c>
      <c r="F6351" s="41">
        <v>6.9891619780220395</v>
      </c>
      <c r="G6351" s="41">
        <v>0</v>
      </c>
      <c r="H6351" s="42"/>
      <c r="I6351" s="42"/>
      <c r="J6351" s="42"/>
    </row>
    <row r="6352" spans="5:10">
      <c r="E6352" s="43">
        <v>45347.743055534374</v>
      </c>
      <c r="F6352" s="41">
        <v>6.9891619780220395</v>
      </c>
      <c r="G6352" s="41">
        <v>0</v>
      </c>
      <c r="H6352" s="42"/>
      <c r="I6352" s="42"/>
      <c r="J6352" s="42"/>
    </row>
    <row r="6353" spans="5:10">
      <c r="E6353" s="43">
        <v>45347.746527756593</v>
      </c>
      <c r="F6353" s="41">
        <v>6.9891619780220395</v>
      </c>
      <c r="G6353" s="41">
        <v>0</v>
      </c>
      <c r="H6353" s="42"/>
      <c r="I6353" s="42"/>
      <c r="J6353" s="42"/>
    </row>
    <row r="6354" spans="5:10">
      <c r="E6354" s="43">
        <v>45347.749999978812</v>
      </c>
      <c r="F6354" s="41">
        <v>6.9891619780220395</v>
      </c>
      <c r="G6354" s="41">
        <v>0</v>
      </c>
      <c r="H6354" s="42"/>
      <c r="I6354" s="42"/>
      <c r="J6354" s="42"/>
    </row>
    <row r="6355" spans="5:10">
      <c r="E6355" s="43">
        <v>45347.753472201031</v>
      </c>
      <c r="F6355" s="41">
        <v>6.9891619780220395</v>
      </c>
      <c r="G6355" s="41">
        <v>0</v>
      </c>
      <c r="H6355" s="42"/>
      <c r="I6355" s="42"/>
      <c r="J6355" s="42"/>
    </row>
    <row r="6356" spans="5:10">
      <c r="E6356" s="43">
        <v>45347.75694442325</v>
      </c>
      <c r="F6356" s="41">
        <v>6.9891619780220395</v>
      </c>
      <c r="G6356" s="41">
        <v>0</v>
      </c>
      <c r="H6356" s="42"/>
      <c r="I6356" s="42"/>
      <c r="J6356" s="42"/>
    </row>
    <row r="6357" spans="5:10">
      <c r="E6357" s="43">
        <v>45347.760416645469</v>
      </c>
      <c r="F6357" s="41">
        <v>6.9891619780220395</v>
      </c>
      <c r="G6357" s="41">
        <v>0</v>
      </c>
      <c r="H6357" s="42"/>
      <c r="I6357" s="42"/>
      <c r="J6357" s="42"/>
    </row>
    <row r="6358" spans="5:10">
      <c r="E6358" s="43">
        <v>45347.763888867688</v>
      </c>
      <c r="F6358" s="41">
        <v>6.9891619780220395</v>
      </c>
      <c r="G6358" s="41">
        <v>0</v>
      </c>
      <c r="H6358" s="42"/>
      <c r="I6358" s="42"/>
      <c r="J6358" s="42"/>
    </row>
    <row r="6359" spans="5:10">
      <c r="E6359" s="43">
        <v>45347.767361089907</v>
      </c>
      <c r="F6359" s="41">
        <v>6.9891619780220395</v>
      </c>
      <c r="G6359" s="41">
        <v>0</v>
      </c>
      <c r="H6359" s="42"/>
      <c r="I6359" s="42"/>
      <c r="J6359" s="42"/>
    </row>
    <row r="6360" spans="5:10">
      <c r="E6360" s="43">
        <v>45347.770833312126</v>
      </c>
      <c r="F6360" s="41">
        <v>6.9891619780220395</v>
      </c>
      <c r="G6360" s="41">
        <v>0</v>
      </c>
      <c r="H6360" s="42"/>
      <c r="I6360" s="42"/>
      <c r="J6360" s="42"/>
    </row>
    <row r="6361" spans="5:10">
      <c r="E6361" s="43">
        <v>45347.774305534345</v>
      </c>
      <c r="F6361" s="41">
        <v>6.9891619780220395</v>
      </c>
      <c r="G6361" s="41">
        <v>0</v>
      </c>
      <c r="H6361" s="42"/>
      <c r="I6361" s="42"/>
      <c r="J6361" s="42"/>
    </row>
    <row r="6362" spans="5:10">
      <c r="E6362" s="43">
        <v>45347.777777756564</v>
      </c>
      <c r="F6362" s="41">
        <v>6.9891619780220395</v>
      </c>
      <c r="G6362" s="41">
        <v>0</v>
      </c>
      <c r="H6362" s="42"/>
      <c r="I6362" s="42"/>
      <c r="J6362" s="42"/>
    </row>
    <row r="6363" spans="5:10">
      <c r="E6363" s="43">
        <v>45347.781249978783</v>
      </c>
      <c r="F6363" s="41">
        <v>6.9891619780220395</v>
      </c>
      <c r="G6363" s="41">
        <v>0</v>
      </c>
      <c r="H6363" s="42"/>
      <c r="I6363" s="42"/>
      <c r="J6363" s="42"/>
    </row>
    <row r="6364" spans="5:10">
      <c r="E6364" s="43">
        <v>45347.784722201002</v>
      </c>
      <c r="F6364" s="41">
        <v>6.9891619780220395</v>
      </c>
      <c r="G6364" s="41">
        <v>0</v>
      </c>
      <c r="H6364" s="42"/>
      <c r="I6364" s="42"/>
      <c r="J6364" s="42"/>
    </row>
    <row r="6365" spans="5:10">
      <c r="E6365" s="43">
        <v>45347.788194423221</v>
      </c>
      <c r="F6365" s="41">
        <v>6.9891619780220395</v>
      </c>
      <c r="G6365" s="41">
        <v>0</v>
      </c>
      <c r="H6365" s="42"/>
      <c r="I6365" s="42"/>
      <c r="J6365" s="42"/>
    </row>
    <row r="6366" spans="5:10">
      <c r="E6366" s="43">
        <v>45347.79166664544</v>
      </c>
      <c r="F6366" s="41">
        <v>6.9891619780220395</v>
      </c>
      <c r="G6366" s="41">
        <v>0</v>
      </c>
      <c r="H6366" s="42"/>
      <c r="I6366" s="42"/>
      <c r="J6366" s="42"/>
    </row>
    <row r="6367" spans="5:10">
      <c r="E6367" s="43">
        <v>45347.795138867659</v>
      </c>
      <c r="F6367" s="41">
        <v>6.9891619780220395</v>
      </c>
      <c r="G6367" s="41">
        <v>0</v>
      </c>
      <c r="H6367" s="42"/>
      <c r="I6367" s="42"/>
      <c r="J6367" s="42"/>
    </row>
    <row r="6368" spans="5:10">
      <c r="E6368" s="43">
        <v>45347.798611089878</v>
      </c>
      <c r="F6368" s="41">
        <v>6.9891619780220395</v>
      </c>
      <c r="G6368" s="41">
        <v>0</v>
      </c>
      <c r="H6368" s="42"/>
      <c r="I6368" s="42"/>
      <c r="J6368" s="42"/>
    </row>
    <row r="6369" spans="5:10">
      <c r="E6369" s="43">
        <v>45347.802083312097</v>
      </c>
      <c r="F6369" s="41">
        <v>6.9891619780220395</v>
      </c>
      <c r="G6369" s="41">
        <v>0</v>
      </c>
      <c r="H6369" s="42"/>
      <c r="I6369" s="42"/>
      <c r="J6369" s="42"/>
    </row>
    <row r="6370" spans="5:10">
      <c r="E6370" s="43">
        <v>45347.805555534316</v>
      </c>
      <c r="F6370" s="41">
        <v>6.9891619780220395</v>
      </c>
      <c r="G6370" s="41">
        <v>0</v>
      </c>
      <c r="H6370" s="42"/>
      <c r="I6370" s="42"/>
      <c r="J6370" s="42"/>
    </row>
    <row r="6371" spans="5:10">
      <c r="E6371" s="43">
        <v>45347.809027756535</v>
      </c>
      <c r="F6371" s="41">
        <v>6.9891619780220395</v>
      </c>
      <c r="G6371" s="41">
        <v>0</v>
      </c>
      <c r="H6371" s="42"/>
      <c r="I6371" s="42"/>
      <c r="J6371" s="42"/>
    </row>
    <row r="6372" spans="5:10">
      <c r="E6372" s="43">
        <v>45347.812499978754</v>
      </c>
      <c r="F6372" s="41">
        <v>6.9891619780220395</v>
      </c>
      <c r="G6372" s="41">
        <v>0</v>
      </c>
      <c r="H6372" s="42"/>
      <c r="I6372" s="42"/>
      <c r="J6372" s="42"/>
    </row>
    <row r="6373" spans="5:10">
      <c r="E6373" s="43">
        <v>45347.815972200973</v>
      </c>
      <c r="F6373" s="41">
        <v>6.9891619780220395</v>
      </c>
      <c r="G6373" s="41">
        <v>0</v>
      </c>
      <c r="H6373" s="42"/>
      <c r="I6373" s="42"/>
      <c r="J6373" s="42"/>
    </row>
    <row r="6374" spans="5:10">
      <c r="E6374" s="43">
        <v>45347.819444423192</v>
      </c>
      <c r="F6374" s="41">
        <v>6.9891619780220395</v>
      </c>
      <c r="G6374" s="41">
        <v>0</v>
      </c>
      <c r="H6374" s="42"/>
      <c r="I6374" s="42"/>
      <c r="J6374" s="42"/>
    </row>
    <row r="6375" spans="5:10">
      <c r="E6375" s="43">
        <v>45347.822916645411</v>
      </c>
      <c r="F6375" s="41">
        <v>6.9891619780220395</v>
      </c>
      <c r="G6375" s="41">
        <v>0</v>
      </c>
      <c r="H6375" s="42"/>
      <c r="I6375" s="42"/>
      <c r="J6375" s="42"/>
    </row>
    <row r="6376" spans="5:10">
      <c r="E6376" s="43">
        <v>45347.82638886763</v>
      </c>
      <c r="F6376" s="41">
        <v>6.9891619780220395</v>
      </c>
      <c r="G6376" s="41">
        <v>0</v>
      </c>
      <c r="H6376" s="42"/>
      <c r="I6376" s="42"/>
      <c r="J6376" s="42"/>
    </row>
    <row r="6377" spans="5:10">
      <c r="E6377" s="43">
        <v>45347.829861089849</v>
      </c>
      <c r="F6377" s="41">
        <v>6.9891619780220395</v>
      </c>
      <c r="G6377" s="41">
        <v>0</v>
      </c>
      <c r="H6377" s="42"/>
      <c r="I6377" s="42"/>
      <c r="J6377" s="42"/>
    </row>
    <row r="6378" spans="5:10">
      <c r="E6378" s="43">
        <v>45347.833333312068</v>
      </c>
      <c r="F6378" s="41">
        <v>6.9891619780220395</v>
      </c>
      <c r="G6378" s="41">
        <v>0</v>
      </c>
      <c r="H6378" s="42"/>
      <c r="I6378" s="42"/>
      <c r="J6378" s="42"/>
    </row>
    <row r="6379" spans="5:10">
      <c r="E6379" s="43">
        <v>45347.836805534287</v>
      </c>
      <c r="F6379" s="41">
        <v>6.9891619780220395</v>
      </c>
      <c r="G6379" s="41">
        <v>0</v>
      </c>
      <c r="H6379" s="42"/>
      <c r="I6379" s="42"/>
      <c r="J6379" s="42"/>
    </row>
    <row r="6380" spans="5:10">
      <c r="E6380" s="43">
        <v>45347.840277756506</v>
      </c>
      <c r="F6380" s="41">
        <v>6.9891619780220395</v>
      </c>
      <c r="G6380" s="41">
        <v>0</v>
      </c>
      <c r="H6380" s="42"/>
      <c r="I6380" s="42"/>
      <c r="J6380" s="42"/>
    </row>
    <row r="6381" spans="5:10">
      <c r="E6381" s="43">
        <v>45347.843749978725</v>
      </c>
      <c r="F6381" s="41">
        <v>6.9891619780220395</v>
      </c>
      <c r="G6381" s="41">
        <v>0</v>
      </c>
      <c r="H6381" s="42"/>
      <c r="I6381" s="42"/>
      <c r="J6381" s="42"/>
    </row>
    <row r="6382" spans="5:10">
      <c r="E6382" s="43">
        <v>45347.847222200944</v>
      </c>
      <c r="F6382" s="41">
        <v>6.9891619780220395</v>
      </c>
      <c r="G6382" s="41">
        <v>0</v>
      </c>
      <c r="H6382" s="42"/>
      <c r="I6382" s="42"/>
      <c r="J6382" s="42"/>
    </row>
    <row r="6383" spans="5:10">
      <c r="E6383" s="43">
        <v>45347.850694423163</v>
      </c>
      <c r="F6383" s="41">
        <v>6.9891619780220395</v>
      </c>
      <c r="G6383" s="41">
        <v>0</v>
      </c>
      <c r="H6383" s="42"/>
      <c r="I6383" s="42"/>
      <c r="J6383" s="42"/>
    </row>
    <row r="6384" spans="5:10">
      <c r="E6384" s="43">
        <v>45347.854166645382</v>
      </c>
      <c r="F6384" s="41">
        <v>6.9891619780220395</v>
      </c>
      <c r="G6384" s="41">
        <v>0</v>
      </c>
      <c r="H6384" s="42"/>
      <c r="I6384" s="42"/>
      <c r="J6384" s="42"/>
    </row>
    <row r="6385" spans="5:10">
      <c r="E6385" s="43">
        <v>45347.857638867601</v>
      </c>
      <c r="F6385" s="41">
        <v>6.9891619780220395</v>
      </c>
      <c r="G6385" s="41">
        <v>0</v>
      </c>
      <c r="H6385" s="42"/>
      <c r="I6385" s="42"/>
      <c r="J6385" s="42"/>
    </row>
    <row r="6386" spans="5:10">
      <c r="E6386" s="43">
        <v>45347.86111108982</v>
      </c>
      <c r="F6386" s="41">
        <v>6.9891619780220395</v>
      </c>
      <c r="G6386" s="41">
        <v>0</v>
      </c>
      <c r="H6386" s="42"/>
      <c r="I6386" s="42"/>
      <c r="J6386" s="42"/>
    </row>
    <row r="6387" spans="5:10">
      <c r="E6387" s="43">
        <v>45347.864583312039</v>
      </c>
      <c r="F6387" s="41">
        <v>6.9891619780220395</v>
      </c>
      <c r="G6387" s="41">
        <v>0</v>
      </c>
      <c r="H6387" s="42"/>
      <c r="I6387" s="42"/>
      <c r="J6387" s="42"/>
    </row>
    <row r="6388" spans="5:10">
      <c r="E6388" s="43">
        <v>45347.868055534258</v>
      </c>
      <c r="F6388" s="41">
        <v>6.9891619780220395</v>
      </c>
      <c r="G6388" s="41">
        <v>0</v>
      </c>
      <c r="H6388" s="42"/>
      <c r="I6388" s="42"/>
      <c r="J6388" s="42"/>
    </row>
    <row r="6389" spans="5:10">
      <c r="E6389" s="43">
        <v>45347.871527756477</v>
      </c>
      <c r="F6389" s="41">
        <v>6.9891619780220395</v>
      </c>
      <c r="G6389" s="41">
        <v>0</v>
      </c>
      <c r="H6389" s="42"/>
      <c r="I6389" s="42"/>
      <c r="J6389" s="42"/>
    </row>
    <row r="6390" spans="5:10">
      <c r="E6390" s="43">
        <v>45347.874999978696</v>
      </c>
      <c r="F6390" s="41">
        <v>6.9891619780220395</v>
      </c>
      <c r="G6390" s="41">
        <v>0</v>
      </c>
      <c r="H6390" s="42"/>
      <c r="I6390" s="42"/>
      <c r="J6390" s="42"/>
    </row>
    <row r="6391" spans="5:10">
      <c r="E6391" s="43">
        <v>45347.878472200915</v>
      </c>
      <c r="F6391" s="41">
        <v>6.9891619780220395</v>
      </c>
      <c r="G6391" s="41">
        <v>0</v>
      </c>
      <c r="H6391" s="42"/>
      <c r="I6391" s="42"/>
      <c r="J6391" s="42"/>
    </row>
    <row r="6392" spans="5:10">
      <c r="E6392" s="43">
        <v>45347.881944423134</v>
      </c>
      <c r="F6392" s="41">
        <v>6.9891619780220395</v>
      </c>
      <c r="G6392" s="41">
        <v>0</v>
      </c>
      <c r="H6392" s="42"/>
      <c r="I6392" s="42"/>
      <c r="J6392" s="42"/>
    </row>
    <row r="6393" spans="5:10">
      <c r="E6393" s="43">
        <v>45347.885416645353</v>
      </c>
      <c r="F6393" s="41">
        <v>6.9891619780220395</v>
      </c>
      <c r="G6393" s="41">
        <v>0</v>
      </c>
      <c r="H6393" s="42"/>
      <c r="I6393" s="42"/>
      <c r="J6393" s="42"/>
    </row>
    <row r="6394" spans="5:10">
      <c r="E6394" s="43">
        <v>45347.888888867572</v>
      </c>
      <c r="F6394" s="41">
        <v>6.9891619780220395</v>
      </c>
      <c r="G6394" s="41">
        <v>0</v>
      </c>
      <c r="H6394" s="42"/>
      <c r="I6394" s="42"/>
      <c r="J6394" s="42"/>
    </row>
    <row r="6395" spans="5:10">
      <c r="E6395" s="43">
        <v>45347.892361089791</v>
      </c>
      <c r="F6395" s="41">
        <v>6.9891619780220395</v>
      </c>
      <c r="G6395" s="41">
        <v>0</v>
      </c>
      <c r="H6395" s="42"/>
      <c r="I6395" s="42"/>
      <c r="J6395" s="42"/>
    </row>
    <row r="6396" spans="5:10">
      <c r="E6396" s="43">
        <v>45347.89583331201</v>
      </c>
      <c r="F6396" s="41">
        <v>6.9891619780220395</v>
      </c>
      <c r="G6396" s="41">
        <v>0</v>
      </c>
      <c r="H6396" s="42"/>
      <c r="I6396" s="42"/>
      <c r="J6396" s="42"/>
    </row>
    <row r="6397" spans="5:10">
      <c r="E6397" s="43">
        <v>45347.899305534229</v>
      </c>
      <c r="F6397" s="41">
        <v>6.9891619780220395</v>
      </c>
      <c r="G6397" s="41">
        <v>0</v>
      </c>
      <c r="H6397" s="42"/>
      <c r="I6397" s="42"/>
      <c r="J6397" s="42"/>
    </row>
    <row r="6398" spans="5:10">
      <c r="E6398" s="43">
        <v>45347.902777756448</v>
      </c>
      <c r="F6398" s="41">
        <v>6.9891619780220395</v>
      </c>
      <c r="G6398" s="41">
        <v>0</v>
      </c>
      <c r="H6398" s="42"/>
      <c r="I6398" s="42"/>
      <c r="J6398" s="42"/>
    </row>
    <row r="6399" spans="5:10">
      <c r="E6399" s="43">
        <v>45347.906249978667</v>
      </c>
      <c r="F6399" s="41">
        <v>6.9891619780220395</v>
      </c>
      <c r="G6399" s="41">
        <v>0</v>
      </c>
      <c r="H6399" s="42"/>
      <c r="I6399" s="42"/>
      <c r="J6399" s="42"/>
    </row>
    <row r="6400" spans="5:10">
      <c r="E6400" s="43">
        <v>45347.909722200886</v>
      </c>
      <c r="F6400" s="41">
        <v>6.9891619780220395</v>
      </c>
      <c r="G6400" s="41">
        <v>0</v>
      </c>
      <c r="H6400" s="42"/>
      <c r="I6400" s="42"/>
      <c r="J6400" s="42"/>
    </row>
    <row r="6401" spans="5:10">
      <c r="E6401" s="43">
        <v>45347.913194423105</v>
      </c>
      <c r="F6401" s="41">
        <v>6.9891619780220395</v>
      </c>
      <c r="G6401" s="41">
        <v>0</v>
      </c>
      <c r="H6401" s="42"/>
      <c r="I6401" s="42"/>
      <c r="J6401" s="42"/>
    </row>
    <row r="6402" spans="5:10">
      <c r="E6402" s="43">
        <v>45347.916666645324</v>
      </c>
      <c r="F6402" s="41">
        <v>6.9891619780220395</v>
      </c>
      <c r="G6402" s="41">
        <v>0</v>
      </c>
      <c r="H6402" s="42"/>
      <c r="I6402" s="42"/>
      <c r="J6402" s="42"/>
    </row>
    <row r="6403" spans="5:10">
      <c r="E6403" s="43">
        <v>45347.920138867543</v>
      </c>
      <c r="F6403" s="41">
        <v>6.9891619780220395</v>
      </c>
      <c r="G6403" s="41">
        <v>0</v>
      </c>
      <c r="H6403" s="42"/>
      <c r="I6403" s="42"/>
      <c r="J6403" s="42"/>
    </row>
    <row r="6404" spans="5:10">
      <c r="E6404" s="43">
        <v>45347.923611089762</v>
      </c>
      <c r="F6404" s="41">
        <v>6.9891619780220395</v>
      </c>
      <c r="G6404" s="41">
        <v>0</v>
      </c>
      <c r="H6404" s="42"/>
      <c r="I6404" s="42"/>
      <c r="J6404" s="42"/>
    </row>
    <row r="6405" spans="5:10">
      <c r="E6405" s="43">
        <v>45347.927083311981</v>
      </c>
      <c r="F6405" s="41">
        <v>6.9891619780220395</v>
      </c>
      <c r="G6405" s="41">
        <v>0</v>
      </c>
      <c r="H6405" s="42"/>
      <c r="I6405" s="42"/>
      <c r="J6405" s="42"/>
    </row>
    <row r="6406" spans="5:10">
      <c r="E6406" s="43">
        <v>45347.9305555342</v>
      </c>
      <c r="F6406" s="41">
        <v>6.9891619780220395</v>
      </c>
      <c r="G6406" s="41">
        <v>0</v>
      </c>
      <c r="H6406" s="42"/>
      <c r="I6406" s="42"/>
      <c r="J6406" s="42"/>
    </row>
    <row r="6407" spans="5:10">
      <c r="E6407" s="43">
        <v>45347.934027756419</v>
      </c>
      <c r="F6407" s="41">
        <v>6.9891619780220395</v>
      </c>
      <c r="G6407" s="41">
        <v>0</v>
      </c>
      <c r="H6407" s="42"/>
      <c r="I6407" s="42"/>
      <c r="J6407" s="42"/>
    </row>
    <row r="6408" spans="5:10">
      <c r="E6408" s="43">
        <v>45347.937499978638</v>
      </c>
      <c r="F6408" s="41">
        <v>6.9891619780220395</v>
      </c>
      <c r="G6408" s="41">
        <v>0</v>
      </c>
      <c r="H6408" s="42"/>
      <c r="I6408" s="42"/>
      <c r="J6408" s="42"/>
    </row>
    <row r="6409" spans="5:10">
      <c r="E6409" s="43">
        <v>45347.940972200857</v>
      </c>
      <c r="F6409" s="41">
        <v>6.9891619780220395</v>
      </c>
      <c r="G6409" s="41">
        <v>0</v>
      </c>
      <c r="H6409" s="42"/>
      <c r="I6409" s="42"/>
      <c r="J6409" s="42"/>
    </row>
    <row r="6410" spans="5:10">
      <c r="E6410" s="43">
        <v>45347.944444423076</v>
      </c>
      <c r="F6410" s="41">
        <v>6.9891619780220395</v>
      </c>
      <c r="G6410" s="41">
        <v>0</v>
      </c>
      <c r="H6410" s="42"/>
      <c r="I6410" s="42"/>
      <c r="J6410" s="42"/>
    </row>
    <row r="6411" spans="5:10">
      <c r="E6411" s="43">
        <v>45347.947916645295</v>
      </c>
      <c r="F6411" s="41">
        <v>6.9891619780220395</v>
      </c>
      <c r="G6411" s="41">
        <v>0</v>
      </c>
      <c r="H6411" s="42"/>
      <c r="I6411" s="42"/>
      <c r="J6411" s="42"/>
    </row>
    <row r="6412" spans="5:10">
      <c r="E6412" s="43">
        <v>45347.951388867514</v>
      </c>
      <c r="F6412" s="41">
        <v>6.9891619780220395</v>
      </c>
      <c r="G6412" s="41">
        <v>0</v>
      </c>
      <c r="H6412" s="42"/>
      <c r="I6412" s="42"/>
      <c r="J6412" s="42"/>
    </row>
    <row r="6413" spans="5:10">
      <c r="E6413" s="43">
        <v>45347.954861089733</v>
      </c>
      <c r="F6413" s="41">
        <v>6.9891619780220395</v>
      </c>
      <c r="G6413" s="41">
        <v>0</v>
      </c>
      <c r="H6413" s="42"/>
      <c r="I6413" s="42"/>
      <c r="J6413" s="42"/>
    </row>
    <row r="6414" spans="5:10">
      <c r="E6414" s="43">
        <v>45347.958333311952</v>
      </c>
      <c r="F6414" s="41">
        <v>6.9891619780220395</v>
      </c>
      <c r="G6414" s="41">
        <v>0</v>
      </c>
      <c r="H6414" s="42"/>
      <c r="I6414" s="42"/>
      <c r="J6414" s="42"/>
    </row>
    <row r="6415" spans="5:10">
      <c r="E6415" s="43">
        <v>45347.961805534171</v>
      </c>
      <c r="F6415" s="41">
        <v>6.9891619780220395</v>
      </c>
      <c r="G6415" s="41">
        <v>0</v>
      </c>
      <c r="H6415" s="42"/>
      <c r="I6415" s="42"/>
      <c r="J6415" s="42"/>
    </row>
    <row r="6416" spans="5:10">
      <c r="E6416" s="43">
        <v>45347.96527775639</v>
      </c>
      <c r="F6416" s="41">
        <v>6.9891619780220395</v>
      </c>
      <c r="G6416" s="41">
        <v>0</v>
      </c>
      <c r="H6416" s="42"/>
      <c r="I6416" s="42"/>
      <c r="J6416" s="42"/>
    </row>
    <row r="6417" spans="5:10">
      <c r="E6417" s="43">
        <v>45347.968749978609</v>
      </c>
      <c r="F6417" s="41">
        <v>6.9891619780220395</v>
      </c>
      <c r="G6417" s="41">
        <v>0</v>
      </c>
      <c r="H6417" s="42"/>
      <c r="I6417" s="42"/>
      <c r="J6417" s="42"/>
    </row>
    <row r="6418" spans="5:10">
      <c r="E6418" s="43">
        <v>45347.972222200828</v>
      </c>
      <c r="F6418" s="41">
        <v>6.9891619780220395</v>
      </c>
      <c r="G6418" s="41">
        <v>0</v>
      </c>
      <c r="H6418" s="42"/>
      <c r="I6418" s="42"/>
      <c r="J6418" s="42"/>
    </row>
    <row r="6419" spans="5:10">
      <c r="E6419" s="43">
        <v>45347.975694423047</v>
      </c>
      <c r="F6419" s="41">
        <v>6.9891619780220395</v>
      </c>
      <c r="G6419" s="41">
        <v>0</v>
      </c>
      <c r="H6419" s="42"/>
      <c r="I6419" s="42"/>
      <c r="J6419" s="42"/>
    </row>
    <row r="6420" spans="5:10">
      <c r="E6420" s="43">
        <v>45347.979166645266</v>
      </c>
      <c r="F6420" s="41">
        <v>6.9891619780220395</v>
      </c>
      <c r="G6420" s="41">
        <v>0</v>
      </c>
      <c r="H6420" s="42"/>
      <c r="I6420" s="42"/>
      <c r="J6420" s="42"/>
    </row>
    <row r="6421" spans="5:10">
      <c r="E6421" s="43">
        <v>45347.982638867485</v>
      </c>
      <c r="F6421" s="41">
        <v>6.9891619780220395</v>
      </c>
      <c r="G6421" s="41">
        <v>0</v>
      </c>
      <c r="H6421" s="42"/>
      <c r="I6421" s="42"/>
      <c r="J6421" s="42"/>
    </row>
    <row r="6422" spans="5:10">
      <c r="E6422" s="43">
        <v>45347.986111089704</v>
      </c>
      <c r="F6422" s="41">
        <v>6.9891619780220395</v>
      </c>
      <c r="G6422" s="41">
        <v>0</v>
      </c>
      <c r="H6422" s="42"/>
      <c r="I6422" s="42"/>
      <c r="J6422" s="42"/>
    </row>
    <row r="6423" spans="5:10">
      <c r="E6423" s="43">
        <v>45347.989583311923</v>
      </c>
      <c r="F6423" s="41">
        <v>6.9891619780220395</v>
      </c>
      <c r="G6423" s="41">
        <v>0</v>
      </c>
      <c r="H6423" s="42"/>
      <c r="I6423" s="42"/>
      <c r="J6423" s="42"/>
    </row>
    <row r="6424" spans="5:10">
      <c r="E6424" s="43">
        <v>45347.993055534142</v>
      </c>
      <c r="F6424" s="41">
        <v>6.9891619780220395</v>
      </c>
      <c r="G6424" s="41">
        <v>0</v>
      </c>
      <c r="H6424" s="42"/>
      <c r="I6424" s="42"/>
      <c r="J6424" s="42"/>
    </row>
    <row r="6425" spans="5:10">
      <c r="E6425" s="43">
        <v>45347.996527756361</v>
      </c>
      <c r="F6425" s="41">
        <v>6.9891619780220395</v>
      </c>
      <c r="G6425" s="41">
        <v>0</v>
      </c>
      <c r="H6425" s="42"/>
      <c r="I6425" s="42"/>
      <c r="J6425" s="42"/>
    </row>
    <row r="6426" spans="5:10">
      <c r="E6426" s="43">
        <v>45347.99999997858</v>
      </c>
      <c r="F6426" s="41">
        <v>6.9891619780220395</v>
      </c>
      <c r="G6426" s="41">
        <v>0</v>
      </c>
      <c r="H6426" s="42"/>
      <c r="I6426" s="42"/>
      <c r="J6426" s="42"/>
    </row>
    <row r="6427" spans="5:10">
      <c r="E6427" s="43">
        <v>45348.003472200799</v>
      </c>
      <c r="F6427" s="41">
        <v>6.9891619780220395</v>
      </c>
      <c r="G6427" s="41">
        <v>0</v>
      </c>
      <c r="H6427" s="42"/>
      <c r="I6427" s="42"/>
      <c r="J6427" s="42"/>
    </row>
    <row r="6428" spans="5:10">
      <c r="E6428" s="43">
        <v>45348.006944423018</v>
      </c>
      <c r="F6428" s="41">
        <v>6.9891619780220395</v>
      </c>
      <c r="G6428" s="41">
        <v>0</v>
      </c>
      <c r="H6428" s="42"/>
      <c r="I6428" s="42"/>
      <c r="J6428" s="42"/>
    </row>
    <row r="6429" spans="5:10">
      <c r="E6429" s="43">
        <v>45348.010416645237</v>
      </c>
      <c r="F6429" s="41">
        <v>6.9891619780220395</v>
      </c>
      <c r="G6429" s="41">
        <v>0</v>
      </c>
      <c r="H6429" s="42"/>
      <c r="I6429" s="42"/>
      <c r="J6429" s="42"/>
    </row>
    <row r="6430" spans="5:10">
      <c r="E6430" s="43">
        <v>45348.013888867456</v>
      </c>
      <c r="F6430" s="41">
        <v>6.9891619780220395</v>
      </c>
      <c r="G6430" s="41">
        <v>0</v>
      </c>
      <c r="H6430" s="42"/>
      <c r="I6430" s="42"/>
      <c r="J6430" s="42"/>
    </row>
    <row r="6431" spans="5:10">
      <c r="E6431" s="43">
        <v>45348.017361089675</v>
      </c>
      <c r="F6431" s="41">
        <v>6.9891619780220395</v>
      </c>
      <c r="G6431" s="41">
        <v>0</v>
      </c>
      <c r="H6431" s="42"/>
      <c r="I6431" s="42"/>
      <c r="J6431" s="42"/>
    </row>
    <row r="6432" spans="5:10">
      <c r="E6432" s="43">
        <v>45348.020833311894</v>
      </c>
      <c r="F6432" s="41">
        <v>6.9891619780220395</v>
      </c>
      <c r="G6432" s="41">
        <v>0</v>
      </c>
      <c r="H6432" s="42"/>
      <c r="I6432" s="42"/>
      <c r="J6432" s="42"/>
    </row>
    <row r="6433" spans="5:10">
      <c r="E6433" s="43">
        <v>45348.024305534113</v>
      </c>
      <c r="F6433" s="41">
        <v>6.9891619780220395</v>
      </c>
      <c r="G6433" s="41">
        <v>0</v>
      </c>
      <c r="H6433" s="42"/>
      <c r="I6433" s="42"/>
      <c r="J6433" s="42"/>
    </row>
    <row r="6434" spans="5:10">
      <c r="E6434" s="43">
        <v>45348.027777756331</v>
      </c>
      <c r="F6434" s="41">
        <v>6.9891619780220395</v>
      </c>
      <c r="G6434" s="41">
        <v>0</v>
      </c>
      <c r="H6434" s="42"/>
      <c r="I6434" s="42"/>
      <c r="J6434" s="42"/>
    </row>
    <row r="6435" spans="5:10">
      <c r="E6435" s="43">
        <v>45348.03124997855</v>
      </c>
      <c r="F6435" s="41">
        <v>6.9891619780220395</v>
      </c>
      <c r="G6435" s="41">
        <v>0</v>
      </c>
      <c r="H6435" s="42"/>
      <c r="I6435" s="42"/>
      <c r="J6435" s="42"/>
    </row>
    <row r="6436" spans="5:10">
      <c r="E6436" s="43">
        <v>45348.034722200769</v>
      </c>
      <c r="F6436" s="41">
        <v>6.9891619780220395</v>
      </c>
      <c r="G6436" s="41">
        <v>0</v>
      </c>
      <c r="H6436" s="42"/>
      <c r="I6436" s="42"/>
      <c r="J6436" s="42"/>
    </row>
    <row r="6437" spans="5:10">
      <c r="E6437" s="43">
        <v>45348.038194422988</v>
      </c>
      <c r="F6437" s="41">
        <v>6.9891619780220395</v>
      </c>
      <c r="G6437" s="41">
        <v>0</v>
      </c>
      <c r="H6437" s="42"/>
      <c r="I6437" s="42"/>
      <c r="J6437" s="42"/>
    </row>
    <row r="6438" spans="5:10">
      <c r="E6438" s="43">
        <v>45348.041666645207</v>
      </c>
      <c r="F6438" s="41">
        <v>6.9891619780220395</v>
      </c>
      <c r="G6438" s="41">
        <v>0</v>
      </c>
      <c r="H6438" s="42"/>
      <c r="I6438" s="42"/>
      <c r="J6438" s="42"/>
    </row>
    <row r="6439" spans="5:10">
      <c r="E6439" s="43">
        <v>45348.045138867426</v>
      </c>
      <c r="F6439" s="41">
        <v>6.9891619780220395</v>
      </c>
      <c r="G6439" s="41">
        <v>0</v>
      </c>
      <c r="H6439" s="42"/>
      <c r="I6439" s="42"/>
      <c r="J6439" s="42"/>
    </row>
    <row r="6440" spans="5:10">
      <c r="E6440" s="43">
        <v>45348.048611089645</v>
      </c>
      <c r="F6440" s="41">
        <v>6.9891619780220395</v>
      </c>
      <c r="G6440" s="41">
        <v>0</v>
      </c>
      <c r="H6440" s="42"/>
      <c r="I6440" s="42"/>
      <c r="J6440" s="42"/>
    </row>
    <row r="6441" spans="5:10">
      <c r="E6441" s="43">
        <v>45348.052083311864</v>
      </c>
      <c r="F6441" s="41">
        <v>6.9891619780220395</v>
      </c>
      <c r="G6441" s="41">
        <v>0</v>
      </c>
      <c r="H6441" s="42"/>
      <c r="I6441" s="42"/>
      <c r="J6441" s="42"/>
    </row>
    <row r="6442" spans="5:10">
      <c r="E6442" s="43">
        <v>45348.055555534083</v>
      </c>
      <c r="F6442" s="41">
        <v>6.9891619780220395</v>
      </c>
      <c r="G6442" s="41">
        <v>0</v>
      </c>
      <c r="H6442" s="42"/>
      <c r="I6442" s="42"/>
      <c r="J6442" s="42"/>
    </row>
    <row r="6443" spans="5:10">
      <c r="E6443" s="43">
        <v>45348.059027756302</v>
      </c>
      <c r="F6443" s="41">
        <v>6.9891619780220395</v>
      </c>
      <c r="G6443" s="41">
        <v>0</v>
      </c>
      <c r="H6443" s="42"/>
      <c r="I6443" s="42"/>
      <c r="J6443" s="42"/>
    </row>
    <row r="6444" spans="5:10">
      <c r="E6444" s="43">
        <v>45348.062499978521</v>
      </c>
      <c r="F6444" s="41">
        <v>6.9891619780220395</v>
      </c>
      <c r="G6444" s="41">
        <v>0</v>
      </c>
      <c r="H6444" s="42"/>
      <c r="I6444" s="42"/>
      <c r="J6444" s="42"/>
    </row>
    <row r="6445" spans="5:10">
      <c r="E6445" s="43">
        <v>45348.06597220074</v>
      </c>
      <c r="F6445" s="41">
        <v>6.9891619780220395</v>
      </c>
      <c r="G6445" s="41">
        <v>0</v>
      </c>
      <c r="H6445" s="42"/>
      <c r="I6445" s="42"/>
      <c r="J6445" s="42"/>
    </row>
    <row r="6446" spans="5:10">
      <c r="E6446" s="43">
        <v>45348.069444422959</v>
      </c>
      <c r="F6446" s="41">
        <v>6.9891619780220395</v>
      </c>
      <c r="G6446" s="41">
        <v>0</v>
      </c>
      <c r="H6446" s="42"/>
      <c r="I6446" s="42"/>
      <c r="J6446" s="42"/>
    </row>
    <row r="6447" spans="5:10">
      <c r="E6447" s="43">
        <v>45348.072916645178</v>
      </c>
      <c r="F6447" s="41">
        <v>6.9891619780220395</v>
      </c>
      <c r="G6447" s="41">
        <v>0</v>
      </c>
      <c r="H6447" s="42"/>
      <c r="I6447" s="42"/>
      <c r="J6447" s="42"/>
    </row>
    <row r="6448" spans="5:10">
      <c r="E6448" s="43">
        <v>45348.076388867397</v>
      </c>
      <c r="F6448" s="41">
        <v>6.9891619780220395</v>
      </c>
      <c r="G6448" s="41">
        <v>0</v>
      </c>
      <c r="H6448" s="42"/>
      <c r="I6448" s="42"/>
      <c r="J6448" s="42"/>
    </row>
    <row r="6449" spans="5:10">
      <c r="E6449" s="43">
        <v>45348.079861089616</v>
      </c>
      <c r="F6449" s="41">
        <v>6.9891619780220395</v>
      </c>
      <c r="G6449" s="41">
        <v>0</v>
      </c>
      <c r="H6449" s="42"/>
      <c r="I6449" s="42"/>
      <c r="J6449" s="42"/>
    </row>
    <row r="6450" spans="5:10">
      <c r="E6450" s="43">
        <v>45348.083333311835</v>
      </c>
      <c r="F6450" s="41">
        <v>6.9891619780220395</v>
      </c>
      <c r="G6450" s="41">
        <v>0</v>
      </c>
      <c r="H6450" s="42"/>
      <c r="I6450" s="42"/>
      <c r="J6450" s="42"/>
    </row>
    <row r="6451" spans="5:10">
      <c r="E6451" s="43">
        <v>45348.086805534054</v>
      </c>
      <c r="F6451" s="41">
        <v>6.9891619780220395</v>
      </c>
      <c r="G6451" s="41">
        <v>0</v>
      </c>
      <c r="H6451" s="42"/>
      <c r="I6451" s="42"/>
      <c r="J6451" s="42"/>
    </row>
    <row r="6452" spans="5:10">
      <c r="E6452" s="43">
        <v>45348.090277756273</v>
      </c>
      <c r="F6452" s="41">
        <v>6.9891619780220395</v>
      </c>
      <c r="G6452" s="41">
        <v>0</v>
      </c>
      <c r="H6452" s="42"/>
      <c r="I6452" s="42"/>
      <c r="J6452" s="42"/>
    </row>
    <row r="6453" spans="5:10">
      <c r="E6453" s="43">
        <v>45348.093749978492</v>
      </c>
      <c r="F6453" s="41">
        <v>6.9891619780220395</v>
      </c>
      <c r="G6453" s="41">
        <v>0</v>
      </c>
      <c r="H6453" s="42"/>
      <c r="I6453" s="42"/>
      <c r="J6453" s="42"/>
    </row>
    <row r="6454" spans="5:10">
      <c r="E6454" s="43">
        <v>45348.097222200711</v>
      </c>
      <c r="F6454" s="41">
        <v>6.9891619780220395</v>
      </c>
      <c r="G6454" s="41">
        <v>0</v>
      </c>
      <c r="H6454" s="42"/>
      <c r="I6454" s="42"/>
      <c r="J6454" s="42"/>
    </row>
    <row r="6455" spans="5:10">
      <c r="E6455" s="43">
        <v>45348.10069442293</v>
      </c>
      <c r="F6455" s="41">
        <v>6.9891619780220395</v>
      </c>
      <c r="G6455" s="41">
        <v>0</v>
      </c>
      <c r="H6455" s="42"/>
      <c r="I6455" s="42"/>
      <c r="J6455" s="42"/>
    </row>
    <row r="6456" spans="5:10">
      <c r="E6456" s="43">
        <v>45348.104166645149</v>
      </c>
      <c r="F6456" s="41">
        <v>6.9891619780220395</v>
      </c>
      <c r="G6456" s="41">
        <v>0</v>
      </c>
      <c r="H6456" s="42"/>
      <c r="I6456" s="42"/>
      <c r="J6456" s="42"/>
    </row>
    <row r="6457" spans="5:10">
      <c r="E6457" s="43">
        <v>45348.107638867368</v>
      </c>
      <c r="F6457" s="41">
        <v>6.9891619780220395</v>
      </c>
      <c r="G6457" s="41">
        <v>0</v>
      </c>
      <c r="H6457" s="42"/>
      <c r="I6457" s="42"/>
      <c r="J6457" s="42"/>
    </row>
    <row r="6458" spans="5:10">
      <c r="E6458" s="43">
        <v>45348.111111089587</v>
      </c>
      <c r="F6458" s="41">
        <v>6.9891619780220395</v>
      </c>
      <c r="G6458" s="41">
        <v>0</v>
      </c>
      <c r="H6458" s="42"/>
      <c r="I6458" s="42"/>
      <c r="J6458" s="42"/>
    </row>
    <row r="6459" spans="5:10">
      <c r="E6459" s="43">
        <v>45348.114583311806</v>
      </c>
      <c r="F6459" s="41">
        <v>6.9891619780220395</v>
      </c>
      <c r="G6459" s="41">
        <v>0</v>
      </c>
      <c r="H6459" s="42"/>
      <c r="I6459" s="42"/>
      <c r="J6459" s="42"/>
    </row>
    <row r="6460" spans="5:10">
      <c r="E6460" s="43">
        <v>45348.118055534025</v>
      </c>
      <c r="F6460" s="41">
        <v>6.9891619780220395</v>
      </c>
      <c r="G6460" s="41">
        <v>0</v>
      </c>
      <c r="H6460" s="42"/>
      <c r="I6460" s="42"/>
      <c r="J6460" s="42"/>
    </row>
    <row r="6461" spans="5:10">
      <c r="E6461" s="43">
        <v>45348.121527756244</v>
      </c>
      <c r="F6461" s="41">
        <v>6.9891619780220395</v>
      </c>
      <c r="G6461" s="41">
        <v>0</v>
      </c>
      <c r="H6461" s="42"/>
      <c r="I6461" s="42"/>
      <c r="J6461" s="42"/>
    </row>
    <row r="6462" spans="5:10">
      <c r="E6462" s="43">
        <v>45348.124999978463</v>
      </c>
      <c r="F6462" s="41">
        <v>6.9891619780220395</v>
      </c>
      <c r="G6462" s="41">
        <v>0</v>
      </c>
      <c r="H6462" s="42"/>
      <c r="I6462" s="42"/>
      <c r="J6462" s="42"/>
    </row>
    <row r="6463" spans="5:10">
      <c r="E6463" s="43">
        <v>45348.128472200682</v>
      </c>
      <c r="F6463" s="41">
        <v>6.9891619780220395</v>
      </c>
      <c r="G6463" s="41">
        <v>0</v>
      </c>
      <c r="H6463" s="42"/>
      <c r="I6463" s="42"/>
      <c r="J6463" s="42"/>
    </row>
    <row r="6464" spans="5:10">
      <c r="E6464" s="43">
        <v>45348.131944422901</v>
      </c>
      <c r="F6464" s="41">
        <v>6.9891619780220395</v>
      </c>
      <c r="G6464" s="41">
        <v>0</v>
      </c>
      <c r="H6464" s="42"/>
      <c r="I6464" s="42"/>
      <c r="J6464" s="42"/>
    </row>
    <row r="6465" spans="5:10">
      <c r="E6465" s="43">
        <v>45348.13541664512</v>
      </c>
      <c r="F6465" s="41">
        <v>6.9891619780220395</v>
      </c>
      <c r="G6465" s="41">
        <v>0</v>
      </c>
      <c r="H6465" s="42"/>
      <c r="I6465" s="42"/>
      <c r="J6465" s="42"/>
    </row>
    <row r="6466" spans="5:10">
      <c r="E6466" s="43">
        <v>45348.138888867339</v>
      </c>
      <c r="F6466" s="41">
        <v>6.9891619780220395</v>
      </c>
      <c r="G6466" s="41">
        <v>0</v>
      </c>
      <c r="H6466" s="42"/>
      <c r="I6466" s="42"/>
      <c r="J6466" s="42"/>
    </row>
    <row r="6467" spans="5:10">
      <c r="E6467" s="43">
        <v>45348.142361089558</v>
      </c>
      <c r="F6467" s="41">
        <v>6.9891619780220395</v>
      </c>
      <c r="G6467" s="41">
        <v>0</v>
      </c>
      <c r="H6467" s="42"/>
      <c r="I6467" s="42"/>
      <c r="J6467" s="42"/>
    </row>
    <row r="6468" spans="5:10">
      <c r="E6468" s="43">
        <v>45348.145833311777</v>
      </c>
      <c r="F6468" s="41">
        <v>6.9891619780220395</v>
      </c>
      <c r="G6468" s="41">
        <v>0</v>
      </c>
      <c r="H6468" s="42"/>
      <c r="I6468" s="42"/>
      <c r="J6468" s="42"/>
    </row>
    <row r="6469" spans="5:10">
      <c r="E6469" s="43">
        <v>45348.149305533996</v>
      </c>
      <c r="F6469" s="41">
        <v>6.9891619780220395</v>
      </c>
      <c r="G6469" s="41">
        <v>0</v>
      </c>
      <c r="H6469" s="42"/>
      <c r="I6469" s="42"/>
      <c r="J6469" s="42"/>
    </row>
    <row r="6470" spans="5:10">
      <c r="E6470" s="43">
        <v>45348.152777756215</v>
      </c>
      <c r="F6470" s="41">
        <v>6.9891619780220395</v>
      </c>
      <c r="G6470" s="41">
        <v>0</v>
      </c>
      <c r="H6470" s="42"/>
      <c r="I6470" s="42"/>
      <c r="J6470" s="42"/>
    </row>
    <row r="6471" spans="5:10">
      <c r="E6471" s="43">
        <v>45348.156249978434</v>
      </c>
      <c r="F6471" s="41">
        <v>6.9891619780220395</v>
      </c>
      <c r="G6471" s="41">
        <v>0</v>
      </c>
      <c r="H6471" s="42"/>
      <c r="I6471" s="42"/>
      <c r="J6471" s="42"/>
    </row>
    <row r="6472" spans="5:10">
      <c r="E6472" s="43">
        <v>45348.159722200653</v>
      </c>
      <c r="F6472" s="41">
        <v>6.9891619780220395</v>
      </c>
      <c r="G6472" s="41">
        <v>0</v>
      </c>
      <c r="H6472" s="42"/>
      <c r="I6472" s="42"/>
      <c r="J6472" s="42"/>
    </row>
    <row r="6473" spans="5:10">
      <c r="E6473" s="43">
        <v>45348.163194422872</v>
      </c>
      <c r="F6473" s="41">
        <v>6.9891619780220395</v>
      </c>
      <c r="G6473" s="41">
        <v>0</v>
      </c>
      <c r="H6473" s="42"/>
      <c r="I6473" s="42"/>
      <c r="J6473" s="42"/>
    </row>
    <row r="6474" spans="5:10">
      <c r="E6474" s="43">
        <v>45348.166666645091</v>
      </c>
      <c r="F6474" s="41">
        <v>6.9891619780220395</v>
      </c>
      <c r="G6474" s="41">
        <v>0</v>
      </c>
      <c r="H6474" s="42"/>
      <c r="I6474" s="42"/>
      <c r="J6474" s="42"/>
    </row>
    <row r="6475" spans="5:10">
      <c r="E6475" s="43">
        <v>45348.17013886731</v>
      </c>
      <c r="F6475" s="41">
        <v>6.9891619780220395</v>
      </c>
      <c r="G6475" s="41">
        <v>0</v>
      </c>
      <c r="H6475" s="42"/>
      <c r="I6475" s="42"/>
      <c r="J6475" s="42"/>
    </row>
    <row r="6476" spans="5:10">
      <c r="E6476" s="43">
        <v>45348.173611089529</v>
      </c>
      <c r="F6476" s="41">
        <v>6.9891619780220395</v>
      </c>
      <c r="G6476" s="41">
        <v>0</v>
      </c>
      <c r="H6476" s="42"/>
      <c r="I6476" s="42"/>
      <c r="J6476" s="42"/>
    </row>
    <row r="6477" spans="5:10">
      <c r="E6477" s="43">
        <v>45348.177083311748</v>
      </c>
      <c r="F6477" s="41">
        <v>6.9891619780220395</v>
      </c>
      <c r="G6477" s="41">
        <v>0</v>
      </c>
      <c r="H6477" s="42"/>
      <c r="I6477" s="42"/>
      <c r="J6477" s="42"/>
    </row>
    <row r="6478" spans="5:10">
      <c r="E6478" s="43">
        <v>45348.180555533967</v>
      </c>
      <c r="F6478" s="41">
        <v>6.9891619780220395</v>
      </c>
      <c r="G6478" s="41">
        <v>0</v>
      </c>
      <c r="H6478" s="42"/>
      <c r="I6478" s="42"/>
      <c r="J6478" s="42"/>
    </row>
    <row r="6479" spans="5:10">
      <c r="E6479" s="43">
        <v>45348.184027756186</v>
      </c>
      <c r="F6479" s="41">
        <v>6.9891619780220395</v>
      </c>
      <c r="G6479" s="41">
        <v>0</v>
      </c>
      <c r="H6479" s="42"/>
      <c r="I6479" s="42"/>
      <c r="J6479" s="42"/>
    </row>
    <row r="6480" spans="5:10">
      <c r="E6480" s="43">
        <v>45348.187499978405</v>
      </c>
      <c r="F6480" s="41">
        <v>6.9891619780220395</v>
      </c>
      <c r="G6480" s="41">
        <v>0</v>
      </c>
      <c r="H6480" s="42"/>
      <c r="I6480" s="42"/>
      <c r="J6480" s="42"/>
    </row>
    <row r="6481" spans="5:10">
      <c r="E6481" s="43">
        <v>45348.190972200624</v>
      </c>
      <c r="F6481" s="41">
        <v>6.9891619780220395</v>
      </c>
      <c r="G6481" s="41">
        <v>0</v>
      </c>
      <c r="H6481" s="42"/>
      <c r="I6481" s="42"/>
      <c r="J6481" s="42"/>
    </row>
    <row r="6482" spans="5:10">
      <c r="E6482" s="43">
        <v>45348.194444422843</v>
      </c>
      <c r="F6482" s="41">
        <v>6.9891619780220395</v>
      </c>
      <c r="G6482" s="41">
        <v>0</v>
      </c>
      <c r="H6482" s="42"/>
      <c r="I6482" s="42"/>
      <c r="J6482" s="42"/>
    </row>
    <row r="6483" spans="5:10">
      <c r="E6483" s="43">
        <v>45348.197916645062</v>
      </c>
      <c r="F6483" s="41">
        <v>6.9891619780220395</v>
      </c>
      <c r="G6483" s="41">
        <v>0</v>
      </c>
      <c r="H6483" s="42"/>
      <c r="I6483" s="42"/>
      <c r="J6483" s="42"/>
    </row>
    <row r="6484" spans="5:10">
      <c r="E6484" s="43">
        <v>45348.201388867281</v>
      </c>
      <c r="F6484" s="41">
        <v>6.9891619780220395</v>
      </c>
      <c r="G6484" s="41">
        <v>0</v>
      </c>
      <c r="H6484" s="42"/>
      <c r="I6484" s="42"/>
      <c r="J6484" s="42"/>
    </row>
    <row r="6485" spans="5:10">
      <c r="E6485" s="43">
        <v>45348.2048610895</v>
      </c>
      <c r="F6485" s="41">
        <v>6.9891619780220395</v>
      </c>
      <c r="G6485" s="41">
        <v>0</v>
      </c>
      <c r="H6485" s="42"/>
      <c r="I6485" s="42"/>
      <c r="J6485" s="42"/>
    </row>
    <row r="6486" spans="5:10">
      <c r="E6486" s="43">
        <v>45348.208333311719</v>
      </c>
      <c r="F6486" s="41">
        <v>6.9891619780220395</v>
      </c>
      <c r="G6486" s="41">
        <v>0</v>
      </c>
      <c r="H6486" s="42"/>
      <c r="I6486" s="42"/>
      <c r="J6486" s="42"/>
    </row>
    <row r="6487" spans="5:10">
      <c r="E6487" s="43">
        <v>45348.211805533938</v>
      </c>
      <c r="F6487" s="41">
        <v>6.9891619780220395</v>
      </c>
      <c r="G6487" s="41">
        <v>0</v>
      </c>
      <c r="H6487" s="42"/>
      <c r="I6487" s="42"/>
      <c r="J6487" s="42"/>
    </row>
    <row r="6488" spans="5:10">
      <c r="E6488" s="43">
        <v>45348.215277756157</v>
      </c>
      <c r="F6488" s="41">
        <v>6.9891619780220395</v>
      </c>
      <c r="G6488" s="41">
        <v>0</v>
      </c>
      <c r="H6488" s="42"/>
      <c r="I6488" s="42"/>
      <c r="J6488" s="42"/>
    </row>
    <row r="6489" spans="5:10">
      <c r="E6489" s="43">
        <v>45348.218749978376</v>
      </c>
      <c r="F6489" s="41">
        <v>6.9891619780220395</v>
      </c>
      <c r="G6489" s="41">
        <v>0</v>
      </c>
      <c r="H6489" s="42"/>
      <c r="I6489" s="42"/>
      <c r="J6489" s="42"/>
    </row>
    <row r="6490" spans="5:10">
      <c r="E6490" s="43">
        <v>45348.222222200595</v>
      </c>
      <c r="F6490" s="41">
        <v>6.9891619780220395</v>
      </c>
      <c r="G6490" s="41">
        <v>0</v>
      </c>
      <c r="H6490" s="42"/>
      <c r="I6490" s="42"/>
      <c r="J6490" s="42"/>
    </row>
    <row r="6491" spans="5:10">
      <c r="E6491" s="43">
        <v>45348.225694422814</v>
      </c>
      <c r="F6491" s="41">
        <v>6.9891619780220395</v>
      </c>
      <c r="G6491" s="41">
        <v>0</v>
      </c>
      <c r="H6491" s="42"/>
      <c r="I6491" s="42"/>
      <c r="J6491" s="42"/>
    </row>
    <row r="6492" spans="5:10">
      <c r="E6492" s="43">
        <v>45348.229166645033</v>
      </c>
      <c r="F6492" s="41">
        <v>6.9891619780220395</v>
      </c>
      <c r="G6492" s="41">
        <v>0</v>
      </c>
      <c r="H6492" s="42"/>
      <c r="I6492" s="42"/>
      <c r="J6492" s="42"/>
    </row>
    <row r="6493" spans="5:10">
      <c r="E6493" s="43">
        <v>45348.232638867252</v>
      </c>
      <c r="F6493" s="41">
        <v>6.9891619780220395</v>
      </c>
      <c r="G6493" s="41">
        <v>0</v>
      </c>
      <c r="H6493" s="42"/>
      <c r="I6493" s="42"/>
      <c r="J6493" s="42"/>
    </row>
    <row r="6494" spans="5:10">
      <c r="E6494" s="43">
        <v>45348.236111089471</v>
      </c>
      <c r="F6494" s="41">
        <v>6.9891619780220395</v>
      </c>
      <c r="G6494" s="41">
        <v>0</v>
      </c>
      <c r="H6494" s="42"/>
      <c r="I6494" s="42"/>
      <c r="J6494" s="42"/>
    </row>
    <row r="6495" spans="5:10">
      <c r="E6495" s="43">
        <v>45348.23958331169</v>
      </c>
      <c r="F6495" s="41">
        <v>6.9891619780220395</v>
      </c>
      <c r="G6495" s="41">
        <v>0</v>
      </c>
      <c r="H6495" s="42"/>
      <c r="I6495" s="42"/>
      <c r="J6495" s="42"/>
    </row>
    <row r="6496" spans="5:10">
      <c r="E6496" s="43">
        <v>45348.243055533909</v>
      </c>
      <c r="F6496" s="41">
        <v>6.9891619780220395</v>
      </c>
      <c r="G6496" s="41">
        <v>0</v>
      </c>
      <c r="H6496" s="42"/>
      <c r="I6496" s="42"/>
      <c r="J6496" s="42"/>
    </row>
    <row r="6497" spans="5:10">
      <c r="E6497" s="43">
        <v>45348.246527756128</v>
      </c>
      <c r="F6497" s="41">
        <v>6.9891619780220395</v>
      </c>
      <c r="G6497" s="41">
        <v>0</v>
      </c>
      <c r="H6497" s="42"/>
      <c r="I6497" s="42"/>
      <c r="J6497" s="42"/>
    </row>
    <row r="6498" spans="5:10">
      <c r="E6498" s="43">
        <v>45348.249999978347</v>
      </c>
      <c r="F6498" s="41">
        <v>6.9891619780220395</v>
      </c>
      <c r="G6498" s="41">
        <v>0</v>
      </c>
      <c r="H6498" s="42"/>
      <c r="I6498" s="42"/>
      <c r="J6498" s="42"/>
    </row>
    <row r="6499" spans="5:10">
      <c r="E6499" s="43">
        <v>45348.253472200566</v>
      </c>
      <c r="F6499" s="41">
        <v>6.9891619780220395</v>
      </c>
      <c r="G6499" s="41">
        <v>0</v>
      </c>
      <c r="H6499" s="42"/>
      <c r="I6499" s="42"/>
      <c r="J6499" s="42"/>
    </row>
    <row r="6500" spans="5:10">
      <c r="E6500" s="43">
        <v>45348.256944422785</v>
      </c>
      <c r="F6500" s="41">
        <v>6.9891619780220395</v>
      </c>
      <c r="G6500" s="41">
        <v>0</v>
      </c>
      <c r="H6500" s="42"/>
      <c r="I6500" s="42"/>
      <c r="J6500" s="42"/>
    </row>
    <row r="6501" spans="5:10">
      <c r="E6501" s="43">
        <v>45348.260416645004</v>
      </c>
      <c r="F6501" s="41">
        <v>6.9891619780220395</v>
      </c>
      <c r="G6501" s="41">
        <v>0</v>
      </c>
      <c r="H6501" s="42"/>
      <c r="I6501" s="42"/>
      <c r="J6501" s="42"/>
    </row>
    <row r="6502" spans="5:10">
      <c r="E6502" s="43">
        <v>45348.263888867223</v>
      </c>
      <c r="F6502" s="41">
        <v>6.9891619780220395</v>
      </c>
      <c r="G6502" s="41">
        <v>0</v>
      </c>
      <c r="H6502" s="42"/>
      <c r="I6502" s="42"/>
      <c r="J6502" s="42"/>
    </row>
    <row r="6503" spans="5:10">
      <c r="E6503" s="43">
        <v>45348.267361089442</v>
      </c>
      <c r="F6503" s="41">
        <v>6.9891619780220395</v>
      </c>
      <c r="G6503" s="41">
        <v>0</v>
      </c>
      <c r="H6503" s="42"/>
      <c r="I6503" s="42"/>
      <c r="J6503" s="42"/>
    </row>
    <row r="6504" spans="5:10">
      <c r="E6504" s="43">
        <v>45348.270833311661</v>
      </c>
      <c r="F6504" s="41">
        <v>6.9891619780220395</v>
      </c>
      <c r="G6504" s="41">
        <v>0</v>
      </c>
      <c r="H6504" s="42"/>
      <c r="I6504" s="42"/>
      <c r="J6504" s="42"/>
    </row>
    <row r="6505" spans="5:10">
      <c r="E6505" s="43">
        <v>45348.27430553388</v>
      </c>
      <c r="F6505" s="41">
        <v>6.9891619780220395</v>
      </c>
      <c r="G6505" s="41">
        <v>0</v>
      </c>
      <c r="H6505" s="42"/>
      <c r="I6505" s="42"/>
      <c r="J6505" s="42"/>
    </row>
    <row r="6506" spans="5:10">
      <c r="E6506" s="43">
        <v>45348.277777756099</v>
      </c>
      <c r="F6506" s="41">
        <v>6.9891619780220395</v>
      </c>
      <c r="G6506" s="41">
        <v>0</v>
      </c>
      <c r="H6506" s="42"/>
      <c r="I6506" s="42"/>
      <c r="J6506" s="42"/>
    </row>
    <row r="6507" spans="5:10">
      <c r="E6507" s="43">
        <v>45348.281249978318</v>
      </c>
      <c r="F6507" s="41">
        <v>6.9891619780220395</v>
      </c>
      <c r="G6507" s="41">
        <v>0</v>
      </c>
      <c r="H6507" s="42"/>
      <c r="I6507" s="42"/>
      <c r="J6507" s="42"/>
    </row>
    <row r="6508" spans="5:10">
      <c r="E6508" s="43">
        <v>45348.284722200537</v>
      </c>
      <c r="F6508" s="41">
        <v>6.9891619780220395</v>
      </c>
      <c r="G6508" s="41">
        <v>0</v>
      </c>
      <c r="H6508" s="42"/>
      <c r="I6508" s="42"/>
      <c r="J6508" s="42"/>
    </row>
    <row r="6509" spans="5:10">
      <c r="E6509" s="43">
        <v>45348.288194422756</v>
      </c>
      <c r="F6509" s="41">
        <v>6.9891619780220395</v>
      </c>
      <c r="G6509" s="41">
        <v>0</v>
      </c>
      <c r="H6509" s="42"/>
      <c r="I6509" s="42"/>
      <c r="J6509" s="42"/>
    </row>
    <row r="6510" spans="5:10">
      <c r="E6510" s="43">
        <v>45348.291666644975</v>
      </c>
      <c r="F6510" s="41">
        <v>6.9891619780220395</v>
      </c>
      <c r="G6510" s="41">
        <v>0</v>
      </c>
      <c r="H6510" s="42"/>
      <c r="I6510" s="42"/>
      <c r="J6510" s="42"/>
    </row>
    <row r="6511" spans="5:10">
      <c r="E6511" s="43">
        <v>45348.295138867194</v>
      </c>
      <c r="F6511" s="41">
        <v>6.9891619780220395</v>
      </c>
      <c r="G6511" s="41">
        <v>0</v>
      </c>
      <c r="H6511" s="42"/>
      <c r="I6511" s="42"/>
      <c r="J6511" s="42"/>
    </row>
    <row r="6512" spans="5:10">
      <c r="E6512" s="43">
        <v>45348.298611089413</v>
      </c>
      <c r="F6512" s="41">
        <v>6.9891619780220395</v>
      </c>
      <c r="G6512" s="41">
        <v>0</v>
      </c>
      <c r="H6512" s="42"/>
      <c r="I6512" s="42"/>
      <c r="J6512" s="42"/>
    </row>
    <row r="6513" spans="5:10">
      <c r="E6513" s="43">
        <v>45348.302083311632</v>
      </c>
      <c r="F6513" s="41">
        <v>6.9891619780220395</v>
      </c>
      <c r="G6513" s="41">
        <v>0</v>
      </c>
      <c r="H6513" s="42"/>
      <c r="I6513" s="42"/>
      <c r="J6513" s="42"/>
    </row>
    <row r="6514" spans="5:10">
      <c r="E6514" s="43">
        <v>45348.305555533851</v>
      </c>
      <c r="F6514" s="41">
        <v>6.9891619780220395</v>
      </c>
      <c r="G6514" s="41">
        <v>0</v>
      </c>
      <c r="H6514" s="42"/>
      <c r="I6514" s="42"/>
      <c r="J6514" s="42"/>
    </row>
    <row r="6515" spans="5:10">
      <c r="E6515" s="43">
        <v>45348.30902775607</v>
      </c>
      <c r="F6515" s="41">
        <v>6.9891619780220395</v>
      </c>
      <c r="G6515" s="41">
        <v>0</v>
      </c>
      <c r="H6515" s="42"/>
      <c r="I6515" s="42"/>
      <c r="J6515" s="42"/>
    </row>
    <row r="6516" spans="5:10">
      <c r="E6516" s="43">
        <v>45348.312499978289</v>
      </c>
      <c r="F6516" s="41">
        <v>6.9891619780220395</v>
      </c>
      <c r="G6516" s="41">
        <v>0</v>
      </c>
      <c r="H6516" s="42"/>
      <c r="I6516" s="42"/>
      <c r="J6516" s="42"/>
    </row>
    <row r="6517" spans="5:10">
      <c r="E6517" s="43">
        <v>45348.315972200508</v>
      </c>
      <c r="F6517" s="41">
        <v>6.9891619780220395</v>
      </c>
      <c r="G6517" s="41">
        <v>0</v>
      </c>
      <c r="H6517" s="42"/>
      <c r="I6517" s="42"/>
      <c r="J6517" s="42"/>
    </row>
    <row r="6518" spans="5:10">
      <c r="E6518" s="43">
        <v>45348.319444422727</v>
      </c>
      <c r="F6518" s="41">
        <v>6.9891619780220395</v>
      </c>
      <c r="G6518" s="41">
        <v>0</v>
      </c>
      <c r="H6518" s="42"/>
      <c r="I6518" s="42"/>
      <c r="J6518" s="42"/>
    </row>
    <row r="6519" spans="5:10">
      <c r="E6519" s="43">
        <v>45348.322916644946</v>
      </c>
      <c r="F6519" s="41">
        <v>6.9891619780220395</v>
      </c>
      <c r="G6519" s="41">
        <v>0</v>
      </c>
      <c r="H6519" s="42"/>
      <c r="I6519" s="42"/>
      <c r="J6519" s="42"/>
    </row>
    <row r="6520" spans="5:10">
      <c r="E6520" s="43">
        <v>45348.326388867164</v>
      </c>
      <c r="F6520" s="41">
        <v>6.9891619780220395</v>
      </c>
      <c r="G6520" s="41">
        <v>0</v>
      </c>
      <c r="H6520" s="42"/>
      <c r="I6520" s="42"/>
      <c r="J6520" s="42"/>
    </row>
    <row r="6521" spans="5:10">
      <c r="E6521" s="43">
        <v>45348.329861089383</v>
      </c>
      <c r="F6521" s="41">
        <v>6.9891619780220395</v>
      </c>
      <c r="G6521" s="41">
        <v>0</v>
      </c>
      <c r="H6521" s="42"/>
      <c r="I6521" s="42"/>
      <c r="J6521" s="42"/>
    </row>
    <row r="6522" spans="5:10">
      <c r="E6522" s="43">
        <v>45348.333333311602</v>
      </c>
      <c r="F6522" s="41">
        <v>6.9891619780220395</v>
      </c>
      <c r="G6522" s="41">
        <v>0</v>
      </c>
      <c r="H6522" s="42"/>
      <c r="I6522" s="42"/>
      <c r="J6522" s="42"/>
    </row>
    <row r="6523" spans="5:10">
      <c r="E6523" s="43">
        <v>45348.336805533821</v>
      </c>
      <c r="F6523" s="41">
        <v>6.9891619780220395</v>
      </c>
      <c r="G6523" s="41">
        <v>0</v>
      </c>
      <c r="H6523" s="42"/>
      <c r="I6523" s="42"/>
      <c r="J6523" s="42"/>
    </row>
    <row r="6524" spans="5:10">
      <c r="E6524" s="43">
        <v>45348.34027775604</v>
      </c>
      <c r="F6524" s="41">
        <v>6.9891619780220395</v>
      </c>
      <c r="G6524" s="41">
        <v>0</v>
      </c>
      <c r="H6524" s="42"/>
      <c r="I6524" s="42"/>
      <c r="J6524" s="42"/>
    </row>
    <row r="6525" spans="5:10">
      <c r="E6525" s="43">
        <v>45348.343749978259</v>
      </c>
      <c r="F6525" s="41">
        <v>6.9891619780220395</v>
      </c>
      <c r="G6525" s="41">
        <v>0</v>
      </c>
      <c r="H6525" s="42"/>
      <c r="I6525" s="42"/>
      <c r="J6525" s="42"/>
    </row>
    <row r="6526" spans="5:10">
      <c r="E6526" s="43">
        <v>45348.347222200478</v>
      </c>
      <c r="F6526" s="41">
        <v>6.9891619780220395</v>
      </c>
      <c r="G6526" s="41">
        <v>0</v>
      </c>
      <c r="H6526" s="42"/>
      <c r="I6526" s="42"/>
      <c r="J6526" s="42"/>
    </row>
    <row r="6527" spans="5:10">
      <c r="E6527" s="43">
        <v>45348.350694422697</v>
      </c>
      <c r="F6527" s="41">
        <v>6.9891619780220395</v>
      </c>
      <c r="G6527" s="41">
        <v>0</v>
      </c>
      <c r="H6527" s="42"/>
      <c r="I6527" s="42"/>
      <c r="J6527" s="42"/>
    </row>
    <row r="6528" spans="5:10">
      <c r="E6528" s="43">
        <v>45348.354166644916</v>
      </c>
      <c r="F6528" s="41">
        <v>6.9891619780220395</v>
      </c>
      <c r="G6528" s="41">
        <v>0</v>
      </c>
      <c r="H6528" s="42"/>
      <c r="I6528" s="42"/>
      <c r="J6528" s="42"/>
    </row>
    <row r="6529" spans="5:10">
      <c r="E6529" s="43">
        <v>45348.357638867135</v>
      </c>
      <c r="F6529" s="41">
        <v>6.9891619780220395</v>
      </c>
      <c r="G6529" s="41">
        <v>0</v>
      </c>
      <c r="H6529" s="42"/>
      <c r="I6529" s="42"/>
      <c r="J6529" s="42"/>
    </row>
    <row r="6530" spans="5:10">
      <c r="E6530" s="43">
        <v>45348.361111089354</v>
      </c>
      <c r="F6530" s="41">
        <v>6.9891619780220395</v>
      </c>
      <c r="G6530" s="41">
        <v>0</v>
      </c>
      <c r="H6530" s="42"/>
      <c r="I6530" s="42"/>
      <c r="J6530" s="42"/>
    </row>
    <row r="6531" spans="5:10">
      <c r="E6531" s="43">
        <v>45348.364583311573</v>
      </c>
      <c r="F6531" s="41">
        <v>6.9891619780220395</v>
      </c>
      <c r="G6531" s="41">
        <v>0</v>
      </c>
      <c r="H6531" s="42"/>
      <c r="I6531" s="42"/>
      <c r="J6531" s="42"/>
    </row>
    <row r="6532" spans="5:10">
      <c r="E6532" s="43">
        <v>45348.368055533792</v>
      </c>
      <c r="F6532" s="41">
        <v>6.9891619780220395</v>
      </c>
      <c r="G6532" s="41">
        <v>0</v>
      </c>
      <c r="H6532" s="42"/>
      <c r="I6532" s="42"/>
      <c r="J6532" s="42"/>
    </row>
    <row r="6533" spans="5:10">
      <c r="E6533" s="43">
        <v>45348.371527756011</v>
      </c>
      <c r="F6533" s="41">
        <v>6.9891619780220395</v>
      </c>
      <c r="G6533" s="41">
        <v>0</v>
      </c>
      <c r="H6533" s="42"/>
      <c r="I6533" s="42"/>
      <c r="J6533" s="42"/>
    </row>
    <row r="6534" spans="5:10">
      <c r="E6534" s="43">
        <v>45348.37499997823</v>
      </c>
      <c r="F6534" s="41">
        <v>6.9891619780220395</v>
      </c>
      <c r="G6534" s="41">
        <v>0</v>
      </c>
      <c r="H6534" s="42"/>
      <c r="I6534" s="42"/>
      <c r="J6534" s="42"/>
    </row>
    <row r="6535" spans="5:10">
      <c r="E6535" s="43">
        <v>45348.378472200449</v>
      </c>
      <c r="F6535" s="41">
        <v>6.9891619780220395</v>
      </c>
      <c r="G6535" s="41">
        <v>0</v>
      </c>
      <c r="H6535" s="42"/>
      <c r="I6535" s="42"/>
      <c r="J6535" s="42"/>
    </row>
    <row r="6536" spans="5:10">
      <c r="E6536" s="43">
        <v>45348.381944422668</v>
      </c>
      <c r="F6536" s="41">
        <v>6.9891619780220395</v>
      </c>
      <c r="G6536" s="41">
        <v>0</v>
      </c>
      <c r="H6536" s="42"/>
      <c r="I6536" s="42"/>
      <c r="J6536" s="42"/>
    </row>
    <row r="6537" spans="5:10">
      <c r="E6537" s="43">
        <v>45348.385416644887</v>
      </c>
      <c r="F6537" s="41">
        <v>6.9891619780220395</v>
      </c>
      <c r="G6537" s="41">
        <v>0</v>
      </c>
      <c r="H6537" s="42"/>
      <c r="I6537" s="42"/>
      <c r="J6537" s="42"/>
    </row>
    <row r="6538" spans="5:10">
      <c r="E6538" s="43">
        <v>45348.388888867106</v>
      </c>
      <c r="F6538" s="41">
        <v>6.9891619780220395</v>
      </c>
      <c r="G6538" s="41">
        <v>0</v>
      </c>
      <c r="H6538" s="42"/>
      <c r="I6538" s="42"/>
      <c r="J6538" s="42"/>
    </row>
    <row r="6539" spans="5:10">
      <c r="E6539" s="43">
        <v>45348.392361089325</v>
      </c>
      <c r="F6539" s="41">
        <v>6.9891619780220395</v>
      </c>
      <c r="G6539" s="41">
        <v>0</v>
      </c>
      <c r="H6539" s="42"/>
      <c r="I6539" s="42"/>
      <c r="J6539" s="42"/>
    </row>
    <row r="6540" spans="5:10">
      <c r="E6540" s="43">
        <v>45348.395833311544</v>
      </c>
      <c r="F6540" s="41">
        <v>6.9891619780220395</v>
      </c>
      <c r="G6540" s="41">
        <v>0</v>
      </c>
      <c r="H6540" s="42"/>
      <c r="I6540" s="42"/>
      <c r="J6540" s="42"/>
    </row>
    <row r="6541" spans="5:10">
      <c r="E6541" s="43">
        <v>45348.399305533763</v>
      </c>
      <c r="F6541" s="41">
        <v>6.9891619780220395</v>
      </c>
      <c r="G6541" s="41">
        <v>0</v>
      </c>
      <c r="H6541" s="42"/>
      <c r="I6541" s="42"/>
      <c r="J6541" s="42"/>
    </row>
    <row r="6542" spans="5:10">
      <c r="E6542" s="43">
        <v>45348.402777755982</v>
      </c>
      <c r="F6542" s="41">
        <v>6.9891619780220395</v>
      </c>
      <c r="G6542" s="41">
        <v>0</v>
      </c>
      <c r="H6542" s="42"/>
      <c r="I6542" s="42"/>
      <c r="J6542" s="42"/>
    </row>
    <row r="6543" spans="5:10">
      <c r="E6543" s="43">
        <v>45348.406249978201</v>
      </c>
      <c r="F6543" s="41">
        <v>6.9891619780220395</v>
      </c>
      <c r="G6543" s="41">
        <v>0</v>
      </c>
      <c r="H6543" s="42"/>
      <c r="I6543" s="42"/>
      <c r="J6543" s="42"/>
    </row>
    <row r="6544" spans="5:10">
      <c r="E6544" s="43">
        <v>45348.40972220042</v>
      </c>
      <c r="F6544" s="41">
        <v>6.9891619780220395</v>
      </c>
      <c r="G6544" s="41">
        <v>0</v>
      </c>
      <c r="H6544" s="42"/>
      <c r="I6544" s="42"/>
      <c r="J6544" s="42"/>
    </row>
    <row r="6545" spans="5:10">
      <c r="E6545" s="43">
        <v>45348.413194422639</v>
      </c>
      <c r="F6545" s="41">
        <v>6.9891619780220395</v>
      </c>
      <c r="G6545" s="41">
        <v>0</v>
      </c>
      <c r="H6545" s="42"/>
      <c r="I6545" s="42"/>
      <c r="J6545" s="42"/>
    </row>
    <row r="6546" spans="5:10">
      <c r="E6546" s="43">
        <v>45348.416666644858</v>
      </c>
      <c r="F6546" s="41">
        <v>6.9891619780220395</v>
      </c>
      <c r="G6546" s="41">
        <v>0</v>
      </c>
      <c r="H6546" s="42"/>
      <c r="I6546" s="42"/>
      <c r="J6546" s="42"/>
    </row>
    <row r="6547" spans="5:10">
      <c r="E6547" s="43">
        <v>45348.420138867077</v>
      </c>
      <c r="F6547" s="41">
        <v>6.9891619780220395</v>
      </c>
      <c r="G6547" s="41">
        <v>0</v>
      </c>
      <c r="H6547" s="42"/>
      <c r="I6547" s="42"/>
      <c r="J6547" s="42"/>
    </row>
    <row r="6548" spans="5:10">
      <c r="E6548" s="43">
        <v>45348.423611089296</v>
      </c>
      <c r="F6548" s="41">
        <v>6.9891619780220395</v>
      </c>
      <c r="G6548" s="41">
        <v>0</v>
      </c>
      <c r="H6548" s="42"/>
      <c r="I6548" s="42"/>
      <c r="J6548" s="42"/>
    </row>
    <row r="6549" spans="5:10">
      <c r="E6549" s="43">
        <v>45348.427083311515</v>
      </c>
      <c r="F6549" s="41">
        <v>6.9891619780220395</v>
      </c>
      <c r="G6549" s="41">
        <v>0</v>
      </c>
      <c r="H6549" s="42"/>
      <c r="I6549" s="42"/>
      <c r="J6549" s="42"/>
    </row>
    <row r="6550" spans="5:10">
      <c r="E6550" s="43">
        <v>45348.430555533734</v>
      </c>
      <c r="F6550" s="41">
        <v>6.9891619780220395</v>
      </c>
      <c r="G6550" s="41">
        <v>0</v>
      </c>
      <c r="H6550" s="42"/>
      <c r="I6550" s="42"/>
      <c r="J6550" s="42"/>
    </row>
    <row r="6551" spans="5:10">
      <c r="E6551" s="43">
        <v>45348.434027755953</v>
      </c>
      <c r="F6551" s="41">
        <v>6.9891619780220395</v>
      </c>
      <c r="G6551" s="41">
        <v>0</v>
      </c>
      <c r="H6551" s="42"/>
      <c r="I6551" s="42"/>
      <c r="J6551" s="42"/>
    </row>
    <row r="6552" spans="5:10">
      <c r="E6552" s="43">
        <v>45348.437499978172</v>
      </c>
      <c r="F6552" s="41">
        <v>6.9891619780220395</v>
      </c>
      <c r="G6552" s="41">
        <v>0</v>
      </c>
      <c r="H6552" s="42"/>
      <c r="I6552" s="42"/>
      <c r="J6552" s="42"/>
    </row>
    <row r="6553" spans="5:10">
      <c r="E6553" s="43">
        <v>45348.440972200391</v>
      </c>
      <c r="F6553" s="41">
        <v>6.9891619780220395</v>
      </c>
      <c r="G6553" s="41">
        <v>0</v>
      </c>
      <c r="H6553" s="42"/>
      <c r="I6553" s="42"/>
      <c r="J6553" s="42"/>
    </row>
    <row r="6554" spans="5:10">
      <c r="E6554" s="43">
        <v>45348.44444442261</v>
      </c>
      <c r="F6554" s="41">
        <v>6.9891619780220395</v>
      </c>
      <c r="G6554" s="41">
        <v>0</v>
      </c>
      <c r="H6554" s="42"/>
      <c r="I6554" s="42"/>
      <c r="J6554" s="42"/>
    </row>
    <row r="6555" spans="5:10">
      <c r="E6555" s="43">
        <v>45348.447916644829</v>
      </c>
      <c r="F6555" s="41">
        <v>6.9891619780220395</v>
      </c>
      <c r="G6555" s="41">
        <v>0</v>
      </c>
      <c r="H6555" s="42"/>
      <c r="I6555" s="42"/>
      <c r="J6555" s="42"/>
    </row>
    <row r="6556" spans="5:10">
      <c r="E6556" s="43">
        <v>45348.451388867048</v>
      </c>
      <c r="F6556" s="41">
        <v>6.9891619780220395</v>
      </c>
      <c r="G6556" s="41">
        <v>0</v>
      </c>
      <c r="H6556" s="42"/>
      <c r="I6556" s="42"/>
      <c r="J6556" s="42"/>
    </row>
    <row r="6557" spans="5:10">
      <c r="E6557" s="43">
        <v>45348.454861089267</v>
      </c>
      <c r="F6557" s="41">
        <v>6.9891619780220395</v>
      </c>
      <c r="G6557" s="41">
        <v>0</v>
      </c>
      <c r="H6557" s="42"/>
      <c r="I6557" s="42"/>
      <c r="J6557" s="42"/>
    </row>
    <row r="6558" spans="5:10">
      <c r="E6558" s="43">
        <v>45348.458333311486</v>
      </c>
      <c r="F6558" s="41">
        <v>6.9891619780220395</v>
      </c>
      <c r="G6558" s="41">
        <v>0</v>
      </c>
      <c r="H6558" s="42"/>
      <c r="I6558" s="42"/>
      <c r="J6558" s="42"/>
    </row>
    <row r="6559" spans="5:10">
      <c r="E6559" s="43">
        <v>45348.461805533705</v>
      </c>
      <c r="F6559" s="41">
        <v>6.9891619780220395</v>
      </c>
      <c r="G6559" s="41">
        <v>0</v>
      </c>
      <c r="H6559" s="42"/>
      <c r="I6559" s="42"/>
      <c r="J6559" s="42"/>
    </row>
    <row r="6560" spans="5:10">
      <c r="E6560" s="43">
        <v>45348.465277755924</v>
      </c>
      <c r="F6560" s="41">
        <v>6.9891619780220395</v>
      </c>
      <c r="G6560" s="41">
        <v>0</v>
      </c>
      <c r="H6560" s="42"/>
      <c r="I6560" s="42"/>
      <c r="J6560" s="42"/>
    </row>
    <row r="6561" spans="5:10">
      <c r="E6561" s="43">
        <v>45348.468749978143</v>
      </c>
      <c r="F6561" s="41">
        <v>6.9891619780220395</v>
      </c>
      <c r="G6561" s="41">
        <v>0</v>
      </c>
      <c r="H6561" s="42"/>
      <c r="I6561" s="42"/>
      <c r="J6561" s="42"/>
    </row>
    <row r="6562" spans="5:10">
      <c r="E6562" s="43">
        <v>45348.472222200362</v>
      </c>
      <c r="F6562" s="41">
        <v>6.9891619780220395</v>
      </c>
      <c r="G6562" s="41">
        <v>0</v>
      </c>
      <c r="H6562" s="42"/>
      <c r="I6562" s="42"/>
      <c r="J6562" s="42"/>
    </row>
    <row r="6563" spans="5:10">
      <c r="E6563" s="43">
        <v>45348.475694422581</v>
      </c>
      <c r="F6563" s="41">
        <v>6.9891619780220395</v>
      </c>
      <c r="G6563" s="41">
        <v>0</v>
      </c>
      <c r="H6563" s="42"/>
      <c r="I6563" s="42"/>
      <c r="J6563" s="42"/>
    </row>
    <row r="6564" spans="5:10">
      <c r="E6564" s="43">
        <v>45348.4791666448</v>
      </c>
      <c r="F6564" s="41">
        <v>6.9891619780220395</v>
      </c>
      <c r="G6564" s="41">
        <v>0</v>
      </c>
      <c r="H6564" s="42"/>
      <c r="I6564" s="42"/>
      <c r="J6564" s="42"/>
    </row>
    <row r="6565" spans="5:10">
      <c r="E6565" s="43">
        <v>45348.482638867019</v>
      </c>
      <c r="F6565" s="41">
        <v>6.9891619780220395</v>
      </c>
      <c r="G6565" s="41">
        <v>0</v>
      </c>
      <c r="H6565" s="42"/>
      <c r="I6565" s="42"/>
      <c r="J6565" s="42"/>
    </row>
    <row r="6566" spans="5:10">
      <c r="E6566" s="43">
        <v>45348.486111089238</v>
      </c>
      <c r="F6566" s="41">
        <v>6.9891619780220395</v>
      </c>
      <c r="G6566" s="41">
        <v>0</v>
      </c>
      <c r="H6566" s="42"/>
      <c r="I6566" s="42"/>
      <c r="J6566" s="42"/>
    </row>
    <row r="6567" spans="5:10">
      <c r="E6567" s="43">
        <v>45348.489583311457</v>
      </c>
      <c r="F6567" s="41">
        <v>6.9891619780220395</v>
      </c>
      <c r="G6567" s="41">
        <v>0</v>
      </c>
      <c r="H6567" s="42"/>
      <c r="I6567" s="42"/>
      <c r="J6567" s="42"/>
    </row>
    <row r="6568" spans="5:10">
      <c r="E6568" s="43">
        <v>45348.493055533676</v>
      </c>
      <c r="F6568" s="41">
        <v>6.9891619780220395</v>
      </c>
      <c r="G6568" s="41">
        <v>0</v>
      </c>
      <c r="H6568" s="42"/>
      <c r="I6568" s="42"/>
      <c r="J6568" s="42"/>
    </row>
    <row r="6569" spans="5:10">
      <c r="E6569" s="43">
        <v>45348.496527755895</v>
      </c>
      <c r="F6569" s="41">
        <v>6.9891619780220395</v>
      </c>
      <c r="G6569" s="41">
        <v>0</v>
      </c>
      <c r="H6569" s="42"/>
      <c r="I6569" s="42"/>
      <c r="J6569" s="42"/>
    </row>
    <row r="6570" spans="5:10">
      <c r="E6570" s="43">
        <v>45348.499999978114</v>
      </c>
      <c r="F6570" s="41">
        <v>6.9891619780220395</v>
      </c>
      <c r="G6570" s="41">
        <v>0</v>
      </c>
      <c r="H6570" s="42"/>
      <c r="I6570" s="42"/>
      <c r="J6570" s="42"/>
    </row>
    <row r="6571" spans="5:10">
      <c r="E6571" s="43">
        <v>45348.503472200333</v>
      </c>
      <c r="F6571" s="41">
        <v>6.9891619780220395</v>
      </c>
      <c r="G6571" s="41">
        <v>0</v>
      </c>
      <c r="H6571" s="42"/>
      <c r="I6571" s="42"/>
      <c r="J6571" s="42"/>
    </row>
    <row r="6572" spans="5:10">
      <c r="E6572" s="43">
        <v>45348.506944422552</v>
      </c>
      <c r="F6572" s="41">
        <v>6.9891619780220395</v>
      </c>
      <c r="G6572" s="41">
        <v>0</v>
      </c>
      <c r="H6572" s="42"/>
      <c r="I6572" s="42"/>
      <c r="J6572" s="42"/>
    </row>
    <row r="6573" spans="5:10">
      <c r="E6573" s="43">
        <v>45348.510416644771</v>
      </c>
      <c r="F6573" s="41">
        <v>6.9891619780220395</v>
      </c>
      <c r="G6573" s="41">
        <v>0</v>
      </c>
      <c r="H6573" s="42"/>
      <c r="I6573" s="42"/>
      <c r="J6573" s="42"/>
    </row>
    <row r="6574" spans="5:10">
      <c r="E6574" s="43">
        <v>45348.51388886699</v>
      </c>
      <c r="F6574" s="41">
        <v>6.9891619780220395</v>
      </c>
      <c r="G6574" s="41">
        <v>0</v>
      </c>
      <c r="H6574" s="42"/>
      <c r="I6574" s="42"/>
      <c r="J6574" s="42"/>
    </row>
    <row r="6575" spans="5:10">
      <c r="E6575" s="43">
        <v>45348.517361089209</v>
      </c>
      <c r="F6575" s="41">
        <v>6.9891619780220395</v>
      </c>
      <c r="G6575" s="41">
        <v>0</v>
      </c>
      <c r="H6575" s="42"/>
      <c r="I6575" s="42"/>
      <c r="J6575" s="42"/>
    </row>
    <row r="6576" spans="5:10">
      <c r="E6576" s="43">
        <v>45348.520833311428</v>
      </c>
      <c r="F6576" s="41">
        <v>6.9891619780220395</v>
      </c>
      <c r="G6576" s="41">
        <v>0</v>
      </c>
      <c r="H6576" s="42"/>
      <c r="I6576" s="42"/>
      <c r="J6576" s="42"/>
    </row>
    <row r="6577" spans="5:10">
      <c r="E6577" s="43">
        <v>45348.524305533647</v>
      </c>
      <c r="F6577" s="41">
        <v>6.9891619780220395</v>
      </c>
      <c r="G6577" s="41">
        <v>0</v>
      </c>
      <c r="H6577" s="42"/>
      <c r="I6577" s="42"/>
      <c r="J6577" s="42"/>
    </row>
    <row r="6578" spans="5:10">
      <c r="E6578" s="43">
        <v>45348.527777755866</v>
      </c>
      <c r="F6578" s="41">
        <v>6.9891619780220395</v>
      </c>
      <c r="G6578" s="41">
        <v>0</v>
      </c>
      <c r="H6578" s="42"/>
      <c r="I6578" s="42"/>
      <c r="J6578" s="42"/>
    </row>
    <row r="6579" spans="5:10">
      <c r="E6579" s="43">
        <v>45348.531249978085</v>
      </c>
      <c r="F6579" s="41">
        <v>6.9891619780220395</v>
      </c>
      <c r="G6579" s="41">
        <v>0</v>
      </c>
      <c r="H6579" s="42"/>
      <c r="I6579" s="42"/>
      <c r="J6579" s="42"/>
    </row>
    <row r="6580" spans="5:10">
      <c r="E6580" s="43">
        <v>45348.534722200304</v>
      </c>
      <c r="F6580" s="41">
        <v>6.9891619780220395</v>
      </c>
      <c r="G6580" s="41">
        <v>0</v>
      </c>
      <c r="H6580" s="42"/>
      <c r="I6580" s="42"/>
      <c r="J6580" s="42"/>
    </row>
    <row r="6581" spans="5:10">
      <c r="E6581" s="43">
        <v>45348.538194422523</v>
      </c>
      <c r="F6581" s="41">
        <v>6.9891619780220395</v>
      </c>
      <c r="G6581" s="41">
        <v>0</v>
      </c>
      <c r="H6581" s="42"/>
      <c r="I6581" s="42"/>
      <c r="J6581" s="42"/>
    </row>
    <row r="6582" spans="5:10">
      <c r="E6582" s="43">
        <v>45348.541666644742</v>
      </c>
      <c r="F6582" s="41">
        <v>3.8419575787530196</v>
      </c>
      <c r="G6582" s="41">
        <v>0</v>
      </c>
      <c r="H6582" s="42"/>
      <c r="I6582" s="42"/>
      <c r="J6582" s="42"/>
    </row>
    <row r="6583" spans="5:10">
      <c r="E6583" s="43">
        <v>45348.545138866961</v>
      </c>
      <c r="F6583" s="41">
        <v>3.8419575787530196</v>
      </c>
      <c r="G6583" s="41">
        <v>0</v>
      </c>
      <c r="H6583" s="42"/>
      <c r="I6583" s="42"/>
      <c r="J6583" s="42"/>
    </row>
    <row r="6584" spans="5:10">
      <c r="E6584" s="43">
        <v>45348.54861108918</v>
      </c>
      <c r="F6584" s="41">
        <v>3.8419575787530196</v>
      </c>
      <c r="G6584" s="41">
        <v>0</v>
      </c>
      <c r="H6584" s="42"/>
      <c r="I6584" s="42"/>
      <c r="J6584" s="42"/>
    </row>
    <row r="6585" spans="5:10">
      <c r="E6585" s="43">
        <v>45348.552083311399</v>
      </c>
      <c r="F6585" s="41">
        <v>3.8419575787530196</v>
      </c>
      <c r="G6585" s="41">
        <v>0</v>
      </c>
      <c r="H6585" s="42"/>
      <c r="I6585" s="42"/>
      <c r="J6585" s="42"/>
    </row>
    <row r="6586" spans="5:10">
      <c r="E6586" s="43">
        <v>45348.555555533618</v>
      </c>
      <c r="F6586" s="41">
        <v>3.8419575787530196</v>
      </c>
      <c r="G6586" s="41">
        <v>0</v>
      </c>
      <c r="H6586" s="42"/>
      <c r="I6586" s="42"/>
      <c r="J6586" s="42"/>
    </row>
    <row r="6587" spans="5:10">
      <c r="E6587" s="43">
        <v>45348.559027755837</v>
      </c>
      <c r="F6587" s="41">
        <v>3.8419575787530196</v>
      </c>
      <c r="G6587" s="41">
        <v>0</v>
      </c>
      <c r="H6587" s="42"/>
      <c r="I6587" s="42"/>
      <c r="J6587" s="42"/>
    </row>
    <row r="6588" spans="5:10">
      <c r="E6588" s="43">
        <v>45348.562499978056</v>
      </c>
      <c r="F6588" s="41">
        <v>3.8419575787530196</v>
      </c>
      <c r="G6588" s="41">
        <v>0</v>
      </c>
      <c r="H6588" s="42"/>
      <c r="I6588" s="42"/>
      <c r="J6588" s="42"/>
    </row>
    <row r="6589" spans="5:10">
      <c r="E6589" s="43">
        <v>45348.565972200275</v>
      </c>
      <c r="F6589" s="41">
        <v>3.8419575787530196</v>
      </c>
      <c r="G6589" s="41">
        <v>0</v>
      </c>
      <c r="H6589" s="42"/>
      <c r="I6589" s="42"/>
      <c r="J6589" s="42"/>
    </row>
    <row r="6590" spans="5:10">
      <c r="E6590" s="43">
        <v>45348.569444422494</v>
      </c>
      <c r="F6590" s="41">
        <v>3.8419575787530196</v>
      </c>
      <c r="G6590" s="41">
        <v>0</v>
      </c>
      <c r="H6590" s="42"/>
      <c r="I6590" s="42"/>
      <c r="J6590" s="42"/>
    </row>
    <row r="6591" spans="5:10">
      <c r="E6591" s="43">
        <v>45348.572916644713</v>
      </c>
      <c r="F6591" s="41">
        <v>3.8419575787530196</v>
      </c>
      <c r="G6591" s="41">
        <v>0</v>
      </c>
      <c r="H6591" s="42"/>
      <c r="I6591" s="42"/>
      <c r="J6591" s="42"/>
    </row>
    <row r="6592" spans="5:10">
      <c r="E6592" s="43">
        <v>45348.576388866932</v>
      </c>
      <c r="F6592" s="41">
        <v>3.8419575787530196</v>
      </c>
      <c r="G6592" s="41">
        <v>0</v>
      </c>
      <c r="H6592" s="42"/>
      <c r="I6592" s="42"/>
      <c r="J6592" s="42"/>
    </row>
    <row r="6593" spans="5:10">
      <c r="E6593" s="43">
        <v>45348.579861089151</v>
      </c>
      <c r="F6593" s="41">
        <v>3.8419575787530196</v>
      </c>
      <c r="G6593" s="41">
        <v>0</v>
      </c>
      <c r="H6593" s="42"/>
      <c r="I6593" s="42"/>
      <c r="J6593" s="42"/>
    </row>
    <row r="6594" spans="5:10">
      <c r="E6594" s="43">
        <v>45348.58333331137</v>
      </c>
      <c r="F6594" s="41">
        <v>3.8419575787530196</v>
      </c>
      <c r="G6594" s="41">
        <v>0</v>
      </c>
      <c r="H6594" s="42"/>
      <c r="I6594" s="42"/>
      <c r="J6594" s="42"/>
    </row>
    <row r="6595" spans="5:10">
      <c r="E6595" s="43">
        <v>45348.586805533589</v>
      </c>
      <c r="F6595" s="41">
        <v>3.8419575787530196</v>
      </c>
      <c r="G6595" s="41">
        <v>0</v>
      </c>
      <c r="H6595" s="42"/>
      <c r="I6595" s="42"/>
      <c r="J6595" s="42"/>
    </row>
    <row r="6596" spans="5:10">
      <c r="E6596" s="43">
        <v>45348.590277755808</v>
      </c>
      <c r="F6596" s="41">
        <v>3.8419575787530196</v>
      </c>
      <c r="G6596" s="41">
        <v>0</v>
      </c>
      <c r="H6596" s="42"/>
      <c r="I6596" s="42"/>
      <c r="J6596" s="42"/>
    </row>
    <row r="6597" spans="5:10">
      <c r="E6597" s="43">
        <v>45348.593749978027</v>
      </c>
      <c r="F6597" s="41">
        <v>3.8419575787530196</v>
      </c>
      <c r="G6597" s="41">
        <v>0</v>
      </c>
      <c r="H6597" s="42"/>
      <c r="I6597" s="42"/>
      <c r="J6597" s="42"/>
    </row>
    <row r="6598" spans="5:10">
      <c r="E6598" s="43">
        <v>45348.597222200246</v>
      </c>
      <c r="F6598" s="41">
        <v>3.8419575787530196</v>
      </c>
      <c r="G6598" s="41">
        <v>0</v>
      </c>
      <c r="H6598" s="42"/>
      <c r="I6598" s="42"/>
      <c r="J6598" s="42"/>
    </row>
    <row r="6599" spans="5:10">
      <c r="E6599" s="43">
        <v>45348.600694422465</v>
      </c>
      <c r="F6599" s="41">
        <v>3.8419575787530196</v>
      </c>
      <c r="G6599" s="41">
        <v>0</v>
      </c>
      <c r="H6599" s="42"/>
      <c r="I6599" s="42"/>
      <c r="J6599" s="42"/>
    </row>
    <row r="6600" spans="5:10">
      <c r="E6600" s="43">
        <v>45348.604166644684</v>
      </c>
      <c r="F6600" s="41">
        <v>3.8419575787530196</v>
      </c>
      <c r="G6600" s="41">
        <v>0</v>
      </c>
      <c r="H6600" s="42"/>
      <c r="I6600" s="42"/>
      <c r="J6600" s="42"/>
    </row>
    <row r="6601" spans="5:10">
      <c r="E6601" s="43">
        <v>45348.607638866903</v>
      </c>
      <c r="F6601" s="41">
        <v>0</v>
      </c>
      <c r="G6601" s="41">
        <v>0</v>
      </c>
      <c r="H6601" s="42"/>
      <c r="I6601" s="42"/>
      <c r="J6601" s="42"/>
    </row>
    <row r="6602" spans="5:10">
      <c r="E6602" s="43">
        <v>45348.611111089122</v>
      </c>
      <c r="F6602" s="41">
        <v>0</v>
      </c>
      <c r="G6602" s="41">
        <v>0</v>
      </c>
      <c r="H6602" s="42"/>
      <c r="I6602" s="42"/>
      <c r="J6602" s="42"/>
    </row>
    <row r="6603" spans="5:10">
      <c r="E6603" s="43">
        <v>45348.614583311341</v>
      </c>
      <c r="F6603" s="41">
        <v>0</v>
      </c>
      <c r="G6603" s="41">
        <v>0</v>
      </c>
      <c r="H6603" s="42"/>
      <c r="I6603" s="42"/>
      <c r="J6603" s="42"/>
    </row>
    <row r="6604" spans="5:10">
      <c r="E6604" s="43">
        <v>45348.61805553356</v>
      </c>
      <c r="F6604" s="41">
        <v>0</v>
      </c>
      <c r="G6604" s="41">
        <v>0</v>
      </c>
      <c r="H6604" s="42"/>
      <c r="I6604" s="42"/>
      <c r="J6604" s="42"/>
    </row>
    <row r="6605" spans="5:10">
      <c r="E6605" s="43">
        <v>45348.621527755779</v>
      </c>
      <c r="F6605" s="41">
        <v>0</v>
      </c>
      <c r="G6605" s="41">
        <v>0</v>
      </c>
      <c r="H6605" s="42"/>
      <c r="I6605" s="42"/>
      <c r="J6605" s="42"/>
    </row>
    <row r="6606" spans="5:10">
      <c r="E6606" s="43">
        <v>45348.624999977998</v>
      </c>
      <c r="F6606" s="41">
        <v>0</v>
      </c>
      <c r="G6606" s="41">
        <v>0</v>
      </c>
      <c r="H6606" s="42"/>
      <c r="I6606" s="42"/>
      <c r="J6606" s="42"/>
    </row>
    <row r="6607" spans="5:10">
      <c r="E6607" s="43">
        <v>45348.628472200216</v>
      </c>
      <c r="F6607" s="41">
        <v>0</v>
      </c>
      <c r="G6607" s="41">
        <v>0</v>
      </c>
      <c r="H6607" s="42"/>
      <c r="I6607" s="42"/>
      <c r="J6607" s="42"/>
    </row>
    <row r="6608" spans="5:10">
      <c r="E6608" s="43">
        <v>45348.631944422435</v>
      </c>
      <c r="F6608" s="41">
        <v>0</v>
      </c>
      <c r="G6608" s="41">
        <v>0</v>
      </c>
      <c r="H6608" s="42"/>
      <c r="I6608" s="42"/>
      <c r="J6608" s="42"/>
    </row>
    <row r="6609" spans="5:10">
      <c r="E6609" s="43">
        <v>45348.635416644654</v>
      </c>
      <c r="F6609" s="41">
        <v>0</v>
      </c>
      <c r="G6609" s="41">
        <v>0</v>
      </c>
      <c r="H6609" s="42"/>
      <c r="I6609" s="42"/>
      <c r="J6609" s="42"/>
    </row>
    <row r="6610" spans="5:10">
      <c r="E6610" s="43">
        <v>45348.638888866873</v>
      </c>
      <c r="F6610" s="41">
        <v>0</v>
      </c>
      <c r="G6610" s="41">
        <v>0</v>
      </c>
      <c r="H6610" s="42"/>
      <c r="I6610" s="42"/>
      <c r="J6610" s="42"/>
    </row>
    <row r="6611" spans="5:10">
      <c r="E6611" s="43">
        <v>45348.642361089092</v>
      </c>
      <c r="F6611" s="41">
        <v>0</v>
      </c>
      <c r="G6611" s="41">
        <v>0</v>
      </c>
      <c r="H6611" s="42"/>
      <c r="I6611" s="42"/>
      <c r="J6611" s="42"/>
    </row>
    <row r="6612" spans="5:10">
      <c r="E6612" s="43">
        <v>45348.645833311311</v>
      </c>
      <c r="F6612" s="41">
        <v>0</v>
      </c>
      <c r="G6612" s="41">
        <v>0</v>
      </c>
      <c r="H6612" s="42"/>
      <c r="I6612" s="42"/>
      <c r="J6612" s="42"/>
    </row>
    <row r="6613" spans="5:10">
      <c r="E6613" s="43">
        <v>45348.64930553353</v>
      </c>
      <c r="F6613" s="41">
        <v>0</v>
      </c>
      <c r="G6613" s="41">
        <v>0</v>
      </c>
      <c r="H6613" s="42"/>
      <c r="I6613" s="42"/>
      <c r="J6613" s="42"/>
    </row>
    <row r="6614" spans="5:10">
      <c r="E6614" s="43">
        <v>45348.652777755749</v>
      </c>
      <c r="F6614" s="41">
        <v>0</v>
      </c>
      <c r="G6614" s="41">
        <v>0</v>
      </c>
      <c r="H6614" s="42"/>
      <c r="I6614" s="42"/>
      <c r="J6614" s="42"/>
    </row>
    <row r="6615" spans="5:10">
      <c r="E6615" s="43">
        <v>45348.656249977968</v>
      </c>
      <c r="F6615" s="41">
        <v>0</v>
      </c>
      <c r="G6615" s="41">
        <v>0</v>
      </c>
      <c r="H6615" s="42"/>
      <c r="I6615" s="42"/>
      <c r="J6615" s="42"/>
    </row>
    <row r="6616" spans="5:10">
      <c r="E6616" s="43">
        <v>45348.659722200187</v>
      </c>
      <c r="F6616" s="41">
        <v>0</v>
      </c>
      <c r="G6616" s="41">
        <v>0</v>
      </c>
      <c r="H6616" s="42"/>
      <c r="I6616" s="42"/>
      <c r="J6616" s="42"/>
    </row>
    <row r="6617" spans="5:10">
      <c r="E6617" s="43">
        <v>45348.663194422406</v>
      </c>
      <c r="F6617" s="41">
        <v>0</v>
      </c>
      <c r="G6617" s="41">
        <v>0</v>
      </c>
      <c r="H6617" s="42"/>
      <c r="I6617" s="42"/>
      <c r="J6617" s="42"/>
    </row>
    <row r="6618" spans="5:10">
      <c r="E6618" s="43">
        <v>45348.666666644625</v>
      </c>
      <c r="F6618" s="41">
        <v>4.5571122498185446</v>
      </c>
      <c r="G6618" s="41">
        <v>0</v>
      </c>
      <c r="H6618" s="42"/>
      <c r="I6618" s="42"/>
      <c r="J6618" s="42"/>
    </row>
    <row r="6619" spans="5:10">
      <c r="E6619" s="43">
        <v>45348.670138866844</v>
      </c>
      <c r="F6619" s="41">
        <v>4.5571122498185446</v>
      </c>
      <c r="G6619" s="41">
        <v>0</v>
      </c>
      <c r="H6619" s="42"/>
      <c r="I6619" s="42"/>
      <c r="J6619" s="42"/>
    </row>
    <row r="6620" spans="5:10">
      <c r="E6620" s="43">
        <v>45348.673611089063</v>
      </c>
      <c r="F6620" s="41">
        <v>4.5571122498185446</v>
      </c>
      <c r="G6620" s="41">
        <v>0</v>
      </c>
      <c r="H6620" s="42"/>
      <c r="I6620" s="42"/>
      <c r="J6620" s="42"/>
    </row>
    <row r="6621" spans="5:10">
      <c r="E6621" s="43">
        <v>45348.677083311282</v>
      </c>
      <c r="F6621" s="41">
        <v>4.5571122498185446</v>
      </c>
      <c r="G6621" s="41">
        <v>0</v>
      </c>
      <c r="H6621" s="42"/>
      <c r="I6621" s="42"/>
      <c r="J6621" s="42"/>
    </row>
    <row r="6622" spans="5:10">
      <c r="E6622" s="43">
        <v>45348.680555533501</v>
      </c>
      <c r="F6622" s="41">
        <v>4.5571122498185446</v>
      </c>
      <c r="G6622" s="41">
        <v>0</v>
      </c>
      <c r="H6622" s="42"/>
      <c r="I6622" s="42"/>
      <c r="J6622" s="42"/>
    </row>
    <row r="6623" spans="5:10">
      <c r="E6623" s="43">
        <v>45348.68402775572</v>
      </c>
      <c r="F6623" s="41">
        <v>4.5571122498185446</v>
      </c>
      <c r="G6623" s="41">
        <v>0</v>
      </c>
      <c r="H6623" s="42"/>
      <c r="I6623" s="42"/>
      <c r="J6623" s="42"/>
    </row>
    <row r="6624" spans="5:10">
      <c r="E6624" s="43">
        <v>45348.687499977939</v>
      </c>
      <c r="F6624" s="41">
        <v>4.5571122498185446</v>
      </c>
      <c r="G6624" s="41">
        <v>0</v>
      </c>
      <c r="H6624" s="42"/>
      <c r="I6624" s="42"/>
      <c r="J6624" s="42"/>
    </row>
    <row r="6625" spans="5:10">
      <c r="E6625" s="43">
        <v>45348.690972200158</v>
      </c>
      <c r="F6625" s="41">
        <v>4.5571122498185446</v>
      </c>
      <c r="G6625" s="41">
        <v>0</v>
      </c>
      <c r="H6625" s="42"/>
      <c r="I6625" s="42"/>
      <c r="J6625" s="42"/>
    </row>
    <row r="6626" spans="5:10">
      <c r="E6626" s="43">
        <v>45348.694444422377</v>
      </c>
      <c r="F6626" s="41">
        <v>4.5571122498185446</v>
      </c>
      <c r="G6626" s="41">
        <v>0</v>
      </c>
      <c r="H6626" s="42"/>
      <c r="I6626" s="42"/>
      <c r="J6626" s="42"/>
    </row>
    <row r="6627" spans="5:10">
      <c r="E6627" s="43">
        <v>45348.697916644596</v>
      </c>
      <c r="F6627" s="41">
        <v>4.5571122498185446</v>
      </c>
      <c r="G6627" s="41">
        <v>0</v>
      </c>
      <c r="H6627" s="42"/>
      <c r="I6627" s="42"/>
      <c r="J6627" s="42"/>
    </row>
    <row r="6628" spans="5:10">
      <c r="E6628" s="43">
        <v>45348.701388866815</v>
      </c>
      <c r="F6628" s="41">
        <v>4.5571122498185446</v>
      </c>
      <c r="G6628" s="41">
        <v>0</v>
      </c>
      <c r="H6628" s="42"/>
      <c r="I6628" s="42"/>
      <c r="J6628" s="42"/>
    </row>
    <row r="6629" spans="5:10">
      <c r="E6629" s="43">
        <v>45348.704861089034</v>
      </c>
      <c r="F6629" s="41">
        <v>4.5571122498185446</v>
      </c>
      <c r="G6629" s="41">
        <v>0</v>
      </c>
      <c r="H6629" s="42"/>
      <c r="I6629" s="42"/>
      <c r="J6629" s="42"/>
    </row>
    <row r="6630" spans="5:10">
      <c r="E6630" s="43">
        <v>45348.708333311253</v>
      </c>
      <c r="F6630" s="41">
        <v>4.5571122498185446</v>
      </c>
      <c r="G6630" s="41">
        <v>0</v>
      </c>
      <c r="H6630" s="42"/>
      <c r="I6630" s="42"/>
      <c r="J6630" s="42"/>
    </row>
    <row r="6631" spans="5:10">
      <c r="E6631" s="43">
        <v>45348.711805533472</v>
      </c>
      <c r="F6631" s="41">
        <v>4.5571122498185446</v>
      </c>
      <c r="G6631" s="41">
        <v>0</v>
      </c>
      <c r="H6631" s="42"/>
      <c r="I6631" s="42"/>
      <c r="J6631" s="42"/>
    </row>
    <row r="6632" spans="5:10">
      <c r="E6632" s="43">
        <v>45348.715277755691</v>
      </c>
      <c r="F6632" s="41">
        <v>4.5571122498185446</v>
      </c>
      <c r="G6632" s="41">
        <v>0</v>
      </c>
      <c r="H6632" s="42"/>
      <c r="I6632" s="42"/>
      <c r="J6632" s="42"/>
    </row>
    <row r="6633" spans="5:10">
      <c r="E6633" s="43">
        <v>45348.71874997791</v>
      </c>
      <c r="F6633" s="41">
        <v>4.5571122498185446</v>
      </c>
      <c r="G6633" s="41">
        <v>0</v>
      </c>
      <c r="H6633" s="42"/>
      <c r="I6633" s="42"/>
      <c r="J6633" s="42"/>
    </row>
    <row r="6634" spans="5:10">
      <c r="E6634" s="43">
        <v>45348.722222200129</v>
      </c>
      <c r="F6634" s="41">
        <v>4.5571122498185446</v>
      </c>
      <c r="G6634" s="41">
        <v>0</v>
      </c>
      <c r="H6634" s="42"/>
      <c r="I6634" s="42"/>
      <c r="J6634" s="42"/>
    </row>
    <row r="6635" spans="5:10">
      <c r="E6635" s="43">
        <v>45348.725694422348</v>
      </c>
      <c r="F6635" s="41">
        <v>4.5571122498185446</v>
      </c>
      <c r="G6635" s="41">
        <v>0</v>
      </c>
      <c r="H6635" s="42"/>
      <c r="I6635" s="42"/>
      <c r="J6635" s="42"/>
    </row>
    <row r="6636" spans="5:10">
      <c r="E6636" s="43">
        <v>45348.729166644567</v>
      </c>
      <c r="F6636" s="41">
        <v>4.5571122498185446</v>
      </c>
      <c r="G6636" s="41">
        <v>0</v>
      </c>
      <c r="H6636" s="42"/>
      <c r="I6636" s="42"/>
      <c r="J6636" s="42"/>
    </row>
    <row r="6637" spans="5:10">
      <c r="E6637" s="43">
        <v>45348.732638866786</v>
      </c>
      <c r="F6637" s="41">
        <v>4.5571122498185446</v>
      </c>
      <c r="G6637" s="41">
        <v>0</v>
      </c>
      <c r="H6637" s="42"/>
      <c r="I6637" s="42"/>
      <c r="J6637" s="42"/>
    </row>
    <row r="6638" spans="5:10">
      <c r="E6638" s="43">
        <v>45348.736111089005</v>
      </c>
      <c r="F6638" s="41">
        <v>4.5571122498185446</v>
      </c>
      <c r="G6638" s="41">
        <v>0</v>
      </c>
      <c r="H6638" s="42"/>
      <c r="I6638" s="42"/>
      <c r="J6638" s="42"/>
    </row>
    <row r="6639" spans="5:10">
      <c r="E6639" s="43">
        <v>45348.739583311224</v>
      </c>
      <c r="F6639" s="41">
        <v>4.5571122498185446</v>
      </c>
      <c r="G6639" s="41">
        <v>0</v>
      </c>
      <c r="H6639" s="42"/>
      <c r="I6639" s="42"/>
      <c r="J6639" s="42"/>
    </row>
    <row r="6640" spans="5:10">
      <c r="E6640" s="43">
        <v>45348.743055533443</v>
      </c>
      <c r="F6640" s="41">
        <v>4.5571122498185446</v>
      </c>
      <c r="G6640" s="41">
        <v>0</v>
      </c>
      <c r="H6640" s="42"/>
      <c r="I6640" s="42"/>
      <c r="J6640" s="42"/>
    </row>
    <row r="6641" spans="5:10">
      <c r="E6641" s="43">
        <v>45348.746527755662</v>
      </c>
      <c r="F6641" s="41">
        <v>4.5571122498185446</v>
      </c>
      <c r="G6641" s="41">
        <v>0</v>
      </c>
      <c r="H6641" s="42"/>
      <c r="I6641" s="42"/>
      <c r="J6641" s="42"/>
    </row>
    <row r="6642" spans="5:10">
      <c r="E6642" s="43">
        <v>45348.749999977881</v>
      </c>
      <c r="F6642" s="41">
        <v>4.5571122498185446</v>
      </c>
      <c r="G6642" s="41">
        <v>0</v>
      </c>
      <c r="H6642" s="42"/>
      <c r="I6642" s="42"/>
      <c r="J6642" s="42"/>
    </row>
    <row r="6643" spans="5:10">
      <c r="E6643" s="43">
        <v>45348.7534722001</v>
      </c>
      <c r="F6643" s="41">
        <v>4.5571122498185446</v>
      </c>
      <c r="G6643" s="41">
        <v>0</v>
      </c>
      <c r="H6643" s="42"/>
      <c r="I6643" s="42"/>
      <c r="J6643" s="42"/>
    </row>
    <row r="6644" spans="5:10">
      <c r="E6644" s="43">
        <v>45348.756944422319</v>
      </c>
      <c r="F6644" s="41">
        <v>4.5571122498185446</v>
      </c>
      <c r="G6644" s="41">
        <v>0</v>
      </c>
      <c r="H6644" s="42"/>
      <c r="I6644" s="42"/>
      <c r="J6644" s="42"/>
    </row>
    <row r="6645" spans="5:10">
      <c r="E6645" s="43">
        <v>45348.760416644538</v>
      </c>
      <c r="F6645" s="41">
        <v>4.5571122498185446</v>
      </c>
      <c r="G6645" s="41">
        <v>0</v>
      </c>
      <c r="H6645" s="42"/>
      <c r="I6645" s="42"/>
      <c r="J6645" s="42"/>
    </row>
    <row r="6646" spans="5:10">
      <c r="E6646" s="43">
        <v>45348.763888866757</v>
      </c>
      <c r="F6646" s="41">
        <v>4.5571122498185446</v>
      </c>
      <c r="G6646" s="41">
        <v>0</v>
      </c>
      <c r="H6646" s="42"/>
      <c r="I6646" s="42"/>
      <c r="J6646" s="42"/>
    </row>
    <row r="6647" spans="5:10">
      <c r="E6647" s="43">
        <v>45348.767361088976</v>
      </c>
      <c r="F6647" s="41">
        <v>4.5571122498185446</v>
      </c>
      <c r="G6647" s="41">
        <v>0</v>
      </c>
      <c r="H6647" s="42"/>
      <c r="I6647" s="42"/>
      <c r="J6647" s="42"/>
    </row>
    <row r="6648" spans="5:10">
      <c r="E6648" s="43">
        <v>45348.770833311195</v>
      </c>
      <c r="F6648" s="41">
        <v>4.5571122498185446</v>
      </c>
      <c r="G6648" s="41">
        <v>0</v>
      </c>
      <c r="H6648" s="42"/>
      <c r="I6648" s="42"/>
      <c r="J6648" s="42"/>
    </row>
    <row r="6649" spans="5:10">
      <c r="E6649" s="43">
        <v>45348.774305533414</v>
      </c>
      <c r="F6649" s="41">
        <v>4.5571122498185446</v>
      </c>
      <c r="G6649" s="41">
        <v>0</v>
      </c>
      <c r="H6649" s="42"/>
      <c r="I6649" s="42"/>
      <c r="J6649" s="42"/>
    </row>
    <row r="6650" spans="5:10">
      <c r="E6650" s="43">
        <v>45348.777777755633</v>
      </c>
      <c r="F6650" s="41">
        <v>4.5571122498185446</v>
      </c>
      <c r="G6650" s="41">
        <v>0</v>
      </c>
      <c r="H6650" s="42"/>
      <c r="I6650" s="42"/>
      <c r="J6650" s="42"/>
    </row>
    <row r="6651" spans="5:10">
      <c r="E6651" s="43">
        <v>45348.781249977852</v>
      </c>
      <c r="F6651" s="41">
        <v>4.5571122498185446</v>
      </c>
      <c r="G6651" s="41">
        <v>0</v>
      </c>
      <c r="H6651" s="42"/>
      <c r="I6651" s="42"/>
      <c r="J6651" s="42"/>
    </row>
    <row r="6652" spans="5:10">
      <c r="E6652" s="43">
        <v>45348.784722200071</v>
      </c>
      <c r="F6652" s="41">
        <v>4.5571122498185446</v>
      </c>
      <c r="G6652" s="41">
        <v>0</v>
      </c>
      <c r="H6652" s="42"/>
      <c r="I6652" s="42"/>
      <c r="J6652" s="42"/>
    </row>
    <row r="6653" spans="5:10">
      <c r="E6653" s="43">
        <v>45348.78819442229</v>
      </c>
      <c r="F6653" s="41">
        <v>4.5571122498185446</v>
      </c>
      <c r="G6653" s="41">
        <v>0</v>
      </c>
      <c r="H6653" s="42"/>
      <c r="I6653" s="42"/>
      <c r="J6653" s="42"/>
    </row>
    <row r="6654" spans="5:10">
      <c r="E6654" s="43">
        <v>45348.791666644509</v>
      </c>
      <c r="F6654" s="41">
        <v>4.5571122498185446</v>
      </c>
      <c r="G6654" s="41">
        <v>0</v>
      </c>
      <c r="H6654" s="42"/>
      <c r="I6654" s="42"/>
      <c r="J6654" s="42"/>
    </row>
    <row r="6655" spans="5:10">
      <c r="E6655" s="43">
        <v>45348.795138866728</v>
      </c>
      <c r="F6655" s="41">
        <v>4.5571122498185446</v>
      </c>
      <c r="G6655" s="41">
        <v>0</v>
      </c>
      <c r="H6655" s="42"/>
      <c r="I6655" s="42"/>
      <c r="J6655" s="42"/>
    </row>
    <row r="6656" spans="5:10">
      <c r="E6656" s="43">
        <v>45348.798611088947</v>
      </c>
      <c r="F6656" s="41">
        <v>4.5571122498185446</v>
      </c>
      <c r="G6656" s="41">
        <v>0</v>
      </c>
      <c r="H6656" s="42"/>
      <c r="I6656" s="42"/>
      <c r="J6656" s="42"/>
    </row>
    <row r="6657" spans="5:10">
      <c r="E6657" s="43">
        <v>45348.802083311166</v>
      </c>
      <c r="F6657" s="41">
        <v>4.5571122498185446</v>
      </c>
      <c r="G6657" s="41">
        <v>0</v>
      </c>
      <c r="H6657" s="42"/>
      <c r="I6657" s="42"/>
      <c r="J6657" s="42"/>
    </row>
    <row r="6658" spans="5:10">
      <c r="E6658" s="43">
        <v>45348.805555533385</v>
      </c>
      <c r="F6658" s="41">
        <v>4.5571122498185446</v>
      </c>
      <c r="G6658" s="41">
        <v>0</v>
      </c>
      <c r="H6658" s="42"/>
      <c r="I6658" s="42"/>
      <c r="J6658" s="42"/>
    </row>
    <row r="6659" spans="5:10">
      <c r="E6659" s="43">
        <v>45348.809027755604</v>
      </c>
      <c r="F6659" s="41">
        <v>4.5571122498185446</v>
      </c>
      <c r="G6659" s="41">
        <v>0</v>
      </c>
      <c r="H6659" s="42"/>
      <c r="I6659" s="42"/>
      <c r="J6659" s="42"/>
    </row>
    <row r="6660" spans="5:10">
      <c r="E6660" s="43">
        <v>45348.812499977823</v>
      </c>
      <c r="F6660" s="41">
        <v>4.5571122498185446</v>
      </c>
      <c r="G6660" s="41">
        <v>0</v>
      </c>
      <c r="H6660" s="42"/>
      <c r="I6660" s="42"/>
      <c r="J6660" s="42"/>
    </row>
    <row r="6661" spans="5:10">
      <c r="E6661" s="43">
        <v>45348.815972200042</v>
      </c>
      <c r="F6661" s="41">
        <v>4.5571122498185446</v>
      </c>
      <c r="G6661" s="41">
        <v>0</v>
      </c>
      <c r="H6661" s="42"/>
      <c r="I6661" s="42"/>
      <c r="J6661" s="42"/>
    </row>
    <row r="6662" spans="5:10">
      <c r="E6662" s="43">
        <v>45348.819444422261</v>
      </c>
      <c r="F6662" s="41">
        <v>4.5571122498185446</v>
      </c>
      <c r="G6662" s="41">
        <v>0</v>
      </c>
      <c r="H6662" s="42"/>
      <c r="I6662" s="42"/>
      <c r="J6662" s="42"/>
    </row>
    <row r="6663" spans="5:10">
      <c r="E6663" s="43">
        <v>45348.82291664448</v>
      </c>
      <c r="F6663" s="41">
        <v>4.5571122498185446</v>
      </c>
      <c r="G6663" s="41">
        <v>0</v>
      </c>
      <c r="H6663" s="42"/>
      <c r="I6663" s="42"/>
      <c r="J6663" s="42"/>
    </row>
    <row r="6664" spans="5:10">
      <c r="E6664" s="43">
        <v>45348.826388866699</v>
      </c>
      <c r="F6664" s="41">
        <v>4.5571122498185446</v>
      </c>
      <c r="G6664" s="41">
        <v>0</v>
      </c>
      <c r="H6664" s="42"/>
      <c r="I6664" s="42"/>
      <c r="J6664" s="42"/>
    </row>
    <row r="6665" spans="5:10">
      <c r="E6665" s="43">
        <v>45348.829861088918</v>
      </c>
      <c r="F6665" s="41">
        <v>4.5571122498185446</v>
      </c>
      <c r="G6665" s="41">
        <v>0</v>
      </c>
      <c r="H6665" s="42"/>
      <c r="I6665" s="42"/>
      <c r="J6665" s="42"/>
    </row>
    <row r="6666" spans="5:10">
      <c r="E6666" s="43">
        <v>45348.833333311137</v>
      </c>
      <c r="F6666" s="41">
        <v>4.5571122498185446</v>
      </c>
      <c r="G6666" s="41">
        <v>0</v>
      </c>
      <c r="H6666" s="42"/>
      <c r="I6666" s="42"/>
      <c r="J6666" s="42"/>
    </row>
    <row r="6667" spans="5:10">
      <c r="E6667" s="43">
        <v>45348.836805533356</v>
      </c>
      <c r="F6667" s="41">
        <v>4.5571122498185446</v>
      </c>
      <c r="G6667" s="41">
        <v>0</v>
      </c>
      <c r="H6667" s="42"/>
      <c r="I6667" s="42"/>
      <c r="J6667" s="42"/>
    </row>
    <row r="6668" spans="5:10">
      <c r="E6668" s="43">
        <v>45348.840277755575</v>
      </c>
      <c r="F6668" s="41">
        <v>4.5571122498185446</v>
      </c>
      <c r="G6668" s="41">
        <v>0</v>
      </c>
      <c r="H6668" s="42"/>
      <c r="I6668" s="42"/>
      <c r="J6668" s="42"/>
    </row>
    <row r="6669" spans="5:10">
      <c r="E6669" s="43">
        <v>45348.843749977794</v>
      </c>
      <c r="F6669" s="41">
        <v>4.5571122498185446</v>
      </c>
      <c r="G6669" s="41">
        <v>0</v>
      </c>
      <c r="H6669" s="42"/>
      <c r="I6669" s="42"/>
      <c r="J6669" s="42"/>
    </row>
    <row r="6670" spans="5:10">
      <c r="E6670" s="43">
        <v>45348.847222200013</v>
      </c>
      <c r="F6670" s="41">
        <v>4.5571122498185446</v>
      </c>
      <c r="G6670" s="41">
        <v>0</v>
      </c>
      <c r="H6670" s="42"/>
      <c r="I6670" s="42"/>
      <c r="J6670" s="42"/>
    </row>
    <row r="6671" spans="5:10">
      <c r="E6671" s="43">
        <v>45348.850694422232</v>
      </c>
      <c r="F6671" s="41">
        <v>4.5571122498185446</v>
      </c>
      <c r="G6671" s="41">
        <v>0</v>
      </c>
      <c r="H6671" s="42"/>
      <c r="I6671" s="42"/>
      <c r="J6671" s="42"/>
    </row>
    <row r="6672" spans="5:10">
      <c r="E6672" s="43">
        <v>45348.854166644451</v>
      </c>
      <c r="F6672" s="41">
        <v>4.5571122498185446</v>
      </c>
      <c r="G6672" s="41">
        <v>0</v>
      </c>
      <c r="H6672" s="42"/>
      <c r="I6672" s="42"/>
      <c r="J6672" s="42"/>
    </row>
    <row r="6673" spans="5:10">
      <c r="E6673" s="43">
        <v>45348.85763886667</v>
      </c>
      <c r="F6673" s="41">
        <v>4.5571122498185446</v>
      </c>
      <c r="G6673" s="41">
        <v>0</v>
      </c>
      <c r="H6673" s="42"/>
      <c r="I6673" s="42"/>
      <c r="J6673" s="42"/>
    </row>
    <row r="6674" spans="5:10">
      <c r="E6674" s="43">
        <v>45348.861111088889</v>
      </c>
      <c r="F6674" s="41">
        <v>4.5571122498185446</v>
      </c>
      <c r="G6674" s="41">
        <v>0</v>
      </c>
      <c r="H6674" s="42"/>
      <c r="I6674" s="42"/>
      <c r="J6674" s="42"/>
    </row>
    <row r="6675" spans="5:10">
      <c r="E6675" s="43">
        <v>45348.864583311108</v>
      </c>
      <c r="F6675" s="41">
        <v>4.5571122498185446</v>
      </c>
      <c r="G6675" s="41">
        <v>0</v>
      </c>
      <c r="H6675" s="42"/>
      <c r="I6675" s="42"/>
      <c r="J6675" s="42"/>
    </row>
    <row r="6676" spans="5:10">
      <c r="E6676" s="43">
        <v>45348.868055533327</v>
      </c>
      <c r="F6676" s="41">
        <v>4.5571122498185446</v>
      </c>
      <c r="G6676" s="41">
        <v>0</v>
      </c>
      <c r="H6676" s="42"/>
      <c r="I6676" s="42"/>
      <c r="J6676" s="42"/>
    </row>
    <row r="6677" spans="5:10">
      <c r="E6677" s="43">
        <v>45348.871527755546</v>
      </c>
      <c r="F6677" s="41">
        <v>4.5571122498185446</v>
      </c>
      <c r="G6677" s="41">
        <v>0</v>
      </c>
      <c r="H6677" s="42"/>
      <c r="I6677" s="42"/>
      <c r="J6677" s="42"/>
    </row>
    <row r="6678" spans="5:10">
      <c r="E6678" s="43">
        <v>45348.874999977765</v>
      </c>
      <c r="F6678" s="41">
        <v>4.5571122498185446</v>
      </c>
      <c r="G6678" s="41">
        <v>0</v>
      </c>
      <c r="H6678" s="42"/>
      <c r="I6678" s="42"/>
      <c r="J6678" s="42"/>
    </row>
    <row r="6679" spans="5:10">
      <c r="E6679" s="43">
        <v>45348.878472199984</v>
      </c>
      <c r="F6679" s="41">
        <v>4.5571122498185446</v>
      </c>
      <c r="G6679" s="41">
        <v>0</v>
      </c>
      <c r="H6679" s="42"/>
      <c r="I6679" s="42"/>
      <c r="J6679" s="42"/>
    </row>
    <row r="6680" spans="5:10">
      <c r="E6680" s="43">
        <v>45348.881944422203</v>
      </c>
      <c r="F6680" s="41">
        <v>4.5571122498185446</v>
      </c>
      <c r="G6680" s="41">
        <v>0</v>
      </c>
      <c r="H6680" s="42"/>
      <c r="I6680" s="42"/>
      <c r="J6680" s="42"/>
    </row>
    <row r="6681" spans="5:10">
      <c r="E6681" s="43">
        <v>45348.885416644422</v>
      </c>
      <c r="F6681" s="41">
        <v>4.5571122498185446</v>
      </c>
      <c r="G6681" s="41">
        <v>0</v>
      </c>
      <c r="H6681" s="42"/>
      <c r="I6681" s="42"/>
      <c r="J6681" s="42"/>
    </row>
    <row r="6682" spans="5:10">
      <c r="E6682" s="43">
        <v>45348.888888866641</v>
      </c>
      <c r="F6682" s="41">
        <v>4.5571122498185446</v>
      </c>
      <c r="G6682" s="41">
        <v>0</v>
      </c>
      <c r="H6682" s="42"/>
      <c r="I6682" s="42"/>
      <c r="J6682" s="42"/>
    </row>
    <row r="6683" spans="5:10">
      <c r="E6683" s="43">
        <v>45348.89236108886</v>
      </c>
      <c r="F6683" s="41">
        <v>4.5571122498185446</v>
      </c>
      <c r="G6683" s="41">
        <v>0</v>
      </c>
      <c r="H6683" s="42"/>
      <c r="I6683" s="42"/>
      <c r="J6683" s="42"/>
    </row>
    <row r="6684" spans="5:10">
      <c r="E6684" s="43">
        <v>45348.895833311079</v>
      </c>
      <c r="F6684" s="41">
        <v>4.5571122498185446</v>
      </c>
      <c r="G6684" s="41">
        <v>0</v>
      </c>
      <c r="H6684" s="42"/>
      <c r="I6684" s="42"/>
      <c r="J6684" s="42"/>
    </row>
    <row r="6685" spans="5:10">
      <c r="E6685" s="43">
        <v>45348.899305533298</v>
      </c>
      <c r="F6685" s="41">
        <v>4.5571122498185446</v>
      </c>
      <c r="G6685" s="41">
        <v>0</v>
      </c>
      <c r="H6685" s="42"/>
      <c r="I6685" s="42"/>
      <c r="J6685" s="42"/>
    </row>
    <row r="6686" spans="5:10">
      <c r="E6686" s="43">
        <v>45348.902777755517</v>
      </c>
      <c r="F6686" s="41">
        <v>4.5571122498185446</v>
      </c>
      <c r="G6686" s="41">
        <v>0</v>
      </c>
      <c r="H6686" s="42"/>
      <c r="I6686" s="42"/>
      <c r="J6686" s="42"/>
    </row>
    <row r="6687" spans="5:10">
      <c r="E6687" s="43">
        <v>45348.906249977736</v>
      </c>
      <c r="F6687" s="41">
        <v>4.5571122498185446</v>
      </c>
      <c r="G6687" s="41">
        <v>0</v>
      </c>
      <c r="H6687" s="42"/>
      <c r="I6687" s="42"/>
      <c r="J6687" s="42"/>
    </row>
    <row r="6688" spans="5:10">
      <c r="E6688" s="43">
        <v>45348.909722199955</v>
      </c>
      <c r="F6688" s="41">
        <v>4.5571122498185446</v>
      </c>
      <c r="G6688" s="41">
        <v>0</v>
      </c>
      <c r="H6688" s="42"/>
      <c r="I6688" s="42"/>
      <c r="J6688" s="42"/>
    </row>
    <row r="6689" spans="5:10">
      <c r="E6689" s="43">
        <v>45348.913194422174</v>
      </c>
      <c r="F6689" s="41">
        <v>4.5571122498185446</v>
      </c>
      <c r="G6689" s="41">
        <v>0</v>
      </c>
      <c r="H6689" s="42"/>
      <c r="I6689" s="42"/>
      <c r="J6689" s="42"/>
    </row>
    <row r="6690" spans="5:10">
      <c r="E6690" s="43">
        <v>45348.916666644393</v>
      </c>
      <c r="F6690" s="41">
        <v>4.5571122498185446</v>
      </c>
      <c r="G6690" s="41">
        <v>0</v>
      </c>
      <c r="H6690" s="42"/>
      <c r="I6690" s="42"/>
      <c r="J6690" s="42"/>
    </row>
    <row r="6691" spans="5:10">
      <c r="E6691" s="43">
        <v>45348.920138866612</v>
      </c>
      <c r="F6691" s="41">
        <v>4.5571122498185446</v>
      </c>
      <c r="G6691" s="41">
        <v>0</v>
      </c>
      <c r="H6691" s="42"/>
      <c r="I6691" s="42"/>
      <c r="J6691" s="42"/>
    </row>
    <row r="6692" spans="5:10">
      <c r="E6692" s="43">
        <v>45348.923611088831</v>
      </c>
      <c r="F6692" s="41">
        <v>4.5571122498185446</v>
      </c>
      <c r="G6692" s="41">
        <v>0</v>
      </c>
      <c r="H6692" s="42"/>
      <c r="I6692" s="42"/>
      <c r="J6692" s="42"/>
    </row>
    <row r="6693" spans="5:10">
      <c r="E6693" s="43">
        <v>45348.92708331105</v>
      </c>
      <c r="F6693" s="41">
        <v>4.5571122498185446</v>
      </c>
      <c r="G6693" s="41">
        <v>0</v>
      </c>
      <c r="H6693" s="42"/>
      <c r="I6693" s="42"/>
      <c r="J6693" s="42"/>
    </row>
    <row r="6694" spans="5:10">
      <c r="E6694" s="43">
        <v>45348.930555533268</v>
      </c>
      <c r="F6694" s="41">
        <v>4.5571122498185446</v>
      </c>
      <c r="G6694" s="41">
        <v>0</v>
      </c>
      <c r="H6694" s="42"/>
      <c r="I6694" s="42"/>
      <c r="J6694" s="42"/>
    </row>
    <row r="6695" spans="5:10">
      <c r="E6695" s="43">
        <v>45348.934027755487</v>
      </c>
      <c r="F6695" s="41">
        <v>4.5571122498185446</v>
      </c>
      <c r="G6695" s="41">
        <v>0</v>
      </c>
      <c r="H6695" s="42"/>
      <c r="I6695" s="42"/>
      <c r="J6695" s="42"/>
    </row>
    <row r="6696" spans="5:10">
      <c r="E6696" s="43">
        <v>45348.937499977706</v>
      </c>
      <c r="F6696" s="41">
        <v>4.5571122498185446</v>
      </c>
      <c r="G6696" s="41">
        <v>0</v>
      </c>
      <c r="H6696" s="42"/>
      <c r="I6696" s="42"/>
      <c r="J6696" s="42"/>
    </row>
    <row r="6697" spans="5:10">
      <c r="E6697" s="43">
        <v>45348.940972199925</v>
      </c>
      <c r="F6697" s="41">
        <v>4.5571122498185446</v>
      </c>
      <c r="G6697" s="41">
        <v>0</v>
      </c>
      <c r="H6697" s="42"/>
      <c r="I6697" s="42"/>
      <c r="J6697" s="42"/>
    </row>
    <row r="6698" spans="5:10">
      <c r="E6698" s="43">
        <v>45348.944444422144</v>
      </c>
      <c r="F6698" s="41">
        <v>4.5571122498185446</v>
      </c>
      <c r="G6698" s="41">
        <v>0</v>
      </c>
      <c r="H6698" s="42"/>
      <c r="I6698" s="42"/>
      <c r="J6698" s="42"/>
    </row>
    <row r="6699" spans="5:10">
      <c r="E6699" s="43">
        <v>45348.947916644363</v>
      </c>
      <c r="F6699" s="41">
        <v>4.5571122498185446</v>
      </c>
      <c r="G6699" s="41">
        <v>0</v>
      </c>
      <c r="H6699" s="42"/>
      <c r="I6699" s="42"/>
      <c r="J6699" s="42"/>
    </row>
    <row r="6700" spans="5:10">
      <c r="E6700" s="43">
        <v>45348.951388866582</v>
      </c>
      <c r="F6700" s="41">
        <v>4.5571122498185446</v>
      </c>
      <c r="G6700" s="41">
        <v>0</v>
      </c>
      <c r="H6700" s="42"/>
      <c r="I6700" s="42"/>
      <c r="J6700" s="42"/>
    </row>
    <row r="6701" spans="5:10">
      <c r="E6701" s="43">
        <v>45348.954861088801</v>
      </c>
      <c r="F6701" s="41">
        <v>4.5571122498185446</v>
      </c>
      <c r="G6701" s="41">
        <v>0</v>
      </c>
      <c r="H6701" s="42"/>
      <c r="I6701" s="42"/>
      <c r="J6701" s="42"/>
    </row>
    <row r="6702" spans="5:10">
      <c r="E6702" s="43">
        <v>45348.95833331102</v>
      </c>
      <c r="F6702" s="41">
        <v>4.5571122498185446</v>
      </c>
      <c r="G6702" s="41">
        <v>0</v>
      </c>
      <c r="H6702" s="42"/>
      <c r="I6702" s="42"/>
      <c r="J6702" s="42"/>
    </row>
    <row r="6703" spans="5:10">
      <c r="E6703" s="43">
        <v>45348.961805533239</v>
      </c>
      <c r="F6703" s="41">
        <v>4.5571122498185446</v>
      </c>
      <c r="G6703" s="41">
        <v>0</v>
      </c>
      <c r="H6703" s="42"/>
      <c r="I6703" s="42"/>
      <c r="J6703" s="42"/>
    </row>
    <row r="6704" spans="5:10">
      <c r="E6704" s="43">
        <v>45348.965277755458</v>
      </c>
      <c r="F6704" s="41">
        <v>4.5571122498185446</v>
      </c>
      <c r="G6704" s="41">
        <v>0</v>
      </c>
      <c r="H6704" s="42"/>
      <c r="I6704" s="42"/>
      <c r="J6704" s="42"/>
    </row>
    <row r="6705" spans="5:10">
      <c r="E6705" s="43">
        <v>45348.968749977677</v>
      </c>
      <c r="F6705" s="41">
        <v>4.5571122498185446</v>
      </c>
      <c r="G6705" s="41">
        <v>0</v>
      </c>
      <c r="H6705" s="42"/>
      <c r="I6705" s="42"/>
      <c r="J6705" s="42"/>
    </row>
    <row r="6706" spans="5:10">
      <c r="E6706" s="43">
        <v>45348.972222199896</v>
      </c>
      <c r="F6706" s="41">
        <v>4.5571122498185446</v>
      </c>
      <c r="G6706" s="41">
        <v>0</v>
      </c>
      <c r="H6706" s="42"/>
      <c r="I6706" s="42"/>
      <c r="J6706" s="42"/>
    </row>
    <row r="6707" spans="5:10">
      <c r="E6707" s="43">
        <v>45348.975694422115</v>
      </c>
      <c r="F6707" s="41">
        <v>4.5571122498185446</v>
      </c>
      <c r="G6707" s="41">
        <v>0</v>
      </c>
      <c r="H6707" s="42"/>
      <c r="I6707" s="42"/>
      <c r="J6707" s="42"/>
    </row>
    <row r="6708" spans="5:10">
      <c r="E6708" s="43">
        <v>45348.979166644334</v>
      </c>
      <c r="F6708" s="41">
        <v>4.5571122498185446</v>
      </c>
      <c r="G6708" s="41">
        <v>0</v>
      </c>
      <c r="H6708" s="42"/>
      <c r="I6708" s="42"/>
      <c r="J6708" s="42"/>
    </row>
    <row r="6709" spans="5:10">
      <c r="E6709" s="43">
        <v>45348.982638866553</v>
      </c>
      <c r="F6709" s="41">
        <v>4.5571122498185446</v>
      </c>
      <c r="G6709" s="41">
        <v>0</v>
      </c>
      <c r="H6709" s="42"/>
      <c r="I6709" s="42"/>
      <c r="J6709" s="42"/>
    </row>
    <row r="6710" spans="5:10">
      <c r="E6710" s="43">
        <v>45348.986111088772</v>
      </c>
      <c r="F6710" s="41">
        <v>4.5571122498185446</v>
      </c>
      <c r="G6710" s="41">
        <v>0</v>
      </c>
      <c r="H6710" s="42"/>
      <c r="I6710" s="42"/>
      <c r="J6710" s="42"/>
    </row>
    <row r="6711" spans="5:10">
      <c r="E6711" s="43">
        <v>45348.989583310991</v>
      </c>
      <c r="F6711" s="41">
        <v>4.5571122498185446</v>
      </c>
      <c r="G6711" s="41">
        <v>0</v>
      </c>
      <c r="H6711" s="42"/>
      <c r="I6711" s="42"/>
      <c r="J6711" s="42"/>
    </row>
    <row r="6712" spans="5:10">
      <c r="E6712" s="43">
        <v>45348.99305553321</v>
      </c>
      <c r="F6712" s="41">
        <v>4.5571122498185446</v>
      </c>
      <c r="G6712" s="41">
        <v>0</v>
      </c>
      <c r="H6712" s="42"/>
      <c r="I6712" s="42"/>
      <c r="J6712" s="42"/>
    </row>
    <row r="6713" spans="5:10">
      <c r="E6713" s="43">
        <v>45348.996527755429</v>
      </c>
      <c r="F6713" s="41">
        <v>4.5571122498185446</v>
      </c>
      <c r="G6713" s="41">
        <v>0</v>
      </c>
      <c r="H6713" s="42"/>
      <c r="I6713" s="42"/>
      <c r="J6713" s="42"/>
    </row>
    <row r="6714" spans="5:10">
      <c r="E6714" s="43">
        <v>45348.999999977648</v>
      </c>
      <c r="F6714" s="41">
        <v>4.5571122498185446</v>
      </c>
      <c r="G6714" s="41">
        <v>0</v>
      </c>
      <c r="H6714" s="42"/>
      <c r="I6714" s="42"/>
      <c r="J6714" s="42"/>
    </row>
    <row r="6715" spans="5:10">
      <c r="E6715" s="43">
        <v>45349.003472199867</v>
      </c>
      <c r="F6715" s="41">
        <v>4.5571122498185446</v>
      </c>
      <c r="G6715" s="41">
        <v>0</v>
      </c>
      <c r="H6715" s="42"/>
      <c r="I6715" s="42"/>
      <c r="J6715" s="42"/>
    </row>
    <row r="6716" spans="5:10">
      <c r="E6716" s="43">
        <v>45349.006944422086</v>
      </c>
      <c r="F6716" s="41">
        <v>4.5571122498185446</v>
      </c>
      <c r="G6716" s="41">
        <v>0</v>
      </c>
      <c r="H6716" s="42"/>
      <c r="I6716" s="42"/>
      <c r="J6716" s="42"/>
    </row>
    <row r="6717" spans="5:10">
      <c r="E6717" s="43">
        <v>45349.010416644305</v>
      </c>
      <c r="F6717" s="41">
        <v>4.5571122498185446</v>
      </c>
      <c r="G6717" s="41">
        <v>0</v>
      </c>
      <c r="H6717" s="42"/>
      <c r="I6717" s="42"/>
      <c r="J6717" s="42"/>
    </row>
    <row r="6718" spans="5:10">
      <c r="E6718" s="43">
        <v>45349.013888866524</v>
      </c>
      <c r="F6718" s="41">
        <v>4.5571122498185446</v>
      </c>
      <c r="G6718" s="41">
        <v>0</v>
      </c>
      <c r="H6718" s="42"/>
      <c r="I6718" s="42"/>
      <c r="J6718" s="42"/>
    </row>
    <row r="6719" spans="5:10">
      <c r="E6719" s="43">
        <v>45349.017361088743</v>
      </c>
      <c r="F6719" s="41">
        <v>4.5571122498185446</v>
      </c>
      <c r="G6719" s="41">
        <v>0</v>
      </c>
      <c r="H6719" s="42"/>
      <c r="I6719" s="42"/>
      <c r="J6719" s="42"/>
    </row>
    <row r="6720" spans="5:10">
      <c r="E6720" s="43">
        <v>45349.020833310962</v>
      </c>
      <c r="F6720" s="41">
        <v>4.5571122498185446</v>
      </c>
      <c r="G6720" s="41">
        <v>0</v>
      </c>
      <c r="H6720" s="42"/>
      <c r="I6720" s="42"/>
      <c r="J6720" s="42"/>
    </row>
    <row r="6721" spans="5:10">
      <c r="E6721" s="43">
        <v>45349.024305533181</v>
      </c>
      <c r="F6721" s="41">
        <v>4.5571122498185446</v>
      </c>
      <c r="G6721" s="41">
        <v>0</v>
      </c>
      <c r="H6721" s="42"/>
      <c r="I6721" s="42"/>
      <c r="J6721" s="42"/>
    </row>
    <row r="6722" spans="5:10">
      <c r="E6722" s="43">
        <v>45349.0277777554</v>
      </c>
      <c r="F6722" s="41">
        <v>4.5571122498185446</v>
      </c>
      <c r="G6722" s="41">
        <v>0</v>
      </c>
      <c r="H6722" s="42"/>
      <c r="I6722" s="42"/>
      <c r="J6722" s="42"/>
    </row>
    <row r="6723" spans="5:10">
      <c r="E6723" s="43">
        <v>45349.031249977619</v>
      </c>
      <c r="F6723" s="41">
        <v>4.5571122498185446</v>
      </c>
      <c r="G6723" s="41">
        <v>0</v>
      </c>
      <c r="H6723" s="42"/>
      <c r="I6723" s="42"/>
      <c r="J6723" s="42"/>
    </row>
    <row r="6724" spans="5:10">
      <c r="E6724" s="43">
        <v>45349.034722199838</v>
      </c>
      <c r="F6724" s="41">
        <v>4.5571122498185446</v>
      </c>
      <c r="G6724" s="41">
        <v>0</v>
      </c>
      <c r="H6724" s="42"/>
      <c r="I6724" s="42"/>
      <c r="J6724" s="42"/>
    </row>
    <row r="6725" spans="5:10">
      <c r="E6725" s="43">
        <v>45349.038194422057</v>
      </c>
      <c r="F6725" s="41">
        <v>4.5571122498185446</v>
      </c>
      <c r="G6725" s="41">
        <v>0</v>
      </c>
      <c r="H6725" s="42"/>
      <c r="I6725" s="42"/>
      <c r="J6725" s="42"/>
    </row>
    <row r="6726" spans="5:10">
      <c r="E6726" s="43">
        <v>45349.041666644276</v>
      </c>
      <c r="F6726" s="41">
        <v>4.5571122498185446</v>
      </c>
      <c r="G6726" s="41">
        <v>0</v>
      </c>
      <c r="H6726" s="42"/>
      <c r="I6726" s="42"/>
      <c r="J6726" s="42"/>
    </row>
    <row r="6727" spans="5:10">
      <c r="E6727" s="43">
        <v>45349.045138866495</v>
      </c>
      <c r="F6727" s="41">
        <v>4.5571122498185446</v>
      </c>
      <c r="G6727" s="41">
        <v>0</v>
      </c>
      <c r="H6727" s="42"/>
      <c r="I6727" s="42"/>
      <c r="J6727" s="42"/>
    </row>
    <row r="6728" spans="5:10">
      <c r="E6728" s="43">
        <v>45349.048611088714</v>
      </c>
      <c r="F6728" s="41">
        <v>4.5571122498185446</v>
      </c>
      <c r="G6728" s="41">
        <v>0</v>
      </c>
      <c r="H6728" s="42"/>
      <c r="I6728" s="42"/>
      <c r="J6728" s="42"/>
    </row>
    <row r="6729" spans="5:10">
      <c r="E6729" s="43">
        <v>45349.052083310933</v>
      </c>
      <c r="F6729" s="41">
        <v>4.5571122498185446</v>
      </c>
      <c r="G6729" s="41">
        <v>0</v>
      </c>
      <c r="H6729" s="42"/>
      <c r="I6729" s="42"/>
      <c r="J6729" s="42"/>
    </row>
    <row r="6730" spans="5:10">
      <c r="E6730" s="43">
        <v>45349.055555533152</v>
      </c>
      <c r="F6730" s="41">
        <v>4.5571122498185446</v>
      </c>
      <c r="G6730" s="41">
        <v>0</v>
      </c>
      <c r="H6730" s="42"/>
      <c r="I6730" s="42"/>
      <c r="J6730" s="42"/>
    </row>
    <row r="6731" spans="5:10">
      <c r="E6731" s="43">
        <v>45349.059027755371</v>
      </c>
      <c r="F6731" s="41">
        <v>4.5571122498185446</v>
      </c>
      <c r="G6731" s="41">
        <v>0</v>
      </c>
      <c r="H6731" s="42"/>
      <c r="I6731" s="42"/>
      <c r="J6731" s="42"/>
    </row>
    <row r="6732" spans="5:10">
      <c r="E6732" s="43">
        <v>45349.06249997759</v>
      </c>
      <c r="F6732" s="41">
        <v>4.5571122498185446</v>
      </c>
      <c r="G6732" s="41">
        <v>0</v>
      </c>
      <c r="H6732" s="42"/>
      <c r="I6732" s="42"/>
      <c r="J6732" s="42"/>
    </row>
    <row r="6733" spans="5:10">
      <c r="E6733" s="43">
        <v>45349.065972199809</v>
      </c>
      <c r="F6733" s="41">
        <v>4.5571122498185446</v>
      </c>
      <c r="G6733" s="41">
        <v>0</v>
      </c>
      <c r="H6733" s="42"/>
      <c r="I6733" s="42"/>
      <c r="J6733" s="42"/>
    </row>
    <row r="6734" spans="5:10">
      <c r="E6734" s="43">
        <v>45349.069444422028</v>
      </c>
      <c r="F6734" s="41">
        <v>4.5571122498185446</v>
      </c>
      <c r="G6734" s="41">
        <v>0</v>
      </c>
      <c r="H6734" s="42"/>
      <c r="I6734" s="42"/>
      <c r="J6734" s="42"/>
    </row>
    <row r="6735" spans="5:10">
      <c r="E6735" s="43">
        <v>45349.072916644247</v>
      </c>
      <c r="F6735" s="41">
        <v>4.5571122498185446</v>
      </c>
      <c r="G6735" s="41">
        <v>0</v>
      </c>
      <c r="H6735" s="42"/>
      <c r="I6735" s="42"/>
      <c r="J6735" s="42"/>
    </row>
    <row r="6736" spans="5:10">
      <c r="E6736" s="43">
        <v>45349.076388866466</v>
      </c>
      <c r="F6736" s="41">
        <v>4.5571122498185446</v>
      </c>
      <c r="G6736" s="41">
        <v>0</v>
      </c>
      <c r="H6736" s="42"/>
      <c r="I6736" s="42"/>
      <c r="J6736" s="42"/>
    </row>
    <row r="6737" spans="5:10">
      <c r="E6737" s="43">
        <v>45349.079861088685</v>
      </c>
      <c r="F6737" s="41">
        <v>4.5571122498185446</v>
      </c>
      <c r="G6737" s="41">
        <v>0</v>
      </c>
      <c r="H6737" s="42"/>
      <c r="I6737" s="42"/>
      <c r="J6737" s="42"/>
    </row>
    <row r="6738" spans="5:10">
      <c r="E6738" s="43">
        <v>45349.083333310904</v>
      </c>
      <c r="F6738" s="41">
        <v>4.5571122498185446</v>
      </c>
      <c r="G6738" s="41">
        <v>0</v>
      </c>
      <c r="H6738" s="42"/>
      <c r="I6738" s="42"/>
      <c r="J6738" s="42"/>
    </row>
    <row r="6739" spans="5:10">
      <c r="E6739" s="43">
        <v>45349.086805533123</v>
      </c>
      <c r="F6739" s="41">
        <v>4.5571122498185446</v>
      </c>
      <c r="G6739" s="41">
        <v>0</v>
      </c>
      <c r="H6739" s="42"/>
      <c r="I6739" s="42"/>
      <c r="J6739" s="42"/>
    </row>
    <row r="6740" spans="5:10">
      <c r="E6740" s="43">
        <v>45349.090277755342</v>
      </c>
      <c r="F6740" s="41">
        <v>4.5571122498185446</v>
      </c>
      <c r="G6740" s="41">
        <v>0</v>
      </c>
      <c r="H6740" s="42"/>
      <c r="I6740" s="42"/>
      <c r="J6740" s="42"/>
    </row>
    <row r="6741" spans="5:10">
      <c r="E6741" s="43">
        <v>45349.093749977561</v>
      </c>
      <c r="F6741" s="41">
        <v>4.5571122498185446</v>
      </c>
      <c r="G6741" s="41">
        <v>0</v>
      </c>
      <c r="H6741" s="42"/>
      <c r="I6741" s="42"/>
      <c r="J6741" s="42"/>
    </row>
    <row r="6742" spans="5:10">
      <c r="E6742" s="43">
        <v>45349.09722219978</v>
      </c>
      <c r="F6742" s="41">
        <v>4.5571122498185446</v>
      </c>
      <c r="G6742" s="41">
        <v>0</v>
      </c>
      <c r="H6742" s="42"/>
      <c r="I6742" s="42"/>
      <c r="J6742" s="42"/>
    </row>
    <row r="6743" spans="5:10">
      <c r="E6743" s="43">
        <v>45349.100694421999</v>
      </c>
      <c r="F6743" s="41">
        <v>4.5571122498185446</v>
      </c>
      <c r="G6743" s="41">
        <v>0</v>
      </c>
      <c r="H6743" s="42"/>
      <c r="I6743" s="42"/>
      <c r="J6743" s="42"/>
    </row>
    <row r="6744" spans="5:10">
      <c r="E6744" s="43">
        <v>45349.104166644218</v>
      </c>
      <c r="F6744" s="41">
        <v>4.5571122498185446</v>
      </c>
      <c r="G6744" s="41">
        <v>0</v>
      </c>
      <c r="H6744" s="42"/>
      <c r="I6744" s="42"/>
      <c r="J6744" s="42"/>
    </row>
    <row r="6745" spans="5:10">
      <c r="E6745" s="43">
        <v>45349.107638866437</v>
      </c>
      <c r="F6745" s="41">
        <v>4.5571122498185446</v>
      </c>
      <c r="G6745" s="41">
        <v>0</v>
      </c>
      <c r="H6745" s="42"/>
      <c r="I6745" s="42"/>
      <c r="J6745" s="42"/>
    </row>
    <row r="6746" spans="5:10">
      <c r="E6746" s="43">
        <v>45349.111111088656</v>
      </c>
      <c r="F6746" s="41">
        <v>4.5571122498185446</v>
      </c>
      <c r="G6746" s="41">
        <v>0</v>
      </c>
      <c r="H6746" s="42"/>
      <c r="I6746" s="42"/>
      <c r="J6746" s="42"/>
    </row>
    <row r="6747" spans="5:10">
      <c r="E6747" s="43">
        <v>45349.114583310875</v>
      </c>
      <c r="F6747" s="41">
        <v>4.5571122498185446</v>
      </c>
      <c r="G6747" s="41">
        <v>0</v>
      </c>
      <c r="H6747" s="42"/>
      <c r="I6747" s="42"/>
      <c r="J6747" s="42"/>
    </row>
    <row r="6748" spans="5:10">
      <c r="E6748" s="43">
        <v>45349.118055533094</v>
      </c>
      <c r="F6748" s="41">
        <v>4.5571122498185446</v>
      </c>
      <c r="G6748" s="41">
        <v>0</v>
      </c>
      <c r="H6748" s="42"/>
      <c r="I6748" s="42"/>
      <c r="J6748" s="42"/>
    </row>
    <row r="6749" spans="5:10">
      <c r="E6749" s="43">
        <v>45349.121527755313</v>
      </c>
      <c r="F6749" s="41">
        <v>4.5571122498185446</v>
      </c>
      <c r="G6749" s="41">
        <v>0</v>
      </c>
      <c r="H6749" s="42"/>
      <c r="I6749" s="42"/>
      <c r="J6749" s="42"/>
    </row>
    <row r="6750" spans="5:10">
      <c r="E6750" s="43">
        <v>45349.124999977532</v>
      </c>
      <c r="F6750" s="41">
        <v>4.5571122498185446</v>
      </c>
      <c r="G6750" s="41">
        <v>0</v>
      </c>
      <c r="H6750" s="42"/>
      <c r="I6750" s="42"/>
      <c r="J6750" s="42"/>
    </row>
    <row r="6751" spans="5:10">
      <c r="E6751" s="43">
        <v>45349.128472199751</v>
      </c>
      <c r="F6751" s="41">
        <v>4.5571122498185446</v>
      </c>
      <c r="G6751" s="41">
        <v>0</v>
      </c>
      <c r="H6751" s="42"/>
      <c r="I6751" s="42"/>
      <c r="J6751" s="42"/>
    </row>
    <row r="6752" spans="5:10">
      <c r="E6752" s="43">
        <v>45349.13194442197</v>
      </c>
      <c r="F6752" s="41">
        <v>4.5571122498185446</v>
      </c>
      <c r="G6752" s="41">
        <v>0</v>
      </c>
      <c r="H6752" s="42"/>
      <c r="I6752" s="42"/>
      <c r="J6752" s="42"/>
    </row>
    <row r="6753" spans="5:10">
      <c r="E6753" s="43">
        <v>45349.135416644189</v>
      </c>
      <c r="F6753" s="41">
        <v>4.5571122498185446</v>
      </c>
      <c r="G6753" s="41">
        <v>0</v>
      </c>
      <c r="H6753" s="42"/>
      <c r="I6753" s="42"/>
      <c r="J6753" s="42"/>
    </row>
    <row r="6754" spans="5:10">
      <c r="E6754" s="43">
        <v>45349.138888866408</v>
      </c>
      <c r="F6754" s="41">
        <v>4.5571122498185446</v>
      </c>
      <c r="G6754" s="41">
        <v>0</v>
      </c>
      <c r="H6754" s="42"/>
      <c r="I6754" s="42"/>
      <c r="J6754" s="42"/>
    </row>
    <row r="6755" spans="5:10">
      <c r="E6755" s="43">
        <v>45349.142361088627</v>
      </c>
      <c r="F6755" s="41">
        <v>4.5571122498185446</v>
      </c>
      <c r="G6755" s="41">
        <v>0</v>
      </c>
      <c r="H6755" s="42"/>
      <c r="I6755" s="42"/>
      <c r="J6755" s="42"/>
    </row>
    <row r="6756" spans="5:10">
      <c r="E6756" s="43">
        <v>45349.145833310846</v>
      </c>
      <c r="F6756" s="41">
        <v>4.5571122498185446</v>
      </c>
      <c r="G6756" s="41">
        <v>0</v>
      </c>
      <c r="H6756" s="42"/>
      <c r="I6756" s="42"/>
      <c r="J6756" s="42"/>
    </row>
    <row r="6757" spans="5:10">
      <c r="E6757" s="43">
        <v>45349.149305533065</v>
      </c>
      <c r="F6757" s="41">
        <v>4.5571122498185446</v>
      </c>
      <c r="G6757" s="41">
        <v>0</v>
      </c>
      <c r="H6757" s="42"/>
      <c r="I6757" s="42"/>
      <c r="J6757" s="42"/>
    </row>
    <row r="6758" spans="5:10">
      <c r="E6758" s="43">
        <v>45349.152777755284</v>
      </c>
      <c r="F6758" s="41">
        <v>4.5571122498185446</v>
      </c>
      <c r="G6758" s="41">
        <v>0</v>
      </c>
      <c r="H6758" s="42"/>
      <c r="I6758" s="42"/>
      <c r="J6758" s="42"/>
    </row>
    <row r="6759" spans="5:10">
      <c r="E6759" s="43">
        <v>45349.156249977503</v>
      </c>
      <c r="F6759" s="41">
        <v>4.5571122498185446</v>
      </c>
      <c r="G6759" s="41">
        <v>0</v>
      </c>
      <c r="H6759" s="42"/>
      <c r="I6759" s="42"/>
      <c r="J6759" s="42"/>
    </row>
    <row r="6760" spans="5:10">
      <c r="E6760" s="43">
        <v>45349.159722199722</v>
      </c>
      <c r="F6760" s="41">
        <v>4.5571122498185446</v>
      </c>
      <c r="G6760" s="41">
        <v>0</v>
      </c>
      <c r="H6760" s="42"/>
      <c r="I6760" s="42"/>
      <c r="J6760" s="42"/>
    </row>
    <row r="6761" spans="5:10">
      <c r="E6761" s="43">
        <v>45349.163194421941</v>
      </c>
      <c r="F6761" s="41">
        <v>4.5571122498185446</v>
      </c>
      <c r="G6761" s="41">
        <v>0</v>
      </c>
      <c r="H6761" s="42"/>
      <c r="I6761" s="42"/>
      <c r="J6761" s="42"/>
    </row>
    <row r="6762" spans="5:10">
      <c r="E6762" s="43">
        <v>45349.16666664416</v>
      </c>
      <c r="F6762" s="41">
        <v>4.5571122498185446</v>
      </c>
      <c r="G6762" s="41">
        <v>0</v>
      </c>
      <c r="H6762" s="42"/>
      <c r="I6762" s="42"/>
      <c r="J6762" s="42"/>
    </row>
    <row r="6763" spans="5:10">
      <c r="E6763" s="43">
        <v>45349.170138866379</v>
      </c>
      <c r="F6763" s="41">
        <v>4.5571122498185446</v>
      </c>
      <c r="G6763" s="41">
        <v>0</v>
      </c>
      <c r="H6763" s="42"/>
      <c r="I6763" s="42"/>
      <c r="J6763" s="42"/>
    </row>
    <row r="6764" spans="5:10">
      <c r="E6764" s="43">
        <v>45349.173611088598</v>
      </c>
      <c r="F6764" s="41">
        <v>4.5571122498185446</v>
      </c>
      <c r="G6764" s="41">
        <v>0</v>
      </c>
      <c r="H6764" s="42"/>
      <c r="I6764" s="42"/>
      <c r="J6764" s="42"/>
    </row>
    <row r="6765" spans="5:10">
      <c r="E6765" s="43">
        <v>45349.177083310817</v>
      </c>
      <c r="F6765" s="41">
        <v>4.5571122498185446</v>
      </c>
      <c r="G6765" s="41">
        <v>0</v>
      </c>
      <c r="H6765" s="42"/>
      <c r="I6765" s="42"/>
      <c r="J6765" s="42"/>
    </row>
    <row r="6766" spans="5:10">
      <c r="E6766" s="43">
        <v>45349.180555533036</v>
      </c>
      <c r="F6766" s="41">
        <v>4.5571122498185446</v>
      </c>
      <c r="G6766" s="41">
        <v>0</v>
      </c>
      <c r="H6766" s="42"/>
      <c r="I6766" s="42"/>
      <c r="J6766" s="42"/>
    </row>
    <row r="6767" spans="5:10">
      <c r="E6767" s="43">
        <v>45349.184027755255</v>
      </c>
      <c r="F6767" s="41">
        <v>4.5571122498185446</v>
      </c>
      <c r="G6767" s="41">
        <v>0</v>
      </c>
      <c r="H6767" s="42"/>
      <c r="I6767" s="42"/>
      <c r="J6767" s="42"/>
    </row>
    <row r="6768" spans="5:10">
      <c r="E6768" s="43">
        <v>45349.187499977474</v>
      </c>
      <c r="F6768" s="41">
        <v>4.5571122498185446</v>
      </c>
      <c r="G6768" s="41">
        <v>0</v>
      </c>
      <c r="H6768" s="42"/>
      <c r="I6768" s="42"/>
      <c r="J6768" s="42"/>
    </row>
    <row r="6769" spans="5:10">
      <c r="E6769" s="43">
        <v>45349.190972199693</v>
      </c>
      <c r="F6769" s="41">
        <v>4.5571122498185446</v>
      </c>
      <c r="G6769" s="41">
        <v>0</v>
      </c>
      <c r="H6769" s="42"/>
      <c r="I6769" s="42"/>
      <c r="J6769" s="42"/>
    </row>
    <row r="6770" spans="5:10">
      <c r="E6770" s="43">
        <v>45349.194444421912</v>
      </c>
      <c r="F6770" s="41">
        <v>4.5571122498185446</v>
      </c>
      <c r="G6770" s="41">
        <v>0</v>
      </c>
      <c r="H6770" s="42"/>
      <c r="I6770" s="42"/>
      <c r="J6770" s="42"/>
    </row>
    <row r="6771" spans="5:10">
      <c r="E6771" s="43">
        <v>45349.197916644131</v>
      </c>
      <c r="F6771" s="41">
        <v>4.5571122498185446</v>
      </c>
      <c r="G6771" s="41">
        <v>0</v>
      </c>
      <c r="H6771" s="42"/>
      <c r="I6771" s="42"/>
      <c r="J6771" s="42"/>
    </row>
    <row r="6772" spans="5:10">
      <c r="E6772" s="43">
        <v>45349.20138886635</v>
      </c>
      <c r="F6772" s="41">
        <v>4.5571122498185446</v>
      </c>
      <c r="G6772" s="41">
        <v>0</v>
      </c>
      <c r="H6772" s="42"/>
      <c r="I6772" s="42"/>
      <c r="J6772" s="42"/>
    </row>
    <row r="6773" spans="5:10">
      <c r="E6773" s="43">
        <v>45349.204861088569</v>
      </c>
      <c r="F6773" s="41">
        <v>4.5571122498185446</v>
      </c>
      <c r="G6773" s="41">
        <v>0</v>
      </c>
      <c r="H6773" s="42"/>
      <c r="I6773" s="42"/>
      <c r="J6773" s="42"/>
    </row>
    <row r="6774" spans="5:10">
      <c r="E6774" s="43">
        <v>45349.208333310788</v>
      </c>
      <c r="F6774" s="41">
        <v>4.5571122498185446</v>
      </c>
      <c r="G6774" s="41">
        <v>0</v>
      </c>
      <c r="H6774" s="42"/>
      <c r="I6774" s="42"/>
      <c r="J6774" s="42"/>
    </row>
    <row r="6775" spans="5:10">
      <c r="E6775" s="43">
        <v>45349.211805533007</v>
      </c>
      <c r="F6775" s="41">
        <v>4.5571122498185446</v>
      </c>
      <c r="G6775" s="41">
        <v>0</v>
      </c>
      <c r="H6775" s="42"/>
      <c r="I6775" s="42"/>
      <c r="J6775" s="42"/>
    </row>
    <row r="6776" spans="5:10">
      <c r="E6776" s="43">
        <v>45349.215277755226</v>
      </c>
      <c r="F6776" s="41">
        <v>4.5571122498185446</v>
      </c>
      <c r="G6776" s="41">
        <v>0</v>
      </c>
      <c r="H6776" s="42"/>
      <c r="I6776" s="42"/>
      <c r="J6776" s="42"/>
    </row>
    <row r="6777" spans="5:10">
      <c r="E6777" s="43">
        <v>45349.218749977445</v>
      </c>
      <c r="F6777" s="41">
        <v>4.5571122498185446</v>
      </c>
      <c r="G6777" s="41">
        <v>0</v>
      </c>
      <c r="H6777" s="42"/>
      <c r="I6777" s="42"/>
      <c r="J6777" s="42"/>
    </row>
    <row r="6778" spans="5:10">
      <c r="E6778" s="43">
        <v>45349.222222199664</v>
      </c>
      <c r="F6778" s="41">
        <v>4.5571122498185446</v>
      </c>
      <c r="G6778" s="41">
        <v>0</v>
      </c>
      <c r="H6778" s="42"/>
      <c r="I6778" s="42"/>
      <c r="J6778" s="42"/>
    </row>
    <row r="6779" spans="5:10">
      <c r="E6779" s="43">
        <v>45349.225694421883</v>
      </c>
      <c r="F6779" s="41">
        <v>4.5571122498185446</v>
      </c>
      <c r="G6779" s="41">
        <v>0</v>
      </c>
      <c r="H6779" s="42"/>
      <c r="I6779" s="42"/>
      <c r="J6779" s="42"/>
    </row>
    <row r="6780" spans="5:10">
      <c r="E6780" s="43">
        <v>45349.229166644101</v>
      </c>
      <c r="F6780" s="41">
        <v>4.5571122498185446</v>
      </c>
      <c r="G6780" s="41">
        <v>0</v>
      </c>
      <c r="H6780" s="42"/>
      <c r="I6780" s="42"/>
      <c r="J6780" s="42"/>
    </row>
    <row r="6781" spans="5:10">
      <c r="E6781" s="43">
        <v>45349.23263886632</v>
      </c>
      <c r="F6781" s="41">
        <v>4.5571122498185446</v>
      </c>
      <c r="G6781" s="41">
        <v>0</v>
      </c>
      <c r="H6781" s="42"/>
      <c r="I6781" s="42"/>
      <c r="J6781" s="42"/>
    </row>
    <row r="6782" spans="5:10">
      <c r="E6782" s="43">
        <v>45349.236111088539</v>
      </c>
      <c r="F6782" s="41">
        <v>4.5571122498185446</v>
      </c>
      <c r="G6782" s="41">
        <v>0</v>
      </c>
      <c r="H6782" s="42"/>
      <c r="I6782" s="42"/>
      <c r="J6782" s="42"/>
    </row>
    <row r="6783" spans="5:10">
      <c r="E6783" s="43">
        <v>45349.239583310758</v>
      </c>
      <c r="F6783" s="41">
        <v>4.5571122498185446</v>
      </c>
      <c r="G6783" s="41">
        <v>0</v>
      </c>
      <c r="H6783" s="42"/>
      <c r="I6783" s="42"/>
      <c r="J6783" s="42"/>
    </row>
    <row r="6784" spans="5:10">
      <c r="E6784" s="43">
        <v>45349.243055532977</v>
      </c>
      <c r="F6784" s="41">
        <v>4.5571122498185446</v>
      </c>
      <c r="G6784" s="41">
        <v>0</v>
      </c>
      <c r="H6784" s="42"/>
      <c r="I6784" s="42"/>
      <c r="J6784" s="42"/>
    </row>
    <row r="6785" spans="5:10">
      <c r="E6785" s="43">
        <v>45349.246527755196</v>
      </c>
      <c r="F6785" s="41">
        <v>4.5571122498185446</v>
      </c>
      <c r="G6785" s="41">
        <v>0</v>
      </c>
      <c r="H6785" s="42"/>
      <c r="I6785" s="42"/>
      <c r="J6785" s="42"/>
    </row>
    <row r="6786" spans="5:10">
      <c r="E6786" s="43">
        <v>45349.249999977415</v>
      </c>
      <c r="F6786" s="41">
        <v>4.5571122498185446</v>
      </c>
      <c r="G6786" s="41">
        <v>0</v>
      </c>
      <c r="H6786" s="42"/>
      <c r="I6786" s="42"/>
      <c r="J6786" s="42"/>
    </row>
    <row r="6787" spans="5:10">
      <c r="E6787" s="43">
        <v>45349.253472199634</v>
      </c>
      <c r="F6787" s="41">
        <v>4.5571122498185446</v>
      </c>
      <c r="G6787" s="41">
        <v>0</v>
      </c>
      <c r="H6787" s="42"/>
      <c r="I6787" s="42"/>
      <c r="J6787" s="42"/>
    </row>
    <row r="6788" spans="5:10">
      <c r="E6788" s="43">
        <v>45349.256944421853</v>
      </c>
      <c r="F6788" s="41">
        <v>4.5571122498185446</v>
      </c>
      <c r="G6788" s="41">
        <v>0</v>
      </c>
      <c r="H6788" s="42"/>
      <c r="I6788" s="42"/>
      <c r="J6788" s="42"/>
    </row>
    <row r="6789" spans="5:10">
      <c r="E6789" s="43">
        <v>45349.260416644072</v>
      </c>
      <c r="F6789" s="41">
        <v>4.5571122498185446</v>
      </c>
      <c r="G6789" s="41">
        <v>0</v>
      </c>
      <c r="H6789" s="42"/>
      <c r="I6789" s="42"/>
      <c r="J6789" s="42"/>
    </row>
    <row r="6790" spans="5:10">
      <c r="E6790" s="43">
        <v>45349.263888866291</v>
      </c>
      <c r="F6790" s="41">
        <v>4.5571122498185446</v>
      </c>
      <c r="G6790" s="41">
        <v>0</v>
      </c>
      <c r="H6790" s="42"/>
      <c r="I6790" s="42"/>
      <c r="J6790" s="42"/>
    </row>
    <row r="6791" spans="5:10">
      <c r="E6791" s="43">
        <v>45349.26736108851</v>
      </c>
      <c r="F6791" s="41">
        <v>4.5571122498185446</v>
      </c>
      <c r="G6791" s="41">
        <v>0</v>
      </c>
      <c r="H6791" s="42"/>
      <c r="I6791" s="42"/>
      <c r="J6791" s="42"/>
    </row>
    <row r="6792" spans="5:10">
      <c r="E6792" s="43">
        <v>45349.270833310729</v>
      </c>
      <c r="F6792" s="41">
        <v>4.5571122498185446</v>
      </c>
      <c r="G6792" s="41">
        <v>0</v>
      </c>
      <c r="H6792" s="42"/>
      <c r="I6792" s="42"/>
      <c r="J6792" s="42"/>
    </row>
    <row r="6793" spans="5:10">
      <c r="E6793" s="43">
        <v>45349.274305532948</v>
      </c>
      <c r="F6793" s="41">
        <v>4.5571122498185446</v>
      </c>
      <c r="G6793" s="41">
        <v>0</v>
      </c>
      <c r="H6793" s="42"/>
      <c r="I6793" s="42"/>
      <c r="J6793" s="42"/>
    </row>
    <row r="6794" spans="5:10">
      <c r="E6794" s="43">
        <v>45349.277777755167</v>
      </c>
      <c r="F6794" s="41">
        <v>4.5571122498185446</v>
      </c>
      <c r="G6794" s="41">
        <v>0</v>
      </c>
      <c r="H6794" s="42"/>
      <c r="I6794" s="42"/>
      <c r="J6794" s="42"/>
    </row>
    <row r="6795" spans="5:10">
      <c r="E6795" s="43">
        <v>45349.281249977386</v>
      </c>
      <c r="F6795" s="41">
        <v>4.5571122498185446</v>
      </c>
      <c r="G6795" s="41">
        <v>0</v>
      </c>
      <c r="H6795" s="42"/>
      <c r="I6795" s="42"/>
      <c r="J6795" s="42"/>
    </row>
    <row r="6796" spans="5:10">
      <c r="E6796" s="43">
        <v>45349.284722199605</v>
      </c>
      <c r="F6796" s="41">
        <v>4.5571122498185446</v>
      </c>
      <c r="G6796" s="41">
        <v>0</v>
      </c>
      <c r="H6796" s="42"/>
      <c r="I6796" s="42"/>
      <c r="J6796" s="42"/>
    </row>
    <row r="6797" spans="5:10">
      <c r="E6797" s="43">
        <v>45349.288194421824</v>
      </c>
      <c r="F6797" s="41">
        <v>4.5571122498185446</v>
      </c>
      <c r="G6797" s="41">
        <v>0</v>
      </c>
      <c r="H6797" s="42"/>
      <c r="I6797" s="42"/>
      <c r="J6797" s="42"/>
    </row>
    <row r="6798" spans="5:10">
      <c r="E6798" s="43">
        <v>45349.291666644043</v>
      </c>
      <c r="F6798" s="41">
        <v>4.5571122498185446</v>
      </c>
      <c r="G6798" s="41">
        <v>0</v>
      </c>
      <c r="H6798" s="42"/>
      <c r="I6798" s="42"/>
      <c r="J6798" s="42"/>
    </row>
    <row r="6799" spans="5:10">
      <c r="E6799" s="43">
        <v>45349.295138866262</v>
      </c>
      <c r="F6799" s="41">
        <v>4.5571122498185446</v>
      </c>
      <c r="G6799" s="41">
        <v>0</v>
      </c>
      <c r="H6799" s="42"/>
      <c r="I6799" s="42"/>
      <c r="J6799" s="42"/>
    </row>
    <row r="6800" spans="5:10">
      <c r="E6800" s="43">
        <v>45349.298611088481</v>
      </c>
      <c r="F6800" s="41">
        <v>4.5571122498185446</v>
      </c>
      <c r="G6800" s="41">
        <v>0</v>
      </c>
      <c r="H6800" s="42"/>
      <c r="I6800" s="42"/>
      <c r="J6800" s="42"/>
    </row>
    <row r="6801" spans="5:10">
      <c r="E6801" s="43">
        <v>45349.3020833107</v>
      </c>
      <c r="F6801" s="41">
        <v>4.5571122498185446</v>
      </c>
      <c r="G6801" s="41">
        <v>0</v>
      </c>
      <c r="H6801" s="42"/>
      <c r="I6801" s="42"/>
      <c r="J6801" s="42"/>
    </row>
    <row r="6802" spans="5:10">
      <c r="E6802" s="43">
        <v>45349.305555532919</v>
      </c>
      <c r="F6802" s="41">
        <v>4.5571122498185446</v>
      </c>
      <c r="G6802" s="41">
        <v>0</v>
      </c>
      <c r="H6802" s="42"/>
      <c r="I6802" s="42"/>
      <c r="J6802" s="42"/>
    </row>
    <row r="6803" spans="5:10">
      <c r="E6803" s="43">
        <v>45349.309027755138</v>
      </c>
      <c r="F6803" s="41">
        <v>4.5571122498185446</v>
      </c>
      <c r="G6803" s="41">
        <v>0</v>
      </c>
      <c r="H6803" s="42"/>
      <c r="I6803" s="42"/>
      <c r="J6803" s="42"/>
    </row>
    <row r="6804" spans="5:10">
      <c r="E6804" s="43">
        <v>45349.312499977357</v>
      </c>
      <c r="F6804" s="41">
        <v>4.5571122498185446</v>
      </c>
      <c r="G6804" s="41">
        <v>0</v>
      </c>
      <c r="H6804" s="42"/>
      <c r="I6804" s="42"/>
      <c r="J6804" s="42"/>
    </row>
    <row r="6805" spans="5:10">
      <c r="E6805" s="43">
        <v>45349.315972199576</v>
      </c>
      <c r="F6805" s="41">
        <v>4.5571122498185446</v>
      </c>
      <c r="G6805" s="41">
        <v>0</v>
      </c>
      <c r="H6805" s="42"/>
      <c r="I6805" s="42"/>
      <c r="J6805" s="42"/>
    </row>
    <row r="6806" spans="5:10">
      <c r="E6806" s="43">
        <v>45349.319444421795</v>
      </c>
      <c r="F6806" s="41">
        <v>4.5571122498185446</v>
      </c>
      <c r="G6806" s="41">
        <v>0</v>
      </c>
      <c r="H6806" s="42"/>
      <c r="I6806" s="42"/>
      <c r="J6806" s="42"/>
    </row>
    <row r="6807" spans="5:10">
      <c r="E6807" s="43">
        <v>45349.322916644014</v>
      </c>
      <c r="F6807" s="41">
        <v>4.5571122498185446</v>
      </c>
      <c r="G6807" s="41">
        <v>0</v>
      </c>
      <c r="H6807" s="42"/>
      <c r="I6807" s="42"/>
      <c r="J6807" s="42"/>
    </row>
    <row r="6808" spans="5:10">
      <c r="E6808" s="43">
        <v>45349.326388866233</v>
      </c>
      <c r="F6808" s="41">
        <v>4.5571122498185446</v>
      </c>
      <c r="G6808" s="41">
        <v>0</v>
      </c>
      <c r="H6808" s="42"/>
      <c r="I6808" s="42"/>
      <c r="J6808" s="42"/>
    </row>
    <row r="6809" spans="5:10">
      <c r="E6809" s="43">
        <v>45349.329861088452</v>
      </c>
      <c r="F6809" s="41">
        <v>4.5571122498185446</v>
      </c>
      <c r="G6809" s="41">
        <v>0</v>
      </c>
      <c r="H6809" s="42"/>
      <c r="I6809" s="42"/>
      <c r="J6809" s="42"/>
    </row>
    <row r="6810" spans="5:10">
      <c r="E6810" s="43">
        <v>45349.333333310671</v>
      </c>
      <c r="F6810" s="41">
        <v>4.5571122498185446</v>
      </c>
      <c r="G6810" s="41">
        <v>0</v>
      </c>
      <c r="H6810" s="42"/>
      <c r="I6810" s="42"/>
      <c r="J6810" s="42"/>
    </row>
    <row r="6811" spans="5:10">
      <c r="E6811" s="43">
        <v>45349.33680553289</v>
      </c>
      <c r="F6811" s="41">
        <v>4.5571122498185446</v>
      </c>
      <c r="G6811" s="41">
        <v>0</v>
      </c>
      <c r="H6811" s="42"/>
      <c r="I6811" s="42"/>
      <c r="J6811" s="42"/>
    </row>
    <row r="6812" spans="5:10">
      <c r="E6812" s="43">
        <v>45349.340277755109</v>
      </c>
      <c r="F6812" s="41">
        <v>4.5571122498185446</v>
      </c>
      <c r="G6812" s="41">
        <v>0</v>
      </c>
      <c r="H6812" s="42"/>
      <c r="I6812" s="42"/>
      <c r="J6812" s="42"/>
    </row>
    <row r="6813" spans="5:10">
      <c r="E6813" s="43">
        <v>45349.343749977328</v>
      </c>
      <c r="F6813" s="41">
        <v>4.5571122498185446</v>
      </c>
      <c r="G6813" s="41">
        <v>0</v>
      </c>
      <c r="H6813" s="42"/>
      <c r="I6813" s="42"/>
      <c r="J6813" s="42"/>
    </row>
    <row r="6814" spans="5:10">
      <c r="E6814" s="43">
        <v>45349.347222199547</v>
      </c>
      <c r="F6814" s="41">
        <v>4.5571122498185446</v>
      </c>
      <c r="G6814" s="41">
        <v>0</v>
      </c>
      <c r="H6814" s="42"/>
      <c r="I6814" s="42"/>
      <c r="J6814" s="42"/>
    </row>
    <row r="6815" spans="5:10">
      <c r="E6815" s="43">
        <v>45349.350694421766</v>
      </c>
      <c r="F6815" s="41">
        <v>4.5571122498185446</v>
      </c>
      <c r="G6815" s="41">
        <v>0</v>
      </c>
      <c r="H6815" s="42"/>
      <c r="I6815" s="42"/>
      <c r="J6815" s="42"/>
    </row>
    <row r="6816" spans="5:10">
      <c r="E6816" s="43">
        <v>45349.354166643985</v>
      </c>
      <c r="F6816" s="41">
        <v>4.5571122498185446</v>
      </c>
      <c r="G6816" s="41">
        <v>0</v>
      </c>
      <c r="H6816" s="42"/>
      <c r="I6816" s="42"/>
      <c r="J6816" s="42"/>
    </row>
    <row r="6817" spans="5:10">
      <c r="E6817" s="43">
        <v>45349.357638866204</v>
      </c>
      <c r="F6817" s="41">
        <v>4.5571122498185446</v>
      </c>
      <c r="G6817" s="41">
        <v>0</v>
      </c>
      <c r="H6817" s="42"/>
      <c r="I6817" s="42"/>
      <c r="J6817" s="42"/>
    </row>
    <row r="6818" spans="5:10">
      <c r="E6818" s="43">
        <v>45349.361111088423</v>
      </c>
      <c r="F6818" s="41">
        <v>4.5571122498185446</v>
      </c>
      <c r="G6818" s="41">
        <v>0</v>
      </c>
      <c r="H6818" s="42"/>
      <c r="I6818" s="42"/>
      <c r="J6818" s="42"/>
    </row>
    <row r="6819" spans="5:10">
      <c r="E6819" s="43">
        <v>45349.364583310642</v>
      </c>
      <c r="F6819" s="41">
        <v>4.5571122498185446</v>
      </c>
      <c r="G6819" s="41">
        <v>0</v>
      </c>
      <c r="H6819" s="42"/>
      <c r="I6819" s="42"/>
      <c r="J6819" s="42"/>
    </row>
    <row r="6820" spans="5:10">
      <c r="E6820" s="43">
        <v>45349.368055532861</v>
      </c>
      <c r="F6820" s="41">
        <v>4.5571122498185446</v>
      </c>
      <c r="G6820" s="41">
        <v>0</v>
      </c>
      <c r="H6820" s="42"/>
      <c r="I6820" s="42"/>
      <c r="J6820" s="42"/>
    </row>
    <row r="6821" spans="5:10">
      <c r="E6821" s="43">
        <v>45349.37152775508</v>
      </c>
      <c r="F6821" s="41">
        <v>4.5571122498185446</v>
      </c>
      <c r="G6821" s="41">
        <v>0</v>
      </c>
      <c r="H6821" s="42"/>
      <c r="I6821" s="42"/>
      <c r="J6821" s="42"/>
    </row>
    <row r="6822" spans="5:10">
      <c r="E6822" s="43">
        <v>45349.374999977299</v>
      </c>
      <c r="F6822" s="41">
        <v>4.5571122498185446</v>
      </c>
      <c r="G6822" s="41">
        <v>0</v>
      </c>
      <c r="H6822" s="42"/>
      <c r="I6822" s="42"/>
      <c r="J6822" s="42"/>
    </row>
    <row r="6823" spans="5:10">
      <c r="E6823" s="43">
        <v>45349.378472199518</v>
      </c>
      <c r="F6823" s="41">
        <v>4.5571122498185446</v>
      </c>
      <c r="G6823" s="41">
        <v>0</v>
      </c>
      <c r="H6823" s="42"/>
      <c r="I6823" s="42"/>
      <c r="J6823" s="42"/>
    </row>
    <row r="6824" spans="5:10">
      <c r="E6824" s="43">
        <v>45349.381944421737</v>
      </c>
      <c r="F6824" s="41">
        <v>4.5571122498185446</v>
      </c>
      <c r="G6824" s="41">
        <v>0</v>
      </c>
      <c r="H6824" s="42"/>
      <c r="I6824" s="42"/>
      <c r="J6824" s="42"/>
    </row>
    <row r="6825" spans="5:10">
      <c r="E6825" s="43">
        <v>45349.385416643956</v>
      </c>
      <c r="F6825" s="41">
        <v>4.5571122498185446</v>
      </c>
      <c r="G6825" s="41">
        <v>0</v>
      </c>
      <c r="H6825" s="42"/>
      <c r="I6825" s="42"/>
      <c r="J6825" s="42"/>
    </row>
    <row r="6826" spans="5:10">
      <c r="E6826" s="43">
        <v>45349.388888866175</v>
      </c>
      <c r="F6826" s="41">
        <v>4.5571122498185446</v>
      </c>
      <c r="G6826" s="41">
        <v>0</v>
      </c>
      <c r="H6826" s="42"/>
      <c r="I6826" s="42"/>
      <c r="J6826" s="42"/>
    </row>
    <row r="6827" spans="5:10">
      <c r="E6827" s="43">
        <v>45349.392361088394</v>
      </c>
      <c r="F6827" s="41">
        <v>4.5571122498185446</v>
      </c>
      <c r="G6827" s="41">
        <v>0</v>
      </c>
      <c r="H6827" s="42"/>
      <c r="I6827" s="42"/>
      <c r="J6827" s="42"/>
    </row>
    <row r="6828" spans="5:10">
      <c r="E6828" s="43">
        <v>45349.395833310613</v>
      </c>
      <c r="F6828" s="41">
        <v>4.5571122498185446</v>
      </c>
      <c r="G6828" s="41">
        <v>0</v>
      </c>
      <c r="H6828" s="42"/>
      <c r="I6828" s="42"/>
      <c r="J6828" s="42"/>
    </row>
    <row r="6829" spans="5:10">
      <c r="E6829" s="43">
        <v>45349.399305532832</v>
      </c>
      <c r="F6829" s="41">
        <v>4.5571122498185446</v>
      </c>
      <c r="G6829" s="41">
        <v>0</v>
      </c>
      <c r="H6829" s="42"/>
      <c r="I6829" s="42"/>
      <c r="J6829" s="42"/>
    </row>
    <row r="6830" spans="5:10">
      <c r="E6830" s="43">
        <v>45349.402777755051</v>
      </c>
      <c r="F6830" s="41">
        <v>4.5571122498185446</v>
      </c>
      <c r="G6830" s="41">
        <v>0</v>
      </c>
      <c r="H6830" s="42"/>
      <c r="I6830" s="42"/>
      <c r="J6830" s="42"/>
    </row>
    <row r="6831" spans="5:10">
      <c r="E6831" s="43">
        <v>45349.40624997727</v>
      </c>
      <c r="F6831" s="41">
        <v>4.5571122498185446</v>
      </c>
      <c r="G6831" s="41">
        <v>0</v>
      </c>
      <c r="H6831" s="42"/>
      <c r="I6831" s="42"/>
      <c r="J6831" s="42"/>
    </row>
    <row r="6832" spans="5:10">
      <c r="E6832" s="43">
        <v>45349.409722199489</v>
      </c>
      <c r="F6832" s="41">
        <v>4.5571122498185446</v>
      </c>
      <c r="G6832" s="41">
        <v>0</v>
      </c>
      <c r="H6832" s="42"/>
      <c r="I6832" s="42"/>
      <c r="J6832" s="42"/>
    </row>
    <row r="6833" spans="5:10">
      <c r="E6833" s="43">
        <v>45349.413194421708</v>
      </c>
      <c r="F6833" s="41">
        <v>4.5571122498185446</v>
      </c>
      <c r="G6833" s="41">
        <v>0</v>
      </c>
      <c r="H6833" s="42"/>
      <c r="I6833" s="42"/>
      <c r="J6833" s="42"/>
    </row>
    <row r="6834" spans="5:10">
      <c r="E6834" s="43">
        <v>45349.416666643927</v>
      </c>
      <c r="F6834" s="41">
        <v>4.5571122498185446</v>
      </c>
      <c r="G6834" s="41">
        <v>0</v>
      </c>
      <c r="H6834" s="42"/>
      <c r="I6834" s="42"/>
      <c r="J6834" s="42"/>
    </row>
    <row r="6835" spans="5:10">
      <c r="E6835" s="43">
        <v>45349.420138866146</v>
      </c>
      <c r="F6835" s="41">
        <v>4.5571122498185446</v>
      </c>
      <c r="G6835" s="41">
        <v>0</v>
      </c>
      <c r="H6835" s="42"/>
      <c r="I6835" s="42"/>
      <c r="J6835" s="42"/>
    </row>
    <row r="6836" spans="5:10">
      <c r="E6836" s="43">
        <v>45349.423611088365</v>
      </c>
      <c r="F6836" s="41">
        <v>4.5571122498185446</v>
      </c>
      <c r="G6836" s="41">
        <v>0</v>
      </c>
      <c r="H6836" s="42"/>
      <c r="I6836" s="42"/>
      <c r="J6836" s="42"/>
    </row>
    <row r="6837" spans="5:10">
      <c r="E6837" s="43">
        <v>45349.427083310584</v>
      </c>
      <c r="F6837" s="41">
        <v>4.5571122498185446</v>
      </c>
      <c r="G6837" s="41">
        <v>0</v>
      </c>
      <c r="H6837" s="42"/>
      <c r="I6837" s="42"/>
      <c r="J6837" s="42"/>
    </row>
    <row r="6838" spans="5:10">
      <c r="E6838" s="43">
        <v>45349.430555532803</v>
      </c>
      <c r="F6838" s="41">
        <v>4.5571122498185446</v>
      </c>
      <c r="G6838" s="41">
        <v>0</v>
      </c>
      <c r="H6838" s="42"/>
      <c r="I6838" s="42"/>
      <c r="J6838" s="42"/>
    </row>
    <row r="6839" spans="5:10">
      <c r="E6839" s="43">
        <v>45349.434027755022</v>
      </c>
      <c r="F6839" s="41">
        <v>4.5571122498185446</v>
      </c>
      <c r="G6839" s="41">
        <v>0</v>
      </c>
      <c r="H6839" s="42"/>
      <c r="I6839" s="42"/>
      <c r="J6839" s="42"/>
    </row>
    <row r="6840" spans="5:10">
      <c r="E6840" s="43">
        <v>45349.437499977241</v>
      </c>
      <c r="F6840" s="41">
        <v>4.5571122498185446</v>
      </c>
      <c r="G6840" s="41">
        <v>0</v>
      </c>
      <c r="H6840" s="42"/>
      <c r="I6840" s="42"/>
      <c r="J6840" s="42"/>
    </row>
    <row r="6841" spans="5:10">
      <c r="E6841" s="43">
        <v>45349.44097219946</v>
      </c>
      <c r="F6841" s="41">
        <v>4.5571122498185446</v>
      </c>
      <c r="G6841" s="41">
        <v>0</v>
      </c>
      <c r="H6841" s="42"/>
      <c r="I6841" s="42"/>
      <c r="J6841" s="42"/>
    </row>
    <row r="6842" spans="5:10">
      <c r="E6842" s="43">
        <v>45349.444444421679</v>
      </c>
      <c r="F6842" s="41">
        <v>4.5571122498185446</v>
      </c>
      <c r="G6842" s="41">
        <v>0</v>
      </c>
      <c r="H6842" s="42"/>
      <c r="I6842" s="42"/>
      <c r="J6842" s="42"/>
    </row>
    <row r="6843" spans="5:10">
      <c r="E6843" s="43">
        <v>45349.447916643898</v>
      </c>
      <c r="F6843" s="41">
        <v>4.5571122498185446</v>
      </c>
      <c r="G6843" s="41">
        <v>0</v>
      </c>
      <c r="H6843" s="42"/>
      <c r="I6843" s="42"/>
      <c r="J6843" s="42"/>
    </row>
    <row r="6844" spans="5:10">
      <c r="E6844" s="43">
        <v>45349.451388866117</v>
      </c>
      <c r="F6844" s="41">
        <v>4.5571122498185446</v>
      </c>
      <c r="G6844" s="41">
        <v>0</v>
      </c>
      <c r="H6844" s="42"/>
      <c r="I6844" s="42"/>
      <c r="J6844" s="42"/>
    </row>
    <row r="6845" spans="5:10">
      <c r="E6845" s="43">
        <v>45349.454861088336</v>
      </c>
      <c r="F6845" s="41">
        <v>4.5571122498185446</v>
      </c>
      <c r="G6845" s="41">
        <v>0</v>
      </c>
      <c r="H6845" s="42"/>
      <c r="I6845" s="42"/>
      <c r="J6845" s="42"/>
    </row>
    <row r="6846" spans="5:10">
      <c r="E6846" s="43">
        <v>45349.458333310555</v>
      </c>
      <c r="F6846" s="41">
        <v>4.5571122498185446</v>
      </c>
      <c r="G6846" s="41">
        <v>0</v>
      </c>
      <c r="H6846" s="42"/>
      <c r="I6846" s="42"/>
      <c r="J6846" s="42"/>
    </row>
    <row r="6847" spans="5:10">
      <c r="E6847" s="43">
        <v>45349.461805532774</v>
      </c>
      <c r="F6847" s="41">
        <v>4.5571122498185446</v>
      </c>
      <c r="G6847" s="41">
        <v>0</v>
      </c>
      <c r="H6847" s="42"/>
      <c r="I6847" s="42"/>
      <c r="J6847" s="42"/>
    </row>
    <row r="6848" spans="5:10">
      <c r="E6848" s="43">
        <v>45349.465277754993</v>
      </c>
      <c r="F6848" s="41">
        <v>4.5571122498185446</v>
      </c>
      <c r="G6848" s="41">
        <v>0</v>
      </c>
      <c r="H6848" s="42"/>
      <c r="I6848" s="42"/>
      <c r="J6848" s="42"/>
    </row>
    <row r="6849" spans="5:10">
      <c r="E6849" s="43">
        <v>45349.468749977212</v>
      </c>
      <c r="F6849" s="41">
        <v>4.5571122498185446</v>
      </c>
      <c r="G6849" s="41">
        <v>0</v>
      </c>
      <c r="H6849" s="42"/>
      <c r="I6849" s="42"/>
      <c r="J6849" s="42"/>
    </row>
    <row r="6850" spans="5:10">
      <c r="E6850" s="43">
        <v>45349.472222199431</v>
      </c>
      <c r="F6850" s="41">
        <v>4.5571122498185446</v>
      </c>
      <c r="G6850" s="41">
        <v>0</v>
      </c>
      <c r="H6850" s="42"/>
      <c r="I6850" s="42"/>
      <c r="J6850" s="42"/>
    </row>
    <row r="6851" spans="5:10">
      <c r="E6851" s="43">
        <v>45349.47569442165</v>
      </c>
      <c r="F6851" s="41">
        <v>4.5571122498185446</v>
      </c>
      <c r="G6851" s="41">
        <v>0</v>
      </c>
      <c r="H6851" s="42"/>
      <c r="I6851" s="42"/>
      <c r="J6851" s="42"/>
    </row>
    <row r="6852" spans="5:10">
      <c r="E6852" s="43">
        <v>45349.479166643869</v>
      </c>
      <c r="F6852" s="41">
        <v>4.5571122498185446</v>
      </c>
      <c r="G6852" s="41">
        <v>0</v>
      </c>
      <c r="H6852" s="42"/>
      <c r="I6852" s="42"/>
      <c r="J6852" s="42"/>
    </row>
    <row r="6853" spans="5:10">
      <c r="E6853" s="43">
        <v>45349.482638866088</v>
      </c>
      <c r="F6853" s="41">
        <v>0</v>
      </c>
      <c r="G6853" s="41">
        <v>0</v>
      </c>
      <c r="H6853" s="42"/>
      <c r="I6853" s="42"/>
      <c r="J6853" s="42"/>
    </row>
    <row r="6854" spans="5:10">
      <c r="E6854" s="43">
        <v>45349.486111088307</v>
      </c>
      <c r="F6854" s="41">
        <v>0</v>
      </c>
      <c r="G6854" s="41">
        <v>0</v>
      </c>
      <c r="H6854" s="42"/>
      <c r="I6854" s="42"/>
      <c r="J6854" s="42"/>
    </row>
    <row r="6855" spans="5:10">
      <c r="E6855" s="43">
        <v>45349.489583310526</v>
      </c>
      <c r="F6855" s="41">
        <v>0</v>
      </c>
      <c r="G6855" s="41">
        <v>0</v>
      </c>
      <c r="H6855" s="42"/>
      <c r="I6855" s="42"/>
      <c r="J6855" s="42"/>
    </row>
    <row r="6856" spans="5:10">
      <c r="E6856" s="43">
        <v>45349.493055532745</v>
      </c>
      <c r="F6856" s="41">
        <v>0</v>
      </c>
      <c r="G6856" s="41">
        <v>0</v>
      </c>
      <c r="H6856" s="42"/>
      <c r="I6856" s="42"/>
      <c r="J6856" s="42"/>
    </row>
    <row r="6857" spans="5:10">
      <c r="E6857" s="43">
        <v>45349.496527754964</v>
      </c>
      <c r="F6857" s="41">
        <v>0</v>
      </c>
      <c r="G6857" s="41">
        <v>0</v>
      </c>
      <c r="H6857" s="42"/>
      <c r="I6857" s="42"/>
      <c r="J6857" s="42"/>
    </row>
    <row r="6858" spans="5:10">
      <c r="E6858" s="43">
        <v>45349.499999977183</v>
      </c>
      <c r="F6858" s="41">
        <v>0</v>
      </c>
      <c r="G6858" s="41">
        <v>0</v>
      </c>
      <c r="H6858" s="42"/>
      <c r="I6858" s="42"/>
      <c r="J6858" s="42"/>
    </row>
    <row r="6859" spans="5:10">
      <c r="E6859" s="43">
        <v>45349.503472199402</v>
      </c>
      <c r="F6859" s="41">
        <v>0</v>
      </c>
      <c r="G6859" s="41">
        <v>0</v>
      </c>
      <c r="H6859" s="42"/>
      <c r="I6859" s="42"/>
      <c r="J6859" s="42"/>
    </row>
    <row r="6860" spans="5:10">
      <c r="E6860" s="43">
        <v>45349.506944421621</v>
      </c>
      <c r="F6860" s="41">
        <v>0</v>
      </c>
      <c r="G6860" s="41">
        <v>0</v>
      </c>
      <c r="H6860" s="42"/>
      <c r="I6860" s="42"/>
      <c r="J6860" s="42"/>
    </row>
    <row r="6861" spans="5:10">
      <c r="E6861" s="43">
        <v>45349.51041664384</v>
      </c>
      <c r="F6861" s="41">
        <v>0</v>
      </c>
      <c r="G6861" s="41">
        <v>0</v>
      </c>
      <c r="H6861" s="42"/>
      <c r="I6861" s="42"/>
      <c r="J6861" s="42"/>
    </row>
    <row r="6862" spans="5:10">
      <c r="E6862" s="43">
        <v>45349.513888866059</v>
      </c>
      <c r="F6862" s="41">
        <v>0</v>
      </c>
      <c r="G6862" s="41">
        <v>0</v>
      </c>
      <c r="H6862" s="42"/>
      <c r="I6862" s="42"/>
      <c r="J6862" s="42"/>
    </row>
    <row r="6863" spans="5:10">
      <c r="E6863" s="43">
        <v>45349.517361088278</v>
      </c>
      <c r="F6863" s="41">
        <v>0</v>
      </c>
      <c r="G6863" s="41">
        <v>0</v>
      </c>
      <c r="H6863" s="42"/>
      <c r="I6863" s="42"/>
      <c r="J6863" s="42"/>
    </row>
    <row r="6864" spans="5:10">
      <c r="E6864" s="43">
        <v>45349.520833310497</v>
      </c>
      <c r="F6864" s="41">
        <v>0</v>
      </c>
      <c r="G6864" s="41">
        <v>0</v>
      </c>
      <c r="H6864" s="42"/>
      <c r="I6864" s="42"/>
      <c r="J6864" s="42"/>
    </row>
    <row r="6865" spans="5:10">
      <c r="E6865" s="43">
        <v>45349.524305532716</v>
      </c>
      <c r="F6865" s="41">
        <v>0</v>
      </c>
      <c r="G6865" s="41">
        <v>0</v>
      </c>
      <c r="H6865" s="42"/>
      <c r="I6865" s="42"/>
      <c r="J6865" s="42"/>
    </row>
    <row r="6866" spans="5:10">
      <c r="E6866" s="43">
        <v>45349.527777754935</v>
      </c>
      <c r="F6866" s="41">
        <v>0</v>
      </c>
      <c r="G6866" s="41">
        <v>0</v>
      </c>
      <c r="H6866" s="42"/>
      <c r="I6866" s="42"/>
      <c r="J6866" s="42"/>
    </row>
    <row r="6867" spans="5:10">
      <c r="E6867" s="43">
        <v>45349.531249977153</v>
      </c>
      <c r="F6867" s="41">
        <v>0</v>
      </c>
      <c r="G6867" s="41">
        <v>0</v>
      </c>
      <c r="H6867" s="42"/>
      <c r="I6867" s="42"/>
      <c r="J6867" s="42"/>
    </row>
    <row r="6868" spans="5:10">
      <c r="E6868" s="43">
        <v>45349.534722199372</v>
      </c>
      <c r="F6868" s="41">
        <v>0</v>
      </c>
      <c r="G6868" s="41">
        <v>0</v>
      </c>
      <c r="H6868" s="42"/>
      <c r="I6868" s="42"/>
      <c r="J6868" s="42"/>
    </row>
    <row r="6869" spans="5:10">
      <c r="E6869" s="43">
        <v>45349.538194421591</v>
      </c>
      <c r="F6869" s="41">
        <v>0</v>
      </c>
      <c r="G6869" s="41">
        <v>0</v>
      </c>
      <c r="H6869" s="42"/>
      <c r="I6869" s="42"/>
      <c r="J6869" s="42"/>
    </row>
    <row r="6870" spans="5:10">
      <c r="E6870" s="43">
        <v>45349.54166664381</v>
      </c>
      <c r="F6870" s="41">
        <v>0</v>
      </c>
      <c r="G6870" s="41">
        <v>0</v>
      </c>
      <c r="H6870" s="42"/>
      <c r="I6870" s="42"/>
      <c r="J6870" s="42"/>
    </row>
    <row r="6871" spans="5:10">
      <c r="E6871" s="43">
        <v>45349.545138866029</v>
      </c>
      <c r="F6871" s="41">
        <v>0</v>
      </c>
      <c r="G6871" s="41">
        <v>0</v>
      </c>
      <c r="H6871" s="42"/>
      <c r="I6871" s="42"/>
      <c r="J6871" s="42"/>
    </row>
    <row r="6872" spans="5:10">
      <c r="E6872" s="43">
        <v>45349.548611088248</v>
      </c>
      <c r="F6872" s="41">
        <v>0</v>
      </c>
      <c r="G6872" s="41">
        <v>0</v>
      </c>
      <c r="H6872" s="42"/>
      <c r="I6872" s="42"/>
      <c r="J6872" s="42"/>
    </row>
    <row r="6873" spans="5:10">
      <c r="E6873" s="43">
        <v>45349.552083310467</v>
      </c>
      <c r="F6873" s="41">
        <v>0</v>
      </c>
      <c r="G6873" s="41">
        <v>0</v>
      </c>
      <c r="H6873" s="42"/>
      <c r="I6873" s="42"/>
      <c r="J6873" s="42"/>
    </row>
    <row r="6874" spans="5:10">
      <c r="E6874" s="43">
        <v>45349.555555532686</v>
      </c>
      <c r="F6874" s="41">
        <v>0</v>
      </c>
      <c r="G6874" s="41">
        <v>0</v>
      </c>
      <c r="H6874" s="42"/>
      <c r="I6874" s="42"/>
      <c r="J6874" s="42"/>
    </row>
    <row r="6875" spans="5:10">
      <c r="E6875" s="43">
        <v>45349.559027754905</v>
      </c>
      <c r="F6875" s="41">
        <v>0</v>
      </c>
      <c r="G6875" s="41">
        <v>0</v>
      </c>
      <c r="H6875" s="42"/>
      <c r="I6875" s="42"/>
      <c r="J6875" s="42"/>
    </row>
    <row r="6876" spans="5:10">
      <c r="E6876" s="43">
        <v>45349.562499977124</v>
      </c>
      <c r="F6876" s="41">
        <v>0</v>
      </c>
      <c r="G6876" s="41">
        <v>0</v>
      </c>
      <c r="H6876" s="42"/>
      <c r="I6876" s="42"/>
      <c r="J6876" s="42"/>
    </row>
    <row r="6877" spans="5:10">
      <c r="E6877" s="43">
        <v>45349.565972199343</v>
      </c>
      <c r="F6877" s="41">
        <v>0</v>
      </c>
      <c r="G6877" s="41">
        <v>0</v>
      </c>
      <c r="H6877" s="42"/>
      <c r="I6877" s="42"/>
      <c r="J6877" s="42"/>
    </row>
    <row r="6878" spans="5:10">
      <c r="E6878" s="43">
        <v>45349.569444421562</v>
      </c>
      <c r="F6878" s="41">
        <v>0</v>
      </c>
      <c r="G6878" s="41">
        <v>0</v>
      </c>
      <c r="H6878" s="42"/>
      <c r="I6878" s="42"/>
      <c r="J6878" s="42"/>
    </row>
    <row r="6879" spans="5:10">
      <c r="E6879" s="43">
        <v>45349.572916643781</v>
      </c>
      <c r="F6879" s="41">
        <v>0</v>
      </c>
      <c r="G6879" s="41">
        <v>0</v>
      </c>
      <c r="H6879" s="42"/>
      <c r="I6879" s="42"/>
      <c r="J6879" s="42"/>
    </row>
    <row r="6880" spans="5:10">
      <c r="E6880" s="43">
        <v>45349.576388866</v>
      </c>
      <c r="F6880" s="41">
        <v>0</v>
      </c>
      <c r="G6880" s="41">
        <v>0</v>
      </c>
      <c r="H6880" s="42"/>
      <c r="I6880" s="42"/>
      <c r="J6880" s="42"/>
    </row>
    <row r="6881" spans="5:10">
      <c r="E6881" s="43">
        <v>45349.579861088219</v>
      </c>
      <c r="F6881" s="41">
        <v>0</v>
      </c>
      <c r="G6881" s="41">
        <v>0</v>
      </c>
      <c r="H6881" s="42"/>
      <c r="I6881" s="42"/>
      <c r="J6881" s="42"/>
    </row>
    <row r="6882" spans="5:10">
      <c r="E6882" s="43">
        <v>45349.583333310438</v>
      </c>
      <c r="F6882" s="41">
        <v>0</v>
      </c>
      <c r="G6882" s="41">
        <v>0</v>
      </c>
      <c r="H6882" s="42"/>
      <c r="I6882" s="42"/>
      <c r="J6882" s="42"/>
    </row>
    <row r="6883" spans="5:10">
      <c r="E6883" s="43">
        <v>45349.586805532657</v>
      </c>
      <c r="F6883" s="41">
        <v>0</v>
      </c>
      <c r="G6883" s="41">
        <v>0</v>
      </c>
      <c r="H6883" s="42"/>
      <c r="I6883" s="42"/>
      <c r="J6883" s="42"/>
    </row>
    <row r="6884" spans="5:10">
      <c r="E6884" s="43">
        <v>45349.590277754876</v>
      </c>
      <c r="F6884" s="41">
        <v>0</v>
      </c>
      <c r="G6884" s="41">
        <v>0</v>
      </c>
      <c r="H6884" s="42"/>
      <c r="I6884" s="42"/>
      <c r="J6884" s="42"/>
    </row>
    <row r="6885" spans="5:10">
      <c r="E6885" s="43">
        <v>45349.593749977095</v>
      </c>
      <c r="F6885" s="41">
        <v>0</v>
      </c>
      <c r="G6885" s="41">
        <v>0</v>
      </c>
      <c r="H6885" s="42"/>
      <c r="I6885" s="42"/>
      <c r="J6885" s="42"/>
    </row>
    <row r="6886" spans="5:10">
      <c r="E6886" s="43">
        <v>45349.597222199314</v>
      </c>
      <c r="F6886" s="41">
        <v>0</v>
      </c>
      <c r="G6886" s="41">
        <v>0</v>
      </c>
      <c r="H6886" s="42"/>
      <c r="I6886" s="42"/>
      <c r="J6886" s="42"/>
    </row>
    <row r="6887" spans="5:10">
      <c r="E6887" s="43">
        <v>45349.600694421533</v>
      </c>
      <c r="F6887" s="41">
        <v>0</v>
      </c>
      <c r="G6887" s="41">
        <v>0</v>
      </c>
      <c r="H6887" s="42"/>
      <c r="I6887" s="42"/>
      <c r="J6887" s="42"/>
    </row>
    <row r="6888" spans="5:10">
      <c r="E6888" s="43">
        <v>45349.604166643752</v>
      </c>
      <c r="F6888" s="41">
        <v>0</v>
      </c>
      <c r="G6888" s="41">
        <v>0</v>
      </c>
      <c r="H6888" s="42"/>
      <c r="I6888" s="42"/>
      <c r="J6888" s="42"/>
    </row>
    <row r="6889" spans="5:10">
      <c r="E6889" s="43">
        <v>45349.607638865971</v>
      </c>
      <c r="F6889" s="41">
        <v>0</v>
      </c>
      <c r="G6889" s="41">
        <v>0</v>
      </c>
      <c r="H6889" s="42"/>
      <c r="I6889" s="42"/>
      <c r="J6889" s="42"/>
    </row>
    <row r="6890" spans="5:10">
      <c r="E6890" s="43">
        <v>45349.61111108819</v>
      </c>
      <c r="F6890" s="41">
        <v>0</v>
      </c>
      <c r="G6890" s="41">
        <v>0</v>
      </c>
      <c r="H6890" s="42"/>
      <c r="I6890" s="42"/>
      <c r="J6890" s="42"/>
    </row>
    <row r="6891" spans="5:10">
      <c r="E6891" s="43">
        <v>45349.614583310409</v>
      </c>
      <c r="F6891" s="41">
        <v>0</v>
      </c>
      <c r="G6891" s="41">
        <v>0</v>
      </c>
      <c r="H6891" s="42"/>
      <c r="I6891" s="42"/>
      <c r="J6891" s="42"/>
    </row>
    <row r="6892" spans="5:10">
      <c r="E6892" s="43">
        <v>45349.618055532628</v>
      </c>
      <c r="F6892" s="41">
        <v>0</v>
      </c>
      <c r="G6892" s="41">
        <v>0</v>
      </c>
      <c r="H6892" s="42"/>
      <c r="I6892" s="42"/>
      <c r="J6892" s="42"/>
    </row>
    <row r="6893" spans="5:10">
      <c r="E6893" s="43">
        <v>45349.621527754847</v>
      </c>
      <c r="F6893" s="41">
        <v>0</v>
      </c>
      <c r="G6893" s="41">
        <v>0</v>
      </c>
      <c r="H6893" s="42"/>
      <c r="I6893" s="42"/>
      <c r="J6893" s="42"/>
    </row>
    <row r="6894" spans="5:10">
      <c r="E6894" s="43">
        <v>45349.624999977066</v>
      </c>
      <c r="F6894" s="41">
        <v>0</v>
      </c>
      <c r="G6894" s="41">
        <v>0</v>
      </c>
      <c r="H6894" s="42"/>
      <c r="I6894" s="42"/>
      <c r="J6894" s="42"/>
    </row>
    <row r="6895" spans="5:10">
      <c r="E6895" s="43">
        <v>45349.628472199285</v>
      </c>
      <c r="F6895" s="41">
        <v>0</v>
      </c>
      <c r="G6895" s="41">
        <v>0</v>
      </c>
      <c r="H6895" s="42"/>
      <c r="I6895" s="42"/>
      <c r="J6895" s="42"/>
    </row>
    <row r="6896" spans="5:10">
      <c r="E6896" s="43">
        <v>45349.631944421504</v>
      </c>
      <c r="F6896" s="41">
        <v>0</v>
      </c>
      <c r="G6896" s="41">
        <v>0</v>
      </c>
      <c r="H6896" s="42"/>
      <c r="I6896" s="42"/>
      <c r="J6896" s="42"/>
    </row>
    <row r="6897" spans="5:10">
      <c r="E6897" s="43">
        <v>45349.635416643723</v>
      </c>
      <c r="F6897" s="41">
        <v>0</v>
      </c>
      <c r="G6897" s="41">
        <v>0</v>
      </c>
      <c r="H6897" s="42"/>
      <c r="I6897" s="42"/>
      <c r="J6897" s="42"/>
    </row>
    <row r="6898" spans="5:10">
      <c r="E6898" s="43">
        <v>45349.638888865942</v>
      </c>
      <c r="F6898" s="41">
        <v>0</v>
      </c>
      <c r="G6898" s="41">
        <v>0</v>
      </c>
      <c r="H6898" s="42"/>
      <c r="I6898" s="42"/>
      <c r="J6898" s="42"/>
    </row>
    <row r="6899" spans="5:10">
      <c r="E6899" s="43">
        <v>45349.642361088161</v>
      </c>
      <c r="F6899" s="41">
        <v>0</v>
      </c>
      <c r="G6899" s="41">
        <v>0</v>
      </c>
      <c r="H6899" s="42"/>
      <c r="I6899" s="42"/>
      <c r="J6899" s="42"/>
    </row>
    <row r="6900" spans="5:10">
      <c r="E6900" s="43">
        <v>45349.64583331038</v>
      </c>
      <c r="F6900" s="41">
        <v>0</v>
      </c>
      <c r="G6900" s="41">
        <v>0</v>
      </c>
      <c r="H6900" s="42"/>
      <c r="I6900" s="42"/>
      <c r="J6900" s="42"/>
    </row>
    <row r="6901" spans="5:10">
      <c r="E6901" s="43">
        <v>45349.649305532599</v>
      </c>
      <c r="F6901" s="41">
        <v>0</v>
      </c>
      <c r="G6901" s="41">
        <v>0</v>
      </c>
      <c r="H6901" s="42"/>
      <c r="I6901" s="42"/>
      <c r="J6901" s="42"/>
    </row>
    <row r="6902" spans="5:10">
      <c r="E6902" s="43">
        <v>45349.652777754818</v>
      </c>
      <c r="F6902" s="41">
        <v>0</v>
      </c>
      <c r="G6902" s="41">
        <v>0</v>
      </c>
      <c r="H6902" s="42"/>
      <c r="I6902" s="42"/>
      <c r="J6902" s="42"/>
    </row>
    <row r="6903" spans="5:10">
      <c r="E6903" s="43">
        <v>45349.656249977037</v>
      </c>
      <c r="F6903" s="41">
        <v>0</v>
      </c>
      <c r="G6903" s="41">
        <v>0</v>
      </c>
      <c r="H6903" s="42"/>
      <c r="I6903" s="42"/>
      <c r="J6903" s="42"/>
    </row>
    <row r="6904" spans="5:10">
      <c r="E6904" s="43">
        <v>45349.659722199256</v>
      </c>
      <c r="F6904" s="41">
        <v>0</v>
      </c>
      <c r="G6904" s="41">
        <v>0</v>
      </c>
      <c r="H6904" s="42"/>
      <c r="I6904" s="42"/>
      <c r="J6904" s="42"/>
    </row>
    <row r="6905" spans="5:10">
      <c r="E6905" s="43">
        <v>45349.663194421475</v>
      </c>
      <c r="F6905" s="41">
        <v>0</v>
      </c>
      <c r="G6905" s="41">
        <v>0</v>
      </c>
      <c r="H6905" s="42"/>
      <c r="I6905" s="42"/>
      <c r="J6905" s="42"/>
    </row>
    <row r="6906" spans="5:10">
      <c r="E6906" s="43">
        <v>45349.666666643694</v>
      </c>
      <c r="F6906" s="41">
        <v>0</v>
      </c>
      <c r="G6906" s="41">
        <v>0</v>
      </c>
      <c r="H6906" s="42"/>
      <c r="I6906" s="42"/>
      <c r="J6906" s="42"/>
    </row>
    <row r="6907" spans="5:10">
      <c r="E6907" s="43">
        <v>45349.670138865913</v>
      </c>
      <c r="F6907" s="41">
        <v>0</v>
      </c>
      <c r="G6907" s="41">
        <v>0</v>
      </c>
      <c r="H6907" s="42"/>
      <c r="I6907" s="42"/>
      <c r="J6907" s="42"/>
    </row>
    <row r="6908" spans="5:10">
      <c r="E6908" s="43">
        <v>45349.673611088132</v>
      </c>
      <c r="F6908" s="41">
        <v>0</v>
      </c>
      <c r="G6908" s="41">
        <v>0</v>
      </c>
      <c r="H6908" s="42"/>
      <c r="I6908" s="42"/>
      <c r="J6908" s="42"/>
    </row>
    <row r="6909" spans="5:10">
      <c r="E6909" s="43">
        <v>45349.677083310351</v>
      </c>
      <c r="F6909" s="41">
        <v>0</v>
      </c>
      <c r="G6909" s="41">
        <v>0</v>
      </c>
      <c r="H6909" s="42"/>
      <c r="I6909" s="42"/>
      <c r="J6909" s="42"/>
    </row>
    <row r="6910" spans="5:10">
      <c r="E6910" s="43">
        <v>45349.68055553257</v>
      </c>
      <c r="F6910" s="41">
        <v>0</v>
      </c>
      <c r="G6910" s="41">
        <v>0</v>
      </c>
      <c r="H6910" s="42"/>
      <c r="I6910" s="42"/>
      <c r="J6910" s="42"/>
    </row>
    <row r="6911" spans="5:10">
      <c r="E6911" s="43">
        <v>45349.684027754789</v>
      </c>
      <c r="F6911" s="41">
        <v>0</v>
      </c>
      <c r="G6911" s="41">
        <v>0</v>
      </c>
      <c r="H6911" s="42"/>
      <c r="I6911" s="42"/>
      <c r="J6911" s="42"/>
    </row>
    <row r="6912" spans="5:10">
      <c r="E6912" s="43">
        <v>45349.687499977008</v>
      </c>
      <c r="F6912" s="41">
        <v>0</v>
      </c>
      <c r="G6912" s="41">
        <v>0</v>
      </c>
      <c r="H6912" s="42"/>
      <c r="I6912" s="42"/>
      <c r="J6912" s="42"/>
    </row>
    <row r="6913" spans="5:10">
      <c r="E6913" s="43">
        <v>45349.690972199227</v>
      </c>
      <c r="F6913" s="41">
        <v>0</v>
      </c>
      <c r="G6913" s="41">
        <v>0</v>
      </c>
      <c r="H6913" s="42"/>
      <c r="I6913" s="42"/>
      <c r="J6913" s="42"/>
    </row>
    <row r="6914" spans="5:10">
      <c r="E6914" s="43">
        <v>45349.694444421446</v>
      </c>
      <c r="F6914" s="41">
        <v>0</v>
      </c>
      <c r="G6914" s="41">
        <v>0</v>
      </c>
      <c r="H6914" s="42"/>
      <c r="I6914" s="42"/>
      <c r="J6914" s="42"/>
    </row>
    <row r="6915" spans="5:10">
      <c r="E6915" s="43">
        <v>45349.697916643665</v>
      </c>
      <c r="F6915" s="41">
        <v>0</v>
      </c>
      <c r="G6915" s="41">
        <v>0</v>
      </c>
      <c r="H6915" s="42"/>
      <c r="I6915" s="42"/>
      <c r="J6915" s="42"/>
    </row>
    <row r="6916" spans="5:10">
      <c r="E6916" s="43">
        <v>45349.701388865884</v>
      </c>
      <c r="F6916" s="41">
        <v>0</v>
      </c>
      <c r="G6916" s="41">
        <v>0</v>
      </c>
      <c r="H6916" s="42"/>
      <c r="I6916" s="42"/>
      <c r="J6916" s="42"/>
    </row>
    <row r="6917" spans="5:10">
      <c r="E6917" s="43">
        <v>45349.704861088103</v>
      </c>
      <c r="F6917" s="41">
        <v>0</v>
      </c>
      <c r="G6917" s="41">
        <v>0</v>
      </c>
      <c r="H6917" s="42"/>
      <c r="I6917" s="42"/>
      <c r="J6917" s="42"/>
    </row>
    <row r="6918" spans="5:10">
      <c r="E6918" s="43">
        <v>45349.708333310322</v>
      </c>
      <c r="F6918" s="41">
        <v>5.7517828773357165</v>
      </c>
      <c r="G6918" s="41">
        <v>0</v>
      </c>
      <c r="H6918" s="42"/>
      <c r="I6918" s="42"/>
      <c r="J6918" s="42"/>
    </row>
    <row r="6919" spans="5:10">
      <c r="E6919" s="43">
        <v>45349.711805532541</v>
      </c>
      <c r="F6919" s="41">
        <v>5.7517828773357165</v>
      </c>
      <c r="G6919" s="41">
        <v>0</v>
      </c>
      <c r="H6919" s="42"/>
      <c r="I6919" s="42"/>
      <c r="J6919" s="42"/>
    </row>
    <row r="6920" spans="5:10">
      <c r="E6920" s="43">
        <v>45349.71527775476</v>
      </c>
      <c r="F6920" s="41">
        <v>5.7517828773357165</v>
      </c>
      <c r="G6920" s="41">
        <v>0</v>
      </c>
      <c r="H6920" s="42"/>
      <c r="I6920" s="42"/>
      <c r="J6920" s="42"/>
    </row>
    <row r="6921" spans="5:10">
      <c r="E6921" s="43">
        <v>45349.718749976979</v>
      </c>
      <c r="F6921" s="41">
        <v>5.7517828773357165</v>
      </c>
      <c r="G6921" s="41">
        <v>0</v>
      </c>
      <c r="H6921" s="42"/>
      <c r="I6921" s="42"/>
      <c r="J6921" s="42"/>
    </row>
    <row r="6922" spans="5:10">
      <c r="E6922" s="43">
        <v>45349.722222199198</v>
      </c>
      <c r="F6922" s="41">
        <v>5.7517828773357165</v>
      </c>
      <c r="G6922" s="41">
        <v>0</v>
      </c>
      <c r="H6922" s="42"/>
      <c r="I6922" s="42"/>
      <c r="J6922" s="42"/>
    </row>
    <row r="6923" spans="5:10">
      <c r="E6923" s="43">
        <v>45349.725694421417</v>
      </c>
      <c r="F6923" s="41">
        <v>5.7517828773357165</v>
      </c>
      <c r="G6923" s="41">
        <v>0</v>
      </c>
      <c r="H6923" s="42"/>
      <c r="I6923" s="42"/>
      <c r="J6923" s="42"/>
    </row>
    <row r="6924" spans="5:10">
      <c r="E6924" s="43">
        <v>45349.729166643636</v>
      </c>
      <c r="F6924" s="41">
        <v>5.7517828773357165</v>
      </c>
      <c r="G6924" s="41">
        <v>0</v>
      </c>
      <c r="H6924" s="42"/>
      <c r="I6924" s="42"/>
      <c r="J6924" s="42"/>
    </row>
    <row r="6925" spans="5:10">
      <c r="E6925" s="43">
        <v>45349.732638865855</v>
      </c>
      <c r="F6925" s="41">
        <v>5.7517828773357165</v>
      </c>
      <c r="G6925" s="41">
        <v>0</v>
      </c>
      <c r="H6925" s="42"/>
      <c r="I6925" s="42"/>
      <c r="J6925" s="42"/>
    </row>
    <row r="6926" spans="5:10">
      <c r="E6926" s="43">
        <v>45349.736111088074</v>
      </c>
      <c r="F6926" s="41">
        <v>5.7517828773357165</v>
      </c>
      <c r="G6926" s="41">
        <v>0</v>
      </c>
      <c r="H6926" s="42"/>
      <c r="I6926" s="42"/>
      <c r="J6926" s="42"/>
    </row>
    <row r="6927" spans="5:10">
      <c r="E6927" s="43">
        <v>45349.739583310293</v>
      </c>
      <c r="F6927" s="41">
        <v>5.7517828773357165</v>
      </c>
      <c r="G6927" s="41">
        <v>0</v>
      </c>
      <c r="H6927" s="42"/>
      <c r="I6927" s="42"/>
      <c r="J6927" s="42"/>
    </row>
    <row r="6928" spans="5:10">
      <c r="E6928" s="43">
        <v>45349.743055532512</v>
      </c>
      <c r="F6928" s="41">
        <v>5.7517828773357165</v>
      </c>
      <c r="G6928" s="41">
        <v>0</v>
      </c>
      <c r="H6928" s="42"/>
      <c r="I6928" s="42"/>
      <c r="J6928" s="42"/>
    </row>
    <row r="6929" spans="5:10">
      <c r="E6929" s="43">
        <v>45349.746527754731</v>
      </c>
      <c r="F6929" s="41">
        <v>5.7517828773357165</v>
      </c>
      <c r="G6929" s="41">
        <v>0</v>
      </c>
      <c r="H6929" s="42"/>
      <c r="I6929" s="42"/>
      <c r="J6929" s="42"/>
    </row>
    <row r="6930" spans="5:10">
      <c r="E6930" s="43">
        <v>45349.74999997695</v>
      </c>
      <c r="F6930" s="41">
        <v>5.7517828773357165</v>
      </c>
      <c r="G6930" s="41">
        <v>0</v>
      </c>
      <c r="H6930" s="42"/>
      <c r="I6930" s="42"/>
      <c r="J6930" s="42"/>
    </row>
    <row r="6931" spans="5:10">
      <c r="E6931" s="43">
        <v>45349.753472199169</v>
      </c>
      <c r="F6931" s="41">
        <v>5.7517828773357165</v>
      </c>
      <c r="G6931" s="41">
        <v>0</v>
      </c>
      <c r="H6931" s="42"/>
      <c r="I6931" s="42"/>
      <c r="J6931" s="42"/>
    </row>
    <row r="6932" spans="5:10">
      <c r="E6932" s="43">
        <v>45349.756944421388</v>
      </c>
      <c r="F6932" s="41">
        <v>5.7517828773357165</v>
      </c>
      <c r="G6932" s="41">
        <v>0</v>
      </c>
      <c r="H6932" s="42"/>
      <c r="I6932" s="42"/>
      <c r="J6932" s="42"/>
    </row>
    <row r="6933" spans="5:10">
      <c r="E6933" s="43">
        <v>45349.760416643607</v>
      </c>
      <c r="F6933" s="41">
        <v>5.7517828773357165</v>
      </c>
      <c r="G6933" s="41">
        <v>0</v>
      </c>
      <c r="H6933" s="42"/>
      <c r="I6933" s="42"/>
      <c r="J6933" s="42"/>
    </row>
    <row r="6934" spans="5:10">
      <c r="E6934" s="43">
        <v>45349.763888865826</v>
      </c>
      <c r="F6934" s="41">
        <v>5.7517828773357165</v>
      </c>
      <c r="G6934" s="41">
        <v>0</v>
      </c>
      <c r="H6934" s="42"/>
      <c r="I6934" s="42"/>
      <c r="J6934" s="42"/>
    </row>
    <row r="6935" spans="5:10">
      <c r="E6935" s="43">
        <v>45349.767361088045</v>
      </c>
      <c r="F6935" s="41">
        <v>5.7517828773357165</v>
      </c>
      <c r="G6935" s="41">
        <v>0</v>
      </c>
      <c r="H6935" s="42"/>
      <c r="I6935" s="42"/>
      <c r="J6935" s="42"/>
    </row>
    <row r="6936" spans="5:10">
      <c r="E6936" s="43">
        <v>45349.770833310264</v>
      </c>
      <c r="F6936" s="41">
        <v>5.7517828773357165</v>
      </c>
      <c r="G6936" s="41">
        <v>0</v>
      </c>
      <c r="H6936" s="42"/>
      <c r="I6936" s="42"/>
      <c r="J6936" s="42"/>
    </row>
    <row r="6937" spans="5:10">
      <c r="E6937" s="43">
        <v>45349.774305532483</v>
      </c>
      <c r="F6937" s="41">
        <v>5.7517828773357165</v>
      </c>
      <c r="G6937" s="41">
        <v>0</v>
      </c>
      <c r="H6937" s="42"/>
      <c r="I6937" s="42"/>
      <c r="J6937" s="42"/>
    </row>
    <row r="6938" spans="5:10">
      <c r="E6938" s="43">
        <v>45349.777777754702</v>
      </c>
      <c r="F6938" s="41">
        <v>5.7517828773357165</v>
      </c>
      <c r="G6938" s="41">
        <v>0</v>
      </c>
      <c r="H6938" s="42"/>
      <c r="I6938" s="42"/>
      <c r="J6938" s="42"/>
    </row>
    <row r="6939" spans="5:10">
      <c r="E6939" s="43">
        <v>45349.781249976921</v>
      </c>
      <c r="F6939" s="41">
        <v>5.7517828773357165</v>
      </c>
      <c r="G6939" s="41">
        <v>0</v>
      </c>
      <c r="H6939" s="42"/>
      <c r="I6939" s="42"/>
      <c r="J6939" s="42"/>
    </row>
    <row r="6940" spans="5:10">
      <c r="E6940" s="43">
        <v>45349.78472219914</v>
      </c>
      <c r="F6940" s="41">
        <v>5.7517828773357165</v>
      </c>
      <c r="G6940" s="41">
        <v>0</v>
      </c>
      <c r="H6940" s="42"/>
      <c r="I6940" s="42"/>
      <c r="J6940" s="42"/>
    </row>
    <row r="6941" spans="5:10">
      <c r="E6941" s="43">
        <v>45349.788194421359</v>
      </c>
      <c r="F6941" s="41">
        <v>5.7517828773357165</v>
      </c>
      <c r="G6941" s="41">
        <v>0</v>
      </c>
      <c r="H6941" s="42"/>
      <c r="I6941" s="42"/>
      <c r="J6941" s="42"/>
    </row>
    <row r="6942" spans="5:10">
      <c r="E6942" s="43">
        <v>45349.791666643578</v>
      </c>
      <c r="F6942" s="41">
        <v>5.7517828773357165</v>
      </c>
      <c r="G6942" s="41">
        <v>0</v>
      </c>
      <c r="H6942" s="42"/>
      <c r="I6942" s="42"/>
      <c r="J6942" s="42"/>
    </row>
    <row r="6943" spans="5:10">
      <c r="E6943" s="43">
        <v>45349.795138865797</v>
      </c>
      <c r="F6943" s="41">
        <v>5.7517828773357165</v>
      </c>
      <c r="G6943" s="41">
        <v>0</v>
      </c>
      <c r="H6943" s="42"/>
      <c r="I6943" s="42"/>
      <c r="J6943" s="42"/>
    </row>
    <row r="6944" spans="5:10">
      <c r="E6944" s="43">
        <v>45349.798611088016</v>
      </c>
      <c r="F6944" s="41">
        <v>5.7517828773357165</v>
      </c>
      <c r="G6944" s="41">
        <v>0</v>
      </c>
      <c r="H6944" s="42"/>
      <c r="I6944" s="42"/>
      <c r="J6944" s="42"/>
    </row>
    <row r="6945" spans="5:10">
      <c r="E6945" s="43">
        <v>45349.802083310235</v>
      </c>
      <c r="F6945" s="41">
        <v>5.7517828773357165</v>
      </c>
      <c r="G6945" s="41">
        <v>0</v>
      </c>
      <c r="H6945" s="42"/>
      <c r="I6945" s="42"/>
      <c r="J6945" s="42"/>
    </row>
    <row r="6946" spans="5:10">
      <c r="E6946" s="43">
        <v>45349.805555532454</v>
      </c>
      <c r="F6946" s="41">
        <v>5.7517828773357165</v>
      </c>
      <c r="G6946" s="41">
        <v>0</v>
      </c>
      <c r="H6946" s="42"/>
      <c r="I6946" s="42"/>
      <c r="J6946" s="42"/>
    </row>
    <row r="6947" spans="5:10">
      <c r="E6947" s="43">
        <v>45349.809027754673</v>
      </c>
      <c r="F6947" s="41">
        <v>5.7517828773357165</v>
      </c>
      <c r="G6947" s="41">
        <v>0</v>
      </c>
      <c r="H6947" s="42"/>
      <c r="I6947" s="42"/>
      <c r="J6947" s="42"/>
    </row>
    <row r="6948" spans="5:10">
      <c r="E6948" s="43">
        <v>45349.812499976892</v>
      </c>
      <c r="F6948" s="41">
        <v>5.7517828773357165</v>
      </c>
      <c r="G6948" s="41">
        <v>0</v>
      </c>
      <c r="H6948" s="42"/>
      <c r="I6948" s="42"/>
      <c r="J6948" s="42"/>
    </row>
    <row r="6949" spans="5:10">
      <c r="E6949" s="43">
        <v>45349.815972199111</v>
      </c>
      <c r="F6949" s="41">
        <v>5.7517828773357165</v>
      </c>
      <c r="G6949" s="41">
        <v>0</v>
      </c>
      <c r="H6949" s="42"/>
      <c r="I6949" s="42"/>
      <c r="J6949" s="42"/>
    </row>
    <row r="6950" spans="5:10">
      <c r="E6950" s="43">
        <v>45349.81944442133</v>
      </c>
      <c r="F6950" s="41">
        <v>5.7517828773357165</v>
      </c>
      <c r="G6950" s="41">
        <v>0</v>
      </c>
      <c r="H6950" s="42"/>
      <c r="I6950" s="42"/>
      <c r="J6950" s="42"/>
    </row>
    <row r="6951" spans="5:10">
      <c r="E6951" s="43">
        <v>45349.822916643549</v>
      </c>
      <c r="F6951" s="41">
        <v>5.7517828773357165</v>
      </c>
      <c r="G6951" s="41">
        <v>0</v>
      </c>
      <c r="H6951" s="42"/>
      <c r="I6951" s="42"/>
      <c r="J6951" s="42"/>
    </row>
    <row r="6952" spans="5:10">
      <c r="E6952" s="43">
        <v>45349.826388865768</v>
      </c>
      <c r="F6952" s="41">
        <v>5.7517828773357165</v>
      </c>
      <c r="G6952" s="41">
        <v>0</v>
      </c>
      <c r="H6952" s="42"/>
      <c r="I6952" s="42"/>
      <c r="J6952" s="42"/>
    </row>
    <row r="6953" spans="5:10">
      <c r="E6953" s="43">
        <v>45349.829861087987</v>
      </c>
      <c r="F6953" s="41">
        <v>5.7517828773357165</v>
      </c>
      <c r="G6953" s="41">
        <v>0</v>
      </c>
      <c r="H6953" s="42"/>
      <c r="I6953" s="42"/>
      <c r="J6953" s="42"/>
    </row>
    <row r="6954" spans="5:10">
      <c r="E6954" s="43">
        <v>45349.833333310205</v>
      </c>
      <c r="F6954" s="41">
        <v>5.7517828773357165</v>
      </c>
      <c r="G6954" s="41">
        <v>0</v>
      </c>
      <c r="H6954" s="42"/>
      <c r="I6954" s="42"/>
      <c r="J6954" s="42"/>
    </row>
    <row r="6955" spans="5:10">
      <c r="E6955" s="43">
        <v>45349.836805532424</v>
      </c>
      <c r="F6955" s="41">
        <v>5.7517828773357165</v>
      </c>
      <c r="G6955" s="41">
        <v>0</v>
      </c>
      <c r="H6955" s="42"/>
      <c r="I6955" s="42"/>
      <c r="J6955" s="42"/>
    </row>
    <row r="6956" spans="5:10">
      <c r="E6956" s="43">
        <v>45349.840277754643</v>
      </c>
      <c r="F6956" s="41">
        <v>5.7517828773357165</v>
      </c>
      <c r="G6956" s="41">
        <v>0</v>
      </c>
      <c r="H6956" s="42"/>
      <c r="I6956" s="42"/>
      <c r="J6956" s="42"/>
    </row>
    <row r="6957" spans="5:10">
      <c r="E6957" s="43">
        <v>45349.843749976862</v>
      </c>
      <c r="F6957" s="41">
        <v>5.7517828773357165</v>
      </c>
      <c r="G6957" s="41">
        <v>0</v>
      </c>
      <c r="H6957" s="42"/>
      <c r="I6957" s="42"/>
      <c r="J6957" s="42"/>
    </row>
    <row r="6958" spans="5:10">
      <c r="E6958" s="43">
        <v>45349.847222199081</v>
      </c>
      <c r="F6958" s="41">
        <v>5.7517828773357165</v>
      </c>
      <c r="G6958" s="41">
        <v>0</v>
      </c>
      <c r="H6958" s="42"/>
      <c r="I6958" s="42"/>
      <c r="J6958" s="42"/>
    </row>
    <row r="6959" spans="5:10">
      <c r="E6959" s="43">
        <v>45349.8506944213</v>
      </c>
      <c r="F6959" s="41">
        <v>5.7517828773357165</v>
      </c>
      <c r="G6959" s="41">
        <v>0</v>
      </c>
      <c r="H6959" s="42"/>
      <c r="I6959" s="42"/>
      <c r="J6959" s="42"/>
    </row>
    <row r="6960" spans="5:10">
      <c r="E6960" s="43">
        <v>45349.854166643519</v>
      </c>
      <c r="F6960" s="41">
        <v>5.7517828773357165</v>
      </c>
      <c r="G6960" s="41">
        <v>0</v>
      </c>
      <c r="H6960" s="42"/>
      <c r="I6960" s="42"/>
      <c r="J6960" s="42"/>
    </row>
    <row r="6961" spans="5:10">
      <c r="E6961" s="43">
        <v>45349.857638865738</v>
      </c>
      <c r="F6961" s="41">
        <v>5.7517828773357165</v>
      </c>
      <c r="G6961" s="41">
        <v>0</v>
      </c>
      <c r="H6961" s="42"/>
      <c r="I6961" s="42"/>
      <c r="J6961" s="42"/>
    </row>
    <row r="6962" spans="5:10">
      <c r="E6962" s="43">
        <v>45349.861111087957</v>
      </c>
      <c r="F6962" s="41">
        <v>5.7517828773357165</v>
      </c>
      <c r="G6962" s="41">
        <v>0</v>
      </c>
      <c r="H6962" s="42"/>
      <c r="I6962" s="42"/>
      <c r="J6962" s="42"/>
    </row>
    <row r="6963" spans="5:10">
      <c r="E6963" s="43">
        <v>45349.864583310176</v>
      </c>
      <c r="F6963" s="41">
        <v>5.7517828773357165</v>
      </c>
      <c r="G6963" s="41">
        <v>0</v>
      </c>
      <c r="H6963" s="42"/>
      <c r="I6963" s="42"/>
      <c r="J6963" s="42"/>
    </row>
    <row r="6964" spans="5:10">
      <c r="E6964" s="43">
        <v>45349.868055532395</v>
      </c>
      <c r="F6964" s="41">
        <v>5.7517828773357165</v>
      </c>
      <c r="G6964" s="41">
        <v>0</v>
      </c>
      <c r="H6964" s="42"/>
      <c r="I6964" s="42"/>
      <c r="J6964" s="42"/>
    </row>
    <row r="6965" spans="5:10">
      <c r="E6965" s="43">
        <v>45349.871527754614</v>
      </c>
      <c r="F6965" s="41">
        <v>5.7517828773357165</v>
      </c>
      <c r="G6965" s="41">
        <v>0</v>
      </c>
      <c r="H6965" s="42"/>
      <c r="I6965" s="42"/>
      <c r="J6965" s="42"/>
    </row>
    <row r="6966" spans="5:10">
      <c r="E6966" s="43">
        <v>45349.874999976833</v>
      </c>
      <c r="F6966" s="41">
        <v>5.7517828773357165</v>
      </c>
      <c r="G6966" s="41">
        <v>0</v>
      </c>
      <c r="H6966" s="42"/>
      <c r="I6966" s="42"/>
      <c r="J6966" s="42"/>
    </row>
    <row r="6967" spans="5:10">
      <c r="E6967" s="43">
        <v>45349.878472199052</v>
      </c>
      <c r="F6967" s="41">
        <v>5.7517828773357165</v>
      </c>
      <c r="G6967" s="41">
        <v>0</v>
      </c>
      <c r="H6967" s="42"/>
      <c r="I6967" s="42"/>
      <c r="J6967" s="42"/>
    </row>
    <row r="6968" spans="5:10">
      <c r="E6968" s="43">
        <v>45349.881944421271</v>
      </c>
      <c r="F6968" s="41">
        <v>5.7517828773357165</v>
      </c>
      <c r="G6968" s="41">
        <v>0</v>
      </c>
      <c r="H6968" s="42"/>
      <c r="I6968" s="42"/>
      <c r="J6968" s="42"/>
    </row>
    <row r="6969" spans="5:10">
      <c r="E6969" s="43">
        <v>45349.88541664349</v>
      </c>
      <c r="F6969" s="41">
        <v>5.7517828773357165</v>
      </c>
      <c r="G6969" s="41">
        <v>0</v>
      </c>
      <c r="H6969" s="42"/>
      <c r="I6969" s="42"/>
      <c r="J6969" s="42"/>
    </row>
    <row r="6970" spans="5:10">
      <c r="E6970" s="43">
        <v>45349.888888865709</v>
      </c>
      <c r="F6970" s="41">
        <v>5.7517828773357165</v>
      </c>
      <c r="G6970" s="41">
        <v>0</v>
      </c>
      <c r="H6970" s="42"/>
      <c r="I6970" s="42"/>
      <c r="J6970" s="42"/>
    </row>
    <row r="6971" spans="5:10">
      <c r="E6971" s="43">
        <v>45349.892361087928</v>
      </c>
      <c r="F6971" s="41">
        <v>5.7517828773357165</v>
      </c>
      <c r="G6971" s="41">
        <v>0</v>
      </c>
      <c r="H6971" s="42"/>
      <c r="I6971" s="42"/>
      <c r="J6971" s="42"/>
    </row>
    <row r="6972" spans="5:10">
      <c r="E6972" s="43">
        <v>45349.895833310147</v>
      </c>
      <c r="F6972" s="41">
        <v>5.7517828773357165</v>
      </c>
      <c r="G6972" s="41">
        <v>0</v>
      </c>
      <c r="H6972" s="42"/>
      <c r="I6972" s="42"/>
      <c r="J6972" s="42"/>
    </row>
    <row r="6973" spans="5:10">
      <c r="E6973" s="43">
        <v>45349.899305532366</v>
      </c>
      <c r="F6973" s="41">
        <v>5.7517828773357165</v>
      </c>
      <c r="G6973" s="41">
        <v>0</v>
      </c>
      <c r="H6973" s="42"/>
      <c r="I6973" s="42"/>
      <c r="J6973" s="42"/>
    </row>
    <row r="6974" spans="5:10">
      <c r="E6974" s="43">
        <v>45349.902777754585</v>
      </c>
      <c r="F6974" s="41">
        <v>5.7517828773357165</v>
      </c>
      <c r="G6974" s="41">
        <v>0</v>
      </c>
      <c r="H6974" s="42"/>
      <c r="I6974" s="42"/>
      <c r="J6974" s="42"/>
    </row>
    <row r="6975" spans="5:10">
      <c r="E6975" s="43">
        <v>45349.906249976804</v>
      </c>
      <c r="F6975" s="41">
        <v>5.7517828773357165</v>
      </c>
      <c r="G6975" s="41">
        <v>0</v>
      </c>
      <c r="H6975" s="42"/>
      <c r="I6975" s="42"/>
      <c r="J6975" s="42"/>
    </row>
    <row r="6976" spans="5:10">
      <c r="E6976" s="43">
        <v>45349.909722199023</v>
      </c>
      <c r="F6976" s="41">
        <v>5.7517828773357165</v>
      </c>
      <c r="G6976" s="41">
        <v>0</v>
      </c>
      <c r="H6976" s="42"/>
      <c r="I6976" s="42"/>
      <c r="J6976" s="42"/>
    </row>
    <row r="6977" spans="5:10">
      <c r="E6977" s="43">
        <v>45349.913194421242</v>
      </c>
      <c r="F6977" s="41">
        <v>5.7517828773357165</v>
      </c>
      <c r="G6977" s="41">
        <v>0</v>
      </c>
      <c r="H6977" s="42"/>
      <c r="I6977" s="42"/>
      <c r="J6977" s="42"/>
    </row>
    <row r="6978" spans="5:10">
      <c r="E6978" s="43">
        <v>45349.916666643461</v>
      </c>
      <c r="F6978" s="41">
        <v>5.7517828773357165</v>
      </c>
      <c r="G6978" s="41">
        <v>0</v>
      </c>
      <c r="H6978" s="42"/>
      <c r="I6978" s="42"/>
      <c r="J6978" s="42"/>
    </row>
    <row r="6979" spans="5:10">
      <c r="E6979" s="43">
        <v>45349.92013886568</v>
      </c>
      <c r="F6979" s="41">
        <v>5.7517828773357165</v>
      </c>
      <c r="G6979" s="41">
        <v>0</v>
      </c>
      <c r="H6979" s="42"/>
      <c r="I6979" s="42"/>
      <c r="J6979" s="42"/>
    </row>
    <row r="6980" spans="5:10">
      <c r="E6980" s="43">
        <v>45349.923611087899</v>
      </c>
      <c r="F6980" s="41">
        <v>5.7517828773357165</v>
      </c>
      <c r="G6980" s="41">
        <v>0</v>
      </c>
      <c r="H6980" s="42"/>
      <c r="I6980" s="42"/>
      <c r="J6980" s="42"/>
    </row>
    <row r="6981" spans="5:10">
      <c r="E6981" s="43">
        <v>45349.927083310118</v>
      </c>
      <c r="F6981" s="41">
        <v>5.7517828773357165</v>
      </c>
      <c r="G6981" s="41">
        <v>0</v>
      </c>
      <c r="H6981" s="42"/>
      <c r="I6981" s="42"/>
      <c r="J6981" s="42"/>
    </row>
    <row r="6982" spans="5:10">
      <c r="E6982" s="43">
        <v>45349.930555532337</v>
      </c>
      <c r="F6982" s="41">
        <v>5.7517828773357165</v>
      </c>
      <c r="G6982" s="41">
        <v>0</v>
      </c>
      <c r="H6982" s="42"/>
      <c r="I6982" s="42"/>
      <c r="J6982" s="42"/>
    </row>
    <row r="6983" spans="5:10">
      <c r="E6983" s="43">
        <v>45349.934027754556</v>
      </c>
      <c r="F6983" s="41">
        <v>5.7517828773357165</v>
      </c>
      <c r="G6983" s="41">
        <v>0</v>
      </c>
      <c r="H6983" s="42"/>
      <c r="I6983" s="42"/>
      <c r="J6983" s="42"/>
    </row>
    <row r="6984" spans="5:10">
      <c r="E6984" s="43">
        <v>45349.937499976775</v>
      </c>
      <c r="F6984" s="41">
        <v>5.7517828773357165</v>
      </c>
      <c r="G6984" s="41">
        <v>0</v>
      </c>
      <c r="H6984" s="42"/>
      <c r="I6984" s="42"/>
      <c r="J6984" s="42"/>
    </row>
    <row r="6985" spans="5:10">
      <c r="E6985" s="43">
        <v>45349.940972198994</v>
      </c>
      <c r="F6985" s="41">
        <v>5.7517828773357165</v>
      </c>
      <c r="G6985" s="41">
        <v>0</v>
      </c>
      <c r="H6985" s="42"/>
      <c r="I6985" s="42"/>
      <c r="J6985" s="42"/>
    </row>
    <row r="6986" spans="5:10">
      <c r="E6986" s="43">
        <v>45349.944444421213</v>
      </c>
      <c r="F6986" s="41">
        <v>5.7517828773357165</v>
      </c>
      <c r="G6986" s="41">
        <v>0</v>
      </c>
      <c r="H6986" s="42"/>
      <c r="I6986" s="42"/>
      <c r="J6986" s="42"/>
    </row>
    <row r="6987" spans="5:10">
      <c r="E6987" s="43">
        <v>45349.947916643432</v>
      </c>
      <c r="F6987" s="41">
        <v>5.7517828773357165</v>
      </c>
      <c r="G6987" s="41">
        <v>0</v>
      </c>
      <c r="H6987" s="42"/>
      <c r="I6987" s="42"/>
      <c r="J6987" s="42"/>
    </row>
    <row r="6988" spans="5:10">
      <c r="E6988" s="43">
        <v>45349.951388865651</v>
      </c>
      <c r="F6988" s="41">
        <v>5.7517828773357165</v>
      </c>
      <c r="G6988" s="41">
        <v>0</v>
      </c>
      <c r="H6988" s="42"/>
      <c r="I6988" s="42"/>
      <c r="J6988" s="42"/>
    </row>
    <row r="6989" spans="5:10">
      <c r="E6989" s="43">
        <v>45349.95486108787</v>
      </c>
      <c r="F6989" s="41">
        <v>5.7517828773357165</v>
      </c>
      <c r="G6989" s="41">
        <v>0</v>
      </c>
      <c r="H6989" s="42"/>
      <c r="I6989" s="42"/>
      <c r="J6989" s="42"/>
    </row>
    <row r="6990" spans="5:10">
      <c r="E6990" s="43">
        <v>45349.958333310089</v>
      </c>
      <c r="F6990" s="41">
        <v>5.7517828773357165</v>
      </c>
      <c r="G6990" s="41">
        <v>0</v>
      </c>
      <c r="H6990" s="42"/>
      <c r="I6990" s="42"/>
      <c r="J6990" s="42"/>
    </row>
    <row r="6991" spans="5:10">
      <c r="E6991" s="43">
        <v>45349.961805532308</v>
      </c>
      <c r="F6991" s="41">
        <v>5.7517828773357165</v>
      </c>
      <c r="G6991" s="41">
        <v>0</v>
      </c>
      <c r="H6991" s="42"/>
      <c r="I6991" s="42"/>
      <c r="J6991" s="42"/>
    </row>
    <row r="6992" spans="5:10">
      <c r="E6992" s="43">
        <v>45349.965277754527</v>
      </c>
      <c r="F6992" s="41">
        <v>5.7517828773357165</v>
      </c>
      <c r="G6992" s="41">
        <v>0</v>
      </c>
      <c r="H6992" s="42"/>
      <c r="I6992" s="42"/>
      <c r="J6992" s="42"/>
    </row>
    <row r="6993" spans="5:10">
      <c r="E6993" s="43">
        <v>45349.968749976746</v>
      </c>
      <c r="F6993" s="41">
        <v>5.7517828773357165</v>
      </c>
      <c r="G6993" s="41">
        <v>0</v>
      </c>
      <c r="H6993" s="42"/>
      <c r="I6993" s="42"/>
      <c r="J6993" s="42"/>
    </row>
    <row r="6994" spans="5:10">
      <c r="E6994" s="43">
        <v>45349.972222198965</v>
      </c>
      <c r="F6994" s="41">
        <v>5.7517828773357165</v>
      </c>
      <c r="G6994" s="41">
        <v>0</v>
      </c>
      <c r="H6994" s="42"/>
      <c r="I6994" s="42"/>
      <c r="J6994" s="42"/>
    </row>
    <row r="6995" spans="5:10">
      <c r="E6995" s="43">
        <v>45349.975694421184</v>
      </c>
      <c r="F6995" s="41">
        <v>5.7517828773357165</v>
      </c>
      <c r="G6995" s="41">
        <v>0</v>
      </c>
      <c r="H6995" s="42"/>
      <c r="I6995" s="42"/>
      <c r="J6995" s="42"/>
    </row>
    <row r="6996" spans="5:10">
      <c r="E6996" s="43">
        <v>45349.979166643403</v>
      </c>
      <c r="F6996" s="41">
        <v>5.7517828773357165</v>
      </c>
      <c r="G6996" s="41">
        <v>0</v>
      </c>
      <c r="H6996" s="42"/>
      <c r="I6996" s="42"/>
      <c r="J6996" s="42"/>
    </row>
    <row r="6997" spans="5:10">
      <c r="E6997" s="43">
        <v>45349.982638865622</v>
      </c>
      <c r="F6997" s="41">
        <v>5.7517828773357165</v>
      </c>
      <c r="G6997" s="41">
        <v>0</v>
      </c>
      <c r="H6997" s="42"/>
      <c r="I6997" s="42"/>
      <c r="J6997" s="42"/>
    </row>
    <row r="6998" spans="5:10">
      <c r="E6998" s="43">
        <v>45349.986111087841</v>
      </c>
      <c r="F6998" s="41">
        <v>5.7517828773357165</v>
      </c>
      <c r="G6998" s="41">
        <v>0</v>
      </c>
      <c r="H6998" s="42"/>
      <c r="I6998" s="42"/>
      <c r="J6998" s="42"/>
    </row>
    <row r="6999" spans="5:10">
      <c r="E6999" s="43">
        <v>45349.98958331006</v>
      </c>
      <c r="F6999" s="41">
        <v>5.7517828773357165</v>
      </c>
      <c r="G6999" s="41">
        <v>0</v>
      </c>
      <c r="H6999" s="42"/>
      <c r="I6999" s="42"/>
      <c r="J6999" s="42"/>
    </row>
    <row r="7000" spans="5:10">
      <c r="E7000" s="43">
        <v>45349.993055532279</v>
      </c>
      <c r="F7000" s="41">
        <v>5.7517828773357165</v>
      </c>
      <c r="G7000" s="41">
        <v>0</v>
      </c>
      <c r="H7000" s="42"/>
      <c r="I7000" s="42"/>
      <c r="J7000" s="42"/>
    </row>
    <row r="7001" spans="5:10">
      <c r="E7001" s="43">
        <v>45349.996527754498</v>
      </c>
      <c r="F7001" s="41">
        <v>5.7517828773357165</v>
      </c>
      <c r="G7001" s="41">
        <v>0</v>
      </c>
      <c r="H7001" s="42"/>
      <c r="I7001" s="42"/>
      <c r="J7001" s="42"/>
    </row>
    <row r="7002" spans="5:10">
      <c r="E7002" s="43">
        <v>45349.999999976717</v>
      </c>
      <c r="F7002" s="41">
        <v>5.7517828773357165</v>
      </c>
      <c r="G7002" s="41">
        <v>0</v>
      </c>
      <c r="H7002" s="42"/>
      <c r="I7002" s="42"/>
      <c r="J7002" s="42"/>
    </row>
    <row r="7003" spans="5:10">
      <c r="E7003" s="43">
        <v>45350.003472198936</v>
      </c>
      <c r="F7003" s="41">
        <v>5.7517828773357165</v>
      </c>
      <c r="G7003" s="41">
        <v>0</v>
      </c>
      <c r="H7003" s="42"/>
      <c r="I7003" s="42"/>
      <c r="J7003" s="42"/>
    </row>
    <row r="7004" spans="5:10">
      <c r="E7004" s="43">
        <v>45350.006944421155</v>
      </c>
      <c r="F7004" s="41">
        <v>5.7517828773357165</v>
      </c>
      <c r="G7004" s="41">
        <v>0</v>
      </c>
      <c r="H7004" s="42"/>
      <c r="I7004" s="42"/>
      <c r="J7004" s="42"/>
    </row>
    <row r="7005" spans="5:10">
      <c r="E7005" s="43">
        <v>45350.010416643374</v>
      </c>
      <c r="F7005" s="41">
        <v>5.7517828773357165</v>
      </c>
      <c r="G7005" s="41">
        <v>0</v>
      </c>
      <c r="H7005" s="42"/>
      <c r="I7005" s="42"/>
      <c r="J7005" s="42"/>
    </row>
    <row r="7006" spans="5:10">
      <c r="E7006" s="43">
        <v>45350.013888865593</v>
      </c>
      <c r="F7006" s="41">
        <v>5.7517828773357165</v>
      </c>
      <c r="G7006" s="41">
        <v>0</v>
      </c>
      <c r="H7006" s="42"/>
      <c r="I7006" s="42"/>
      <c r="J7006" s="42"/>
    </row>
    <row r="7007" spans="5:10">
      <c r="E7007" s="43">
        <v>45350.017361087812</v>
      </c>
      <c r="F7007" s="41">
        <v>5.7517828773357165</v>
      </c>
      <c r="G7007" s="41">
        <v>0</v>
      </c>
      <c r="H7007" s="42"/>
      <c r="I7007" s="42"/>
      <c r="J7007" s="42"/>
    </row>
    <row r="7008" spans="5:10">
      <c r="E7008" s="43">
        <v>45350.020833310031</v>
      </c>
      <c r="F7008" s="41">
        <v>5.7517828773357165</v>
      </c>
      <c r="G7008" s="41">
        <v>0</v>
      </c>
      <c r="H7008" s="42"/>
      <c r="I7008" s="42"/>
      <c r="J7008" s="42"/>
    </row>
    <row r="7009" spans="5:10">
      <c r="E7009" s="43">
        <v>45350.02430553225</v>
      </c>
      <c r="F7009" s="41">
        <v>5.7517828773357165</v>
      </c>
      <c r="G7009" s="41">
        <v>0</v>
      </c>
      <c r="H7009" s="42"/>
      <c r="I7009" s="42"/>
      <c r="J7009" s="42"/>
    </row>
    <row r="7010" spans="5:10">
      <c r="E7010" s="43">
        <v>45350.027777754469</v>
      </c>
      <c r="F7010" s="41">
        <v>5.7517828773357165</v>
      </c>
      <c r="G7010" s="41">
        <v>0</v>
      </c>
      <c r="H7010" s="42"/>
      <c r="I7010" s="42"/>
      <c r="J7010" s="42"/>
    </row>
    <row r="7011" spans="5:10">
      <c r="E7011" s="43">
        <v>45350.031249976688</v>
      </c>
      <c r="F7011" s="41">
        <v>5.7517828773357165</v>
      </c>
      <c r="G7011" s="41">
        <v>0</v>
      </c>
      <c r="H7011" s="42"/>
      <c r="I7011" s="42"/>
      <c r="J7011" s="42"/>
    </row>
    <row r="7012" spans="5:10">
      <c r="E7012" s="43">
        <v>45350.034722198907</v>
      </c>
      <c r="F7012" s="41">
        <v>5.7517828773357165</v>
      </c>
      <c r="G7012" s="41">
        <v>0</v>
      </c>
      <c r="H7012" s="42"/>
      <c r="I7012" s="42"/>
      <c r="J7012" s="42"/>
    </row>
    <row r="7013" spans="5:10">
      <c r="E7013" s="43">
        <v>45350.038194421126</v>
      </c>
      <c r="F7013" s="41">
        <v>5.7517828773357165</v>
      </c>
      <c r="G7013" s="41">
        <v>0</v>
      </c>
      <c r="H7013" s="42"/>
      <c r="I7013" s="42"/>
      <c r="J7013" s="42"/>
    </row>
    <row r="7014" spans="5:10">
      <c r="E7014" s="43">
        <v>45350.041666643345</v>
      </c>
      <c r="F7014" s="41">
        <v>5.7517828773357165</v>
      </c>
      <c r="G7014" s="41">
        <v>0</v>
      </c>
      <c r="H7014" s="42"/>
      <c r="I7014" s="42"/>
      <c r="J7014" s="42"/>
    </row>
    <row r="7015" spans="5:10">
      <c r="E7015" s="43">
        <v>45350.045138865564</v>
      </c>
      <c r="F7015" s="41">
        <v>5.7517828773357165</v>
      </c>
      <c r="G7015" s="41">
        <v>0</v>
      </c>
      <c r="H7015" s="42"/>
      <c r="I7015" s="42"/>
      <c r="J7015" s="42"/>
    </row>
    <row r="7016" spans="5:10">
      <c r="E7016" s="43">
        <v>45350.048611087783</v>
      </c>
      <c r="F7016" s="41">
        <v>5.7517828773357165</v>
      </c>
      <c r="G7016" s="41">
        <v>0</v>
      </c>
      <c r="H7016" s="42"/>
      <c r="I7016" s="42"/>
      <c r="J7016" s="42"/>
    </row>
    <row r="7017" spans="5:10">
      <c r="E7017" s="43">
        <v>45350.052083310002</v>
      </c>
      <c r="F7017" s="41">
        <v>5.7517828773357165</v>
      </c>
      <c r="G7017" s="41">
        <v>0</v>
      </c>
      <c r="H7017" s="42"/>
      <c r="I7017" s="42"/>
      <c r="J7017" s="42"/>
    </row>
    <row r="7018" spans="5:10">
      <c r="E7018" s="43">
        <v>45350.055555532221</v>
      </c>
      <c r="F7018" s="41">
        <v>5.7517828773357165</v>
      </c>
      <c r="G7018" s="41">
        <v>0</v>
      </c>
      <c r="H7018" s="42"/>
      <c r="I7018" s="42"/>
      <c r="J7018" s="42"/>
    </row>
    <row r="7019" spans="5:10">
      <c r="E7019" s="43">
        <v>45350.05902775444</v>
      </c>
      <c r="F7019" s="41">
        <v>5.7517828773357165</v>
      </c>
      <c r="G7019" s="41">
        <v>0</v>
      </c>
      <c r="H7019" s="42"/>
      <c r="I7019" s="42"/>
      <c r="J7019" s="42"/>
    </row>
    <row r="7020" spans="5:10">
      <c r="E7020" s="43">
        <v>45350.062499976659</v>
      </c>
      <c r="F7020" s="41">
        <v>5.7517828773357165</v>
      </c>
      <c r="G7020" s="41">
        <v>0</v>
      </c>
      <c r="H7020" s="42"/>
      <c r="I7020" s="42"/>
      <c r="J7020" s="42"/>
    </row>
    <row r="7021" spans="5:10">
      <c r="E7021" s="43">
        <v>45350.065972198878</v>
      </c>
      <c r="F7021" s="41">
        <v>5.7517828773357165</v>
      </c>
      <c r="G7021" s="41">
        <v>0</v>
      </c>
      <c r="H7021" s="42"/>
      <c r="I7021" s="42"/>
      <c r="J7021" s="42"/>
    </row>
    <row r="7022" spans="5:10">
      <c r="E7022" s="43">
        <v>45350.069444421097</v>
      </c>
      <c r="F7022" s="41">
        <v>5.7517828773357165</v>
      </c>
      <c r="G7022" s="41">
        <v>0</v>
      </c>
      <c r="H7022" s="42"/>
      <c r="I7022" s="42"/>
      <c r="J7022" s="42"/>
    </row>
    <row r="7023" spans="5:10">
      <c r="E7023" s="43">
        <v>45350.072916643316</v>
      </c>
      <c r="F7023" s="41">
        <v>5.7517828773357165</v>
      </c>
      <c r="G7023" s="41">
        <v>0</v>
      </c>
      <c r="H7023" s="42"/>
      <c r="I7023" s="42"/>
      <c r="J7023" s="42"/>
    </row>
    <row r="7024" spans="5:10">
      <c r="E7024" s="43">
        <v>45350.076388865535</v>
      </c>
      <c r="F7024" s="41">
        <v>5.7517828773357165</v>
      </c>
      <c r="G7024" s="41">
        <v>0</v>
      </c>
      <c r="H7024" s="42"/>
      <c r="I7024" s="42"/>
      <c r="J7024" s="42"/>
    </row>
    <row r="7025" spans="5:10">
      <c r="E7025" s="43">
        <v>45350.079861087754</v>
      </c>
      <c r="F7025" s="41">
        <v>5.7517828773357165</v>
      </c>
      <c r="G7025" s="41">
        <v>0</v>
      </c>
      <c r="H7025" s="42"/>
      <c r="I7025" s="42"/>
      <c r="J7025" s="42"/>
    </row>
    <row r="7026" spans="5:10">
      <c r="E7026" s="43">
        <v>45350.083333309973</v>
      </c>
      <c r="F7026" s="41">
        <v>5.7517828773357165</v>
      </c>
      <c r="G7026" s="41">
        <v>0</v>
      </c>
      <c r="H7026" s="42"/>
      <c r="I7026" s="42"/>
      <c r="J7026" s="42"/>
    </row>
    <row r="7027" spans="5:10">
      <c r="E7027" s="43">
        <v>45350.086805532192</v>
      </c>
      <c r="F7027" s="41">
        <v>5.7517828773357165</v>
      </c>
      <c r="G7027" s="41">
        <v>0</v>
      </c>
      <c r="H7027" s="42"/>
      <c r="I7027" s="42"/>
      <c r="J7027" s="42"/>
    </row>
    <row r="7028" spans="5:10">
      <c r="E7028" s="43">
        <v>45350.090277754411</v>
      </c>
      <c r="F7028" s="41">
        <v>5.7517828773357165</v>
      </c>
      <c r="G7028" s="41">
        <v>0</v>
      </c>
      <c r="H7028" s="42"/>
      <c r="I7028" s="42"/>
      <c r="J7028" s="42"/>
    </row>
    <row r="7029" spans="5:10">
      <c r="E7029" s="43">
        <v>45350.09374997663</v>
      </c>
      <c r="F7029" s="41">
        <v>5.7517828773357165</v>
      </c>
      <c r="G7029" s="41">
        <v>0</v>
      </c>
      <c r="H7029" s="42"/>
      <c r="I7029" s="42"/>
      <c r="J7029" s="42"/>
    </row>
    <row r="7030" spans="5:10">
      <c r="E7030" s="43">
        <v>45350.097222198849</v>
      </c>
      <c r="F7030" s="41">
        <v>5.7517828773357165</v>
      </c>
      <c r="G7030" s="41">
        <v>0</v>
      </c>
      <c r="H7030" s="42"/>
      <c r="I7030" s="42"/>
      <c r="J7030" s="42"/>
    </row>
    <row r="7031" spans="5:10">
      <c r="E7031" s="43">
        <v>45350.100694421068</v>
      </c>
      <c r="F7031" s="41">
        <v>5.7517828773357165</v>
      </c>
      <c r="G7031" s="41">
        <v>0</v>
      </c>
      <c r="H7031" s="42"/>
      <c r="I7031" s="42"/>
      <c r="J7031" s="42"/>
    </row>
    <row r="7032" spans="5:10">
      <c r="E7032" s="43">
        <v>45350.104166643287</v>
      </c>
      <c r="F7032" s="41">
        <v>5.7517828773357165</v>
      </c>
      <c r="G7032" s="41">
        <v>0</v>
      </c>
      <c r="H7032" s="42"/>
      <c r="I7032" s="42"/>
      <c r="J7032" s="42"/>
    </row>
    <row r="7033" spans="5:10">
      <c r="E7033" s="43">
        <v>45350.107638865506</v>
      </c>
      <c r="F7033" s="41">
        <v>5.7517828773357165</v>
      </c>
      <c r="G7033" s="41">
        <v>0</v>
      </c>
      <c r="H7033" s="42"/>
      <c r="I7033" s="42"/>
      <c r="J7033" s="42"/>
    </row>
    <row r="7034" spans="5:10">
      <c r="E7034" s="43">
        <v>45350.111111087725</v>
      </c>
      <c r="F7034" s="41">
        <v>5.7517828773357165</v>
      </c>
      <c r="G7034" s="41">
        <v>0</v>
      </c>
      <c r="H7034" s="42"/>
      <c r="I7034" s="42"/>
      <c r="J7034" s="42"/>
    </row>
    <row r="7035" spans="5:10">
      <c r="E7035" s="43">
        <v>45350.114583309944</v>
      </c>
      <c r="F7035" s="41">
        <v>5.7517828773357165</v>
      </c>
      <c r="G7035" s="41">
        <v>0</v>
      </c>
      <c r="H7035" s="42"/>
      <c r="I7035" s="42"/>
      <c r="J7035" s="42"/>
    </row>
    <row r="7036" spans="5:10">
      <c r="E7036" s="43">
        <v>45350.118055532163</v>
      </c>
      <c r="F7036" s="41">
        <v>5.7517828773357165</v>
      </c>
      <c r="G7036" s="41">
        <v>0</v>
      </c>
      <c r="H7036" s="42"/>
      <c r="I7036" s="42"/>
      <c r="J7036" s="42"/>
    </row>
    <row r="7037" spans="5:10">
      <c r="E7037" s="43">
        <v>45350.121527754382</v>
      </c>
      <c r="F7037" s="41">
        <v>5.7517828773357165</v>
      </c>
      <c r="G7037" s="41">
        <v>0</v>
      </c>
      <c r="H7037" s="42"/>
      <c r="I7037" s="42"/>
      <c r="J7037" s="42"/>
    </row>
    <row r="7038" spans="5:10">
      <c r="E7038" s="43">
        <v>45350.124999976601</v>
      </c>
      <c r="F7038" s="41">
        <v>5.7517828773357165</v>
      </c>
      <c r="G7038" s="41">
        <v>0</v>
      </c>
      <c r="H7038" s="42"/>
      <c r="I7038" s="42"/>
      <c r="J7038" s="42"/>
    </row>
    <row r="7039" spans="5:10">
      <c r="E7039" s="43">
        <v>45350.12847219882</v>
      </c>
      <c r="F7039" s="41">
        <v>5.7517828773357165</v>
      </c>
      <c r="G7039" s="41">
        <v>0</v>
      </c>
      <c r="H7039" s="42"/>
      <c r="I7039" s="42"/>
      <c r="J7039" s="42"/>
    </row>
    <row r="7040" spans="5:10">
      <c r="E7040" s="43">
        <v>45350.131944421038</v>
      </c>
      <c r="F7040" s="41">
        <v>5.7517828773357165</v>
      </c>
      <c r="G7040" s="41">
        <v>0</v>
      </c>
      <c r="H7040" s="42"/>
      <c r="I7040" s="42"/>
      <c r="J7040" s="42"/>
    </row>
    <row r="7041" spans="5:10">
      <c r="E7041" s="43">
        <v>45350.135416643257</v>
      </c>
      <c r="F7041" s="41">
        <v>5.7517828773357165</v>
      </c>
      <c r="G7041" s="41">
        <v>0</v>
      </c>
      <c r="H7041" s="42"/>
      <c r="I7041" s="42"/>
      <c r="J7041" s="42"/>
    </row>
    <row r="7042" spans="5:10">
      <c r="E7042" s="43">
        <v>45350.138888865476</v>
      </c>
      <c r="F7042" s="41">
        <v>5.7517828773357165</v>
      </c>
      <c r="G7042" s="41">
        <v>0</v>
      </c>
      <c r="H7042" s="42"/>
      <c r="I7042" s="42"/>
      <c r="J7042" s="42"/>
    </row>
    <row r="7043" spans="5:10">
      <c r="E7043" s="43">
        <v>45350.142361087695</v>
      </c>
      <c r="F7043" s="41">
        <v>5.7517828773357165</v>
      </c>
      <c r="G7043" s="41">
        <v>0</v>
      </c>
      <c r="H7043" s="42"/>
      <c r="I7043" s="42"/>
      <c r="J7043" s="42"/>
    </row>
    <row r="7044" spans="5:10">
      <c r="E7044" s="43">
        <v>45350.145833309914</v>
      </c>
      <c r="F7044" s="41">
        <v>5.7517828773357165</v>
      </c>
      <c r="G7044" s="41">
        <v>0</v>
      </c>
      <c r="H7044" s="42"/>
      <c r="I7044" s="42"/>
      <c r="J7044" s="42"/>
    </row>
    <row r="7045" spans="5:10">
      <c r="E7045" s="43">
        <v>45350.149305532133</v>
      </c>
      <c r="F7045" s="41">
        <v>5.7517828773357165</v>
      </c>
      <c r="G7045" s="41">
        <v>0</v>
      </c>
      <c r="H7045" s="42"/>
      <c r="I7045" s="42"/>
      <c r="J7045" s="42"/>
    </row>
    <row r="7046" spans="5:10">
      <c r="E7046" s="43">
        <v>45350.152777754352</v>
      </c>
      <c r="F7046" s="41">
        <v>5.7517828773357165</v>
      </c>
      <c r="G7046" s="41">
        <v>0</v>
      </c>
      <c r="H7046" s="42"/>
      <c r="I7046" s="42"/>
      <c r="J7046" s="42"/>
    </row>
    <row r="7047" spans="5:10">
      <c r="E7047" s="43">
        <v>45350.156249976571</v>
      </c>
      <c r="F7047" s="41">
        <v>5.7517828773357165</v>
      </c>
      <c r="G7047" s="41">
        <v>0</v>
      </c>
      <c r="H7047" s="42"/>
      <c r="I7047" s="42"/>
      <c r="J7047" s="42"/>
    </row>
    <row r="7048" spans="5:10">
      <c r="E7048" s="43">
        <v>45350.15972219879</v>
      </c>
      <c r="F7048" s="41">
        <v>5.7517828773357165</v>
      </c>
      <c r="G7048" s="41">
        <v>0</v>
      </c>
      <c r="H7048" s="42"/>
      <c r="I7048" s="42"/>
      <c r="J7048" s="42"/>
    </row>
    <row r="7049" spans="5:10">
      <c r="E7049" s="43">
        <v>45350.163194421009</v>
      </c>
      <c r="F7049" s="41">
        <v>5.7517828773357165</v>
      </c>
      <c r="G7049" s="41">
        <v>0</v>
      </c>
      <c r="H7049" s="42"/>
      <c r="I7049" s="42"/>
      <c r="J7049" s="42"/>
    </row>
    <row r="7050" spans="5:10">
      <c r="E7050" s="43">
        <v>45350.166666643228</v>
      </c>
      <c r="F7050" s="41">
        <v>5.7517828773357165</v>
      </c>
      <c r="G7050" s="41">
        <v>0</v>
      </c>
      <c r="H7050" s="42"/>
      <c r="I7050" s="42"/>
      <c r="J7050" s="42"/>
    </row>
    <row r="7051" spans="5:10">
      <c r="E7051" s="43">
        <v>45350.170138865447</v>
      </c>
      <c r="F7051" s="41">
        <v>5.7517828773357165</v>
      </c>
      <c r="G7051" s="41">
        <v>0</v>
      </c>
      <c r="H7051" s="42"/>
      <c r="I7051" s="42"/>
      <c r="J7051" s="42"/>
    </row>
    <row r="7052" spans="5:10">
      <c r="E7052" s="43">
        <v>45350.173611087666</v>
      </c>
      <c r="F7052" s="41">
        <v>5.7517828773357165</v>
      </c>
      <c r="G7052" s="41">
        <v>0</v>
      </c>
      <c r="H7052" s="42"/>
      <c r="I7052" s="42"/>
      <c r="J7052" s="42"/>
    </row>
    <row r="7053" spans="5:10">
      <c r="E7053" s="43">
        <v>45350.177083309885</v>
      </c>
      <c r="F7053" s="41">
        <v>5.7517828773357165</v>
      </c>
      <c r="G7053" s="41">
        <v>0</v>
      </c>
      <c r="H7053" s="42"/>
      <c r="I7053" s="42"/>
      <c r="J7053" s="42"/>
    </row>
    <row r="7054" spans="5:10">
      <c r="E7054" s="43">
        <v>45350.180555532104</v>
      </c>
      <c r="F7054" s="41">
        <v>5.7517828773357165</v>
      </c>
      <c r="G7054" s="41">
        <v>0</v>
      </c>
      <c r="H7054" s="42"/>
      <c r="I7054" s="42"/>
      <c r="J7054" s="42"/>
    </row>
    <row r="7055" spans="5:10">
      <c r="E7055" s="43">
        <v>45350.184027754323</v>
      </c>
      <c r="F7055" s="41">
        <v>5.7517828773357165</v>
      </c>
      <c r="G7055" s="41">
        <v>0</v>
      </c>
      <c r="H7055" s="42"/>
      <c r="I7055" s="42"/>
      <c r="J7055" s="42"/>
    </row>
    <row r="7056" spans="5:10">
      <c r="E7056" s="43">
        <v>45350.187499976542</v>
      </c>
      <c r="F7056" s="41">
        <v>5.7517828773357165</v>
      </c>
      <c r="G7056" s="41">
        <v>0</v>
      </c>
      <c r="H7056" s="42"/>
      <c r="I7056" s="42"/>
      <c r="J7056" s="42"/>
    </row>
    <row r="7057" spans="5:10">
      <c r="E7057" s="43">
        <v>45350.190972198761</v>
      </c>
      <c r="F7057" s="41">
        <v>5.7517828773357165</v>
      </c>
      <c r="G7057" s="41">
        <v>0</v>
      </c>
      <c r="H7057" s="42"/>
      <c r="I7057" s="42"/>
      <c r="J7057" s="42"/>
    </row>
    <row r="7058" spans="5:10">
      <c r="E7058" s="43">
        <v>45350.19444442098</v>
      </c>
      <c r="F7058" s="41">
        <v>5.7517828773357165</v>
      </c>
      <c r="G7058" s="41">
        <v>0</v>
      </c>
      <c r="H7058" s="42"/>
      <c r="I7058" s="42"/>
      <c r="J7058" s="42"/>
    </row>
    <row r="7059" spans="5:10">
      <c r="E7059" s="43">
        <v>45350.197916643199</v>
      </c>
      <c r="F7059" s="41">
        <v>5.7517828773357165</v>
      </c>
      <c r="G7059" s="41">
        <v>0</v>
      </c>
      <c r="H7059" s="42"/>
      <c r="I7059" s="42"/>
      <c r="J7059" s="42"/>
    </row>
    <row r="7060" spans="5:10">
      <c r="E7060" s="43">
        <v>45350.201388865418</v>
      </c>
      <c r="F7060" s="41">
        <v>5.7517828773357165</v>
      </c>
      <c r="G7060" s="41">
        <v>0</v>
      </c>
      <c r="H7060" s="42"/>
      <c r="I7060" s="42"/>
      <c r="J7060" s="42"/>
    </row>
    <row r="7061" spans="5:10">
      <c r="E7061" s="43">
        <v>45350.204861087637</v>
      </c>
      <c r="F7061" s="41">
        <v>5.7517828773357165</v>
      </c>
      <c r="G7061" s="41">
        <v>0</v>
      </c>
      <c r="H7061" s="42"/>
      <c r="I7061" s="42"/>
      <c r="J7061" s="42"/>
    </row>
    <row r="7062" spans="5:10">
      <c r="E7062" s="43">
        <v>45350.208333309856</v>
      </c>
      <c r="F7062" s="41">
        <v>5.7517828773357165</v>
      </c>
      <c r="G7062" s="41">
        <v>0</v>
      </c>
      <c r="H7062" s="42"/>
      <c r="I7062" s="42"/>
      <c r="J7062" s="42"/>
    </row>
    <row r="7063" spans="5:10">
      <c r="E7063" s="43">
        <v>45350.211805532075</v>
      </c>
      <c r="F7063" s="41">
        <v>5.7517828773357165</v>
      </c>
      <c r="G7063" s="41">
        <v>0</v>
      </c>
      <c r="H7063" s="42"/>
      <c r="I7063" s="42"/>
      <c r="J7063" s="42"/>
    </row>
    <row r="7064" spans="5:10">
      <c r="E7064" s="43">
        <v>45350.215277754294</v>
      </c>
      <c r="F7064" s="41">
        <v>5.7517828773357165</v>
      </c>
      <c r="G7064" s="41">
        <v>0</v>
      </c>
      <c r="H7064" s="42"/>
      <c r="I7064" s="42"/>
      <c r="J7064" s="42"/>
    </row>
    <row r="7065" spans="5:10">
      <c r="E7065" s="43">
        <v>45350.218749976513</v>
      </c>
      <c r="F7065" s="41">
        <v>5.7517828773357165</v>
      </c>
      <c r="G7065" s="41">
        <v>0</v>
      </c>
      <c r="H7065" s="42"/>
      <c r="I7065" s="42"/>
      <c r="J7065" s="42"/>
    </row>
    <row r="7066" spans="5:10">
      <c r="E7066" s="43">
        <v>45350.222222198732</v>
      </c>
      <c r="F7066" s="41">
        <v>5.7517828773357165</v>
      </c>
      <c r="G7066" s="41">
        <v>0</v>
      </c>
      <c r="H7066" s="42"/>
      <c r="I7066" s="42"/>
      <c r="J7066" s="42"/>
    </row>
    <row r="7067" spans="5:10">
      <c r="E7067" s="43">
        <v>45350.225694420951</v>
      </c>
      <c r="F7067" s="41">
        <v>5.7517828773357165</v>
      </c>
      <c r="G7067" s="41">
        <v>0</v>
      </c>
      <c r="H7067" s="42"/>
      <c r="I7067" s="42"/>
      <c r="J7067" s="42"/>
    </row>
    <row r="7068" spans="5:10">
      <c r="E7068" s="43">
        <v>45350.22916664317</v>
      </c>
      <c r="F7068" s="41">
        <v>5.7517828773357165</v>
      </c>
      <c r="G7068" s="41">
        <v>0</v>
      </c>
      <c r="H7068" s="42"/>
      <c r="I7068" s="42"/>
      <c r="J7068" s="42"/>
    </row>
    <row r="7069" spans="5:10">
      <c r="E7069" s="43">
        <v>45350.232638865389</v>
      </c>
      <c r="F7069" s="41">
        <v>5.7517828773357165</v>
      </c>
      <c r="G7069" s="41">
        <v>0</v>
      </c>
      <c r="H7069" s="42"/>
      <c r="I7069" s="42"/>
      <c r="J7069" s="42"/>
    </row>
    <row r="7070" spans="5:10">
      <c r="E7070" s="43">
        <v>45350.236111087608</v>
      </c>
      <c r="F7070" s="41">
        <v>5.7517828773357165</v>
      </c>
      <c r="G7070" s="41">
        <v>0</v>
      </c>
      <c r="H7070" s="42"/>
      <c r="I7070" s="42"/>
      <c r="J7070" s="42"/>
    </row>
    <row r="7071" spans="5:10">
      <c r="E7071" s="43">
        <v>45350.239583309827</v>
      </c>
      <c r="F7071" s="41">
        <v>5.7517828773357165</v>
      </c>
      <c r="G7071" s="41">
        <v>0</v>
      </c>
      <c r="H7071" s="42"/>
      <c r="I7071" s="42"/>
      <c r="J7071" s="42"/>
    </row>
    <row r="7072" spans="5:10">
      <c r="E7072" s="43">
        <v>45350.243055532046</v>
      </c>
      <c r="F7072" s="41">
        <v>5.7517828773357165</v>
      </c>
      <c r="G7072" s="41">
        <v>0</v>
      </c>
      <c r="H7072" s="42"/>
      <c r="I7072" s="42"/>
      <c r="J7072" s="42"/>
    </row>
    <row r="7073" spans="5:10">
      <c r="E7073" s="43">
        <v>45350.246527754265</v>
      </c>
      <c r="F7073" s="41">
        <v>5.7517828773357165</v>
      </c>
      <c r="G7073" s="41">
        <v>0</v>
      </c>
      <c r="H7073" s="42"/>
      <c r="I7073" s="42"/>
      <c r="J7073" s="42"/>
    </row>
    <row r="7074" spans="5:10">
      <c r="E7074" s="43">
        <v>45350.249999976484</v>
      </c>
      <c r="F7074" s="41">
        <v>5.7517828773357165</v>
      </c>
      <c r="G7074" s="41">
        <v>0</v>
      </c>
      <c r="H7074" s="42"/>
      <c r="I7074" s="42"/>
      <c r="J7074" s="42"/>
    </row>
    <row r="7075" spans="5:10">
      <c r="E7075" s="43">
        <v>45350.253472198703</v>
      </c>
      <c r="F7075" s="41">
        <v>5.7517828773357165</v>
      </c>
      <c r="G7075" s="41">
        <v>0</v>
      </c>
      <c r="H7075" s="42"/>
      <c r="I7075" s="42"/>
      <c r="J7075" s="42"/>
    </row>
    <row r="7076" spans="5:10">
      <c r="E7076" s="43">
        <v>45350.256944420922</v>
      </c>
      <c r="F7076" s="41">
        <v>5.7517828773357165</v>
      </c>
      <c r="G7076" s="41">
        <v>0</v>
      </c>
      <c r="H7076" s="42"/>
      <c r="I7076" s="42"/>
      <c r="J7076" s="42"/>
    </row>
    <row r="7077" spans="5:10">
      <c r="E7077" s="43">
        <v>45350.260416643141</v>
      </c>
      <c r="F7077" s="41">
        <v>5.7517828773357165</v>
      </c>
      <c r="G7077" s="41">
        <v>0</v>
      </c>
      <c r="H7077" s="42"/>
      <c r="I7077" s="42"/>
      <c r="J7077" s="42"/>
    </row>
    <row r="7078" spans="5:10">
      <c r="E7078" s="43">
        <v>45350.26388886536</v>
      </c>
      <c r="F7078" s="41">
        <v>5.7517828773357165</v>
      </c>
      <c r="G7078" s="41">
        <v>0</v>
      </c>
      <c r="H7078" s="42"/>
      <c r="I7078" s="42"/>
      <c r="J7078" s="42"/>
    </row>
    <row r="7079" spans="5:10">
      <c r="E7079" s="43">
        <v>45350.267361087579</v>
      </c>
      <c r="F7079" s="41">
        <v>5.7517828773357165</v>
      </c>
      <c r="G7079" s="41">
        <v>0</v>
      </c>
      <c r="H7079" s="42"/>
      <c r="I7079" s="42"/>
      <c r="J7079" s="42"/>
    </row>
    <row r="7080" spans="5:10">
      <c r="E7080" s="43">
        <v>45350.270833309798</v>
      </c>
      <c r="F7080" s="41">
        <v>5.7517828773357165</v>
      </c>
      <c r="G7080" s="41">
        <v>0</v>
      </c>
      <c r="H7080" s="42"/>
      <c r="I7080" s="42"/>
      <c r="J7080" s="42"/>
    </row>
    <row r="7081" spans="5:10">
      <c r="E7081" s="43">
        <v>45350.274305532017</v>
      </c>
      <c r="F7081" s="41">
        <v>5.7517828773357165</v>
      </c>
      <c r="G7081" s="41">
        <v>0</v>
      </c>
      <c r="H7081" s="42"/>
      <c r="I7081" s="42"/>
      <c r="J7081" s="42"/>
    </row>
    <row r="7082" spans="5:10">
      <c r="E7082" s="43">
        <v>45350.277777754236</v>
      </c>
      <c r="F7082" s="41">
        <v>5.7517828773357165</v>
      </c>
      <c r="G7082" s="41">
        <v>0</v>
      </c>
      <c r="H7082" s="42"/>
      <c r="I7082" s="42"/>
      <c r="J7082" s="42"/>
    </row>
    <row r="7083" spans="5:10">
      <c r="E7083" s="43">
        <v>45350.281249976455</v>
      </c>
      <c r="F7083" s="41">
        <v>5.7517828773357165</v>
      </c>
      <c r="G7083" s="41">
        <v>0</v>
      </c>
      <c r="H7083" s="42"/>
      <c r="I7083" s="42"/>
      <c r="J7083" s="42"/>
    </row>
    <row r="7084" spans="5:10">
      <c r="E7084" s="43">
        <v>45350.284722198674</v>
      </c>
      <c r="F7084" s="41">
        <v>5.7517828773357165</v>
      </c>
      <c r="G7084" s="41">
        <v>0</v>
      </c>
      <c r="H7084" s="42"/>
      <c r="I7084" s="42"/>
      <c r="J7084" s="42"/>
    </row>
    <row r="7085" spans="5:10">
      <c r="E7085" s="43">
        <v>45350.288194420893</v>
      </c>
      <c r="F7085" s="41">
        <v>5.7517828773357165</v>
      </c>
      <c r="G7085" s="41">
        <v>0</v>
      </c>
      <c r="H7085" s="42"/>
      <c r="I7085" s="42"/>
      <c r="J7085" s="42"/>
    </row>
    <row r="7086" spans="5:10">
      <c r="E7086" s="43">
        <v>45350.291666643112</v>
      </c>
      <c r="F7086" s="41">
        <v>5.7517828773357165</v>
      </c>
      <c r="G7086" s="41">
        <v>0</v>
      </c>
      <c r="H7086" s="42"/>
      <c r="I7086" s="42"/>
      <c r="J7086" s="42"/>
    </row>
    <row r="7087" spans="5:10">
      <c r="E7087" s="43">
        <v>45350.295138865331</v>
      </c>
      <c r="F7087" s="41">
        <v>5.7517828773357165</v>
      </c>
      <c r="G7087" s="41">
        <v>0</v>
      </c>
      <c r="H7087" s="42"/>
      <c r="I7087" s="42"/>
      <c r="J7087" s="42"/>
    </row>
    <row r="7088" spans="5:10">
      <c r="E7088" s="43">
        <v>45350.29861108755</v>
      </c>
      <c r="F7088" s="41">
        <v>5.7517828773357165</v>
      </c>
      <c r="G7088" s="41">
        <v>0</v>
      </c>
      <c r="H7088" s="42"/>
      <c r="I7088" s="42"/>
      <c r="J7088" s="42"/>
    </row>
    <row r="7089" spans="5:10">
      <c r="E7089" s="43">
        <v>45350.302083309769</v>
      </c>
      <c r="F7089" s="41">
        <v>5.7517828773357165</v>
      </c>
      <c r="G7089" s="41">
        <v>0</v>
      </c>
      <c r="H7089" s="42"/>
      <c r="I7089" s="42"/>
      <c r="J7089" s="42"/>
    </row>
    <row r="7090" spans="5:10">
      <c r="E7090" s="43">
        <v>45350.305555531988</v>
      </c>
      <c r="F7090" s="41">
        <v>5.7517828773357165</v>
      </c>
      <c r="G7090" s="41">
        <v>0</v>
      </c>
      <c r="H7090" s="42"/>
      <c r="I7090" s="42"/>
      <c r="J7090" s="42"/>
    </row>
    <row r="7091" spans="5:10">
      <c r="E7091" s="43">
        <v>45350.309027754207</v>
      </c>
      <c r="F7091" s="41">
        <v>5.7517828773357165</v>
      </c>
      <c r="G7091" s="41">
        <v>0</v>
      </c>
      <c r="H7091" s="42"/>
      <c r="I7091" s="42"/>
      <c r="J7091" s="42"/>
    </row>
    <row r="7092" spans="5:10">
      <c r="E7092" s="43">
        <v>45350.312499976426</v>
      </c>
      <c r="F7092" s="41">
        <v>5.7517828773357165</v>
      </c>
      <c r="G7092" s="41">
        <v>0</v>
      </c>
      <c r="H7092" s="42"/>
      <c r="I7092" s="42"/>
      <c r="J7092" s="42"/>
    </row>
    <row r="7093" spans="5:10">
      <c r="E7093" s="43">
        <v>45350.315972198645</v>
      </c>
      <c r="F7093" s="41">
        <v>5.7517828773357165</v>
      </c>
      <c r="G7093" s="41">
        <v>0</v>
      </c>
      <c r="H7093" s="42"/>
      <c r="I7093" s="42"/>
      <c r="J7093" s="42"/>
    </row>
    <row r="7094" spans="5:10">
      <c r="E7094" s="43">
        <v>45350.319444420864</v>
      </c>
      <c r="F7094" s="41">
        <v>5.7517828773357165</v>
      </c>
      <c r="G7094" s="41">
        <v>0</v>
      </c>
      <c r="H7094" s="42"/>
      <c r="I7094" s="42"/>
      <c r="J7094" s="42"/>
    </row>
    <row r="7095" spans="5:10">
      <c r="E7095" s="43">
        <v>45350.322916643083</v>
      </c>
      <c r="F7095" s="41">
        <v>5.7517828773357165</v>
      </c>
      <c r="G7095" s="41">
        <v>0</v>
      </c>
      <c r="H7095" s="42"/>
      <c r="I7095" s="42"/>
      <c r="J7095" s="42"/>
    </row>
    <row r="7096" spans="5:10">
      <c r="E7096" s="43">
        <v>45350.326388865302</v>
      </c>
      <c r="F7096" s="41">
        <v>5.7517828773357165</v>
      </c>
      <c r="G7096" s="41">
        <v>0</v>
      </c>
      <c r="H7096" s="42"/>
      <c r="I7096" s="42"/>
      <c r="J7096" s="42"/>
    </row>
    <row r="7097" spans="5:10">
      <c r="E7097" s="43">
        <v>45350.329861087521</v>
      </c>
      <c r="F7097" s="41">
        <v>5.7517828773357165</v>
      </c>
      <c r="G7097" s="41">
        <v>0</v>
      </c>
      <c r="H7097" s="42"/>
      <c r="I7097" s="42"/>
      <c r="J7097" s="42"/>
    </row>
    <row r="7098" spans="5:10">
      <c r="E7098" s="43">
        <v>45350.33333330974</v>
      </c>
      <c r="F7098" s="41">
        <v>5.7517828773357165</v>
      </c>
      <c r="G7098" s="41">
        <v>0</v>
      </c>
      <c r="H7098" s="42"/>
      <c r="I7098" s="42"/>
      <c r="J7098" s="42"/>
    </row>
    <row r="7099" spans="5:10">
      <c r="E7099" s="43">
        <v>45350.336805531959</v>
      </c>
      <c r="F7099" s="41">
        <v>5.7517828773357165</v>
      </c>
      <c r="G7099" s="41">
        <v>0</v>
      </c>
      <c r="H7099" s="42"/>
      <c r="I7099" s="42"/>
      <c r="J7099" s="42"/>
    </row>
    <row r="7100" spans="5:10">
      <c r="E7100" s="43">
        <v>45350.340277754178</v>
      </c>
      <c r="F7100" s="41">
        <v>5.7517828773357165</v>
      </c>
      <c r="G7100" s="41">
        <v>0</v>
      </c>
      <c r="H7100" s="42"/>
      <c r="I7100" s="42"/>
      <c r="J7100" s="42"/>
    </row>
    <row r="7101" spans="5:10">
      <c r="E7101" s="43">
        <v>45350.343749976397</v>
      </c>
      <c r="F7101" s="41">
        <v>5.7517828773357165</v>
      </c>
      <c r="G7101" s="41">
        <v>0</v>
      </c>
      <c r="H7101" s="42"/>
      <c r="I7101" s="42"/>
      <c r="J7101" s="42"/>
    </row>
    <row r="7102" spans="5:10">
      <c r="E7102" s="43">
        <v>45350.347222198616</v>
      </c>
      <c r="F7102" s="41">
        <v>5.7517828773357165</v>
      </c>
      <c r="G7102" s="41">
        <v>0</v>
      </c>
      <c r="H7102" s="42"/>
      <c r="I7102" s="42"/>
      <c r="J7102" s="42"/>
    </row>
    <row r="7103" spans="5:10">
      <c r="E7103" s="43">
        <v>45350.350694420835</v>
      </c>
      <c r="F7103" s="41">
        <v>5.7517828773357165</v>
      </c>
      <c r="G7103" s="41">
        <v>0</v>
      </c>
      <c r="H7103" s="42"/>
      <c r="I7103" s="42"/>
      <c r="J7103" s="42"/>
    </row>
    <row r="7104" spans="5:10">
      <c r="E7104" s="43">
        <v>45350.354166643054</v>
      </c>
      <c r="F7104" s="41">
        <v>5.7517828773357165</v>
      </c>
      <c r="G7104" s="41">
        <v>0</v>
      </c>
      <c r="H7104" s="42"/>
      <c r="I7104" s="42"/>
      <c r="J7104" s="42"/>
    </row>
    <row r="7105" spans="5:10">
      <c r="E7105" s="43">
        <v>45350.357638865273</v>
      </c>
      <c r="F7105" s="41">
        <v>5.7517828773357165</v>
      </c>
      <c r="G7105" s="41">
        <v>0</v>
      </c>
      <c r="H7105" s="42"/>
      <c r="I7105" s="42"/>
      <c r="J7105" s="42"/>
    </row>
    <row r="7106" spans="5:10">
      <c r="E7106" s="43">
        <v>45350.361111087492</v>
      </c>
      <c r="F7106" s="41">
        <v>5.7517828773357165</v>
      </c>
      <c r="G7106" s="41">
        <v>0</v>
      </c>
      <c r="H7106" s="42"/>
      <c r="I7106" s="42"/>
      <c r="J7106" s="42"/>
    </row>
    <row r="7107" spans="5:10">
      <c r="E7107" s="43">
        <v>45350.364583309711</v>
      </c>
      <c r="F7107" s="41">
        <v>5.7517828773357165</v>
      </c>
      <c r="G7107" s="41">
        <v>0</v>
      </c>
      <c r="H7107" s="42"/>
      <c r="I7107" s="42"/>
      <c r="J7107" s="42"/>
    </row>
    <row r="7108" spans="5:10">
      <c r="E7108" s="43">
        <v>45350.36805553193</v>
      </c>
      <c r="F7108" s="41">
        <v>5.7517828773357165</v>
      </c>
      <c r="G7108" s="41">
        <v>0</v>
      </c>
      <c r="H7108" s="42"/>
      <c r="I7108" s="42"/>
      <c r="J7108" s="42"/>
    </row>
    <row r="7109" spans="5:10">
      <c r="E7109" s="43">
        <v>45350.371527754149</v>
      </c>
      <c r="F7109" s="41">
        <v>5.7517828773357165</v>
      </c>
      <c r="G7109" s="41">
        <v>0</v>
      </c>
      <c r="H7109" s="42"/>
      <c r="I7109" s="42"/>
      <c r="J7109" s="42"/>
    </row>
    <row r="7110" spans="5:10">
      <c r="E7110" s="43">
        <v>45350.374999976368</v>
      </c>
      <c r="F7110" s="41">
        <v>5.7517828773357165</v>
      </c>
      <c r="G7110" s="41">
        <v>0</v>
      </c>
      <c r="H7110" s="42"/>
      <c r="I7110" s="42"/>
      <c r="J7110" s="42"/>
    </row>
    <row r="7111" spans="5:10">
      <c r="E7111" s="43">
        <v>45350.378472198587</v>
      </c>
      <c r="F7111" s="41">
        <v>5.7517828773357165</v>
      </c>
      <c r="G7111" s="41">
        <v>0</v>
      </c>
      <c r="H7111" s="42"/>
      <c r="I7111" s="42"/>
      <c r="J7111" s="42"/>
    </row>
    <row r="7112" spans="5:10">
      <c r="E7112" s="43">
        <v>45350.381944420806</v>
      </c>
      <c r="F7112" s="41">
        <v>5.7517828773357165</v>
      </c>
      <c r="G7112" s="41">
        <v>0</v>
      </c>
      <c r="H7112" s="42"/>
      <c r="I7112" s="42"/>
      <c r="J7112" s="42"/>
    </row>
    <row r="7113" spans="5:10">
      <c r="E7113" s="43">
        <v>45350.385416643025</v>
      </c>
      <c r="F7113" s="41">
        <v>5.7517828773357165</v>
      </c>
      <c r="G7113" s="41">
        <v>0</v>
      </c>
      <c r="H7113" s="42"/>
      <c r="I7113" s="42"/>
      <c r="J7113" s="42"/>
    </row>
    <row r="7114" spans="5:10">
      <c r="E7114" s="43">
        <v>45350.388888865244</v>
      </c>
      <c r="F7114" s="41">
        <v>5.7517828773357165</v>
      </c>
      <c r="G7114" s="41">
        <v>0</v>
      </c>
      <c r="H7114" s="42"/>
      <c r="I7114" s="42"/>
      <c r="J7114" s="42"/>
    </row>
    <row r="7115" spans="5:10">
      <c r="E7115" s="43">
        <v>45350.392361087463</v>
      </c>
      <c r="F7115" s="41">
        <v>5.7517828773357165</v>
      </c>
      <c r="G7115" s="41">
        <v>0</v>
      </c>
      <c r="H7115" s="42"/>
      <c r="I7115" s="42"/>
      <c r="J7115" s="42"/>
    </row>
    <row r="7116" spans="5:10">
      <c r="E7116" s="43">
        <v>45350.395833309682</v>
      </c>
      <c r="F7116" s="41">
        <v>5.7517828773357165</v>
      </c>
      <c r="G7116" s="41">
        <v>0</v>
      </c>
      <c r="H7116" s="42"/>
      <c r="I7116" s="42"/>
      <c r="J7116" s="42"/>
    </row>
    <row r="7117" spans="5:10">
      <c r="E7117" s="43">
        <v>45350.399305531901</v>
      </c>
      <c r="F7117" s="41">
        <v>5.7517828773357165</v>
      </c>
      <c r="G7117" s="41">
        <v>0</v>
      </c>
      <c r="H7117" s="42"/>
      <c r="I7117" s="42"/>
      <c r="J7117" s="42"/>
    </row>
    <row r="7118" spans="5:10">
      <c r="E7118" s="43">
        <v>45350.40277775412</v>
      </c>
      <c r="F7118" s="41">
        <v>5.7517828773357165</v>
      </c>
      <c r="G7118" s="41">
        <v>0</v>
      </c>
      <c r="H7118" s="42"/>
      <c r="I7118" s="42"/>
      <c r="J7118" s="42"/>
    </row>
    <row r="7119" spans="5:10">
      <c r="E7119" s="43">
        <v>45350.406249976339</v>
      </c>
      <c r="F7119" s="41">
        <v>5.7517828773357165</v>
      </c>
      <c r="G7119" s="41">
        <v>0</v>
      </c>
      <c r="H7119" s="42"/>
      <c r="I7119" s="42"/>
      <c r="J7119" s="42"/>
    </row>
    <row r="7120" spans="5:10">
      <c r="E7120" s="43">
        <v>45350.409722198558</v>
      </c>
      <c r="F7120" s="41">
        <v>5.7517828773357165</v>
      </c>
      <c r="G7120" s="41">
        <v>0</v>
      </c>
      <c r="H7120" s="42"/>
      <c r="I7120" s="42"/>
      <c r="J7120" s="42"/>
    </row>
    <row r="7121" spans="5:10">
      <c r="E7121" s="43">
        <v>45350.413194420777</v>
      </c>
      <c r="F7121" s="41">
        <v>5.7517828773357165</v>
      </c>
      <c r="G7121" s="41">
        <v>0</v>
      </c>
      <c r="H7121" s="42"/>
      <c r="I7121" s="42"/>
      <c r="J7121" s="42"/>
    </row>
    <row r="7122" spans="5:10">
      <c r="E7122" s="43">
        <v>45350.416666642996</v>
      </c>
      <c r="F7122" s="41">
        <v>5.7517828773357165</v>
      </c>
      <c r="G7122" s="41">
        <v>0</v>
      </c>
      <c r="H7122" s="42"/>
      <c r="I7122" s="42"/>
      <c r="J7122" s="42"/>
    </row>
    <row r="7123" spans="5:10">
      <c r="E7123" s="43">
        <v>45350.420138865215</v>
      </c>
      <c r="F7123" s="41">
        <v>5.7517828773357165</v>
      </c>
      <c r="G7123" s="41">
        <v>0</v>
      </c>
      <c r="H7123" s="42"/>
      <c r="I7123" s="42"/>
      <c r="J7123" s="42"/>
    </row>
    <row r="7124" spans="5:10">
      <c r="E7124" s="43">
        <v>45350.423611087434</v>
      </c>
      <c r="F7124" s="41">
        <v>5.7517828773357165</v>
      </c>
      <c r="G7124" s="41">
        <v>0</v>
      </c>
      <c r="H7124" s="42"/>
      <c r="I7124" s="42"/>
      <c r="J7124" s="42"/>
    </row>
    <row r="7125" spans="5:10">
      <c r="E7125" s="43">
        <v>45350.427083309653</v>
      </c>
      <c r="F7125" s="41">
        <v>5.7517828773357165</v>
      </c>
      <c r="G7125" s="41">
        <v>0</v>
      </c>
      <c r="H7125" s="42"/>
      <c r="I7125" s="42"/>
      <c r="J7125" s="42"/>
    </row>
    <row r="7126" spans="5:10">
      <c r="E7126" s="43">
        <v>45350.430555531872</v>
      </c>
      <c r="F7126" s="41">
        <v>5.7517828773357165</v>
      </c>
      <c r="G7126" s="41">
        <v>0</v>
      </c>
      <c r="H7126" s="42"/>
      <c r="I7126" s="42"/>
      <c r="J7126" s="42"/>
    </row>
    <row r="7127" spans="5:10">
      <c r="E7127" s="43">
        <v>45350.43402775409</v>
      </c>
      <c r="F7127" s="41">
        <v>5.7517828773357165</v>
      </c>
      <c r="G7127" s="41">
        <v>0</v>
      </c>
      <c r="H7127" s="42"/>
      <c r="I7127" s="42"/>
      <c r="J7127" s="42"/>
    </row>
    <row r="7128" spans="5:10">
      <c r="E7128" s="43">
        <v>45350.437499976309</v>
      </c>
      <c r="F7128" s="41">
        <v>5.7517828773357165</v>
      </c>
      <c r="G7128" s="41">
        <v>0</v>
      </c>
      <c r="H7128" s="42"/>
      <c r="I7128" s="42"/>
      <c r="J7128" s="42"/>
    </row>
    <row r="7129" spans="5:10">
      <c r="E7129" s="43">
        <v>45350.440972198528</v>
      </c>
      <c r="F7129" s="41">
        <v>5.7517828773357165</v>
      </c>
      <c r="G7129" s="41">
        <v>0</v>
      </c>
      <c r="H7129" s="42"/>
      <c r="I7129" s="42"/>
      <c r="J7129" s="42"/>
    </row>
    <row r="7130" spans="5:10">
      <c r="E7130" s="43">
        <v>45350.444444420747</v>
      </c>
      <c r="F7130" s="41">
        <v>5.7517828773357165</v>
      </c>
      <c r="G7130" s="41">
        <v>0</v>
      </c>
      <c r="H7130" s="42"/>
      <c r="I7130" s="42"/>
      <c r="J7130" s="42"/>
    </row>
    <row r="7131" spans="5:10">
      <c r="E7131" s="43">
        <v>45350.447916642966</v>
      </c>
      <c r="F7131" s="41">
        <v>5.7517828773357165</v>
      </c>
      <c r="G7131" s="41">
        <v>0</v>
      </c>
      <c r="H7131" s="42"/>
      <c r="I7131" s="42"/>
      <c r="J7131" s="42"/>
    </row>
    <row r="7132" spans="5:10">
      <c r="E7132" s="43">
        <v>45350.451388865185</v>
      </c>
      <c r="F7132" s="41">
        <v>5.7517828773357165</v>
      </c>
      <c r="G7132" s="41">
        <v>0</v>
      </c>
      <c r="H7132" s="42"/>
      <c r="I7132" s="42"/>
      <c r="J7132" s="42"/>
    </row>
    <row r="7133" spans="5:10">
      <c r="E7133" s="43">
        <v>45350.454861087404</v>
      </c>
      <c r="F7133" s="41">
        <v>5.7517828773357165</v>
      </c>
      <c r="G7133" s="41">
        <v>0</v>
      </c>
      <c r="H7133" s="42"/>
      <c r="I7133" s="42"/>
      <c r="J7133" s="42"/>
    </row>
    <row r="7134" spans="5:10">
      <c r="E7134" s="43">
        <v>45350.458333309623</v>
      </c>
      <c r="F7134" s="41">
        <v>5.7517828773357165</v>
      </c>
      <c r="G7134" s="41">
        <v>0</v>
      </c>
      <c r="H7134" s="42"/>
      <c r="I7134" s="42"/>
      <c r="J7134" s="42"/>
    </row>
    <row r="7135" spans="5:10">
      <c r="E7135" s="43">
        <v>45350.461805531842</v>
      </c>
      <c r="F7135" s="41">
        <v>5.7517828773357165</v>
      </c>
      <c r="G7135" s="41">
        <v>0</v>
      </c>
      <c r="H7135" s="42"/>
      <c r="I7135" s="42"/>
      <c r="J7135" s="42"/>
    </row>
    <row r="7136" spans="5:10">
      <c r="E7136" s="43">
        <v>45350.465277754061</v>
      </c>
      <c r="F7136" s="41">
        <v>5.7517828773357165</v>
      </c>
      <c r="G7136" s="41">
        <v>0</v>
      </c>
      <c r="H7136" s="42"/>
      <c r="I7136" s="42"/>
      <c r="J7136" s="42"/>
    </row>
    <row r="7137" spans="5:10">
      <c r="E7137" s="43">
        <v>45350.46874997628</v>
      </c>
      <c r="F7137" s="41">
        <v>5.7517828773357165</v>
      </c>
      <c r="G7137" s="41">
        <v>0</v>
      </c>
      <c r="H7137" s="42"/>
      <c r="I7137" s="42"/>
      <c r="J7137" s="42"/>
    </row>
    <row r="7138" spans="5:10">
      <c r="E7138" s="43">
        <v>45350.472222198499</v>
      </c>
      <c r="F7138" s="41">
        <v>5.7517828773357165</v>
      </c>
      <c r="G7138" s="41">
        <v>0</v>
      </c>
      <c r="H7138" s="42"/>
      <c r="I7138" s="42"/>
      <c r="J7138" s="42"/>
    </row>
    <row r="7139" spans="5:10">
      <c r="E7139" s="43">
        <v>45350.475694420718</v>
      </c>
      <c r="F7139" s="41">
        <v>5.7517828773357165</v>
      </c>
      <c r="G7139" s="41">
        <v>0</v>
      </c>
      <c r="H7139" s="42"/>
      <c r="I7139" s="42"/>
      <c r="J7139" s="42"/>
    </row>
    <row r="7140" spans="5:10">
      <c r="E7140" s="43">
        <v>45350.479166642937</v>
      </c>
      <c r="F7140" s="41">
        <v>5.7517828773357165</v>
      </c>
      <c r="G7140" s="41">
        <v>0</v>
      </c>
      <c r="H7140" s="42"/>
      <c r="I7140" s="42"/>
      <c r="J7140" s="42"/>
    </row>
    <row r="7141" spans="5:10">
      <c r="E7141" s="43">
        <v>45350.482638865156</v>
      </c>
      <c r="F7141" s="41">
        <v>5.7517828773357165</v>
      </c>
      <c r="G7141" s="41">
        <v>0</v>
      </c>
      <c r="H7141" s="42"/>
      <c r="I7141" s="42"/>
      <c r="J7141" s="42"/>
    </row>
    <row r="7142" spans="5:10">
      <c r="E7142" s="43">
        <v>45350.486111087375</v>
      </c>
      <c r="F7142" s="41">
        <v>5.7517828773357165</v>
      </c>
      <c r="G7142" s="41">
        <v>0</v>
      </c>
      <c r="H7142" s="42"/>
      <c r="I7142" s="42"/>
      <c r="J7142" s="42"/>
    </row>
    <row r="7143" spans="5:10">
      <c r="E7143" s="43">
        <v>45350.489583309594</v>
      </c>
      <c r="F7143" s="41">
        <v>5.7517828773357165</v>
      </c>
      <c r="G7143" s="41">
        <v>0</v>
      </c>
      <c r="H7143" s="42"/>
      <c r="I7143" s="42"/>
      <c r="J7143" s="42"/>
    </row>
    <row r="7144" spans="5:10">
      <c r="E7144" s="43">
        <v>45350.493055531813</v>
      </c>
      <c r="F7144" s="41">
        <v>5.7517828773357165</v>
      </c>
      <c r="G7144" s="41">
        <v>0</v>
      </c>
      <c r="H7144" s="42"/>
      <c r="I7144" s="42"/>
      <c r="J7144" s="42"/>
    </row>
    <row r="7145" spans="5:10">
      <c r="E7145" s="43">
        <v>45350.496527754032</v>
      </c>
      <c r="F7145" s="41">
        <v>5.7517828773357165</v>
      </c>
      <c r="G7145" s="41">
        <v>0</v>
      </c>
      <c r="H7145" s="42"/>
      <c r="I7145" s="42"/>
      <c r="J7145" s="42"/>
    </row>
    <row r="7146" spans="5:10">
      <c r="E7146" s="43">
        <v>45350.499999976251</v>
      </c>
      <c r="F7146" s="41">
        <v>5.7517828773357165</v>
      </c>
      <c r="G7146" s="41">
        <v>0</v>
      </c>
      <c r="H7146" s="42"/>
      <c r="I7146" s="42"/>
      <c r="J7146" s="42"/>
    </row>
    <row r="7147" spans="5:10">
      <c r="E7147" s="43">
        <v>45350.50347219847</v>
      </c>
      <c r="F7147" s="41">
        <v>5.7517828773357165</v>
      </c>
      <c r="G7147" s="41">
        <v>0</v>
      </c>
      <c r="H7147" s="42"/>
      <c r="I7147" s="42"/>
      <c r="J7147" s="42"/>
    </row>
    <row r="7148" spans="5:10">
      <c r="E7148" s="43">
        <v>45350.506944420689</v>
      </c>
      <c r="F7148" s="41">
        <v>5.7517828773357165</v>
      </c>
      <c r="G7148" s="41">
        <v>0</v>
      </c>
      <c r="H7148" s="42"/>
      <c r="I7148" s="42"/>
      <c r="J7148" s="42"/>
    </row>
    <row r="7149" spans="5:10">
      <c r="E7149" s="43">
        <v>45350.510416642908</v>
      </c>
      <c r="F7149" s="41">
        <v>5.7517828773357165</v>
      </c>
      <c r="G7149" s="41">
        <v>0</v>
      </c>
      <c r="H7149" s="42"/>
      <c r="I7149" s="42"/>
      <c r="J7149" s="42"/>
    </row>
    <row r="7150" spans="5:10">
      <c r="E7150" s="43">
        <v>45350.513888865127</v>
      </c>
      <c r="F7150" s="41">
        <v>5.7517828773357165</v>
      </c>
      <c r="G7150" s="41">
        <v>0</v>
      </c>
      <c r="H7150" s="42"/>
      <c r="I7150" s="42"/>
      <c r="J7150" s="42"/>
    </row>
    <row r="7151" spans="5:10">
      <c r="E7151" s="43">
        <v>45350.517361087346</v>
      </c>
      <c r="F7151" s="41">
        <v>5.7517828773357165</v>
      </c>
      <c r="G7151" s="41">
        <v>0</v>
      </c>
      <c r="H7151" s="42"/>
      <c r="I7151" s="42"/>
      <c r="J7151" s="42"/>
    </row>
    <row r="7152" spans="5:10">
      <c r="E7152" s="43">
        <v>45350.520833309565</v>
      </c>
      <c r="F7152" s="41">
        <v>5.7517828773357165</v>
      </c>
      <c r="G7152" s="41">
        <v>0</v>
      </c>
      <c r="H7152" s="42"/>
      <c r="I7152" s="42"/>
      <c r="J7152" s="42"/>
    </row>
    <row r="7153" spans="5:10">
      <c r="E7153" s="43">
        <v>45350.524305531784</v>
      </c>
      <c r="F7153" s="41">
        <v>5.7517828773357165</v>
      </c>
      <c r="G7153" s="41">
        <v>0</v>
      </c>
      <c r="H7153" s="42"/>
      <c r="I7153" s="42"/>
      <c r="J7153" s="42"/>
    </row>
    <row r="7154" spans="5:10">
      <c r="E7154" s="43">
        <v>45350.527777754003</v>
      </c>
      <c r="F7154" s="41">
        <v>5.7517828773357165</v>
      </c>
      <c r="G7154" s="41">
        <v>0</v>
      </c>
      <c r="H7154" s="42"/>
      <c r="I7154" s="42"/>
      <c r="J7154" s="42"/>
    </row>
    <row r="7155" spans="5:10">
      <c r="E7155" s="43">
        <v>45350.531249976222</v>
      </c>
      <c r="F7155" s="41">
        <v>5.7517828773357165</v>
      </c>
      <c r="G7155" s="41">
        <v>0</v>
      </c>
      <c r="H7155" s="42"/>
      <c r="I7155" s="42"/>
      <c r="J7155" s="42"/>
    </row>
    <row r="7156" spans="5:10">
      <c r="E7156" s="43">
        <v>45350.534722198441</v>
      </c>
      <c r="F7156" s="41">
        <v>5.7517828773357165</v>
      </c>
      <c r="G7156" s="41">
        <v>0</v>
      </c>
      <c r="H7156" s="42"/>
      <c r="I7156" s="42"/>
      <c r="J7156" s="42"/>
    </row>
    <row r="7157" spans="5:10">
      <c r="E7157" s="43">
        <v>45350.53819442066</v>
      </c>
      <c r="F7157" s="41">
        <v>5.7517828773357165</v>
      </c>
      <c r="G7157" s="41">
        <v>0</v>
      </c>
      <c r="H7157" s="42"/>
      <c r="I7157" s="42"/>
      <c r="J7157" s="42"/>
    </row>
    <row r="7158" spans="5:10">
      <c r="E7158" s="43">
        <v>45350.541666642879</v>
      </c>
      <c r="F7158" s="41">
        <v>5.7517828773357165</v>
      </c>
      <c r="G7158" s="41">
        <v>0</v>
      </c>
      <c r="H7158" s="42"/>
      <c r="I7158" s="42"/>
      <c r="J7158" s="42"/>
    </row>
    <row r="7159" spans="5:10">
      <c r="E7159" s="43">
        <v>45350.545138865098</v>
      </c>
      <c r="F7159" s="41">
        <v>5.7517828773357165</v>
      </c>
      <c r="G7159" s="41">
        <v>0</v>
      </c>
      <c r="H7159" s="42"/>
      <c r="I7159" s="42"/>
      <c r="J7159" s="42"/>
    </row>
    <row r="7160" spans="5:10">
      <c r="E7160" s="43">
        <v>45350.548611087317</v>
      </c>
      <c r="F7160" s="41">
        <v>5.7517828773357165</v>
      </c>
      <c r="G7160" s="41">
        <v>0</v>
      </c>
      <c r="H7160" s="42"/>
      <c r="I7160" s="42"/>
      <c r="J7160" s="42"/>
    </row>
    <row r="7161" spans="5:10">
      <c r="E7161" s="43">
        <v>45350.552083309536</v>
      </c>
      <c r="F7161" s="41">
        <v>5.7517828773357165</v>
      </c>
      <c r="G7161" s="41">
        <v>0</v>
      </c>
      <c r="H7161" s="42"/>
      <c r="I7161" s="42"/>
      <c r="J7161" s="42"/>
    </row>
    <row r="7162" spans="5:10">
      <c r="E7162" s="43">
        <v>45350.555555531755</v>
      </c>
      <c r="F7162" s="41">
        <v>5.7517828773357165</v>
      </c>
      <c r="G7162" s="41">
        <v>0</v>
      </c>
      <c r="H7162" s="42"/>
      <c r="I7162" s="42"/>
      <c r="J7162" s="42"/>
    </row>
    <row r="7163" spans="5:10">
      <c r="E7163" s="43">
        <v>45350.559027753974</v>
      </c>
      <c r="F7163" s="41">
        <v>5.7517828773357165</v>
      </c>
      <c r="G7163" s="41">
        <v>0</v>
      </c>
      <c r="H7163" s="42"/>
      <c r="I7163" s="42"/>
      <c r="J7163" s="42"/>
    </row>
    <row r="7164" spans="5:10">
      <c r="E7164" s="43">
        <v>45350.562499976193</v>
      </c>
      <c r="F7164" s="41">
        <v>5.7517828773357165</v>
      </c>
      <c r="G7164" s="41">
        <v>0</v>
      </c>
      <c r="H7164" s="42"/>
      <c r="I7164" s="42"/>
      <c r="J7164" s="42"/>
    </row>
    <row r="7165" spans="5:10">
      <c r="E7165" s="43">
        <v>45350.565972198412</v>
      </c>
      <c r="F7165" s="41">
        <v>5.7517828773357165</v>
      </c>
      <c r="G7165" s="41">
        <v>0</v>
      </c>
      <c r="H7165" s="42"/>
      <c r="I7165" s="42"/>
      <c r="J7165" s="42"/>
    </row>
    <row r="7166" spans="5:10">
      <c r="E7166" s="43">
        <v>45350.569444420631</v>
      </c>
      <c r="F7166" s="41">
        <v>5.7517828773357165</v>
      </c>
      <c r="G7166" s="41">
        <v>0</v>
      </c>
      <c r="H7166" s="42"/>
      <c r="I7166" s="42"/>
      <c r="J7166" s="42"/>
    </row>
    <row r="7167" spans="5:10">
      <c r="E7167" s="43">
        <v>45350.57291664285</v>
      </c>
      <c r="F7167" s="41">
        <v>5.7517828773357165</v>
      </c>
      <c r="G7167" s="41">
        <v>0</v>
      </c>
      <c r="H7167" s="42"/>
      <c r="I7167" s="42"/>
      <c r="J7167" s="42"/>
    </row>
    <row r="7168" spans="5:10">
      <c r="E7168" s="43">
        <v>45350.576388865069</v>
      </c>
      <c r="F7168" s="41">
        <v>5.7517828773357165</v>
      </c>
      <c r="G7168" s="41">
        <v>0</v>
      </c>
      <c r="H7168" s="42"/>
      <c r="I7168" s="42"/>
      <c r="J7168" s="42"/>
    </row>
    <row r="7169" spans="5:10">
      <c r="E7169" s="43">
        <v>45350.579861087288</v>
      </c>
      <c r="F7169" s="41">
        <v>5.7517828773357165</v>
      </c>
      <c r="G7169" s="41">
        <v>0</v>
      </c>
      <c r="H7169" s="42"/>
      <c r="I7169" s="42"/>
      <c r="J7169" s="42"/>
    </row>
    <row r="7170" spans="5:10">
      <c r="E7170" s="43">
        <v>45350.583333309507</v>
      </c>
      <c r="F7170" s="41">
        <v>5.7517828773357165</v>
      </c>
      <c r="G7170" s="41">
        <v>0</v>
      </c>
      <c r="H7170" s="42"/>
      <c r="I7170" s="42"/>
      <c r="J7170" s="42"/>
    </row>
    <row r="7171" spans="5:10">
      <c r="E7171" s="43">
        <v>45350.586805531726</v>
      </c>
      <c r="F7171" s="41">
        <v>2.9732322229859154</v>
      </c>
      <c r="G7171" s="41">
        <v>0</v>
      </c>
      <c r="H7171" s="42"/>
      <c r="I7171" s="42"/>
      <c r="J7171" s="42"/>
    </row>
    <row r="7172" spans="5:10">
      <c r="E7172" s="43">
        <v>45350.590277753945</v>
      </c>
      <c r="F7172" s="41">
        <v>2.9732322229859154</v>
      </c>
      <c r="G7172" s="41">
        <v>0</v>
      </c>
      <c r="H7172" s="42"/>
      <c r="I7172" s="42"/>
      <c r="J7172" s="42"/>
    </row>
    <row r="7173" spans="5:10">
      <c r="E7173" s="43">
        <v>45350.593749976164</v>
      </c>
      <c r="F7173" s="41">
        <v>2.9732322229859154</v>
      </c>
      <c r="G7173" s="41">
        <v>0</v>
      </c>
      <c r="H7173" s="42"/>
      <c r="I7173" s="42"/>
      <c r="J7173" s="42"/>
    </row>
    <row r="7174" spans="5:10">
      <c r="E7174" s="43">
        <v>45350.597222198383</v>
      </c>
      <c r="F7174" s="41">
        <v>2.9732322229859154</v>
      </c>
      <c r="G7174" s="41">
        <v>0</v>
      </c>
      <c r="H7174" s="42"/>
      <c r="I7174" s="42"/>
      <c r="J7174" s="42"/>
    </row>
    <row r="7175" spans="5:10">
      <c r="E7175" s="43">
        <v>45350.600694420602</v>
      </c>
      <c r="F7175" s="41">
        <v>2.9732322229859154</v>
      </c>
      <c r="G7175" s="41">
        <v>0</v>
      </c>
      <c r="H7175" s="42"/>
      <c r="I7175" s="42"/>
      <c r="J7175" s="42"/>
    </row>
    <row r="7176" spans="5:10">
      <c r="E7176" s="43">
        <v>45350.604166642821</v>
      </c>
      <c r="F7176" s="41">
        <v>2.9732322229859154</v>
      </c>
      <c r="G7176" s="41">
        <v>0</v>
      </c>
      <c r="H7176" s="42"/>
      <c r="I7176" s="42"/>
      <c r="J7176" s="42"/>
    </row>
    <row r="7177" spans="5:10">
      <c r="E7177" s="43">
        <v>45350.60763886504</v>
      </c>
      <c r="F7177" s="41">
        <v>0</v>
      </c>
      <c r="G7177" s="41">
        <v>0</v>
      </c>
      <c r="H7177" s="42"/>
      <c r="I7177" s="42"/>
      <c r="J7177" s="42"/>
    </row>
    <row r="7178" spans="5:10">
      <c r="E7178" s="43">
        <v>45350.611111087259</v>
      </c>
      <c r="F7178" s="41">
        <v>0</v>
      </c>
      <c r="G7178" s="41">
        <v>0</v>
      </c>
      <c r="H7178" s="42"/>
      <c r="I7178" s="42"/>
      <c r="J7178" s="42"/>
    </row>
    <row r="7179" spans="5:10">
      <c r="E7179" s="43">
        <v>45350.614583309478</v>
      </c>
      <c r="F7179" s="41">
        <v>0</v>
      </c>
      <c r="G7179" s="41">
        <v>0</v>
      </c>
      <c r="H7179" s="42"/>
      <c r="I7179" s="42"/>
      <c r="J7179" s="42"/>
    </row>
    <row r="7180" spans="5:10">
      <c r="E7180" s="43">
        <v>45350.618055531697</v>
      </c>
      <c r="F7180" s="41">
        <v>0</v>
      </c>
      <c r="G7180" s="41">
        <v>0</v>
      </c>
      <c r="H7180" s="42"/>
      <c r="I7180" s="42"/>
      <c r="J7180" s="42"/>
    </row>
    <row r="7181" spans="5:10">
      <c r="E7181" s="43">
        <v>45350.621527753916</v>
      </c>
      <c r="F7181" s="41">
        <v>0</v>
      </c>
      <c r="G7181" s="41">
        <v>0</v>
      </c>
      <c r="H7181" s="42"/>
      <c r="I7181" s="42"/>
      <c r="J7181" s="42"/>
    </row>
    <row r="7182" spans="5:10">
      <c r="E7182" s="43">
        <v>45350.624999976135</v>
      </c>
      <c r="F7182" s="41">
        <v>0</v>
      </c>
      <c r="G7182" s="41">
        <v>0</v>
      </c>
      <c r="H7182" s="42"/>
      <c r="I7182" s="42"/>
      <c r="J7182" s="42"/>
    </row>
    <row r="7183" spans="5:10">
      <c r="E7183" s="43">
        <v>45350.628472198354</v>
      </c>
      <c r="F7183" s="41">
        <v>0</v>
      </c>
      <c r="G7183" s="41">
        <v>0</v>
      </c>
      <c r="H7183" s="42"/>
      <c r="I7183" s="42"/>
      <c r="J7183" s="42"/>
    </row>
    <row r="7184" spans="5:10">
      <c r="E7184" s="43">
        <v>45350.631944420573</v>
      </c>
      <c r="F7184" s="41">
        <v>0</v>
      </c>
      <c r="G7184" s="41">
        <v>0</v>
      </c>
      <c r="H7184" s="42"/>
      <c r="I7184" s="42"/>
      <c r="J7184" s="42"/>
    </row>
    <row r="7185" spans="5:10">
      <c r="E7185" s="43">
        <v>45350.635416642792</v>
      </c>
      <c r="F7185" s="41">
        <v>0</v>
      </c>
      <c r="G7185" s="41">
        <v>0</v>
      </c>
      <c r="H7185" s="42"/>
      <c r="I7185" s="42"/>
      <c r="J7185" s="42"/>
    </row>
    <row r="7186" spans="5:10">
      <c r="E7186" s="43">
        <v>45350.638888865011</v>
      </c>
      <c r="F7186" s="41">
        <v>0</v>
      </c>
      <c r="G7186" s="41">
        <v>0</v>
      </c>
      <c r="H7186" s="42"/>
      <c r="I7186" s="42"/>
      <c r="J7186" s="42"/>
    </row>
    <row r="7187" spans="5:10">
      <c r="E7187" s="43">
        <v>45350.64236108723</v>
      </c>
      <c r="F7187" s="41">
        <v>0</v>
      </c>
      <c r="G7187" s="41">
        <v>0</v>
      </c>
      <c r="H7187" s="42"/>
      <c r="I7187" s="42"/>
      <c r="J7187" s="42"/>
    </row>
    <row r="7188" spans="5:10">
      <c r="E7188" s="43">
        <v>45350.645833309449</v>
      </c>
      <c r="F7188" s="41">
        <v>0</v>
      </c>
      <c r="G7188" s="41">
        <v>0</v>
      </c>
      <c r="H7188" s="42"/>
      <c r="I7188" s="42"/>
      <c r="J7188" s="42"/>
    </row>
    <row r="7189" spans="5:10">
      <c r="E7189" s="43">
        <v>45350.649305531668</v>
      </c>
      <c r="F7189" s="41">
        <v>0</v>
      </c>
      <c r="G7189" s="41">
        <v>0</v>
      </c>
      <c r="H7189" s="42"/>
      <c r="I7189" s="42"/>
      <c r="J7189" s="42"/>
    </row>
    <row r="7190" spans="5:10">
      <c r="E7190" s="43">
        <v>45350.652777753887</v>
      </c>
      <c r="F7190" s="41">
        <v>0</v>
      </c>
      <c r="G7190" s="41">
        <v>0</v>
      </c>
      <c r="H7190" s="42"/>
      <c r="I7190" s="42"/>
      <c r="J7190" s="42"/>
    </row>
    <row r="7191" spans="5:10">
      <c r="E7191" s="43">
        <v>45350.656249976106</v>
      </c>
      <c r="F7191" s="41">
        <v>0</v>
      </c>
      <c r="G7191" s="41">
        <v>0</v>
      </c>
      <c r="H7191" s="42"/>
      <c r="I7191" s="42"/>
      <c r="J7191" s="42"/>
    </row>
    <row r="7192" spans="5:10">
      <c r="E7192" s="43">
        <v>45350.659722198325</v>
      </c>
      <c r="F7192" s="41">
        <v>0</v>
      </c>
      <c r="G7192" s="41">
        <v>0</v>
      </c>
      <c r="H7192" s="42"/>
      <c r="I7192" s="42"/>
      <c r="J7192" s="42"/>
    </row>
    <row r="7193" spans="5:10">
      <c r="E7193" s="43">
        <v>45350.663194420544</v>
      </c>
      <c r="F7193" s="41">
        <v>0</v>
      </c>
      <c r="G7193" s="41">
        <v>0</v>
      </c>
      <c r="H7193" s="42"/>
      <c r="I7193" s="42"/>
      <c r="J7193" s="42"/>
    </row>
    <row r="7194" spans="5:10">
      <c r="E7194" s="43">
        <v>45350.666666642763</v>
      </c>
      <c r="F7194" s="41">
        <v>0</v>
      </c>
      <c r="G7194" s="41">
        <v>0</v>
      </c>
      <c r="H7194" s="42"/>
      <c r="I7194" s="42"/>
      <c r="J7194" s="42"/>
    </row>
    <row r="7195" spans="5:10">
      <c r="E7195" s="43">
        <v>45350.670138864982</v>
      </c>
      <c r="F7195" s="41">
        <v>0</v>
      </c>
      <c r="G7195" s="41">
        <v>0</v>
      </c>
      <c r="H7195" s="42"/>
      <c r="I7195" s="42"/>
      <c r="J7195" s="42"/>
    </row>
    <row r="7196" spans="5:10">
      <c r="E7196" s="43">
        <v>45350.673611087201</v>
      </c>
      <c r="F7196" s="41">
        <v>0</v>
      </c>
      <c r="G7196" s="41">
        <v>0</v>
      </c>
      <c r="H7196" s="42"/>
      <c r="I7196" s="42"/>
      <c r="J7196" s="42"/>
    </row>
    <row r="7197" spans="5:10">
      <c r="E7197" s="43">
        <v>45350.67708330942</v>
      </c>
      <c r="F7197" s="41">
        <v>0</v>
      </c>
      <c r="G7197" s="41">
        <v>0</v>
      </c>
      <c r="H7197" s="42"/>
      <c r="I7197" s="42"/>
      <c r="J7197" s="42"/>
    </row>
    <row r="7198" spans="5:10">
      <c r="E7198" s="43">
        <v>45350.680555531639</v>
      </c>
      <c r="F7198" s="41">
        <v>0</v>
      </c>
      <c r="G7198" s="41">
        <v>0</v>
      </c>
      <c r="H7198" s="42"/>
      <c r="I7198" s="42"/>
      <c r="J7198" s="42"/>
    </row>
    <row r="7199" spans="5:10">
      <c r="E7199" s="43">
        <v>45350.684027753858</v>
      </c>
      <c r="F7199" s="41">
        <v>0</v>
      </c>
      <c r="G7199" s="41">
        <v>0</v>
      </c>
      <c r="H7199" s="42"/>
      <c r="I7199" s="42"/>
      <c r="J7199" s="42"/>
    </row>
    <row r="7200" spans="5:10">
      <c r="E7200" s="43">
        <v>45350.687499976077</v>
      </c>
      <c r="F7200" s="41">
        <v>0.89301698377881111</v>
      </c>
      <c r="G7200" s="41">
        <v>0</v>
      </c>
      <c r="H7200" s="42"/>
      <c r="I7200" s="42"/>
      <c r="J7200" s="42"/>
    </row>
    <row r="7201" spans="5:10">
      <c r="E7201" s="43">
        <v>45350.690972198296</v>
      </c>
      <c r="F7201" s="41">
        <v>0.89301698377881111</v>
      </c>
      <c r="G7201" s="41">
        <v>0</v>
      </c>
      <c r="H7201" s="42"/>
      <c r="I7201" s="42"/>
      <c r="J7201" s="42"/>
    </row>
    <row r="7202" spans="5:10">
      <c r="E7202" s="43">
        <v>45350.694444420515</v>
      </c>
      <c r="F7202" s="41">
        <v>0.89301698377881111</v>
      </c>
      <c r="G7202" s="41">
        <v>0</v>
      </c>
      <c r="H7202" s="42"/>
      <c r="I7202" s="42"/>
      <c r="J7202" s="42"/>
    </row>
    <row r="7203" spans="5:10">
      <c r="E7203" s="43">
        <v>45350.697916642734</v>
      </c>
      <c r="F7203" s="41">
        <v>0.89301698377881111</v>
      </c>
      <c r="G7203" s="41">
        <v>0</v>
      </c>
      <c r="H7203" s="42"/>
      <c r="I7203" s="42"/>
      <c r="J7203" s="42"/>
    </row>
    <row r="7204" spans="5:10">
      <c r="E7204" s="43">
        <v>45350.701388864953</v>
      </c>
      <c r="F7204" s="41">
        <v>0.89301698377881111</v>
      </c>
      <c r="G7204" s="41">
        <v>0</v>
      </c>
      <c r="H7204" s="42"/>
      <c r="I7204" s="42"/>
      <c r="J7204" s="42"/>
    </row>
    <row r="7205" spans="5:10">
      <c r="E7205" s="43">
        <v>45350.704861087172</v>
      </c>
      <c r="F7205" s="41">
        <v>0.89301698377881111</v>
      </c>
      <c r="G7205" s="41">
        <v>0</v>
      </c>
      <c r="H7205" s="42"/>
      <c r="I7205" s="42"/>
      <c r="J7205" s="42"/>
    </row>
    <row r="7206" spans="5:10">
      <c r="E7206" s="43">
        <v>45350.708333309391</v>
      </c>
      <c r="F7206" s="41">
        <v>0.89301698377881111</v>
      </c>
      <c r="G7206" s="41">
        <v>0</v>
      </c>
      <c r="H7206" s="42"/>
      <c r="I7206" s="42"/>
      <c r="J7206" s="42"/>
    </row>
    <row r="7207" spans="5:10">
      <c r="E7207" s="43">
        <v>45350.71180553161</v>
      </c>
      <c r="F7207" s="41">
        <v>0.89301698377881111</v>
      </c>
      <c r="G7207" s="41">
        <v>0</v>
      </c>
      <c r="H7207" s="42"/>
      <c r="I7207" s="42"/>
      <c r="J7207" s="42"/>
    </row>
    <row r="7208" spans="5:10">
      <c r="E7208" s="43">
        <v>45350.715277753829</v>
      </c>
      <c r="F7208" s="41">
        <v>0.89301698377881111</v>
      </c>
      <c r="G7208" s="41">
        <v>0</v>
      </c>
      <c r="H7208" s="42"/>
      <c r="I7208" s="42"/>
      <c r="J7208" s="42"/>
    </row>
    <row r="7209" spans="5:10">
      <c r="E7209" s="43">
        <v>45350.718749976048</v>
      </c>
      <c r="F7209" s="41">
        <v>0.89301698377881111</v>
      </c>
      <c r="G7209" s="41">
        <v>0</v>
      </c>
      <c r="H7209" s="42"/>
      <c r="I7209" s="42"/>
      <c r="J7209" s="42"/>
    </row>
    <row r="7210" spans="5:10">
      <c r="E7210" s="43">
        <v>45350.722222198267</v>
      </c>
      <c r="F7210" s="41">
        <v>0.89301698377881111</v>
      </c>
      <c r="G7210" s="41">
        <v>0</v>
      </c>
      <c r="H7210" s="42"/>
      <c r="I7210" s="42"/>
      <c r="J7210" s="42"/>
    </row>
    <row r="7211" spans="5:10">
      <c r="E7211" s="43">
        <v>45350.725694420486</v>
      </c>
      <c r="F7211" s="41">
        <v>0.89301698377881111</v>
      </c>
      <c r="G7211" s="41">
        <v>0</v>
      </c>
      <c r="H7211" s="42"/>
      <c r="I7211" s="42"/>
      <c r="J7211" s="42"/>
    </row>
    <row r="7212" spans="5:10">
      <c r="E7212" s="43">
        <v>45350.729166642705</v>
      </c>
      <c r="F7212" s="41">
        <v>0.89301698377881111</v>
      </c>
      <c r="G7212" s="41">
        <v>0</v>
      </c>
      <c r="H7212" s="42"/>
      <c r="I7212" s="42"/>
      <c r="J7212" s="42"/>
    </row>
    <row r="7213" spans="5:10">
      <c r="E7213" s="43">
        <v>45350.732638864924</v>
      </c>
      <c r="F7213" s="41">
        <v>0.89301698377881111</v>
      </c>
      <c r="G7213" s="41">
        <v>0</v>
      </c>
      <c r="H7213" s="42"/>
      <c r="I7213" s="42"/>
      <c r="J7213" s="42"/>
    </row>
    <row r="7214" spans="5:10">
      <c r="E7214" s="43">
        <v>45350.736111087142</v>
      </c>
      <c r="F7214" s="41">
        <v>0.89301698377881111</v>
      </c>
      <c r="G7214" s="41">
        <v>0</v>
      </c>
      <c r="H7214" s="42"/>
      <c r="I7214" s="42"/>
      <c r="J7214" s="42"/>
    </row>
    <row r="7215" spans="5:10">
      <c r="E7215" s="43">
        <v>45350.739583309361</v>
      </c>
      <c r="F7215" s="41">
        <v>0.89301698377881111</v>
      </c>
      <c r="G7215" s="41">
        <v>0</v>
      </c>
      <c r="H7215" s="42"/>
      <c r="I7215" s="42"/>
      <c r="J7215" s="42"/>
    </row>
    <row r="7216" spans="5:10">
      <c r="E7216" s="43">
        <v>45350.74305553158</v>
      </c>
      <c r="F7216" s="41">
        <v>0.89301698377881111</v>
      </c>
      <c r="G7216" s="41">
        <v>0</v>
      </c>
      <c r="H7216" s="42"/>
      <c r="I7216" s="42"/>
      <c r="J7216" s="42"/>
    </row>
    <row r="7217" spans="5:10">
      <c r="E7217" s="43">
        <v>45350.746527753799</v>
      </c>
      <c r="F7217" s="41">
        <v>0.89301698377881111</v>
      </c>
      <c r="G7217" s="41">
        <v>0</v>
      </c>
      <c r="H7217" s="42"/>
      <c r="I7217" s="42"/>
      <c r="J7217" s="42"/>
    </row>
    <row r="7218" spans="5:10">
      <c r="E7218" s="43">
        <v>45350.749999976018</v>
      </c>
      <c r="F7218" s="41">
        <v>0.89301698377881111</v>
      </c>
      <c r="G7218" s="41">
        <v>0</v>
      </c>
      <c r="H7218" s="42"/>
      <c r="I7218" s="42"/>
      <c r="J7218" s="42"/>
    </row>
    <row r="7219" spans="5:10">
      <c r="E7219" s="43">
        <v>45350.753472198237</v>
      </c>
      <c r="F7219" s="41">
        <v>0.89301698377881111</v>
      </c>
      <c r="G7219" s="41">
        <v>0</v>
      </c>
      <c r="H7219" s="42"/>
      <c r="I7219" s="42"/>
      <c r="J7219" s="42"/>
    </row>
    <row r="7220" spans="5:10">
      <c r="E7220" s="43">
        <v>45350.756944420456</v>
      </c>
      <c r="F7220" s="41">
        <v>0.89301698377881111</v>
      </c>
      <c r="G7220" s="41">
        <v>0</v>
      </c>
      <c r="H7220" s="42"/>
      <c r="I7220" s="42"/>
      <c r="J7220" s="42"/>
    </row>
    <row r="7221" spans="5:10">
      <c r="E7221" s="43">
        <v>45350.760416642675</v>
      </c>
      <c r="F7221" s="41">
        <v>0.89301698377881111</v>
      </c>
      <c r="G7221" s="41">
        <v>0</v>
      </c>
      <c r="H7221" s="42"/>
      <c r="I7221" s="42"/>
      <c r="J7221" s="42"/>
    </row>
    <row r="7222" spans="5:10">
      <c r="E7222" s="43">
        <v>45350.763888864894</v>
      </c>
      <c r="F7222" s="41">
        <v>0.89301698377881111</v>
      </c>
      <c r="G7222" s="41">
        <v>0</v>
      </c>
      <c r="H7222" s="42"/>
      <c r="I7222" s="42"/>
      <c r="J7222" s="42"/>
    </row>
    <row r="7223" spans="5:10">
      <c r="E7223" s="43">
        <v>45350.767361087113</v>
      </c>
      <c r="F7223" s="41">
        <v>0.89301698377881111</v>
      </c>
      <c r="G7223" s="41">
        <v>0</v>
      </c>
      <c r="H7223" s="42"/>
      <c r="I7223" s="42"/>
      <c r="J7223" s="42"/>
    </row>
    <row r="7224" spans="5:10">
      <c r="E7224" s="43">
        <v>45350.770833309332</v>
      </c>
      <c r="F7224" s="41">
        <v>0.89301698377881111</v>
      </c>
      <c r="G7224" s="41">
        <v>0</v>
      </c>
      <c r="H7224" s="42"/>
      <c r="I7224" s="42"/>
      <c r="J7224" s="42"/>
    </row>
    <row r="7225" spans="5:10">
      <c r="E7225" s="43">
        <v>45350.774305531551</v>
      </c>
      <c r="F7225" s="41">
        <v>0.89301698377881111</v>
      </c>
      <c r="G7225" s="41">
        <v>0</v>
      </c>
      <c r="H7225" s="42"/>
      <c r="I7225" s="42"/>
      <c r="J7225" s="42"/>
    </row>
    <row r="7226" spans="5:10">
      <c r="E7226" s="43">
        <v>45350.77777775377</v>
      </c>
      <c r="F7226" s="41">
        <v>0.89301698377881111</v>
      </c>
      <c r="G7226" s="41">
        <v>0</v>
      </c>
      <c r="H7226" s="42"/>
      <c r="I7226" s="42"/>
      <c r="J7226" s="42"/>
    </row>
    <row r="7227" spans="5:10">
      <c r="E7227" s="43">
        <v>45350.781249975989</v>
      </c>
      <c r="F7227" s="41">
        <v>0.89301698377881111</v>
      </c>
      <c r="G7227" s="41">
        <v>0</v>
      </c>
      <c r="H7227" s="42"/>
      <c r="I7227" s="42"/>
      <c r="J7227" s="42"/>
    </row>
    <row r="7228" spans="5:10">
      <c r="E7228" s="43">
        <v>45350.784722198208</v>
      </c>
      <c r="F7228" s="41">
        <v>0.89301698377881111</v>
      </c>
      <c r="G7228" s="41">
        <v>0</v>
      </c>
      <c r="H7228" s="42"/>
      <c r="I7228" s="42"/>
      <c r="J7228" s="42"/>
    </row>
    <row r="7229" spans="5:10">
      <c r="E7229" s="43">
        <v>45350.788194420427</v>
      </c>
      <c r="F7229" s="41">
        <v>0.89301698377881111</v>
      </c>
      <c r="G7229" s="41">
        <v>0</v>
      </c>
      <c r="H7229" s="42"/>
      <c r="I7229" s="42"/>
      <c r="J7229" s="42"/>
    </row>
    <row r="7230" spans="5:10">
      <c r="E7230" s="43">
        <v>45350.791666642646</v>
      </c>
      <c r="F7230" s="41">
        <v>0.89301698377881111</v>
      </c>
      <c r="G7230" s="41">
        <v>0</v>
      </c>
      <c r="H7230" s="42"/>
      <c r="I7230" s="42"/>
      <c r="J7230" s="42"/>
    </row>
    <row r="7231" spans="5:10">
      <c r="E7231" s="43">
        <v>45350.795138864865</v>
      </c>
      <c r="F7231" s="41">
        <v>0.89301698377881111</v>
      </c>
      <c r="G7231" s="41">
        <v>0</v>
      </c>
      <c r="H7231" s="42"/>
      <c r="I7231" s="42"/>
      <c r="J7231" s="42"/>
    </row>
    <row r="7232" spans="5:10">
      <c r="E7232" s="43">
        <v>45350.798611087084</v>
      </c>
      <c r="F7232" s="41">
        <v>0.89301698377881111</v>
      </c>
      <c r="G7232" s="41">
        <v>0</v>
      </c>
      <c r="H7232" s="42"/>
      <c r="I7232" s="42"/>
      <c r="J7232" s="42"/>
    </row>
    <row r="7233" spans="5:10">
      <c r="E7233" s="43">
        <v>45350.802083309303</v>
      </c>
      <c r="F7233" s="41">
        <v>0.89301698377881111</v>
      </c>
      <c r="G7233" s="41">
        <v>0</v>
      </c>
      <c r="H7233" s="42"/>
      <c r="I7233" s="42"/>
      <c r="J7233" s="42"/>
    </row>
    <row r="7234" spans="5:10">
      <c r="E7234" s="43">
        <v>45350.805555531522</v>
      </c>
      <c r="F7234" s="41">
        <v>0.89301698377881111</v>
      </c>
      <c r="G7234" s="41">
        <v>0</v>
      </c>
      <c r="H7234" s="42"/>
      <c r="I7234" s="42"/>
      <c r="J7234" s="42"/>
    </row>
    <row r="7235" spans="5:10">
      <c r="E7235" s="43">
        <v>45350.809027753741</v>
      </c>
      <c r="F7235" s="41">
        <v>0.89301698377881111</v>
      </c>
      <c r="G7235" s="41">
        <v>0</v>
      </c>
      <c r="H7235" s="42"/>
      <c r="I7235" s="42"/>
      <c r="J7235" s="42"/>
    </row>
    <row r="7236" spans="5:10">
      <c r="E7236" s="43">
        <v>45350.81249997596</v>
      </c>
      <c r="F7236" s="41">
        <v>0.89301698377881111</v>
      </c>
      <c r="G7236" s="41">
        <v>0</v>
      </c>
      <c r="H7236" s="42"/>
      <c r="I7236" s="42"/>
      <c r="J7236" s="42"/>
    </row>
    <row r="7237" spans="5:10">
      <c r="E7237" s="43">
        <v>45350.815972198179</v>
      </c>
      <c r="F7237" s="41">
        <v>0.89301698377881111</v>
      </c>
      <c r="G7237" s="41">
        <v>0</v>
      </c>
      <c r="H7237" s="42"/>
      <c r="I7237" s="42"/>
      <c r="J7237" s="42"/>
    </row>
    <row r="7238" spans="5:10">
      <c r="E7238" s="43">
        <v>45350.819444420398</v>
      </c>
      <c r="F7238" s="41">
        <v>0.89301698377881111</v>
      </c>
      <c r="G7238" s="41">
        <v>0</v>
      </c>
      <c r="H7238" s="42"/>
      <c r="I7238" s="42"/>
      <c r="J7238" s="42"/>
    </row>
    <row r="7239" spans="5:10">
      <c r="E7239" s="43">
        <v>45350.822916642617</v>
      </c>
      <c r="F7239" s="41">
        <v>0.89301698377881111</v>
      </c>
      <c r="G7239" s="41">
        <v>0</v>
      </c>
      <c r="H7239" s="42"/>
      <c r="I7239" s="42"/>
      <c r="J7239" s="42"/>
    </row>
    <row r="7240" spans="5:10">
      <c r="E7240" s="43">
        <v>45350.826388864836</v>
      </c>
      <c r="F7240" s="41">
        <v>0.89301698377881111</v>
      </c>
      <c r="G7240" s="41">
        <v>0</v>
      </c>
      <c r="H7240" s="42"/>
      <c r="I7240" s="42"/>
      <c r="J7240" s="42"/>
    </row>
    <row r="7241" spans="5:10">
      <c r="E7241" s="43">
        <v>45350.829861087055</v>
      </c>
      <c r="F7241" s="41">
        <v>0.89301698377881111</v>
      </c>
      <c r="G7241" s="41">
        <v>0</v>
      </c>
      <c r="H7241" s="42"/>
      <c r="I7241" s="42"/>
      <c r="J7241" s="42"/>
    </row>
    <row r="7242" spans="5:10">
      <c r="E7242" s="43">
        <v>45350.833333309274</v>
      </c>
      <c r="F7242" s="41">
        <v>0.89301698377881111</v>
      </c>
      <c r="G7242" s="41">
        <v>0</v>
      </c>
      <c r="H7242" s="42"/>
      <c r="I7242" s="42"/>
      <c r="J7242" s="42"/>
    </row>
    <row r="7243" spans="5:10">
      <c r="E7243" s="43">
        <v>45350.836805531493</v>
      </c>
      <c r="F7243" s="41">
        <v>0.89301698377881111</v>
      </c>
      <c r="G7243" s="41">
        <v>0</v>
      </c>
      <c r="H7243" s="42"/>
      <c r="I7243" s="42"/>
      <c r="J7243" s="42"/>
    </row>
    <row r="7244" spans="5:10">
      <c r="E7244" s="43">
        <v>45350.840277753712</v>
      </c>
      <c r="F7244" s="41">
        <v>0.89301698377881111</v>
      </c>
      <c r="G7244" s="41">
        <v>0</v>
      </c>
      <c r="H7244" s="42"/>
      <c r="I7244" s="42"/>
      <c r="J7244" s="42"/>
    </row>
    <row r="7245" spans="5:10">
      <c r="E7245" s="43">
        <v>45350.843749975931</v>
      </c>
      <c r="F7245" s="41">
        <v>0.89301698377881111</v>
      </c>
      <c r="G7245" s="41">
        <v>0</v>
      </c>
      <c r="H7245" s="42"/>
      <c r="I7245" s="42"/>
      <c r="J7245" s="42"/>
    </row>
    <row r="7246" spans="5:10">
      <c r="E7246" s="43">
        <v>45350.84722219815</v>
      </c>
      <c r="F7246" s="41">
        <v>0.89301698377881111</v>
      </c>
      <c r="G7246" s="41">
        <v>0</v>
      </c>
      <c r="H7246" s="42"/>
      <c r="I7246" s="42"/>
      <c r="J7246" s="42"/>
    </row>
    <row r="7247" spans="5:10">
      <c r="E7247" s="43">
        <v>45350.850694420369</v>
      </c>
      <c r="F7247" s="41">
        <v>0.89301698377881111</v>
      </c>
      <c r="G7247" s="41">
        <v>0</v>
      </c>
      <c r="H7247" s="42"/>
      <c r="I7247" s="42"/>
      <c r="J7247" s="42"/>
    </row>
    <row r="7248" spans="5:10">
      <c r="E7248" s="43">
        <v>45350.854166642588</v>
      </c>
      <c r="F7248" s="41">
        <v>0.89301698377881111</v>
      </c>
      <c r="G7248" s="41">
        <v>0</v>
      </c>
      <c r="H7248" s="42"/>
      <c r="I7248" s="42"/>
      <c r="J7248" s="42"/>
    </row>
    <row r="7249" spans="5:10">
      <c r="E7249" s="43">
        <v>45350.857638864807</v>
      </c>
      <c r="F7249" s="41">
        <v>0.89301698377881111</v>
      </c>
      <c r="G7249" s="41">
        <v>0</v>
      </c>
      <c r="H7249" s="42"/>
      <c r="I7249" s="42"/>
      <c r="J7249" s="42"/>
    </row>
    <row r="7250" spans="5:10">
      <c r="E7250" s="43">
        <v>45350.861111087026</v>
      </c>
      <c r="F7250" s="41">
        <v>0.89301698377881111</v>
      </c>
      <c r="G7250" s="41">
        <v>0</v>
      </c>
      <c r="H7250" s="42"/>
      <c r="I7250" s="42"/>
      <c r="J7250" s="42"/>
    </row>
    <row r="7251" spans="5:10">
      <c r="E7251" s="43">
        <v>45350.864583309245</v>
      </c>
      <c r="F7251" s="41">
        <v>0.89301698377881111</v>
      </c>
      <c r="G7251" s="41">
        <v>0</v>
      </c>
      <c r="H7251" s="42"/>
      <c r="I7251" s="42"/>
      <c r="J7251" s="42"/>
    </row>
    <row r="7252" spans="5:10">
      <c r="E7252" s="43">
        <v>45350.868055531464</v>
      </c>
      <c r="F7252" s="41">
        <v>0.89301698377881111</v>
      </c>
      <c r="G7252" s="41">
        <v>0</v>
      </c>
      <c r="H7252" s="42"/>
      <c r="I7252" s="42"/>
      <c r="J7252" s="42"/>
    </row>
    <row r="7253" spans="5:10">
      <c r="E7253" s="43">
        <v>45350.871527753683</v>
      </c>
      <c r="F7253" s="41">
        <v>0.89301698377881111</v>
      </c>
      <c r="G7253" s="41">
        <v>0</v>
      </c>
      <c r="H7253" s="42"/>
      <c r="I7253" s="42"/>
      <c r="J7253" s="42"/>
    </row>
    <row r="7254" spans="5:10">
      <c r="E7254" s="43">
        <v>45350.874999975902</v>
      </c>
      <c r="F7254" s="41">
        <v>0.89301698377881111</v>
      </c>
      <c r="G7254" s="41">
        <v>0</v>
      </c>
      <c r="H7254" s="42"/>
      <c r="I7254" s="42"/>
      <c r="J7254" s="42"/>
    </row>
    <row r="7255" spans="5:10">
      <c r="E7255" s="43">
        <v>45350.878472198121</v>
      </c>
      <c r="F7255" s="41">
        <v>0.89301698377881111</v>
      </c>
      <c r="G7255" s="41">
        <v>0</v>
      </c>
      <c r="H7255" s="42"/>
      <c r="I7255" s="42"/>
      <c r="J7255" s="42"/>
    </row>
    <row r="7256" spans="5:10">
      <c r="E7256" s="43">
        <v>45350.88194442034</v>
      </c>
      <c r="F7256" s="41">
        <v>0.89301698377881111</v>
      </c>
      <c r="G7256" s="41">
        <v>0</v>
      </c>
      <c r="H7256" s="42"/>
      <c r="I7256" s="42"/>
      <c r="J7256" s="42"/>
    </row>
    <row r="7257" spans="5:10">
      <c r="E7257" s="43">
        <v>45350.885416642559</v>
      </c>
      <c r="F7257" s="41">
        <v>0.89301698377881111</v>
      </c>
      <c r="G7257" s="41">
        <v>0</v>
      </c>
      <c r="H7257" s="42"/>
      <c r="I7257" s="42"/>
      <c r="J7257" s="42"/>
    </row>
    <row r="7258" spans="5:10">
      <c r="E7258" s="43">
        <v>45350.888888864778</v>
      </c>
      <c r="F7258" s="41">
        <v>0.89301698377881111</v>
      </c>
      <c r="G7258" s="41">
        <v>0</v>
      </c>
      <c r="H7258" s="42"/>
      <c r="I7258" s="42"/>
      <c r="J7258" s="42"/>
    </row>
    <row r="7259" spans="5:10">
      <c r="E7259" s="43">
        <v>45350.892361086997</v>
      </c>
      <c r="F7259" s="41">
        <v>0.89301698377881111</v>
      </c>
      <c r="G7259" s="41">
        <v>0</v>
      </c>
      <c r="H7259" s="42"/>
      <c r="I7259" s="42"/>
      <c r="J7259" s="42"/>
    </row>
    <row r="7260" spans="5:10">
      <c r="E7260" s="43">
        <v>45350.895833309216</v>
      </c>
      <c r="F7260" s="41">
        <v>0.89301698377881111</v>
      </c>
      <c r="G7260" s="41">
        <v>0</v>
      </c>
      <c r="H7260" s="42"/>
      <c r="I7260" s="42"/>
      <c r="J7260" s="42"/>
    </row>
    <row r="7261" spans="5:10">
      <c r="E7261" s="43">
        <v>45350.899305531435</v>
      </c>
      <c r="F7261" s="41">
        <v>0.89301698377881111</v>
      </c>
      <c r="G7261" s="41">
        <v>0</v>
      </c>
      <c r="H7261" s="42"/>
      <c r="I7261" s="42"/>
      <c r="J7261" s="42"/>
    </row>
    <row r="7262" spans="5:10">
      <c r="E7262" s="43">
        <v>45350.902777753654</v>
      </c>
      <c r="F7262" s="41">
        <v>0.89301698377881111</v>
      </c>
      <c r="G7262" s="41">
        <v>0</v>
      </c>
      <c r="H7262" s="42"/>
      <c r="I7262" s="42"/>
      <c r="J7262" s="42"/>
    </row>
    <row r="7263" spans="5:10">
      <c r="E7263" s="43">
        <v>45350.906249975873</v>
      </c>
      <c r="F7263" s="41">
        <v>0.89301698377881111</v>
      </c>
      <c r="G7263" s="41">
        <v>0</v>
      </c>
      <c r="H7263" s="42"/>
      <c r="I7263" s="42"/>
      <c r="J7263" s="42"/>
    </row>
    <row r="7264" spans="5:10">
      <c r="E7264" s="43">
        <v>45350.909722198092</v>
      </c>
      <c r="F7264" s="41">
        <v>0.89301698377881111</v>
      </c>
      <c r="G7264" s="41">
        <v>0</v>
      </c>
      <c r="H7264" s="42"/>
      <c r="I7264" s="42"/>
      <c r="J7264" s="42"/>
    </row>
    <row r="7265" spans="5:10">
      <c r="E7265" s="43">
        <v>45350.913194420311</v>
      </c>
      <c r="F7265" s="41">
        <v>0.89301698377881111</v>
      </c>
      <c r="G7265" s="41">
        <v>0</v>
      </c>
      <c r="H7265" s="42"/>
      <c r="I7265" s="42"/>
      <c r="J7265" s="42"/>
    </row>
    <row r="7266" spans="5:10">
      <c r="E7266" s="43">
        <v>45350.91666664253</v>
      </c>
      <c r="F7266" s="41">
        <v>0.89301698377881111</v>
      </c>
      <c r="G7266" s="41">
        <v>0</v>
      </c>
      <c r="H7266" s="42"/>
      <c r="I7266" s="42"/>
      <c r="J7266" s="42"/>
    </row>
    <row r="7267" spans="5:10">
      <c r="E7267" s="43">
        <v>45350.920138864749</v>
      </c>
      <c r="F7267" s="41">
        <v>0.89301698377881111</v>
      </c>
      <c r="G7267" s="41">
        <v>0</v>
      </c>
      <c r="H7267" s="42"/>
      <c r="I7267" s="42"/>
      <c r="J7267" s="42"/>
    </row>
    <row r="7268" spans="5:10">
      <c r="E7268" s="43">
        <v>45350.923611086968</v>
      </c>
      <c r="F7268" s="41">
        <v>0.89301698377881111</v>
      </c>
      <c r="G7268" s="41">
        <v>0</v>
      </c>
      <c r="H7268" s="42"/>
      <c r="I7268" s="42"/>
      <c r="J7268" s="42"/>
    </row>
    <row r="7269" spans="5:10">
      <c r="E7269" s="43">
        <v>45350.927083309187</v>
      </c>
      <c r="F7269" s="41">
        <v>0.89301698377881111</v>
      </c>
      <c r="G7269" s="41">
        <v>0</v>
      </c>
      <c r="H7269" s="42"/>
      <c r="I7269" s="42"/>
      <c r="J7269" s="42"/>
    </row>
    <row r="7270" spans="5:10">
      <c r="E7270" s="43">
        <v>45350.930555531406</v>
      </c>
      <c r="F7270" s="41">
        <v>0.89301698377881111</v>
      </c>
      <c r="G7270" s="41">
        <v>0</v>
      </c>
      <c r="H7270" s="42"/>
      <c r="I7270" s="42"/>
      <c r="J7270" s="42"/>
    </row>
    <row r="7271" spans="5:10">
      <c r="E7271" s="43">
        <v>45350.934027753625</v>
      </c>
      <c r="F7271" s="41">
        <v>0.89301698377881111</v>
      </c>
      <c r="G7271" s="41">
        <v>0</v>
      </c>
      <c r="H7271" s="42"/>
      <c r="I7271" s="42"/>
      <c r="J7271" s="42"/>
    </row>
    <row r="7272" spans="5:10">
      <c r="E7272" s="43">
        <v>45350.937499975844</v>
      </c>
      <c r="F7272" s="41">
        <v>0.89301698377881111</v>
      </c>
      <c r="G7272" s="41">
        <v>0</v>
      </c>
      <c r="H7272" s="42"/>
      <c r="I7272" s="42"/>
      <c r="J7272" s="42"/>
    </row>
    <row r="7273" spans="5:10">
      <c r="E7273" s="43">
        <v>45350.940972198063</v>
      </c>
      <c r="F7273" s="41">
        <v>0.89301698377881111</v>
      </c>
      <c r="G7273" s="41">
        <v>0</v>
      </c>
      <c r="H7273" s="42"/>
      <c r="I7273" s="42"/>
      <c r="J7273" s="42"/>
    </row>
    <row r="7274" spans="5:10">
      <c r="E7274" s="43">
        <v>45350.944444420282</v>
      </c>
      <c r="F7274" s="41">
        <v>0.89301698377881111</v>
      </c>
      <c r="G7274" s="41">
        <v>0</v>
      </c>
      <c r="H7274" s="42"/>
      <c r="I7274" s="42"/>
      <c r="J7274" s="42"/>
    </row>
    <row r="7275" spans="5:10">
      <c r="E7275" s="43">
        <v>45350.947916642501</v>
      </c>
      <c r="F7275" s="41">
        <v>0.89301698377881111</v>
      </c>
      <c r="G7275" s="41">
        <v>0</v>
      </c>
      <c r="H7275" s="42"/>
      <c r="I7275" s="42"/>
      <c r="J7275" s="42"/>
    </row>
    <row r="7276" spans="5:10">
      <c r="E7276" s="43">
        <v>45350.95138886472</v>
      </c>
      <c r="F7276" s="41">
        <v>0.89301698377881111</v>
      </c>
      <c r="G7276" s="41">
        <v>0</v>
      </c>
      <c r="H7276" s="42"/>
      <c r="I7276" s="42"/>
      <c r="J7276" s="42"/>
    </row>
    <row r="7277" spans="5:10">
      <c r="E7277" s="43">
        <v>45350.954861086939</v>
      </c>
      <c r="F7277" s="41">
        <v>0.89301698377881111</v>
      </c>
      <c r="G7277" s="41">
        <v>0</v>
      </c>
      <c r="H7277" s="42"/>
      <c r="I7277" s="42"/>
      <c r="J7277" s="42"/>
    </row>
    <row r="7278" spans="5:10">
      <c r="E7278" s="43">
        <v>45350.958333309158</v>
      </c>
      <c r="F7278" s="41">
        <v>0.89301698377881111</v>
      </c>
      <c r="G7278" s="41">
        <v>0</v>
      </c>
      <c r="H7278" s="42"/>
      <c r="I7278" s="42"/>
      <c r="J7278" s="42"/>
    </row>
    <row r="7279" spans="5:10">
      <c r="E7279" s="43">
        <v>45350.961805531377</v>
      </c>
      <c r="F7279" s="41">
        <v>0.89301698377881111</v>
      </c>
      <c r="G7279" s="41">
        <v>0</v>
      </c>
      <c r="H7279" s="42"/>
      <c r="I7279" s="42"/>
      <c r="J7279" s="42"/>
    </row>
    <row r="7280" spans="5:10">
      <c r="E7280" s="43">
        <v>45350.965277753596</v>
      </c>
      <c r="F7280" s="41">
        <v>0.89301698377881111</v>
      </c>
      <c r="G7280" s="41">
        <v>0</v>
      </c>
      <c r="H7280" s="42"/>
      <c r="I7280" s="42"/>
      <c r="J7280" s="42"/>
    </row>
    <row r="7281" spans="5:10">
      <c r="E7281" s="43">
        <v>45350.968749975815</v>
      </c>
      <c r="F7281" s="41">
        <v>0.89301698377881111</v>
      </c>
      <c r="G7281" s="41">
        <v>0</v>
      </c>
      <c r="H7281" s="42"/>
      <c r="I7281" s="42"/>
      <c r="J7281" s="42"/>
    </row>
    <row r="7282" spans="5:10">
      <c r="E7282" s="43">
        <v>45350.972222198034</v>
      </c>
      <c r="F7282" s="41">
        <v>0.89301698377881111</v>
      </c>
      <c r="G7282" s="41">
        <v>0</v>
      </c>
      <c r="H7282" s="42"/>
      <c r="I7282" s="42"/>
      <c r="J7282" s="42"/>
    </row>
    <row r="7283" spans="5:10">
      <c r="E7283" s="43">
        <v>45350.975694420253</v>
      </c>
      <c r="F7283" s="41">
        <v>0.89301698377881111</v>
      </c>
      <c r="G7283" s="41">
        <v>0</v>
      </c>
      <c r="H7283" s="42"/>
      <c r="I7283" s="42"/>
      <c r="J7283" s="42"/>
    </row>
    <row r="7284" spans="5:10">
      <c r="E7284" s="43">
        <v>45350.979166642472</v>
      </c>
      <c r="F7284" s="41">
        <v>0.89301698377881111</v>
      </c>
      <c r="G7284" s="41">
        <v>0</v>
      </c>
      <c r="H7284" s="42"/>
      <c r="I7284" s="42"/>
      <c r="J7284" s="42"/>
    </row>
    <row r="7285" spans="5:10">
      <c r="E7285" s="43">
        <v>45350.982638864691</v>
      </c>
      <c r="F7285" s="41">
        <v>0.89301698377881111</v>
      </c>
      <c r="G7285" s="41">
        <v>0</v>
      </c>
      <c r="H7285" s="42"/>
      <c r="I7285" s="42"/>
      <c r="J7285" s="42"/>
    </row>
    <row r="7286" spans="5:10">
      <c r="E7286" s="43">
        <v>45350.98611108691</v>
      </c>
      <c r="F7286" s="41">
        <v>0.89301698377881111</v>
      </c>
      <c r="G7286" s="41">
        <v>0</v>
      </c>
      <c r="H7286" s="42"/>
      <c r="I7286" s="42"/>
      <c r="J7286" s="42"/>
    </row>
    <row r="7287" spans="5:10">
      <c r="E7287" s="43">
        <v>45350.989583309129</v>
      </c>
      <c r="F7287" s="41">
        <v>0.89301698377881111</v>
      </c>
      <c r="G7287" s="41">
        <v>0</v>
      </c>
      <c r="H7287" s="42"/>
      <c r="I7287" s="42"/>
      <c r="J7287" s="42"/>
    </row>
    <row r="7288" spans="5:10">
      <c r="E7288" s="43">
        <v>45350.993055531348</v>
      </c>
      <c r="F7288" s="41">
        <v>0.89301698377881111</v>
      </c>
      <c r="G7288" s="41">
        <v>0</v>
      </c>
      <c r="H7288" s="42"/>
      <c r="I7288" s="42"/>
      <c r="J7288" s="42"/>
    </row>
    <row r="7289" spans="5:10">
      <c r="E7289" s="43">
        <v>45350.996527753567</v>
      </c>
      <c r="F7289" s="41">
        <v>0.89301698377881111</v>
      </c>
      <c r="G7289" s="41">
        <v>0</v>
      </c>
      <c r="H7289" s="42"/>
      <c r="I7289" s="42"/>
      <c r="J7289" s="42"/>
    </row>
    <row r="7290" spans="5:10">
      <c r="E7290" s="43">
        <v>45350.999999975786</v>
      </c>
      <c r="F7290" s="41">
        <v>0.89301698377881111</v>
      </c>
      <c r="G7290" s="41">
        <v>0</v>
      </c>
      <c r="H7290" s="42"/>
      <c r="I7290" s="42"/>
      <c r="J7290" s="42"/>
    </row>
    <row r="7291" spans="5:10">
      <c r="E7291" s="43">
        <v>45351.003472198005</v>
      </c>
      <c r="F7291" s="41">
        <v>0.89301698377881111</v>
      </c>
      <c r="G7291" s="41">
        <v>0</v>
      </c>
      <c r="H7291" s="42"/>
      <c r="I7291" s="42"/>
      <c r="J7291" s="42"/>
    </row>
    <row r="7292" spans="5:10">
      <c r="E7292" s="43">
        <v>45351.006944420224</v>
      </c>
      <c r="F7292" s="41">
        <v>0.89301698377881111</v>
      </c>
      <c r="G7292" s="41">
        <v>0</v>
      </c>
      <c r="H7292" s="42"/>
      <c r="I7292" s="42"/>
      <c r="J7292" s="42"/>
    </row>
    <row r="7293" spans="5:10">
      <c r="E7293" s="43">
        <v>45351.010416642443</v>
      </c>
      <c r="F7293" s="41">
        <v>0.89301698377881111</v>
      </c>
      <c r="G7293" s="41">
        <v>0</v>
      </c>
      <c r="H7293" s="42"/>
      <c r="I7293" s="42"/>
      <c r="J7293" s="42"/>
    </row>
    <row r="7294" spans="5:10">
      <c r="E7294" s="43">
        <v>45351.013888864662</v>
      </c>
      <c r="F7294" s="41">
        <v>0.89301698377881111</v>
      </c>
      <c r="G7294" s="41">
        <v>0</v>
      </c>
      <c r="H7294" s="42"/>
      <c r="I7294" s="42"/>
      <c r="J7294" s="42"/>
    </row>
    <row r="7295" spans="5:10">
      <c r="E7295" s="43">
        <v>45351.017361086881</v>
      </c>
      <c r="F7295" s="41">
        <v>0.89301698377881111</v>
      </c>
      <c r="G7295" s="41">
        <v>0</v>
      </c>
      <c r="H7295" s="42"/>
      <c r="I7295" s="42"/>
      <c r="J7295" s="42"/>
    </row>
    <row r="7296" spans="5:10">
      <c r="E7296" s="43">
        <v>45351.0208333091</v>
      </c>
      <c r="F7296" s="41">
        <v>0.89301698377881111</v>
      </c>
      <c r="G7296" s="41">
        <v>0</v>
      </c>
      <c r="H7296" s="42"/>
      <c r="I7296" s="42"/>
      <c r="J7296" s="42"/>
    </row>
    <row r="7297" spans="5:10">
      <c r="E7297" s="43">
        <v>45351.024305531319</v>
      </c>
      <c r="F7297" s="41">
        <v>0.89301698377881111</v>
      </c>
      <c r="G7297" s="41">
        <v>0</v>
      </c>
      <c r="H7297" s="42"/>
      <c r="I7297" s="42"/>
      <c r="J7297" s="42"/>
    </row>
    <row r="7298" spans="5:10">
      <c r="E7298" s="43">
        <v>45351.027777753538</v>
      </c>
      <c r="F7298" s="41">
        <v>0.89301698377881111</v>
      </c>
      <c r="G7298" s="41">
        <v>0</v>
      </c>
      <c r="H7298" s="42"/>
      <c r="I7298" s="42"/>
      <c r="J7298" s="42"/>
    </row>
    <row r="7299" spans="5:10">
      <c r="E7299" s="43">
        <v>45351.031249975757</v>
      </c>
      <c r="F7299" s="41">
        <v>0.89301698377881111</v>
      </c>
      <c r="G7299" s="41">
        <v>0</v>
      </c>
      <c r="H7299" s="42"/>
      <c r="I7299" s="42"/>
      <c r="J7299" s="42"/>
    </row>
    <row r="7300" spans="5:10">
      <c r="E7300" s="43">
        <v>45351.034722197975</v>
      </c>
      <c r="F7300" s="41">
        <v>0.89301698377881111</v>
      </c>
      <c r="G7300" s="41">
        <v>0</v>
      </c>
      <c r="H7300" s="42"/>
      <c r="I7300" s="42"/>
      <c r="J7300" s="42"/>
    </row>
    <row r="7301" spans="5:10">
      <c r="E7301" s="43">
        <v>45351.038194420194</v>
      </c>
      <c r="F7301" s="41">
        <v>0.89301698377881111</v>
      </c>
      <c r="G7301" s="41">
        <v>0</v>
      </c>
      <c r="H7301" s="42"/>
      <c r="I7301" s="42"/>
      <c r="J7301" s="42"/>
    </row>
    <row r="7302" spans="5:10">
      <c r="E7302" s="43">
        <v>45351.041666642413</v>
      </c>
      <c r="F7302" s="41">
        <v>0.89301698377881111</v>
      </c>
      <c r="G7302" s="41">
        <v>0</v>
      </c>
      <c r="H7302" s="42"/>
      <c r="I7302" s="42"/>
      <c r="J7302" s="42"/>
    </row>
    <row r="7303" spans="5:10">
      <c r="E7303" s="43">
        <v>45351.045138864632</v>
      </c>
      <c r="F7303" s="41">
        <v>0.89301698377881111</v>
      </c>
      <c r="G7303" s="41">
        <v>0</v>
      </c>
      <c r="H7303" s="42"/>
      <c r="I7303" s="42"/>
      <c r="J7303" s="42"/>
    </row>
    <row r="7304" spans="5:10">
      <c r="E7304" s="43">
        <v>45351.048611086851</v>
      </c>
      <c r="F7304" s="41">
        <v>0.89301698377881111</v>
      </c>
      <c r="G7304" s="41">
        <v>0</v>
      </c>
      <c r="H7304" s="42"/>
      <c r="I7304" s="42"/>
      <c r="J7304" s="42"/>
    </row>
    <row r="7305" spans="5:10">
      <c r="E7305" s="43">
        <v>45351.05208330907</v>
      </c>
      <c r="F7305" s="41">
        <v>0.89301698377881111</v>
      </c>
      <c r="G7305" s="41">
        <v>0</v>
      </c>
      <c r="H7305" s="42"/>
      <c r="I7305" s="42"/>
      <c r="J7305" s="42"/>
    </row>
    <row r="7306" spans="5:10">
      <c r="E7306" s="43">
        <v>45351.055555531289</v>
      </c>
      <c r="F7306" s="41">
        <v>0.89301698377881111</v>
      </c>
      <c r="G7306" s="41">
        <v>0</v>
      </c>
      <c r="H7306" s="42"/>
      <c r="I7306" s="42"/>
      <c r="J7306" s="42"/>
    </row>
    <row r="7307" spans="5:10">
      <c r="E7307" s="43">
        <v>45351.059027753508</v>
      </c>
      <c r="F7307" s="41">
        <v>0.89301698377881111</v>
      </c>
      <c r="G7307" s="41">
        <v>0</v>
      </c>
      <c r="H7307" s="42"/>
      <c r="I7307" s="42"/>
      <c r="J7307" s="42"/>
    </row>
    <row r="7308" spans="5:10">
      <c r="E7308" s="43">
        <v>45351.062499975727</v>
      </c>
      <c r="F7308" s="41">
        <v>0.89301698377881111</v>
      </c>
      <c r="G7308" s="41">
        <v>0</v>
      </c>
      <c r="H7308" s="42"/>
      <c r="I7308" s="42"/>
      <c r="J7308" s="42"/>
    </row>
    <row r="7309" spans="5:10">
      <c r="E7309" s="43">
        <v>45351.065972197946</v>
      </c>
      <c r="F7309" s="41">
        <v>0.89301698377881111</v>
      </c>
      <c r="G7309" s="41">
        <v>0</v>
      </c>
      <c r="H7309" s="42"/>
      <c r="I7309" s="42"/>
      <c r="J7309" s="42"/>
    </row>
    <row r="7310" spans="5:10">
      <c r="E7310" s="43">
        <v>45351.069444420165</v>
      </c>
      <c r="F7310" s="41">
        <v>0.89301698377881111</v>
      </c>
      <c r="G7310" s="41">
        <v>0</v>
      </c>
      <c r="H7310" s="42"/>
      <c r="I7310" s="42"/>
      <c r="J7310" s="42"/>
    </row>
    <row r="7311" spans="5:10">
      <c r="E7311" s="43">
        <v>45351.072916642384</v>
      </c>
      <c r="F7311" s="41">
        <v>0.89301698377881111</v>
      </c>
      <c r="G7311" s="41">
        <v>0</v>
      </c>
      <c r="H7311" s="42"/>
      <c r="I7311" s="42"/>
      <c r="J7311" s="42"/>
    </row>
    <row r="7312" spans="5:10">
      <c r="E7312" s="43">
        <v>45351.076388864603</v>
      </c>
      <c r="F7312" s="41">
        <v>0.89301698377881111</v>
      </c>
      <c r="G7312" s="41">
        <v>0</v>
      </c>
      <c r="H7312" s="42"/>
      <c r="I7312" s="42"/>
      <c r="J7312" s="42"/>
    </row>
    <row r="7313" spans="5:10">
      <c r="E7313" s="43">
        <v>45351.079861086822</v>
      </c>
      <c r="F7313" s="41">
        <v>0.89301698377881111</v>
      </c>
      <c r="G7313" s="41">
        <v>0</v>
      </c>
      <c r="H7313" s="42"/>
      <c r="I7313" s="42"/>
      <c r="J7313" s="42"/>
    </row>
    <row r="7314" spans="5:10">
      <c r="E7314" s="43">
        <v>45351.083333309041</v>
      </c>
      <c r="F7314" s="41">
        <v>0.89301698377881111</v>
      </c>
      <c r="G7314" s="41">
        <v>0</v>
      </c>
      <c r="H7314" s="42"/>
      <c r="I7314" s="42"/>
      <c r="J7314" s="42"/>
    </row>
    <row r="7315" spans="5:10">
      <c r="E7315" s="43">
        <v>45351.08680553126</v>
      </c>
      <c r="F7315" s="41">
        <v>0.89301698377881111</v>
      </c>
      <c r="G7315" s="41">
        <v>0</v>
      </c>
      <c r="H7315" s="42"/>
      <c r="I7315" s="42"/>
      <c r="J7315" s="42"/>
    </row>
    <row r="7316" spans="5:10">
      <c r="E7316" s="43">
        <v>45351.090277753479</v>
      </c>
      <c r="F7316" s="41">
        <v>0.89301698377881111</v>
      </c>
      <c r="G7316" s="41">
        <v>0</v>
      </c>
      <c r="H7316" s="42"/>
      <c r="I7316" s="42"/>
      <c r="J7316" s="42"/>
    </row>
    <row r="7317" spans="5:10">
      <c r="E7317" s="43">
        <v>45351.093749975698</v>
      </c>
      <c r="F7317" s="41">
        <v>0.89301698377881111</v>
      </c>
      <c r="G7317" s="41">
        <v>0</v>
      </c>
      <c r="H7317" s="42"/>
      <c r="I7317" s="42"/>
      <c r="J7317" s="42"/>
    </row>
    <row r="7318" spans="5:10">
      <c r="E7318" s="43">
        <v>45351.097222197917</v>
      </c>
      <c r="F7318" s="41">
        <v>0.89301698377881111</v>
      </c>
      <c r="G7318" s="41">
        <v>0</v>
      </c>
      <c r="H7318" s="42"/>
      <c r="I7318" s="42"/>
      <c r="J7318" s="42"/>
    </row>
    <row r="7319" spans="5:10">
      <c r="E7319" s="43">
        <v>45351.100694420136</v>
      </c>
      <c r="F7319" s="41">
        <v>0.89301698377881111</v>
      </c>
      <c r="G7319" s="41">
        <v>0</v>
      </c>
      <c r="H7319" s="42"/>
      <c r="I7319" s="42"/>
      <c r="J7319" s="42"/>
    </row>
    <row r="7320" spans="5:10">
      <c r="E7320" s="43">
        <v>45351.104166642355</v>
      </c>
      <c r="F7320" s="41">
        <v>0.89301698377881111</v>
      </c>
      <c r="G7320" s="41">
        <v>0</v>
      </c>
      <c r="H7320" s="42"/>
      <c r="I7320" s="42"/>
      <c r="J7320" s="42"/>
    </row>
    <row r="7321" spans="5:10">
      <c r="E7321" s="43">
        <v>45351.107638864574</v>
      </c>
      <c r="F7321" s="41">
        <v>0.89301698377881111</v>
      </c>
      <c r="G7321" s="41">
        <v>0</v>
      </c>
      <c r="H7321" s="42"/>
      <c r="I7321" s="42"/>
      <c r="J7321" s="42"/>
    </row>
    <row r="7322" spans="5:10">
      <c r="E7322" s="43">
        <v>45351.111111086793</v>
      </c>
      <c r="F7322" s="41">
        <v>0.89301698377881111</v>
      </c>
      <c r="G7322" s="41">
        <v>0</v>
      </c>
      <c r="H7322" s="42"/>
      <c r="I7322" s="42"/>
      <c r="J7322" s="42"/>
    </row>
    <row r="7323" spans="5:10">
      <c r="E7323" s="43">
        <v>45351.114583309012</v>
      </c>
      <c r="F7323" s="41">
        <v>0.89301698377881111</v>
      </c>
      <c r="G7323" s="41">
        <v>0</v>
      </c>
      <c r="H7323" s="42"/>
      <c r="I7323" s="42"/>
      <c r="J7323" s="42"/>
    </row>
    <row r="7324" spans="5:10">
      <c r="E7324" s="43">
        <v>45351.118055531231</v>
      </c>
      <c r="F7324" s="41">
        <v>0.89301698377881111</v>
      </c>
      <c r="G7324" s="41">
        <v>0</v>
      </c>
      <c r="H7324" s="42"/>
      <c r="I7324" s="42"/>
      <c r="J7324" s="42"/>
    </row>
    <row r="7325" spans="5:10">
      <c r="E7325" s="43">
        <v>45351.12152775345</v>
      </c>
      <c r="F7325" s="41">
        <v>0.89301698377881111</v>
      </c>
      <c r="G7325" s="41">
        <v>0</v>
      </c>
      <c r="H7325" s="42"/>
      <c r="I7325" s="42"/>
      <c r="J7325" s="42"/>
    </row>
    <row r="7326" spans="5:10">
      <c r="E7326" s="43">
        <v>45351.124999975669</v>
      </c>
      <c r="F7326" s="41">
        <v>0.89301698377881111</v>
      </c>
      <c r="G7326" s="41">
        <v>0</v>
      </c>
      <c r="H7326" s="42"/>
      <c r="I7326" s="42"/>
      <c r="J7326" s="42"/>
    </row>
    <row r="7327" spans="5:10">
      <c r="E7327" s="43">
        <v>45351.128472197888</v>
      </c>
      <c r="F7327" s="41">
        <v>0.89301698377881111</v>
      </c>
      <c r="G7327" s="41">
        <v>0</v>
      </c>
      <c r="H7327" s="42"/>
      <c r="I7327" s="42"/>
      <c r="J7327" s="42"/>
    </row>
    <row r="7328" spans="5:10">
      <c r="E7328" s="43">
        <v>45351.131944420107</v>
      </c>
      <c r="F7328" s="41">
        <v>0.89301698377881111</v>
      </c>
      <c r="G7328" s="41">
        <v>0</v>
      </c>
      <c r="H7328" s="42"/>
      <c r="I7328" s="42"/>
      <c r="J7328" s="42"/>
    </row>
    <row r="7329" spans="5:10">
      <c r="E7329" s="43">
        <v>45351.135416642326</v>
      </c>
      <c r="F7329" s="41">
        <v>0.89301698377881111</v>
      </c>
      <c r="G7329" s="41">
        <v>0</v>
      </c>
      <c r="H7329" s="42"/>
      <c r="I7329" s="42"/>
      <c r="J7329" s="42"/>
    </row>
    <row r="7330" spans="5:10">
      <c r="E7330" s="43">
        <v>45351.138888864545</v>
      </c>
      <c r="F7330" s="41">
        <v>0.89301698377881111</v>
      </c>
      <c r="G7330" s="41">
        <v>0</v>
      </c>
      <c r="H7330" s="42"/>
      <c r="I7330" s="42"/>
      <c r="J7330" s="42"/>
    </row>
    <row r="7331" spans="5:10">
      <c r="E7331" s="43">
        <v>45351.142361086764</v>
      </c>
      <c r="F7331" s="41">
        <v>0.89301698377881111</v>
      </c>
      <c r="G7331" s="41">
        <v>0</v>
      </c>
      <c r="H7331" s="42"/>
      <c r="I7331" s="42"/>
      <c r="J7331" s="42"/>
    </row>
    <row r="7332" spans="5:10">
      <c r="E7332" s="43">
        <v>45351.145833308983</v>
      </c>
      <c r="F7332" s="41">
        <v>0.89301698377881111</v>
      </c>
      <c r="G7332" s="41">
        <v>0</v>
      </c>
      <c r="H7332" s="42"/>
      <c r="I7332" s="42"/>
      <c r="J7332" s="42"/>
    </row>
    <row r="7333" spans="5:10">
      <c r="E7333" s="43">
        <v>45351.149305531202</v>
      </c>
      <c r="F7333" s="41">
        <v>0.89301698377881111</v>
      </c>
      <c r="G7333" s="41">
        <v>0</v>
      </c>
      <c r="H7333" s="42"/>
      <c r="I7333" s="42"/>
      <c r="J7333" s="42"/>
    </row>
    <row r="7334" spans="5:10">
      <c r="E7334" s="43">
        <v>45351.152777753421</v>
      </c>
      <c r="F7334" s="41">
        <v>0.89301698377881111</v>
      </c>
      <c r="G7334" s="41">
        <v>0</v>
      </c>
      <c r="H7334" s="42"/>
      <c r="I7334" s="42"/>
      <c r="J7334" s="42"/>
    </row>
    <row r="7335" spans="5:10">
      <c r="E7335" s="43">
        <v>45351.15624997564</v>
      </c>
      <c r="F7335" s="41">
        <v>0.89301698377881111</v>
      </c>
      <c r="G7335" s="41">
        <v>0</v>
      </c>
      <c r="H7335" s="42"/>
      <c r="I7335" s="42"/>
      <c r="J7335" s="42"/>
    </row>
    <row r="7336" spans="5:10">
      <c r="E7336" s="43">
        <v>45351.159722197859</v>
      </c>
      <c r="F7336" s="41">
        <v>0.89301698377881111</v>
      </c>
      <c r="G7336" s="41">
        <v>0</v>
      </c>
      <c r="H7336" s="42"/>
      <c r="I7336" s="42"/>
      <c r="J7336" s="42"/>
    </row>
    <row r="7337" spans="5:10">
      <c r="E7337" s="43">
        <v>45351.163194420078</v>
      </c>
      <c r="F7337" s="41">
        <v>0.89301698377881111</v>
      </c>
      <c r="G7337" s="41">
        <v>0</v>
      </c>
      <c r="H7337" s="42"/>
      <c r="I7337" s="42"/>
      <c r="J7337" s="42"/>
    </row>
    <row r="7338" spans="5:10">
      <c r="E7338" s="43">
        <v>45351.166666642297</v>
      </c>
      <c r="F7338" s="41">
        <v>0.89301698377881111</v>
      </c>
      <c r="G7338" s="41">
        <v>0</v>
      </c>
      <c r="H7338" s="42"/>
      <c r="I7338" s="42"/>
      <c r="J7338" s="42"/>
    </row>
    <row r="7339" spans="5:10">
      <c r="E7339" s="43">
        <v>45351.170138864516</v>
      </c>
      <c r="F7339" s="41">
        <v>0.89301698377881111</v>
      </c>
      <c r="G7339" s="41">
        <v>0</v>
      </c>
      <c r="H7339" s="42"/>
      <c r="I7339" s="42"/>
      <c r="J7339" s="42"/>
    </row>
    <row r="7340" spans="5:10">
      <c r="E7340" s="43">
        <v>45351.173611086735</v>
      </c>
      <c r="F7340" s="41">
        <v>0.89301698377881111</v>
      </c>
      <c r="G7340" s="41">
        <v>0</v>
      </c>
      <c r="H7340" s="42"/>
      <c r="I7340" s="42"/>
      <c r="J7340" s="42"/>
    </row>
    <row r="7341" spans="5:10">
      <c r="E7341" s="43">
        <v>45351.177083308954</v>
      </c>
      <c r="F7341" s="41">
        <v>0.89301698377881111</v>
      </c>
      <c r="G7341" s="41">
        <v>0</v>
      </c>
      <c r="H7341" s="42"/>
      <c r="I7341" s="42"/>
      <c r="J7341" s="42"/>
    </row>
    <row r="7342" spans="5:10">
      <c r="E7342" s="43">
        <v>45351.180555531173</v>
      </c>
      <c r="F7342" s="41">
        <v>0.89301698377881111</v>
      </c>
      <c r="G7342" s="41">
        <v>0</v>
      </c>
      <c r="H7342" s="42"/>
      <c r="I7342" s="42"/>
      <c r="J7342" s="42"/>
    </row>
    <row r="7343" spans="5:10">
      <c r="E7343" s="43">
        <v>45351.184027753392</v>
      </c>
      <c r="F7343" s="41">
        <v>0.89301698377881111</v>
      </c>
      <c r="G7343" s="41">
        <v>0</v>
      </c>
      <c r="H7343" s="42"/>
      <c r="I7343" s="42"/>
      <c r="J7343" s="42"/>
    </row>
    <row r="7344" spans="5:10">
      <c r="E7344" s="43">
        <v>45351.187499975611</v>
      </c>
      <c r="F7344" s="41">
        <v>0.89301698377881111</v>
      </c>
      <c r="G7344" s="41">
        <v>0</v>
      </c>
      <c r="H7344" s="42"/>
      <c r="I7344" s="42"/>
      <c r="J7344" s="42"/>
    </row>
    <row r="7345" spans="5:10">
      <c r="E7345" s="43">
        <v>45351.19097219783</v>
      </c>
      <c r="F7345" s="41">
        <v>0.89301698377881111</v>
      </c>
      <c r="G7345" s="41">
        <v>0</v>
      </c>
      <c r="H7345" s="42"/>
      <c r="I7345" s="42"/>
      <c r="J7345" s="42"/>
    </row>
    <row r="7346" spans="5:10">
      <c r="E7346" s="43">
        <v>45351.194444420049</v>
      </c>
      <c r="F7346" s="41">
        <v>0.89301698377881111</v>
      </c>
      <c r="G7346" s="41">
        <v>0</v>
      </c>
      <c r="H7346" s="42"/>
      <c r="I7346" s="42"/>
      <c r="J7346" s="42"/>
    </row>
    <row r="7347" spans="5:10">
      <c r="E7347" s="43">
        <v>45351.197916642268</v>
      </c>
      <c r="F7347" s="41">
        <v>0.89301698377881111</v>
      </c>
      <c r="G7347" s="41">
        <v>0</v>
      </c>
      <c r="H7347" s="42"/>
      <c r="I7347" s="42"/>
      <c r="J7347" s="42"/>
    </row>
    <row r="7348" spans="5:10">
      <c r="E7348" s="43">
        <v>45351.201388864487</v>
      </c>
      <c r="F7348" s="41">
        <v>0.89301698377881111</v>
      </c>
      <c r="G7348" s="41">
        <v>0</v>
      </c>
      <c r="H7348" s="42"/>
      <c r="I7348" s="42"/>
      <c r="J7348" s="42"/>
    </row>
    <row r="7349" spans="5:10">
      <c r="E7349" s="43">
        <v>45351.204861086706</v>
      </c>
      <c r="F7349" s="41">
        <v>0.89301698377881111</v>
      </c>
      <c r="G7349" s="41">
        <v>0</v>
      </c>
      <c r="H7349" s="42"/>
      <c r="I7349" s="42"/>
      <c r="J7349" s="42"/>
    </row>
    <row r="7350" spans="5:10">
      <c r="E7350" s="43">
        <v>45351.208333308925</v>
      </c>
      <c r="F7350" s="41">
        <v>0.89301698377881111</v>
      </c>
      <c r="G7350" s="41">
        <v>0</v>
      </c>
      <c r="H7350" s="42"/>
      <c r="I7350" s="42"/>
      <c r="J7350" s="42"/>
    </row>
    <row r="7351" spans="5:10">
      <c r="E7351" s="43">
        <v>45351.211805531144</v>
      </c>
      <c r="F7351" s="41">
        <v>0.89301698377881111</v>
      </c>
      <c r="G7351" s="41">
        <v>0</v>
      </c>
      <c r="H7351" s="42"/>
      <c r="I7351" s="42"/>
      <c r="J7351" s="42"/>
    </row>
    <row r="7352" spans="5:10">
      <c r="E7352" s="43">
        <v>45351.215277753363</v>
      </c>
      <c r="F7352" s="41">
        <v>0.89301698377881111</v>
      </c>
      <c r="G7352" s="41">
        <v>0</v>
      </c>
      <c r="H7352" s="42"/>
      <c r="I7352" s="42"/>
      <c r="J7352" s="42"/>
    </row>
    <row r="7353" spans="5:10">
      <c r="E7353" s="43">
        <v>45351.218749975582</v>
      </c>
      <c r="F7353" s="41">
        <v>0.89301698377881111</v>
      </c>
      <c r="G7353" s="41">
        <v>0</v>
      </c>
      <c r="H7353" s="42"/>
      <c r="I7353" s="42"/>
      <c r="J7353" s="42"/>
    </row>
    <row r="7354" spans="5:10">
      <c r="E7354" s="43">
        <v>45351.222222197801</v>
      </c>
      <c r="F7354" s="41">
        <v>0.89301698377881111</v>
      </c>
      <c r="G7354" s="41">
        <v>0</v>
      </c>
      <c r="H7354" s="42"/>
      <c r="I7354" s="42"/>
      <c r="J7354" s="42"/>
    </row>
    <row r="7355" spans="5:10">
      <c r="E7355" s="43">
        <v>45351.22569442002</v>
      </c>
      <c r="F7355" s="41">
        <v>0.89301698377881111</v>
      </c>
      <c r="G7355" s="41">
        <v>0</v>
      </c>
      <c r="H7355" s="42"/>
      <c r="I7355" s="42"/>
      <c r="J7355" s="42"/>
    </row>
    <row r="7356" spans="5:10">
      <c r="E7356" s="43">
        <v>45351.229166642239</v>
      </c>
      <c r="F7356" s="41">
        <v>0.89301698377881111</v>
      </c>
      <c r="G7356" s="41">
        <v>0</v>
      </c>
      <c r="H7356" s="42"/>
      <c r="I7356" s="42"/>
      <c r="J7356" s="42"/>
    </row>
    <row r="7357" spans="5:10">
      <c r="E7357" s="43">
        <v>45351.232638864458</v>
      </c>
      <c r="F7357" s="41">
        <v>0.89301698377881111</v>
      </c>
      <c r="G7357" s="41">
        <v>0</v>
      </c>
      <c r="H7357" s="42"/>
      <c r="I7357" s="42"/>
      <c r="J7357" s="42"/>
    </row>
    <row r="7358" spans="5:10">
      <c r="E7358" s="43">
        <v>45351.236111086677</v>
      </c>
      <c r="F7358" s="41">
        <v>0.89301698377881111</v>
      </c>
      <c r="G7358" s="41">
        <v>0</v>
      </c>
      <c r="H7358" s="42"/>
      <c r="I7358" s="42"/>
      <c r="J7358" s="42"/>
    </row>
    <row r="7359" spans="5:10">
      <c r="E7359" s="43">
        <v>45351.239583308896</v>
      </c>
      <c r="F7359" s="41">
        <v>0.89301698377881111</v>
      </c>
      <c r="G7359" s="41">
        <v>0</v>
      </c>
      <c r="H7359" s="42"/>
      <c r="I7359" s="42"/>
      <c r="J7359" s="42"/>
    </row>
    <row r="7360" spans="5:10">
      <c r="E7360" s="43">
        <v>45351.243055531115</v>
      </c>
      <c r="F7360" s="41">
        <v>0.89301698377881111</v>
      </c>
      <c r="G7360" s="41">
        <v>0</v>
      </c>
      <c r="H7360" s="42"/>
      <c r="I7360" s="42"/>
      <c r="J7360" s="42"/>
    </row>
    <row r="7361" spans="5:10">
      <c r="E7361" s="43">
        <v>45351.246527753334</v>
      </c>
      <c r="F7361" s="41">
        <v>0.89301698377881111</v>
      </c>
      <c r="G7361" s="41">
        <v>0</v>
      </c>
      <c r="H7361" s="42"/>
      <c r="I7361" s="42"/>
      <c r="J7361" s="42"/>
    </row>
    <row r="7362" spans="5:10">
      <c r="E7362" s="43">
        <v>45351.249999975553</v>
      </c>
      <c r="F7362" s="41">
        <v>0.89301698377881111</v>
      </c>
      <c r="G7362" s="41">
        <v>0</v>
      </c>
      <c r="H7362" s="42"/>
      <c r="I7362" s="42"/>
      <c r="J7362" s="42"/>
    </row>
    <row r="7363" spans="5:10">
      <c r="E7363" s="43">
        <v>45351.253472197772</v>
      </c>
      <c r="F7363" s="41">
        <v>0.89301698377881111</v>
      </c>
      <c r="G7363" s="41">
        <v>0</v>
      </c>
      <c r="H7363" s="42"/>
      <c r="I7363" s="42"/>
      <c r="J7363" s="42"/>
    </row>
    <row r="7364" spans="5:10">
      <c r="E7364" s="43">
        <v>45351.256944419991</v>
      </c>
      <c r="F7364" s="41">
        <v>0.89301698377881111</v>
      </c>
      <c r="G7364" s="41">
        <v>0</v>
      </c>
      <c r="H7364" s="42"/>
      <c r="I7364" s="42"/>
      <c r="J7364" s="42"/>
    </row>
    <row r="7365" spans="5:10">
      <c r="E7365" s="43">
        <v>45351.26041664221</v>
      </c>
      <c r="F7365" s="41">
        <v>0.89301698377881111</v>
      </c>
      <c r="G7365" s="41">
        <v>0</v>
      </c>
      <c r="H7365" s="42"/>
      <c r="I7365" s="42"/>
      <c r="J7365" s="42"/>
    </row>
    <row r="7366" spans="5:10">
      <c r="E7366" s="43">
        <v>45351.263888864429</v>
      </c>
      <c r="F7366" s="41">
        <v>0.89301698377881111</v>
      </c>
      <c r="G7366" s="41">
        <v>0</v>
      </c>
      <c r="H7366" s="42"/>
      <c r="I7366" s="42"/>
      <c r="J7366" s="42"/>
    </row>
    <row r="7367" spans="5:10">
      <c r="E7367" s="43">
        <v>45351.267361086648</v>
      </c>
      <c r="F7367" s="41">
        <v>0.89301698377881111</v>
      </c>
      <c r="G7367" s="41">
        <v>0</v>
      </c>
      <c r="H7367" s="42"/>
      <c r="I7367" s="42"/>
      <c r="J7367" s="42"/>
    </row>
    <row r="7368" spans="5:10">
      <c r="E7368" s="43">
        <v>45351.270833308867</v>
      </c>
      <c r="F7368" s="41">
        <v>0.89301698377881111</v>
      </c>
      <c r="G7368" s="41">
        <v>0</v>
      </c>
      <c r="H7368" s="42"/>
      <c r="I7368" s="42"/>
      <c r="J7368" s="42"/>
    </row>
    <row r="7369" spans="5:10">
      <c r="E7369" s="43">
        <v>45351.274305531086</v>
      </c>
      <c r="F7369" s="41">
        <v>0.89301698377881111</v>
      </c>
      <c r="G7369" s="41">
        <v>0</v>
      </c>
      <c r="H7369" s="42"/>
      <c r="I7369" s="42"/>
      <c r="J7369" s="42"/>
    </row>
    <row r="7370" spans="5:10">
      <c r="E7370" s="43">
        <v>45351.277777753305</v>
      </c>
      <c r="F7370" s="41">
        <v>0.89301698377881111</v>
      </c>
      <c r="G7370" s="41">
        <v>0</v>
      </c>
      <c r="H7370" s="42"/>
      <c r="I7370" s="42"/>
      <c r="J7370" s="42"/>
    </row>
    <row r="7371" spans="5:10">
      <c r="E7371" s="43">
        <v>45351.281249975524</v>
      </c>
      <c r="F7371" s="41">
        <v>0.89301698377881111</v>
      </c>
      <c r="G7371" s="41">
        <v>0</v>
      </c>
      <c r="H7371" s="42"/>
      <c r="I7371" s="42"/>
      <c r="J7371" s="42"/>
    </row>
    <row r="7372" spans="5:10">
      <c r="E7372" s="43">
        <v>45351.284722197743</v>
      </c>
      <c r="F7372" s="41">
        <v>0.89301698377881111</v>
      </c>
      <c r="G7372" s="41">
        <v>0</v>
      </c>
      <c r="H7372" s="42"/>
      <c r="I7372" s="42"/>
      <c r="J7372" s="42"/>
    </row>
    <row r="7373" spans="5:10">
      <c r="E7373" s="43">
        <v>45351.288194419962</v>
      </c>
      <c r="F7373" s="41">
        <v>0.89301698377881111</v>
      </c>
      <c r="G7373" s="41">
        <v>0</v>
      </c>
      <c r="H7373" s="42"/>
      <c r="I7373" s="42"/>
      <c r="J7373" s="42"/>
    </row>
    <row r="7374" spans="5:10">
      <c r="E7374" s="43">
        <v>45351.291666642181</v>
      </c>
      <c r="F7374" s="41">
        <v>0.89301698377881111</v>
      </c>
      <c r="G7374" s="41">
        <v>0</v>
      </c>
      <c r="H7374" s="42"/>
      <c r="I7374" s="42"/>
      <c r="J7374" s="42"/>
    </row>
    <row r="7375" spans="5:10">
      <c r="E7375" s="43">
        <v>45351.2951388644</v>
      </c>
      <c r="F7375" s="41">
        <v>0.89301698377881111</v>
      </c>
      <c r="G7375" s="41">
        <v>0</v>
      </c>
      <c r="H7375" s="42"/>
      <c r="I7375" s="42"/>
      <c r="J7375" s="42"/>
    </row>
    <row r="7376" spans="5:10">
      <c r="E7376" s="43">
        <v>45351.298611086619</v>
      </c>
      <c r="F7376" s="41">
        <v>0.89301698377881111</v>
      </c>
      <c r="G7376" s="41">
        <v>0</v>
      </c>
      <c r="H7376" s="42"/>
      <c r="I7376" s="42"/>
      <c r="J7376" s="42"/>
    </row>
    <row r="7377" spans="5:10">
      <c r="E7377" s="43">
        <v>45351.302083308838</v>
      </c>
      <c r="F7377" s="41">
        <v>0.89301698377881111</v>
      </c>
      <c r="G7377" s="41">
        <v>0</v>
      </c>
      <c r="H7377" s="42"/>
      <c r="I7377" s="42"/>
      <c r="J7377" s="42"/>
    </row>
    <row r="7378" spans="5:10">
      <c r="E7378" s="43">
        <v>45351.305555531057</v>
      </c>
      <c r="F7378" s="41">
        <v>0.89301698377881111</v>
      </c>
      <c r="G7378" s="41">
        <v>0</v>
      </c>
      <c r="H7378" s="42"/>
      <c r="I7378" s="42"/>
      <c r="J7378" s="42"/>
    </row>
    <row r="7379" spans="5:10">
      <c r="E7379" s="43">
        <v>45351.309027753276</v>
      </c>
      <c r="F7379" s="41">
        <v>0.89301698377881111</v>
      </c>
      <c r="G7379" s="41">
        <v>0</v>
      </c>
      <c r="H7379" s="42"/>
      <c r="I7379" s="42"/>
      <c r="J7379" s="42"/>
    </row>
    <row r="7380" spans="5:10">
      <c r="E7380" s="43">
        <v>45351.312499975495</v>
      </c>
      <c r="F7380" s="41">
        <v>0.89301698377881111</v>
      </c>
      <c r="G7380" s="41">
        <v>0</v>
      </c>
      <c r="H7380" s="42"/>
      <c r="I7380" s="42"/>
      <c r="J7380" s="42"/>
    </row>
    <row r="7381" spans="5:10">
      <c r="E7381" s="43">
        <v>45351.315972197714</v>
      </c>
      <c r="F7381" s="41">
        <v>0.89301698377881111</v>
      </c>
      <c r="G7381" s="41">
        <v>0</v>
      </c>
      <c r="H7381" s="42"/>
      <c r="I7381" s="42"/>
      <c r="J7381" s="42"/>
    </row>
    <row r="7382" spans="5:10">
      <c r="E7382" s="43">
        <v>45351.319444419933</v>
      </c>
      <c r="F7382" s="41">
        <v>0.89301698377881111</v>
      </c>
      <c r="G7382" s="41">
        <v>0</v>
      </c>
      <c r="H7382" s="42"/>
      <c r="I7382" s="42"/>
      <c r="J7382" s="42"/>
    </row>
    <row r="7383" spans="5:10">
      <c r="E7383" s="43">
        <v>45351.322916642152</v>
      </c>
      <c r="F7383" s="41">
        <v>0.89301698377881111</v>
      </c>
      <c r="G7383" s="41">
        <v>0</v>
      </c>
      <c r="H7383" s="42"/>
      <c r="I7383" s="42"/>
      <c r="J7383" s="42"/>
    </row>
    <row r="7384" spans="5:10">
      <c r="E7384" s="43">
        <v>45351.326388864371</v>
      </c>
      <c r="F7384" s="41">
        <v>0.89301698377881111</v>
      </c>
      <c r="G7384" s="41">
        <v>0</v>
      </c>
      <c r="H7384" s="42"/>
      <c r="I7384" s="42"/>
      <c r="J7384" s="42"/>
    </row>
    <row r="7385" spans="5:10">
      <c r="E7385" s="43">
        <v>45351.32986108659</v>
      </c>
      <c r="F7385" s="41">
        <v>0.89301698377881111</v>
      </c>
      <c r="G7385" s="41">
        <v>0</v>
      </c>
      <c r="H7385" s="42"/>
      <c r="I7385" s="42"/>
      <c r="J7385" s="42"/>
    </row>
    <row r="7386" spans="5:10">
      <c r="E7386" s="43">
        <v>45351.333333308809</v>
      </c>
      <c r="F7386" s="41">
        <v>0.89301698377881111</v>
      </c>
      <c r="G7386" s="41">
        <v>0</v>
      </c>
      <c r="H7386" s="42"/>
      <c r="I7386" s="42"/>
      <c r="J7386" s="42"/>
    </row>
    <row r="7387" spans="5:10">
      <c r="E7387" s="43">
        <v>45351.336805531027</v>
      </c>
      <c r="F7387" s="41">
        <v>0.89301698377881111</v>
      </c>
      <c r="G7387" s="41">
        <v>0</v>
      </c>
      <c r="H7387" s="42"/>
      <c r="I7387" s="42"/>
      <c r="J7387" s="42"/>
    </row>
    <row r="7388" spans="5:10">
      <c r="E7388" s="43">
        <v>45351.340277753246</v>
      </c>
      <c r="F7388" s="41">
        <v>0.89301698377881111</v>
      </c>
      <c r="G7388" s="41">
        <v>0</v>
      </c>
      <c r="H7388" s="42"/>
      <c r="I7388" s="42"/>
      <c r="J7388" s="42"/>
    </row>
    <row r="7389" spans="5:10">
      <c r="E7389" s="43">
        <v>45351.343749975465</v>
      </c>
      <c r="F7389" s="41">
        <v>0.89301698377881111</v>
      </c>
      <c r="G7389" s="41">
        <v>0</v>
      </c>
      <c r="H7389" s="42"/>
      <c r="I7389" s="42"/>
      <c r="J7389" s="42"/>
    </row>
    <row r="7390" spans="5:10">
      <c r="E7390" s="43">
        <v>45351.347222197684</v>
      </c>
      <c r="F7390" s="41">
        <v>0</v>
      </c>
      <c r="G7390" s="41">
        <v>0</v>
      </c>
      <c r="H7390" s="42"/>
      <c r="I7390" s="42"/>
      <c r="J7390" s="42"/>
    </row>
    <row r="7391" spans="5:10">
      <c r="E7391" s="43">
        <v>45351.350694419903</v>
      </c>
      <c r="F7391" s="41">
        <v>0</v>
      </c>
      <c r="G7391" s="41">
        <v>0</v>
      </c>
      <c r="H7391" s="42"/>
      <c r="I7391" s="42"/>
      <c r="J7391" s="42"/>
    </row>
    <row r="7392" spans="5:10">
      <c r="E7392" s="43">
        <v>45351.354166642122</v>
      </c>
      <c r="F7392" s="41">
        <v>0</v>
      </c>
      <c r="G7392" s="41">
        <v>0</v>
      </c>
      <c r="H7392" s="42"/>
      <c r="I7392" s="42"/>
      <c r="J7392" s="42"/>
    </row>
    <row r="7393" spans="5:10">
      <c r="E7393" s="43">
        <v>45351.357638864341</v>
      </c>
      <c r="F7393" s="41">
        <v>0</v>
      </c>
      <c r="G7393" s="41">
        <v>0</v>
      </c>
      <c r="H7393" s="42"/>
      <c r="I7393" s="42"/>
      <c r="J7393" s="42"/>
    </row>
    <row r="7394" spans="5:10">
      <c r="E7394" s="43">
        <v>45351.36111108656</v>
      </c>
      <c r="F7394" s="41">
        <v>0</v>
      </c>
      <c r="G7394" s="41">
        <v>0</v>
      </c>
      <c r="H7394" s="42"/>
      <c r="I7394" s="42"/>
      <c r="J7394" s="42"/>
    </row>
    <row r="7395" spans="5:10">
      <c r="E7395" s="43">
        <v>45351.364583308779</v>
      </c>
      <c r="F7395" s="41">
        <v>0</v>
      </c>
      <c r="G7395" s="41">
        <v>0</v>
      </c>
      <c r="H7395" s="42"/>
      <c r="I7395" s="42"/>
      <c r="J7395" s="42"/>
    </row>
    <row r="7396" spans="5:10">
      <c r="E7396" s="43">
        <v>45351.368055530998</v>
      </c>
      <c r="F7396" s="41">
        <v>0</v>
      </c>
      <c r="G7396" s="41">
        <v>0</v>
      </c>
      <c r="H7396" s="42"/>
      <c r="I7396" s="42"/>
      <c r="J7396" s="42"/>
    </row>
    <row r="7397" spans="5:10">
      <c r="E7397" s="43">
        <v>45351.371527753217</v>
      </c>
      <c r="F7397" s="41">
        <v>0</v>
      </c>
      <c r="G7397" s="41">
        <v>0</v>
      </c>
      <c r="H7397" s="42"/>
      <c r="I7397" s="42"/>
      <c r="J7397" s="42"/>
    </row>
    <row r="7398" spans="5:10">
      <c r="E7398" s="43">
        <v>45351.374999975436</v>
      </c>
      <c r="F7398" s="41">
        <v>0</v>
      </c>
      <c r="G7398" s="41">
        <v>0</v>
      </c>
      <c r="H7398" s="42"/>
      <c r="I7398" s="42"/>
      <c r="J7398" s="42"/>
    </row>
    <row r="7399" spans="5:10">
      <c r="E7399" s="43">
        <v>45351.378472197655</v>
      </c>
      <c r="F7399" s="41">
        <v>0</v>
      </c>
      <c r="G7399" s="41">
        <v>0</v>
      </c>
      <c r="H7399" s="42"/>
      <c r="I7399" s="42"/>
      <c r="J7399" s="42"/>
    </row>
    <row r="7400" spans="5:10">
      <c r="E7400" s="43">
        <v>45351.381944419874</v>
      </c>
      <c r="F7400" s="41">
        <v>0</v>
      </c>
      <c r="G7400" s="41">
        <v>0</v>
      </c>
      <c r="H7400" s="42"/>
      <c r="I7400" s="42"/>
      <c r="J7400" s="42"/>
    </row>
    <row r="7401" spans="5:10">
      <c r="E7401" s="43">
        <v>45351.385416642093</v>
      </c>
      <c r="F7401" s="41">
        <v>0</v>
      </c>
      <c r="G7401" s="41">
        <v>0</v>
      </c>
      <c r="H7401" s="42"/>
      <c r="I7401" s="42"/>
      <c r="J7401" s="42"/>
    </row>
    <row r="7402" spans="5:10">
      <c r="E7402" s="43">
        <v>45351.388888864312</v>
      </c>
      <c r="F7402" s="41">
        <v>0</v>
      </c>
      <c r="G7402" s="41">
        <v>0</v>
      </c>
      <c r="H7402" s="42"/>
      <c r="I7402" s="42"/>
      <c r="J7402" s="42"/>
    </row>
    <row r="7403" spans="5:10">
      <c r="E7403" s="43">
        <v>45351.392361086531</v>
      </c>
      <c r="F7403" s="41">
        <v>0</v>
      </c>
      <c r="G7403" s="41">
        <v>0</v>
      </c>
      <c r="H7403" s="42"/>
      <c r="I7403" s="42"/>
      <c r="J7403" s="42"/>
    </row>
    <row r="7404" spans="5:10">
      <c r="E7404" s="43">
        <v>45351.39583330875</v>
      </c>
      <c r="F7404" s="41">
        <v>0</v>
      </c>
      <c r="G7404" s="41">
        <v>0</v>
      </c>
      <c r="H7404" s="42"/>
      <c r="I7404" s="42"/>
      <c r="J7404" s="42"/>
    </row>
    <row r="7405" spans="5:10">
      <c r="E7405" s="43">
        <v>45351.399305530969</v>
      </c>
      <c r="F7405" s="41">
        <v>0</v>
      </c>
      <c r="G7405" s="41">
        <v>0</v>
      </c>
      <c r="H7405" s="42"/>
      <c r="I7405" s="42"/>
      <c r="J7405" s="42"/>
    </row>
    <row r="7406" spans="5:10">
      <c r="E7406" s="43">
        <v>45351.402777753188</v>
      </c>
      <c r="F7406" s="41">
        <v>0</v>
      </c>
      <c r="G7406" s="41">
        <v>0</v>
      </c>
      <c r="H7406" s="42"/>
      <c r="I7406" s="42"/>
      <c r="J7406" s="42"/>
    </row>
    <row r="7407" spans="5:10">
      <c r="E7407" s="43">
        <v>45351.406249975407</v>
      </c>
      <c r="F7407" s="41">
        <v>0</v>
      </c>
      <c r="G7407" s="41">
        <v>0</v>
      </c>
      <c r="H7407" s="42"/>
      <c r="I7407" s="42"/>
      <c r="J7407" s="42"/>
    </row>
    <row r="7408" spans="5:10">
      <c r="E7408" s="43">
        <v>45351.409722197626</v>
      </c>
      <c r="F7408" s="41">
        <v>0</v>
      </c>
      <c r="G7408" s="41">
        <v>0</v>
      </c>
      <c r="H7408" s="42"/>
      <c r="I7408" s="42"/>
      <c r="J7408" s="42"/>
    </row>
    <row r="7409" spans="5:10">
      <c r="E7409" s="43">
        <v>45351.413194419845</v>
      </c>
      <c r="F7409" s="41">
        <v>0</v>
      </c>
      <c r="G7409" s="41">
        <v>0</v>
      </c>
      <c r="H7409" s="42"/>
      <c r="I7409" s="42"/>
      <c r="J7409" s="42"/>
    </row>
    <row r="7410" spans="5:10">
      <c r="E7410" s="43">
        <v>45351.416666642064</v>
      </c>
      <c r="F7410" s="41">
        <v>0</v>
      </c>
      <c r="G7410" s="41">
        <v>0</v>
      </c>
      <c r="H7410" s="42"/>
      <c r="I7410" s="42"/>
      <c r="J7410" s="42"/>
    </row>
    <row r="7411" spans="5:10">
      <c r="E7411" s="43">
        <v>45351.420138864283</v>
      </c>
      <c r="F7411" s="41">
        <v>0</v>
      </c>
      <c r="G7411" s="41">
        <v>0</v>
      </c>
      <c r="H7411" s="42"/>
      <c r="I7411" s="42"/>
      <c r="J7411" s="42"/>
    </row>
    <row r="7412" spans="5:10">
      <c r="E7412" s="43">
        <v>45351.423611086502</v>
      </c>
      <c r="F7412" s="41">
        <v>0</v>
      </c>
      <c r="G7412" s="41">
        <v>0</v>
      </c>
      <c r="H7412" s="42"/>
      <c r="I7412" s="42"/>
      <c r="J7412" s="42"/>
    </row>
    <row r="7413" spans="5:10">
      <c r="E7413" s="43">
        <v>45351.427083308721</v>
      </c>
      <c r="F7413" s="41">
        <v>0</v>
      </c>
      <c r="G7413" s="41">
        <v>0</v>
      </c>
      <c r="H7413" s="42"/>
      <c r="I7413" s="42"/>
      <c r="J7413" s="42"/>
    </row>
    <row r="7414" spans="5:10">
      <c r="E7414" s="43">
        <v>45351.43055553094</v>
      </c>
      <c r="F7414" s="41">
        <v>0</v>
      </c>
      <c r="G7414" s="41">
        <v>0</v>
      </c>
      <c r="H7414" s="42"/>
      <c r="I7414" s="42"/>
      <c r="J7414" s="42"/>
    </row>
    <row r="7415" spans="5:10">
      <c r="E7415" s="43">
        <v>45351.434027753159</v>
      </c>
      <c r="F7415" s="41">
        <v>0</v>
      </c>
      <c r="G7415" s="41">
        <v>0</v>
      </c>
      <c r="H7415" s="42"/>
      <c r="I7415" s="42"/>
      <c r="J7415" s="42"/>
    </row>
    <row r="7416" spans="5:10">
      <c r="E7416" s="43">
        <v>45351.437499975378</v>
      </c>
      <c r="F7416" s="41">
        <v>0</v>
      </c>
      <c r="G7416" s="41">
        <v>0</v>
      </c>
      <c r="H7416" s="42"/>
      <c r="I7416" s="42"/>
      <c r="J7416" s="42"/>
    </row>
    <row r="7417" spans="5:10">
      <c r="E7417" s="43">
        <v>45351.440972197597</v>
      </c>
      <c r="F7417" s="41">
        <v>0</v>
      </c>
      <c r="G7417" s="41">
        <v>0</v>
      </c>
      <c r="H7417" s="42"/>
      <c r="I7417" s="42"/>
      <c r="J7417" s="42"/>
    </row>
    <row r="7418" spans="5:10">
      <c r="E7418" s="43">
        <v>45351.444444419816</v>
      </c>
      <c r="F7418" s="41">
        <v>0</v>
      </c>
      <c r="G7418" s="41">
        <v>0</v>
      </c>
      <c r="H7418" s="42"/>
      <c r="I7418" s="42"/>
      <c r="J7418" s="42"/>
    </row>
    <row r="7419" spans="5:10">
      <c r="E7419" s="43">
        <v>45351.447916642035</v>
      </c>
      <c r="F7419" s="41">
        <v>0</v>
      </c>
      <c r="G7419" s="41">
        <v>0</v>
      </c>
      <c r="H7419" s="42"/>
      <c r="I7419" s="42"/>
      <c r="J7419" s="42"/>
    </row>
    <row r="7420" spans="5:10">
      <c r="E7420" s="43">
        <v>45351.451388864254</v>
      </c>
      <c r="F7420" s="41">
        <v>0</v>
      </c>
      <c r="G7420" s="41">
        <v>0</v>
      </c>
      <c r="H7420" s="42"/>
      <c r="I7420" s="42"/>
      <c r="J7420" s="42"/>
    </row>
    <row r="7421" spans="5:10">
      <c r="E7421" s="43">
        <v>45351.454861086473</v>
      </c>
      <c r="F7421" s="41">
        <v>0</v>
      </c>
      <c r="G7421" s="41">
        <v>0</v>
      </c>
      <c r="H7421" s="42"/>
      <c r="I7421" s="42"/>
      <c r="J7421" s="42"/>
    </row>
    <row r="7422" spans="5:10">
      <c r="E7422" s="43">
        <v>45351.458333308692</v>
      </c>
      <c r="F7422" s="41">
        <v>0</v>
      </c>
      <c r="G7422" s="41">
        <v>0</v>
      </c>
      <c r="H7422" s="42"/>
      <c r="I7422" s="42"/>
      <c r="J7422" s="42"/>
    </row>
    <row r="7423" spans="5:10">
      <c r="E7423" s="43">
        <v>45351.461805530911</v>
      </c>
      <c r="F7423" s="41">
        <v>0</v>
      </c>
      <c r="G7423" s="41">
        <v>0</v>
      </c>
      <c r="H7423" s="42"/>
      <c r="I7423" s="42"/>
      <c r="J7423" s="42"/>
    </row>
    <row r="7424" spans="5:10">
      <c r="E7424" s="43">
        <v>45351.46527775313</v>
      </c>
      <c r="F7424" s="41">
        <v>0</v>
      </c>
      <c r="G7424" s="41">
        <v>0</v>
      </c>
      <c r="H7424" s="42"/>
      <c r="I7424" s="42"/>
      <c r="J7424" s="42"/>
    </row>
    <row r="7425" spans="5:10">
      <c r="E7425" s="43">
        <v>45351.468749975349</v>
      </c>
      <c r="F7425" s="41">
        <v>0</v>
      </c>
      <c r="G7425" s="41">
        <v>0</v>
      </c>
      <c r="H7425" s="42"/>
      <c r="I7425" s="42"/>
      <c r="J7425" s="42"/>
    </row>
    <row r="7426" spans="5:10">
      <c r="E7426" s="43">
        <v>45351.472222197568</v>
      </c>
      <c r="F7426" s="41">
        <v>0</v>
      </c>
      <c r="G7426" s="41">
        <v>0</v>
      </c>
      <c r="H7426" s="42"/>
      <c r="I7426" s="42"/>
      <c r="J7426" s="42"/>
    </row>
    <row r="7427" spans="5:10">
      <c r="E7427" s="43">
        <v>45351.475694419787</v>
      </c>
      <c r="F7427" s="41">
        <v>0</v>
      </c>
      <c r="G7427" s="41">
        <v>0</v>
      </c>
      <c r="H7427" s="42"/>
      <c r="I7427" s="42"/>
      <c r="J7427" s="42"/>
    </row>
    <row r="7428" spans="5:10">
      <c r="E7428" s="43">
        <v>45351.479166642006</v>
      </c>
      <c r="F7428" s="41">
        <v>0</v>
      </c>
      <c r="G7428" s="41">
        <v>0</v>
      </c>
      <c r="H7428" s="42"/>
      <c r="I7428" s="42"/>
      <c r="J7428" s="42"/>
    </row>
    <row r="7429" spans="5:10">
      <c r="E7429" s="43">
        <v>45351.482638864225</v>
      </c>
      <c r="F7429" s="41">
        <v>0</v>
      </c>
      <c r="G7429" s="41">
        <v>0</v>
      </c>
      <c r="H7429" s="42"/>
      <c r="I7429" s="42"/>
      <c r="J7429" s="42"/>
    </row>
    <row r="7430" spans="5:10">
      <c r="E7430" s="43">
        <v>45351.486111086444</v>
      </c>
      <c r="F7430" s="41">
        <v>0</v>
      </c>
      <c r="G7430" s="41">
        <v>0</v>
      </c>
      <c r="H7430" s="42"/>
      <c r="I7430" s="42"/>
      <c r="J7430" s="42"/>
    </row>
    <row r="7431" spans="5:10">
      <c r="E7431" s="43">
        <v>45351.489583308663</v>
      </c>
      <c r="F7431" s="41">
        <v>0</v>
      </c>
      <c r="G7431" s="41">
        <v>0</v>
      </c>
      <c r="H7431" s="42"/>
      <c r="I7431" s="42"/>
      <c r="J7431" s="42"/>
    </row>
    <row r="7432" spans="5:10">
      <c r="E7432" s="43">
        <v>45351.493055530882</v>
      </c>
      <c r="F7432" s="41">
        <v>0</v>
      </c>
      <c r="G7432" s="41">
        <v>0</v>
      </c>
      <c r="H7432" s="42"/>
      <c r="I7432" s="42"/>
      <c r="J7432" s="42"/>
    </row>
    <row r="7433" spans="5:10">
      <c r="E7433" s="43">
        <v>45351.496527753101</v>
      </c>
      <c r="F7433" s="41">
        <v>0</v>
      </c>
      <c r="G7433" s="41">
        <v>0</v>
      </c>
      <c r="H7433" s="42"/>
      <c r="I7433" s="42"/>
      <c r="J7433" s="42"/>
    </row>
    <row r="7434" spans="5:10">
      <c r="E7434" s="43">
        <v>45351.49999997532</v>
      </c>
      <c r="F7434" s="41">
        <v>0</v>
      </c>
      <c r="G7434" s="41">
        <v>0</v>
      </c>
      <c r="H7434" s="42"/>
      <c r="I7434" s="42"/>
      <c r="J7434" s="42"/>
    </row>
    <row r="7435" spans="5:10">
      <c r="E7435" s="43">
        <v>45351.503472197539</v>
      </c>
      <c r="F7435" s="41">
        <v>0</v>
      </c>
      <c r="G7435" s="41">
        <v>0</v>
      </c>
      <c r="H7435" s="42"/>
      <c r="I7435" s="42"/>
      <c r="J7435" s="42"/>
    </row>
    <row r="7436" spans="5:10">
      <c r="E7436" s="43">
        <v>45351.506944419758</v>
      </c>
      <c r="F7436" s="41">
        <v>0</v>
      </c>
      <c r="G7436" s="41">
        <v>0</v>
      </c>
      <c r="H7436" s="42"/>
      <c r="I7436" s="42"/>
      <c r="J7436" s="42"/>
    </row>
    <row r="7437" spans="5:10">
      <c r="E7437" s="43">
        <v>45351.510416641977</v>
      </c>
      <c r="F7437" s="41">
        <v>0</v>
      </c>
      <c r="G7437" s="41">
        <v>0</v>
      </c>
      <c r="H7437" s="42"/>
      <c r="I7437" s="42"/>
      <c r="J7437" s="42"/>
    </row>
    <row r="7438" spans="5:10">
      <c r="E7438" s="43">
        <v>45351.513888864196</v>
      </c>
      <c r="F7438" s="41">
        <v>0</v>
      </c>
      <c r="G7438" s="41">
        <v>0</v>
      </c>
      <c r="H7438" s="42"/>
      <c r="I7438" s="42"/>
      <c r="J7438" s="42"/>
    </row>
    <row r="7439" spans="5:10">
      <c r="E7439" s="43">
        <v>45351.517361086415</v>
      </c>
      <c r="F7439" s="41">
        <v>0</v>
      </c>
      <c r="G7439" s="41">
        <v>0</v>
      </c>
      <c r="H7439" s="42"/>
      <c r="I7439" s="42"/>
      <c r="J7439" s="42"/>
    </row>
    <row r="7440" spans="5:10">
      <c r="E7440" s="43">
        <v>45351.520833308634</v>
      </c>
      <c r="F7440" s="41">
        <v>0</v>
      </c>
      <c r="G7440" s="41">
        <v>0</v>
      </c>
      <c r="H7440" s="42"/>
      <c r="I7440" s="42"/>
      <c r="J7440" s="42"/>
    </row>
    <row r="7441" spans="5:10">
      <c r="E7441" s="43">
        <v>45351.524305530853</v>
      </c>
      <c r="F7441" s="41">
        <v>0</v>
      </c>
      <c r="G7441" s="41">
        <v>0</v>
      </c>
      <c r="H7441" s="42"/>
      <c r="I7441" s="42"/>
      <c r="J7441" s="42"/>
    </row>
    <row r="7442" spans="5:10">
      <c r="E7442" s="43">
        <v>45351.527777753072</v>
      </c>
      <c r="F7442" s="41">
        <v>0</v>
      </c>
      <c r="G7442" s="41">
        <v>0</v>
      </c>
      <c r="H7442" s="42"/>
      <c r="I7442" s="42"/>
      <c r="J7442" s="42"/>
    </row>
    <row r="7443" spans="5:10">
      <c r="E7443" s="43">
        <v>45351.531249975291</v>
      </c>
      <c r="F7443" s="41">
        <v>0</v>
      </c>
      <c r="G7443" s="41">
        <v>0</v>
      </c>
      <c r="H7443" s="42"/>
      <c r="I7443" s="42"/>
      <c r="J7443" s="42"/>
    </row>
    <row r="7444" spans="5:10">
      <c r="E7444" s="43">
        <v>45351.53472219751</v>
      </c>
      <c r="F7444" s="41">
        <v>0</v>
      </c>
      <c r="G7444" s="41">
        <v>0</v>
      </c>
      <c r="H7444" s="42"/>
      <c r="I7444" s="42"/>
      <c r="J7444" s="42"/>
    </row>
    <row r="7445" spans="5:10">
      <c r="E7445" s="43">
        <v>45351.538194419729</v>
      </c>
      <c r="F7445" s="41">
        <v>0</v>
      </c>
      <c r="G7445" s="41">
        <v>0</v>
      </c>
      <c r="H7445" s="42"/>
      <c r="I7445" s="42"/>
      <c r="J7445" s="42"/>
    </row>
    <row r="7446" spans="5:10">
      <c r="E7446" s="43">
        <v>45351.541666641948</v>
      </c>
      <c r="F7446" s="41">
        <v>0</v>
      </c>
      <c r="G7446" s="41">
        <v>0</v>
      </c>
      <c r="H7446" s="42"/>
      <c r="I7446" s="42"/>
      <c r="J7446" s="42"/>
    </row>
    <row r="7447" spans="5:10">
      <c r="E7447" s="43">
        <v>45351.545138864167</v>
      </c>
      <c r="F7447" s="41">
        <v>0</v>
      </c>
      <c r="G7447" s="41">
        <v>0</v>
      </c>
      <c r="H7447" s="42"/>
      <c r="I7447" s="42"/>
      <c r="J7447" s="42"/>
    </row>
    <row r="7448" spans="5:10">
      <c r="E7448" s="43">
        <v>45351.548611086386</v>
      </c>
      <c r="F7448" s="41">
        <v>0</v>
      </c>
      <c r="G7448" s="41">
        <v>0</v>
      </c>
      <c r="H7448" s="42"/>
      <c r="I7448" s="42"/>
      <c r="J7448" s="42"/>
    </row>
    <row r="7449" spans="5:10">
      <c r="E7449" s="43">
        <v>45351.552083308605</v>
      </c>
      <c r="F7449" s="41">
        <v>0</v>
      </c>
      <c r="G7449" s="41">
        <v>0</v>
      </c>
      <c r="H7449" s="42"/>
      <c r="I7449" s="42"/>
      <c r="J7449" s="42"/>
    </row>
    <row r="7450" spans="5:10">
      <c r="E7450" s="43">
        <v>45351.555555530824</v>
      </c>
      <c r="F7450" s="41">
        <v>0</v>
      </c>
      <c r="G7450" s="41">
        <v>0</v>
      </c>
      <c r="H7450" s="42"/>
      <c r="I7450" s="42"/>
      <c r="J7450" s="42"/>
    </row>
    <row r="7451" spans="5:10">
      <c r="E7451" s="43">
        <v>45351.559027753043</v>
      </c>
      <c r="F7451" s="41">
        <v>0</v>
      </c>
      <c r="G7451" s="41">
        <v>0</v>
      </c>
      <c r="H7451" s="42"/>
      <c r="I7451" s="42"/>
      <c r="J7451" s="42"/>
    </row>
    <row r="7452" spans="5:10">
      <c r="E7452" s="43">
        <v>45351.562499975262</v>
      </c>
      <c r="F7452" s="41">
        <v>0</v>
      </c>
      <c r="G7452" s="41">
        <v>0</v>
      </c>
      <c r="H7452" s="42"/>
      <c r="I7452" s="42"/>
      <c r="J7452" s="42"/>
    </row>
    <row r="7453" spans="5:10">
      <c r="E7453" s="43">
        <v>45351.565972197481</v>
      </c>
      <c r="F7453" s="41">
        <v>0</v>
      </c>
      <c r="G7453" s="41">
        <v>0</v>
      </c>
      <c r="H7453" s="42"/>
      <c r="I7453" s="42"/>
      <c r="J7453" s="42"/>
    </row>
    <row r="7454" spans="5:10">
      <c r="E7454" s="43">
        <v>45351.5694444197</v>
      </c>
      <c r="F7454" s="41">
        <v>0</v>
      </c>
      <c r="G7454" s="41">
        <v>0</v>
      </c>
      <c r="H7454" s="42"/>
      <c r="I7454" s="42"/>
      <c r="J7454" s="42"/>
    </row>
    <row r="7455" spans="5:10">
      <c r="E7455" s="43">
        <v>45351.572916641919</v>
      </c>
      <c r="F7455" s="41">
        <v>0</v>
      </c>
      <c r="G7455" s="41">
        <v>0</v>
      </c>
      <c r="H7455" s="42"/>
      <c r="I7455" s="42"/>
      <c r="J7455" s="42"/>
    </row>
    <row r="7456" spans="5:10">
      <c r="E7456" s="43">
        <v>45351.576388864138</v>
      </c>
      <c r="F7456" s="41">
        <v>0</v>
      </c>
      <c r="G7456" s="41">
        <v>0</v>
      </c>
      <c r="H7456" s="42"/>
      <c r="I7456" s="42"/>
      <c r="J7456" s="42"/>
    </row>
    <row r="7457" spans="5:10">
      <c r="E7457" s="43">
        <v>45351.579861086357</v>
      </c>
      <c r="F7457" s="41">
        <v>0</v>
      </c>
      <c r="G7457" s="41">
        <v>0</v>
      </c>
      <c r="H7457" s="42"/>
      <c r="I7457" s="42"/>
      <c r="J7457" s="42"/>
    </row>
    <row r="7458" spans="5:10">
      <c r="E7458" s="43">
        <v>45351.583333308576</v>
      </c>
      <c r="F7458" s="41">
        <v>0</v>
      </c>
      <c r="G7458" s="41">
        <v>0</v>
      </c>
      <c r="H7458" s="42"/>
      <c r="I7458" s="42"/>
      <c r="J7458" s="42"/>
    </row>
    <row r="7459" spans="5:10">
      <c r="E7459" s="43">
        <v>45351.586805530795</v>
      </c>
      <c r="F7459" s="41">
        <v>0</v>
      </c>
      <c r="G7459" s="41">
        <v>0</v>
      </c>
      <c r="H7459" s="42"/>
      <c r="I7459" s="42"/>
      <c r="J7459" s="42"/>
    </row>
    <row r="7460" spans="5:10">
      <c r="E7460" s="43">
        <v>45351.590277753014</v>
      </c>
      <c r="F7460" s="41">
        <v>0</v>
      </c>
      <c r="G7460" s="41">
        <v>0</v>
      </c>
      <c r="H7460" s="42"/>
      <c r="I7460" s="42"/>
      <c r="J7460" s="42"/>
    </row>
    <row r="7461" spans="5:10">
      <c r="E7461" s="43">
        <v>45351.593749975233</v>
      </c>
      <c r="F7461" s="41">
        <v>0</v>
      </c>
      <c r="G7461" s="41">
        <v>0</v>
      </c>
      <c r="H7461" s="42"/>
      <c r="I7461" s="42"/>
      <c r="J7461" s="42"/>
    </row>
    <row r="7462" spans="5:10">
      <c r="E7462" s="43">
        <v>45351.597222197452</v>
      </c>
      <c r="F7462" s="41">
        <v>0</v>
      </c>
      <c r="G7462" s="41">
        <v>0</v>
      </c>
      <c r="H7462" s="42"/>
      <c r="I7462" s="42"/>
      <c r="J7462" s="42"/>
    </row>
    <row r="7463" spans="5:10">
      <c r="E7463" s="43">
        <v>45351.600694419671</v>
      </c>
      <c r="F7463" s="41">
        <v>0</v>
      </c>
      <c r="G7463" s="41">
        <v>0</v>
      </c>
      <c r="H7463" s="42"/>
      <c r="I7463" s="42"/>
      <c r="J7463" s="42"/>
    </row>
    <row r="7464" spans="5:10">
      <c r="E7464" s="43">
        <v>45351.60416664189</v>
      </c>
      <c r="F7464" s="41">
        <v>0</v>
      </c>
      <c r="G7464" s="41">
        <v>0</v>
      </c>
      <c r="H7464" s="42"/>
      <c r="I7464" s="42"/>
      <c r="J7464" s="42"/>
    </row>
    <row r="7465" spans="5:10">
      <c r="E7465" s="43">
        <v>45351.607638864109</v>
      </c>
      <c r="F7465" s="41">
        <v>0</v>
      </c>
      <c r="G7465" s="41">
        <v>0</v>
      </c>
      <c r="H7465" s="42"/>
      <c r="I7465" s="42"/>
      <c r="J7465" s="42"/>
    </row>
    <row r="7466" spans="5:10">
      <c r="E7466" s="43">
        <v>45351.611111086328</v>
      </c>
      <c r="F7466" s="41">
        <v>0</v>
      </c>
      <c r="G7466" s="41">
        <v>0</v>
      </c>
      <c r="H7466" s="42"/>
      <c r="I7466" s="42"/>
      <c r="J7466" s="42"/>
    </row>
    <row r="7467" spans="5:10">
      <c r="E7467" s="43">
        <v>45351.614583308547</v>
      </c>
      <c r="F7467" s="41">
        <v>0</v>
      </c>
      <c r="G7467" s="41">
        <v>0</v>
      </c>
      <c r="H7467" s="42"/>
      <c r="I7467" s="42"/>
      <c r="J7467" s="42"/>
    </row>
    <row r="7468" spans="5:10">
      <c r="E7468" s="43">
        <v>45351.618055530766</v>
      </c>
      <c r="F7468" s="41">
        <v>0</v>
      </c>
      <c r="G7468" s="41">
        <v>0</v>
      </c>
      <c r="H7468" s="42"/>
      <c r="I7468" s="42"/>
      <c r="J7468" s="42"/>
    </row>
    <row r="7469" spans="5:10">
      <c r="E7469" s="43">
        <v>45351.621527752985</v>
      </c>
      <c r="F7469" s="41">
        <v>0</v>
      </c>
      <c r="G7469" s="41">
        <v>0</v>
      </c>
      <c r="H7469" s="42"/>
      <c r="I7469" s="42"/>
      <c r="J7469" s="42"/>
    </row>
    <row r="7470" spans="5:10">
      <c r="E7470" s="43">
        <v>45351.624999975204</v>
      </c>
      <c r="F7470" s="41">
        <v>0</v>
      </c>
      <c r="G7470" s="41">
        <v>0</v>
      </c>
      <c r="H7470" s="42"/>
      <c r="I7470" s="42"/>
      <c r="J7470" s="42"/>
    </row>
    <row r="7471" spans="5:10">
      <c r="E7471" s="43">
        <v>45351.628472197423</v>
      </c>
      <c r="F7471" s="41">
        <v>0</v>
      </c>
      <c r="G7471" s="41">
        <v>0</v>
      </c>
      <c r="H7471" s="42"/>
      <c r="I7471" s="42"/>
      <c r="J7471" s="42"/>
    </row>
    <row r="7472" spans="5:10">
      <c r="E7472" s="43">
        <v>45351.631944419642</v>
      </c>
      <c r="F7472" s="41">
        <v>0</v>
      </c>
      <c r="G7472" s="41">
        <v>0</v>
      </c>
      <c r="H7472" s="42"/>
      <c r="I7472" s="42"/>
      <c r="J7472" s="42"/>
    </row>
    <row r="7473" spans="5:10">
      <c r="E7473" s="43">
        <v>45351.635416641861</v>
      </c>
      <c r="F7473" s="41">
        <v>0</v>
      </c>
      <c r="G7473" s="41">
        <v>0</v>
      </c>
      <c r="H7473" s="42"/>
      <c r="I7473" s="42"/>
      <c r="J7473" s="42"/>
    </row>
    <row r="7474" spans="5:10">
      <c r="E7474" s="43">
        <v>45351.638888864079</v>
      </c>
      <c r="F7474" s="41">
        <v>0</v>
      </c>
      <c r="G7474" s="41">
        <v>0</v>
      </c>
      <c r="H7474" s="42"/>
      <c r="I7474" s="42"/>
      <c r="J7474" s="42"/>
    </row>
    <row r="7475" spans="5:10">
      <c r="E7475" s="43">
        <v>45351.642361086298</v>
      </c>
      <c r="F7475" s="41">
        <v>0</v>
      </c>
      <c r="G7475" s="41">
        <v>0</v>
      </c>
      <c r="H7475" s="42"/>
      <c r="I7475" s="42"/>
      <c r="J7475" s="42"/>
    </row>
    <row r="7476" spans="5:10">
      <c r="E7476" s="43">
        <v>45351.645833308517</v>
      </c>
      <c r="F7476" s="41">
        <v>0</v>
      </c>
      <c r="G7476" s="41">
        <v>0</v>
      </c>
      <c r="H7476" s="42"/>
      <c r="I7476" s="42"/>
      <c r="J7476" s="42"/>
    </row>
    <row r="7477" spans="5:10">
      <c r="E7477" s="43">
        <v>45351.649305530736</v>
      </c>
      <c r="F7477" s="41">
        <v>0</v>
      </c>
      <c r="G7477" s="41">
        <v>0</v>
      </c>
      <c r="H7477" s="42"/>
      <c r="I7477" s="42"/>
      <c r="J7477" s="42"/>
    </row>
    <row r="7478" spans="5:10">
      <c r="E7478" s="43">
        <v>45351.652777752955</v>
      </c>
      <c r="F7478" s="41">
        <v>0</v>
      </c>
      <c r="G7478" s="41">
        <v>0</v>
      </c>
      <c r="H7478" s="42"/>
      <c r="I7478" s="42"/>
      <c r="J7478" s="42"/>
    </row>
    <row r="7479" spans="5:10">
      <c r="E7479" s="43">
        <v>45351.656249975174</v>
      </c>
      <c r="F7479" s="41">
        <v>0</v>
      </c>
      <c r="G7479" s="41">
        <v>0</v>
      </c>
      <c r="H7479" s="42"/>
      <c r="I7479" s="42"/>
      <c r="J7479" s="42"/>
    </row>
    <row r="7480" spans="5:10">
      <c r="E7480" s="43">
        <v>45351.659722197393</v>
      </c>
      <c r="F7480" s="41">
        <v>0</v>
      </c>
      <c r="G7480" s="41">
        <v>0</v>
      </c>
      <c r="H7480" s="42"/>
      <c r="I7480" s="42"/>
      <c r="J7480" s="42"/>
    </row>
    <row r="7481" spans="5:10">
      <c r="E7481" s="43">
        <v>45351.663194419612</v>
      </c>
      <c r="F7481" s="41">
        <v>0</v>
      </c>
      <c r="G7481" s="41">
        <v>0</v>
      </c>
      <c r="H7481" s="42"/>
      <c r="I7481" s="42"/>
      <c r="J7481" s="42"/>
    </row>
    <row r="7482" spans="5:10">
      <c r="E7482" s="43">
        <v>45351.666666641831</v>
      </c>
      <c r="F7482" s="41">
        <v>0</v>
      </c>
      <c r="G7482" s="41">
        <v>0</v>
      </c>
      <c r="H7482" s="42"/>
      <c r="I7482" s="42"/>
      <c r="J7482" s="42"/>
    </row>
    <row r="7483" spans="5:10">
      <c r="E7483" s="43">
        <v>45351.67013886405</v>
      </c>
      <c r="F7483" s="41">
        <v>0</v>
      </c>
      <c r="G7483" s="41">
        <v>0</v>
      </c>
      <c r="H7483" s="42"/>
      <c r="I7483" s="42"/>
      <c r="J7483" s="42"/>
    </row>
    <row r="7484" spans="5:10">
      <c r="E7484" s="43">
        <v>45351.673611086269</v>
      </c>
      <c r="F7484" s="41">
        <v>0</v>
      </c>
      <c r="G7484" s="41">
        <v>0</v>
      </c>
      <c r="H7484" s="42"/>
      <c r="I7484" s="42"/>
      <c r="J7484" s="42"/>
    </row>
    <row r="7485" spans="5:10">
      <c r="E7485" s="43">
        <v>45351.677083308488</v>
      </c>
      <c r="F7485" s="41">
        <v>0</v>
      </c>
      <c r="G7485" s="41">
        <v>0</v>
      </c>
      <c r="H7485" s="42"/>
      <c r="I7485" s="42"/>
      <c r="J7485" s="42"/>
    </row>
    <row r="7486" spans="5:10">
      <c r="E7486" s="43">
        <v>45351.680555530707</v>
      </c>
      <c r="F7486" s="41">
        <v>0</v>
      </c>
      <c r="G7486" s="41">
        <v>0</v>
      </c>
      <c r="H7486" s="42"/>
      <c r="I7486" s="42"/>
      <c r="J7486" s="42"/>
    </row>
    <row r="7487" spans="5:10">
      <c r="E7487" s="43">
        <v>45351.684027752926</v>
      </c>
      <c r="F7487" s="41">
        <v>0</v>
      </c>
      <c r="G7487" s="41">
        <v>0</v>
      </c>
      <c r="H7487" s="42"/>
      <c r="I7487" s="42"/>
      <c r="J7487" s="42"/>
    </row>
    <row r="7488" spans="5:10">
      <c r="E7488" s="43">
        <v>45351.687499975145</v>
      </c>
      <c r="F7488" s="41">
        <v>0</v>
      </c>
      <c r="G7488" s="41">
        <v>0</v>
      </c>
      <c r="H7488" s="42"/>
      <c r="I7488" s="42"/>
      <c r="J7488" s="42"/>
    </row>
    <row r="7489" spans="5:10">
      <c r="E7489" s="43">
        <v>45351.690972197364</v>
      </c>
      <c r="F7489" s="41">
        <v>0</v>
      </c>
      <c r="G7489" s="41">
        <v>0</v>
      </c>
      <c r="H7489" s="42"/>
      <c r="I7489" s="42"/>
      <c r="J7489" s="42"/>
    </row>
    <row r="7490" spans="5:10">
      <c r="E7490" s="43">
        <v>45351.694444419583</v>
      </c>
      <c r="F7490" s="41">
        <v>0</v>
      </c>
      <c r="G7490" s="41">
        <v>0</v>
      </c>
      <c r="H7490" s="42"/>
      <c r="I7490" s="42"/>
      <c r="J7490" s="42"/>
    </row>
    <row r="7491" spans="5:10">
      <c r="E7491" s="43">
        <v>45351.697916641802</v>
      </c>
      <c r="F7491" s="41">
        <v>0</v>
      </c>
      <c r="G7491" s="41">
        <v>0</v>
      </c>
      <c r="H7491" s="42"/>
      <c r="I7491" s="42"/>
      <c r="J7491" s="42"/>
    </row>
    <row r="7492" spans="5:10">
      <c r="E7492" s="43">
        <v>45351.701388864021</v>
      </c>
      <c r="F7492" s="41">
        <v>0</v>
      </c>
      <c r="G7492" s="41">
        <v>0</v>
      </c>
      <c r="H7492" s="42"/>
      <c r="I7492" s="42"/>
      <c r="J7492" s="42"/>
    </row>
    <row r="7493" spans="5:10">
      <c r="E7493" s="43">
        <v>45351.70486108624</v>
      </c>
      <c r="F7493" s="41">
        <v>0</v>
      </c>
      <c r="G7493" s="41">
        <v>0</v>
      </c>
      <c r="H7493" s="42"/>
      <c r="I7493" s="42"/>
      <c r="J7493" s="42"/>
    </row>
    <row r="7494" spans="5:10">
      <c r="E7494" s="43">
        <v>45351.708333308459</v>
      </c>
      <c r="F7494" s="41">
        <v>3.5842771002616911</v>
      </c>
      <c r="G7494" s="41">
        <v>0</v>
      </c>
      <c r="H7494" s="42"/>
      <c r="I7494" s="42"/>
      <c r="J7494" s="42"/>
    </row>
    <row r="7495" spans="5:10">
      <c r="E7495" s="43">
        <v>45351.711805530678</v>
      </c>
      <c r="F7495" s="41">
        <v>3.5842771002616911</v>
      </c>
      <c r="G7495" s="41">
        <v>0</v>
      </c>
      <c r="H7495" s="42"/>
      <c r="I7495" s="42"/>
      <c r="J7495" s="42"/>
    </row>
    <row r="7496" spans="5:10">
      <c r="E7496" s="43">
        <v>45351.715277752897</v>
      </c>
      <c r="F7496" s="41">
        <v>3.5842771002616911</v>
      </c>
      <c r="G7496" s="41">
        <v>0</v>
      </c>
      <c r="H7496" s="42"/>
      <c r="I7496" s="42"/>
      <c r="J7496" s="42"/>
    </row>
    <row r="7497" spans="5:10">
      <c r="E7497" s="43">
        <v>45351.718749975116</v>
      </c>
      <c r="F7497" s="41">
        <v>3.5842771002616911</v>
      </c>
      <c r="G7497" s="41">
        <v>0</v>
      </c>
      <c r="H7497" s="42"/>
      <c r="I7497" s="42"/>
      <c r="J7497" s="42"/>
    </row>
    <row r="7498" spans="5:10">
      <c r="E7498" s="43">
        <v>45351.722222197335</v>
      </c>
      <c r="F7498" s="41">
        <v>3.5842771002616911</v>
      </c>
      <c r="G7498" s="41">
        <v>0</v>
      </c>
      <c r="H7498" s="42"/>
      <c r="I7498" s="42"/>
      <c r="J7498" s="42"/>
    </row>
    <row r="7499" spans="5:10">
      <c r="E7499" s="43">
        <v>45351.725694419554</v>
      </c>
      <c r="F7499" s="41">
        <v>3.5842771002616911</v>
      </c>
      <c r="G7499" s="41">
        <v>0</v>
      </c>
      <c r="H7499" s="42"/>
      <c r="I7499" s="42"/>
      <c r="J7499" s="42"/>
    </row>
    <row r="7500" spans="5:10">
      <c r="E7500" s="43">
        <v>45351.729166641773</v>
      </c>
      <c r="F7500" s="41">
        <v>3.5842771002616911</v>
      </c>
      <c r="G7500" s="41">
        <v>0</v>
      </c>
      <c r="H7500" s="42"/>
      <c r="I7500" s="42"/>
      <c r="J7500" s="42"/>
    </row>
    <row r="7501" spans="5:10">
      <c r="E7501" s="43">
        <v>45351.732638863992</v>
      </c>
      <c r="F7501" s="41">
        <v>3.5842771002616911</v>
      </c>
      <c r="G7501" s="41">
        <v>0</v>
      </c>
      <c r="H7501" s="42"/>
      <c r="I7501" s="42"/>
      <c r="J7501" s="42"/>
    </row>
    <row r="7502" spans="5:10">
      <c r="E7502" s="43">
        <v>45351.736111086211</v>
      </c>
      <c r="F7502" s="41">
        <v>3.5842771002616911</v>
      </c>
      <c r="G7502" s="41">
        <v>0</v>
      </c>
      <c r="H7502" s="42"/>
      <c r="I7502" s="42"/>
      <c r="J7502" s="42"/>
    </row>
    <row r="7503" spans="5:10">
      <c r="E7503" s="43">
        <v>45351.73958330843</v>
      </c>
      <c r="F7503" s="41">
        <v>3.5842771002616911</v>
      </c>
      <c r="G7503" s="41">
        <v>0</v>
      </c>
      <c r="H7503" s="42"/>
      <c r="I7503" s="42"/>
      <c r="J7503" s="42"/>
    </row>
    <row r="7504" spans="5:10">
      <c r="E7504" s="43">
        <v>45351.743055530649</v>
      </c>
      <c r="F7504" s="41">
        <v>3.5842771002616911</v>
      </c>
      <c r="G7504" s="41">
        <v>0</v>
      </c>
      <c r="H7504" s="42"/>
      <c r="I7504" s="42"/>
      <c r="J7504" s="42"/>
    </row>
    <row r="7505" spans="5:10">
      <c r="E7505" s="43">
        <v>45351.746527752868</v>
      </c>
      <c r="F7505" s="41">
        <v>3.5842771002616911</v>
      </c>
      <c r="G7505" s="41">
        <v>0</v>
      </c>
      <c r="H7505" s="42"/>
      <c r="I7505" s="42"/>
      <c r="J7505" s="42"/>
    </row>
    <row r="7506" spans="5:10">
      <c r="E7506" s="43">
        <v>45351.749999975087</v>
      </c>
      <c r="F7506" s="41">
        <v>3.5842771002616911</v>
      </c>
      <c r="G7506" s="41">
        <v>0</v>
      </c>
      <c r="H7506" s="42"/>
      <c r="I7506" s="42"/>
      <c r="J7506" s="42"/>
    </row>
    <row r="7507" spans="5:10">
      <c r="E7507" s="43">
        <v>45351.753472197306</v>
      </c>
      <c r="F7507" s="41">
        <v>3.5842771002616911</v>
      </c>
      <c r="G7507" s="41">
        <v>0</v>
      </c>
      <c r="H7507" s="42"/>
      <c r="I7507" s="42"/>
      <c r="J7507" s="42"/>
    </row>
    <row r="7508" spans="5:10">
      <c r="E7508" s="43">
        <v>45351.756944419525</v>
      </c>
      <c r="F7508" s="41">
        <v>3.5842771002616911</v>
      </c>
      <c r="G7508" s="41">
        <v>0</v>
      </c>
      <c r="H7508" s="42"/>
      <c r="I7508" s="42"/>
      <c r="J7508" s="42"/>
    </row>
    <row r="7509" spans="5:10">
      <c r="E7509" s="43">
        <v>45351.760416641744</v>
      </c>
      <c r="F7509" s="41">
        <v>3.5842771002616911</v>
      </c>
      <c r="G7509" s="41">
        <v>0</v>
      </c>
      <c r="H7509" s="42"/>
      <c r="I7509" s="42"/>
      <c r="J7509" s="42"/>
    </row>
    <row r="7510" spans="5:10">
      <c r="E7510" s="43">
        <v>45351.763888863963</v>
      </c>
      <c r="F7510" s="41">
        <v>3.5842771002616911</v>
      </c>
      <c r="G7510" s="41">
        <v>0</v>
      </c>
      <c r="H7510" s="42"/>
      <c r="I7510" s="42"/>
      <c r="J7510" s="42"/>
    </row>
    <row r="7511" spans="5:10">
      <c r="E7511" s="43">
        <v>45351.767361086182</v>
      </c>
      <c r="F7511" s="41">
        <v>3.5842771002616911</v>
      </c>
      <c r="G7511" s="41">
        <v>0</v>
      </c>
      <c r="H7511" s="42"/>
      <c r="I7511" s="42"/>
      <c r="J7511" s="42"/>
    </row>
    <row r="7512" spans="5:10">
      <c r="E7512" s="43">
        <v>45351.770833308401</v>
      </c>
      <c r="F7512" s="41">
        <v>3.5842771002616911</v>
      </c>
      <c r="G7512" s="41">
        <v>0</v>
      </c>
      <c r="H7512" s="42"/>
      <c r="I7512" s="42"/>
      <c r="J7512" s="42"/>
    </row>
    <row r="7513" spans="5:10">
      <c r="E7513" s="43">
        <v>45351.77430553062</v>
      </c>
      <c r="F7513" s="41">
        <v>3.5842771002616911</v>
      </c>
      <c r="G7513" s="41">
        <v>0</v>
      </c>
      <c r="H7513" s="42"/>
      <c r="I7513" s="42"/>
      <c r="J7513" s="42"/>
    </row>
    <row r="7514" spans="5:10">
      <c r="E7514" s="43">
        <v>45351.777777752839</v>
      </c>
      <c r="F7514" s="41">
        <v>3.5842771002616911</v>
      </c>
      <c r="G7514" s="41">
        <v>0</v>
      </c>
      <c r="H7514" s="42"/>
      <c r="I7514" s="42"/>
      <c r="J7514" s="42"/>
    </row>
    <row r="7515" spans="5:10">
      <c r="E7515" s="43">
        <v>45351.781249975058</v>
      </c>
      <c r="F7515" s="41">
        <v>3.5842771002616911</v>
      </c>
      <c r="G7515" s="41">
        <v>0</v>
      </c>
      <c r="H7515" s="42"/>
      <c r="I7515" s="42"/>
      <c r="J7515" s="42"/>
    </row>
    <row r="7516" spans="5:10">
      <c r="E7516" s="43">
        <v>45351.784722197277</v>
      </c>
      <c r="F7516" s="41">
        <v>3.5842771002616911</v>
      </c>
      <c r="G7516" s="41">
        <v>0</v>
      </c>
      <c r="H7516" s="42"/>
      <c r="I7516" s="42"/>
      <c r="J7516" s="42"/>
    </row>
    <row r="7517" spans="5:10">
      <c r="E7517" s="43">
        <v>45351.788194419496</v>
      </c>
      <c r="F7517" s="41">
        <v>3.5842771002616911</v>
      </c>
      <c r="G7517" s="41">
        <v>0</v>
      </c>
      <c r="H7517" s="42"/>
      <c r="I7517" s="42"/>
      <c r="J7517" s="42"/>
    </row>
    <row r="7518" spans="5:10">
      <c r="E7518" s="43">
        <v>45351.791666641715</v>
      </c>
      <c r="F7518" s="41">
        <v>3.5842771002616911</v>
      </c>
      <c r="G7518" s="41">
        <v>0</v>
      </c>
      <c r="H7518" s="42"/>
      <c r="I7518" s="42"/>
      <c r="J7518" s="42"/>
    </row>
    <row r="7519" spans="5:10">
      <c r="E7519" s="43">
        <v>45351.795138863934</v>
      </c>
      <c r="F7519" s="41">
        <v>3.5842771002616911</v>
      </c>
      <c r="G7519" s="41">
        <v>0</v>
      </c>
      <c r="H7519" s="42"/>
      <c r="I7519" s="42"/>
      <c r="J7519" s="42"/>
    </row>
    <row r="7520" spans="5:10">
      <c r="E7520" s="43">
        <v>45351.798611086153</v>
      </c>
      <c r="F7520" s="41">
        <v>3.5842771002616911</v>
      </c>
      <c r="G7520" s="41">
        <v>0</v>
      </c>
      <c r="H7520" s="42"/>
      <c r="I7520" s="42"/>
      <c r="J7520" s="42"/>
    </row>
    <row r="7521" spans="5:10">
      <c r="E7521" s="43">
        <v>45351.802083308372</v>
      </c>
      <c r="F7521" s="41">
        <v>3.5842771002616911</v>
      </c>
      <c r="G7521" s="41">
        <v>0</v>
      </c>
      <c r="H7521" s="42"/>
      <c r="I7521" s="42"/>
      <c r="J7521" s="42"/>
    </row>
    <row r="7522" spans="5:10">
      <c r="E7522" s="43">
        <v>45351.805555530591</v>
      </c>
      <c r="F7522" s="41">
        <v>3.5842771002616911</v>
      </c>
      <c r="G7522" s="41">
        <v>0</v>
      </c>
      <c r="H7522" s="42"/>
      <c r="I7522" s="42"/>
      <c r="J7522" s="42"/>
    </row>
    <row r="7523" spans="5:10">
      <c r="E7523" s="43">
        <v>45351.80902775281</v>
      </c>
      <c r="F7523" s="41">
        <v>3.5842771002616911</v>
      </c>
      <c r="G7523" s="41">
        <v>0</v>
      </c>
      <c r="H7523" s="42"/>
      <c r="I7523" s="42"/>
      <c r="J7523" s="42"/>
    </row>
    <row r="7524" spans="5:10">
      <c r="E7524" s="43">
        <v>45351.812499975029</v>
      </c>
      <c r="F7524" s="41">
        <v>3.5842771002616911</v>
      </c>
      <c r="G7524" s="41">
        <v>0</v>
      </c>
      <c r="H7524" s="42"/>
      <c r="I7524" s="42"/>
      <c r="J7524" s="42"/>
    </row>
    <row r="7525" spans="5:10">
      <c r="E7525" s="43">
        <v>45351.815972197248</v>
      </c>
      <c r="F7525" s="41">
        <v>3.5842771002616911</v>
      </c>
      <c r="G7525" s="41">
        <v>0</v>
      </c>
      <c r="H7525" s="42"/>
      <c r="I7525" s="42"/>
      <c r="J7525" s="42"/>
    </row>
    <row r="7526" spans="5:10">
      <c r="E7526" s="43">
        <v>45351.819444419467</v>
      </c>
      <c r="F7526" s="41">
        <v>3.5842771002616911</v>
      </c>
      <c r="G7526" s="41">
        <v>0</v>
      </c>
      <c r="H7526" s="42"/>
      <c r="I7526" s="42"/>
      <c r="J7526" s="42"/>
    </row>
    <row r="7527" spans="5:10">
      <c r="E7527" s="43">
        <v>45351.822916641686</v>
      </c>
      <c r="F7527" s="41">
        <v>3.5842771002616911</v>
      </c>
      <c r="G7527" s="41">
        <v>0</v>
      </c>
      <c r="H7527" s="42"/>
      <c r="I7527" s="42"/>
      <c r="J7527" s="42"/>
    </row>
    <row r="7528" spans="5:10">
      <c r="E7528" s="43">
        <v>45351.826388863905</v>
      </c>
      <c r="F7528" s="41">
        <v>3.5842771002616911</v>
      </c>
      <c r="G7528" s="41">
        <v>0</v>
      </c>
      <c r="H7528" s="42"/>
      <c r="I7528" s="42"/>
      <c r="J7528" s="42"/>
    </row>
    <row r="7529" spans="5:10">
      <c r="E7529" s="43">
        <v>45351.829861086124</v>
      </c>
      <c r="F7529" s="41">
        <v>3.5842771002616911</v>
      </c>
      <c r="G7529" s="41">
        <v>0</v>
      </c>
      <c r="H7529" s="42"/>
      <c r="I7529" s="42"/>
      <c r="J7529" s="42"/>
    </row>
    <row r="7530" spans="5:10">
      <c r="E7530" s="43">
        <v>45351.833333308343</v>
      </c>
      <c r="F7530" s="41">
        <v>3.5842771002616911</v>
      </c>
      <c r="G7530" s="41">
        <v>0</v>
      </c>
      <c r="H7530" s="42"/>
      <c r="I7530" s="42"/>
      <c r="J7530" s="42"/>
    </row>
    <row r="7531" spans="5:10">
      <c r="E7531" s="43">
        <v>45351.836805530562</v>
      </c>
      <c r="F7531" s="41">
        <v>3.5842771002616911</v>
      </c>
      <c r="G7531" s="41">
        <v>0</v>
      </c>
      <c r="H7531" s="42"/>
      <c r="I7531" s="42"/>
      <c r="J7531" s="42"/>
    </row>
    <row r="7532" spans="5:10">
      <c r="E7532" s="43">
        <v>45351.840277752781</v>
      </c>
      <c r="F7532" s="41">
        <v>3.5842771002616911</v>
      </c>
      <c r="G7532" s="41">
        <v>0</v>
      </c>
      <c r="H7532" s="42"/>
      <c r="I7532" s="42"/>
      <c r="J7532" s="42"/>
    </row>
    <row r="7533" spans="5:10">
      <c r="E7533" s="43">
        <v>45351.843749975</v>
      </c>
      <c r="F7533" s="41">
        <v>3.5842771002616911</v>
      </c>
      <c r="G7533" s="41">
        <v>0</v>
      </c>
      <c r="H7533" s="42"/>
      <c r="I7533" s="42"/>
      <c r="J7533" s="42"/>
    </row>
    <row r="7534" spans="5:10">
      <c r="E7534" s="43">
        <v>45351.847222197219</v>
      </c>
      <c r="F7534" s="41">
        <v>3.5842771002616911</v>
      </c>
      <c r="G7534" s="41">
        <v>0</v>
      </c>
      <c r="H7534" s="42"/>
      <c r="I7534" s="42"/>
      <c r="J7534" s="42"/>
    </row>
    <row r="7535" spans="5:10">
      <c r="E7535" s="43">
        <v>45351.850694419438</v>
      </c>
      <c r="F7535" s="41">
        <v>3.5842771002616911</v>
      </c>
      <c r="G7535" s="41">
        <v>0</v>
      </c>
      <c r="H7535" s="42"/>
      <c r="I7535" s="42"/>
      <c r="J7535" s="42"/>
    </row>
    <row r="7536" spans="5:10">
      <c r="E7536" s="43">
        <v>45351.854166641657</v>
      </c>
      <c r="F7536" s="41">
        <v>3.5842771002616911</v>
      </c>
      <c r="G7536" s="41">
        <v>0</v>
      </c>
      <c r="H7536" s="42"/>
      <c r="I7536" s="42"/>
      <c r="J7536" s="42"/>
    </row>
    <row r="7537" spans="5:10">
      <c r="E7537" s="43">
        <v>45351.857638863876</v>
      </c>
      <c r="F7537" s="41">
        <v>3.5842771002616911</v>
      </c>
      <c r="G7537" s="41">
        <v>0</v>
      </c>
      <c r="H7537" s="42"/>
      <c r="I7537" s="42"/>
      <c r="J7537" s="42"/>
    </row>
    <row r="7538" spans="5:10">
      <c r="E7538" s="43">
        <v>45351.861111086095</v>
      </c>
      <c r="F7538" s="41">
        <v>3.5842771002616911</v>
      </c>
      <c r="G7538" s="41">
        <v>0</v>
      </c>
      <c r="H7538" s="42"/>
      <c r="I7538" s="42"/>
      <c r="J7538" s="42"/>
    </row>
    <row r="7539" spans="5:10">
      <c r="E7539" s="43">
        <v>45351.864583308314</v>
      </c>
      <c r="F7539" s="41">
        <v>3.5842771002616911</v>
      </c>
      <c r="G7539" s="41">
        <v>0</v>
      </c>
      <c r="H7539" s="42"/>
      <c r="I7539" s="42"/>
      <c r="J7539" s="42"/>
    </row>
    <row r="7540" spans="5:10">
      <c r="E7540" s="43">
        <v>45351.868055530533</v>
      </c>
      <c r="F7540" s="41">
        <v>3.5842771002616911</v>
      </c>
      <c r="G7540" s="41">
        <v>0</v>
      </c>
      <c r="H7540" s="42"/>
      <c r="I7540" s="42"/>
      <c r="J7540" s="42"/>
    </row>
    <row r="7541" spans="5:10">
      <c r="E7541" s="43">
        <v>45351.871527752752</v>
      </c>
      <c r="F7541" s="41">
        <v>3.5842771002616911</v>
      </c>
      <c r="G7541" s="41">
        <v>0</v>
      </c>
      <c r="H7541" s="42"/>
      <c r="I7541" s="42"/>
      <c r="J7541" s="42"/>
    </row>
    <row r="7542" spans="5:10">
      <c r="E7542" s="43">
        <v>45351.874999974971</v>
      </c>
      <c r="F7542" s="41">
        <v>3.5842771002616911</v>
      </c>
      <c r="G7542" s="41">
        <v>0</v>
      </c>
      <c r="H7542" s="42"/>
      <c r="I7542" s="42"/>
      <c r="J7542" s="42"/>
    </row>
    <row r="7543" spans="5:10">
      <c r="E7543" s="43">
        <v>45351.87847219719</v>
      </c>
      <c r="F7543" s="41">
        <v>3.5842771002616911</v>
      </c>
      <c r="G7543" s="41">
        <v>0</v>
      </c>
      <c r="H7543" s="42"/>
      <c r="I7543" s="42"/>
      <c r="J7543" s="42"/>
    </row>
    <row r="7544" spans="5:10">
      <c r="E7544" s="43">
        <v>45351.881944419409</v>
      </c>
      <c r="F7544" s="41">
        <v>3.5842771002616911</v>
      </c>
      <c r="G7544" s="41">
        <v>0</v>
      </c>
      <c r="H7544" s="42"/>
      <c r="I7544" s="42"/>
      <c r="J7544" s="42"/>
    </row>
    <row r="7545" spans="5:10">
      <c r="E7545" s="43">
        <v>45351.885416641628</v>
      </c>
      <c r="F7545" s="41">
        <v>3.5842771002616911</v>
      </c>
      <c r="G7545" s="41">
        <v>0</v>
      </c>
      <c r="H7545" s="42"/>
      <c r="I7545" s="42"/>
      <c r="J7545" s="42"/>
    </row>
    <row r="7546" spans="5:10">
      <c r="E7546" s="43">
        <v>45351.888888863847</v>
      </c>
      <c r="F7546" s="41">
        <v>3.5842771002616911</v>
      </c>
      <c r="G7546" s="41">
        <v>0</v>
      </c>
      <c r="H7546" s="42"/>
      <c r="I7546" s="42"/>
      <c r="J7546" s="42"/>
    </row>
    <row r="7547" spans="5:10">
      <c r="E7547" s="43">
        <v>45351.892361086066</v>
      </c>
      <c r="F7547" s="41">
        <v>3.5842771002616911</v>
      </c>
      <c r="G7547" s="41">
        <v>0</v>
      </c>
      <c r="H7547" s="42"/>
      <c r="I7547" s="42"/>
      <c r="J7547" s="42"/>
    </row>
    <row r="7548" spans="5:10">
      <c r="E7548" s="43">
        <v>45351.895833308285</v>
      </c>
      <c r="F7548" s="41">
        <v>3.5842771002616911</v>
      </c>
      <c r="G7548" s="41">
        <v>0</v>
      </c>
      <c r="H7548" s="42"/>
      <c r="I7548" s="42"/>
      <c r="J7548" s="42"/>
    </row>
    <row r="7549" spans="5:10">
      <c r="E7549" s="43">
        <v>45351.899305530504</v>
      </c>
      <c r="F7549" s="41">
        <v>3.5842771002616911</v>
      </c>
      <c r="G7549" s="41">
        <v>0</v>
      </c>
      <c r="H7549" s="42"/>
      <c r="I7549" s="42"/>
      <c r="J7549" s="42"/>
    </row>
    <row r="7550" spans="5:10">
      <c r="E7550" s="43">
        <v>45351.902777752723</v>
      </c>
      <c r="F7550" s="41">
        <v>3.5842771002616911</v>
      </c>
      <c r="G7550" s="41">
        <v>0</v>
      </c>
      <c r="H7550" s="42"/>
      <c r="I7550" s="42"/>
      <c r="J7550" s="42"/>
    </row>
    <row r="7551" spans="5:10">
      <c r="E7551" s="43">
        <v>45351.906249974942</v>
      </c>
      <c r="F7551" s="41">
        <v>3.5842771002616911</v>
      </c>
      <c r="G7551" s="41">
        <v>0</v>
      </c>
      <c r="H7551" s="42"/>
      <c r="I7551" s="42"/>
      <c r="J7551" s="42"/>
    </row>
    <row r="7552" spans="5:10">
      <c r="E7552" s="43">
        <v>45351.909722197161</v>
      </c>
      <c r="F7552" s="41">
        <v>3.5842771002616911</v>
      </c>
      <c r="G7552" s="41">
        <v>0</v>
      </c>
      <c r="H7552" s="42"/>
      <c r="I7552" s="42"/>
      <c r="J7552" s="42"/>
    </row>
    <row r="7553" spans="5:10">
      <c r="E7553" s="43">
        <v>45351.91319441938</v>
      </c>
      <c r="F7553" s="41">
        <v>3.5842771002616911</v>
      </c>
      <c r="G7553" s="41">
        <v>0</v>
      </c>
      <c r="H7553" s="42"/>
      <c r="I7553" s="42"/>
      <c r="J7553" s="42"/>
    </row>
    <row r="7554" spans="5:10">
      <c r="E7554" s="43">
        <v>45351.916666641599</v>
      </c>
      <c r="F7554" s="41">
        <v>3.5842771002616911</v>
      </c>
      <c r="G7554" s="41">
        <v>0</v>
      </c>
      <c r="H7554" s="42"/>
      <c r="I7554" s="42"/>
      <c r="J7554" s="42"/>
    </row>
    <row r="7555" spans="5:10">
      <c r="E7555" s="43">
        <v>45351.920138863818</v>
      </c>
      <c r="F7555" s="41">
        <v>3.5842771002616911</v>
      </c>
      <c r="G7555" s="41">
        <v>0</v>
      </c>
      <c r="H7555" s="42"/>
      <c r="I7555" s="42"/>
      <c r="J7555" s="42"/>
    </row>
    <row r="7556" spans="5:10">
      <c r="E7556" s="43">
        <v>45351.923611086037</v>
      </c>
      <c r="F7556" s="41">
        <v>3.5842771002616911</v>
      </c>
      <c r="G7556" s="41">
        <v>0</v>
      </c>
      <c r="H7556" s="42"/>
      <c r="I7556" s="42"/>
      <c r="J7556" s="42"/>
    </row>
    <row r="7557" spans="5:10">
      <c r="E7557" s="43">
        <v>45351.927083308256</v>
      </c>
      <c r="F7557" s="41">
        <v>3.5842771002616911</v>
      </c>
      <c r="G7557" s="41">
        <v>0</v>
      </c>
      <c r="H7557" s="42"/>
      <c r="I7557" s="42"/>
      <c r="J7557" s="42"/>
    </row>
    <row r="7558" spans="5:10">
      <c r="E7558" s="43">
        <v>45351.930555530475</v>
      </c>
      <c r="F7558" s="41">
        <v>3.5842771002616911</v>
      </c>
      <c r="G7558" s="41">
        <v>0</v>
      </c>
      <c r="H7558" s="42"/>
      <c r="I7558" s="42"/>
      <c r="J7558" s="42"/>
    </row>
    <row r="7559" spans="5:10">
      <c r="E7559" s="43">
        <v>45351.934027752694</v>
      </c>
      <c r="F7559" s="41">
        <v>3.5842771002616911</v>
      </c>
      <c r="G7559" s="41">
        <v>0</v>
      </c>
      <c r="H7559" s="42"/>
      <c r="I7559" s="42"/>
      <c r="J7559" s="42"/>
    </row>
    <row r="7560" spans="5:10">
      <c r="E7560" s="43">
        <v>45351.937499974912</v>
      </c>
      <c r="F7560" s="41">
        <v>3.5842771002616911</v>
      </c>
      <c r="G7560" s="41">
        <v>0</v>
      </c>
      <c r="H7560" s="42"/>
      <c r="I7560" s="42"/>
      <c r="J7560" s="42"/>
    </row>
    <row r="7561" spans="5:10">
      <c r="E7561" s="43">
        <v>45351.940972197131</v>
      </c>
      <c r="F7561" s="41">
        <v>3.5842771002616911</v>
      </c>
      <c r="G7561" s="41">
        <v>0</v>
      </c>
      <c r="H7561" s="42"/>
      <c r="I7561" s="42"/>
      <c r="J7561" s="42"/>
    </row>
    <row r="7562" spans="5:10">
      <c r="E7562" s="43">
        <v>45351.94444441935</v>
      </c>
      <c r="F7562" s="41">
        <v>3.5842771002616911</v>
      </c>
      <c r="G7562" s="41">
        <v>0</v>
      </c>
      <c r="H7562" s="42"/>
      <c r="I7562" s="42"/>
      <c r="J7562" s="42"/>
    </row>
    <row r="7563" spans="5:10">
      <c r="E7563" s="43">
        <v>45351.947916641569</v>
      </c>
      <c r="F7563" s="41">
        <v>3.5842771002616911</v>
      </c>
      <c r="G7563" s="41">
        <v>0</v>
      </c>
      <c r="H7563" s="42"/>
      <c r="I7563" s="42"/>
      <c r="J7563" s="42"/>
    </row>
    <row r="7564" spans="5:10">
      <c r="E7564" s="43">
        <v>45351.951388863788</v>
      </c>
      <c r="F7564" s="41">
        <v>3.5842771002616911</v>
      </c>
      <c r="G7564" s="41">
        <v>0</v>
      </c>
      <c r="H7564" s="42"/>
      <c r="I7564" s="42"/>
      <c r="J7564" s="42"/>
    </row>
    <row r="7565" spans="5:10">
      <c r="E7565" s="43">
        <v>45351.954861086007</v>
      </c>
      <c r="F7565" s="41">
        <v>3.5842771002616911</v>
      </c>
      <c r="G7565" s="41">
        <v>0</v>
      </c>
      <c r="H7565" s="42"/>
      <c r="I7565" s="42"/>
      <c r="J7565" s="42"/>
    </row>
    <row r="7566" spans="5:10">
      <c r="E7566" s="43">
        <v>45351.958333308226</v>
      </c>
      <c r="F7566" s="41">
        <v>3.5842771002616911</v>
      </c>
      <c r="G7566" s="41">
        <v>0</v>
      </c>
      <c r="H7566" s="42"/>
      <c r="I7566" s="42"/>
      <c r="J7566" s="42"/>
    </row>
    <row r="7567" spans="5:10">
      <c r="E7567" s="43">
        <v>45351.961805530445</v>
      </c>
      <c r="F7567" s="41">
        <v>3.5842771002616911</v>
      </c>
      <c r="G7567" s="41">
        <v>0</v>
      </c>
      <c r="H7567" s="42"/>
      <c r="I7567" s="42"/>
      <c r="J7567" s="42"/>
    </row>
    <row r="7568" spans="5:10">
      <c r="E7568" s="43">
        <v>45351.965277752664</v>
      </c>
      <c r="F7568" s="41">
        <v>3.5842771002616911</v>
      </c>
      <c r="G7568" s="41">
        <v>0</v>
      </c>
      <c r="H7568" s="42"/>
      <c r="I7568" s="42"/>
      <c r="J7568" s="42"/>
    </row>
    <row r="7569" spans="5:10">
      <c r="E7569" s="43">
        <v>45351.968749974883</v>
      </c>
      <c r="F7569" s="41">
        <v>3.5842771002616911</v>
      </c>
      <c r="G7569" s="41">
        <v>0</v>
      </c>
      <c r="H7569" s="42"/>
      <c r="I7569" s="42"/>
      <c r="J7569" s="42"/>
    </row>
    <row r="7570" spans="5:10">
      <c r="E7570" s="43">
        <v>45351.972222197102</v>
      </c>
      <c r="F7570" s="41">
        <v>3.5842771002616911</v>
      </c>
      <c r="G7570" s="41">
        <v>0</v>
      </c>
      <c r="H7570" s="42"/>
      <c r="I7570" s="42"/>
      <c r="J7570" s="42"/>
    </row>
    <row r="7571" spans="5:10">
      <c r="E7571" s="43">
        <v>45351.975694419321</v>
      </c>
      <c r="F7571" s="41">
        <v>3.5842771002616911</v>
      </c>
      <c r="G7571" s="41">
        <v>0</v>
      </c>
      <c r="H7571" s="42"/>
      <c r="I7571" s="42"/>
      <c r="J7571" s="42"/>
    </row>
    <row r="7572" spans="5:10">
      <c r="E7572" s="43">
        <v>45351.97916664154</v>
      </c>
      <c r="F7572" s="41">
        <v>3.5842771002616911</v>
      </c>
      <c r="G7572" s="41">
        <v>0</v>
      </c>
      <c r="H7572" s="42"/>
      <c r="I7572" s="42"/>
      <c r="J7572" s="42"/>
    </row>
    <row r="7573" spans="5:10">
      <c r="E7573" s="43">
        <v>45351.982638863759</v>
      </c>
      <c r="F7573" s="41">
        <v>3.5842771002616911</v>
      </c>
      <c r="G7573" s="41">
        <v>0</v>
      </c>
      <c r="H7573" s="42"/>
      <c r="I7573" s="42"/>
      <c r="J7573" s="42"/>
    </row>
    <row r="7574" spans="5:10">
      <c r="E7574" s="43">
        <v>45351.986111085978</v>
      </c>
      <c r="F7574" s="41">
        <v>3.5842771002616911</v>
      </c>
      <c r="G7574" s="41">
        <v>0</v>
      </c>
      <c r="H7574" s="42"/>
      <c r="I7574" s="42"/>
      <c r="J7574" s="42"/>
    </row>
    <row r="7575" spans="5:10">
      <c r="E7575" s="43">
        <v>45351.989583308197</v>
      </c>
      <c r="F7575" s="41">
        <v>3.5842771002616911</v>
      </c>
      <c r="G7575" s="41">
        <v>0</v>
      </c>
      <c r="H7575" s="42"/>
      <c r="I7575" s="42"/>
      <c r="J7575" s="42"/>
    </row>
    <row r="7576" spans="5:10">
      <c r="E7576" s="43">
        <v>45351.993055530416</v>
      </c>
      <c r="F7576" s="41">
        <v>3.5842771002616911</v>
      </c>
      <c r="G7576" s="41">
        <v>0</v>
      </c>
      <c r="H7576" s="42"/>
      <c r="I7576" s="42"/>
      <c r="J7576" s="42"/>
    </row>
    <row r="7577" spans="5:10">
      <c r="E7577" s="43">
        <v>45351.996527752635</v>
      </c>
      <c r="F7577" s="41">
        <v>3.5842771002616911</v>
      </c>
      <c r="G7577" s="41">
        <v>0</v>
      </c>
      <c r="H7577" s="42"/>
      <c r="I7577" s="42"/>
      <c r="J7577" s="42"/>
    </row>
    <row r="7578" spans="5:10">
      <c r="E7578" s="43">
        <v>45351.999999974854</v>
      </c>
      <c r="F7578" s="41">
        <v>3.5842771002616911</v>
      </c>
      <c r="G7578" s="41">
        <v>0</v>
      </c>
      <c r="H7578" s="42"/>
      <c r="I7578" s="42"/>
      <c r="J7578" s="42"/>
    </row>
    <row r="7579" spans="5:10">
      <c r="E7579" s="43">
        <v>45352.003472197073</v>
      </c>
      <c r="F7579" s="41">
        <v>3.5842771002616911</v>
      </c>
      <c r="G7579" s="41">
        <v>0</v>
      </c>
      <c r="H7579" s="42"/>
      <c r="I7579" s="42"/>
      <c r="J7579" s="42"/>
    </row>
    <row r="7580" spans="5:10">
      <c r="E7580" s="43">
        <v>45352.006944419292</v>
      </c>
      <c r="F7580" s="41">
        <v>3.5842771002616911</v>
      </c>
      <c r="G7580" s="41">
        <v>0</v>
      </c>
      <c r="H7580" s="42"/>
      <c r="I7580" s="42"/>
      <c r="J7580" s="42"/>
    </row>
    <row r="7581" spans="5:10">
      <c r="E7581" s="43">
        <v>45352.010416641511</v>
      </c>
      <c r="F7581" s="41">
        <v>3.5842771002616911</v>
      </c>
      <c r="G7581" s="41">
        <v>0</v>
      </c>
      <c r="H7581" s="42"/>
      <c r="I7581" s="42"/>
      <c r="J7581" s="42"/>
    </row>
    <row r="7582" spans="5:10">
      <c r="E7582" s="43">
        <v>45352.01388886373</v>
      </c>
      <c r="F7582" s="41">
        <v>3.5842771002616911</v>
      </c>
      <c r="G7582" s="41">
        <v>0</v>
      </c>
      <c r="H7582" s="42"/>
      <c r="I7582" s="42"/>
      <c r="J7582" s="42"/>
    </row>
    <row r="7583" spans="5:10">
      <c r="E7583" s="43">
        <v>45352.017361085949</v>
      </c>
      <c r="F7583" s="41">
        <v>3.5842771002616911</v>
      </c>
      <c r="G7583" s="41">
        <v>0</v>
      </c>
      <c r="H7583" s="42"/>
      <c r="I7583" s="42"/>
      <c r="J7583" s="42"/>
    </row>
    <row r="7584" spans="5:10">
      <c r="E7584" s="43">
        <v>45352.020833308168</v>
      </c>
      <c r="F7584" s="41">
        <v>3.5842771002616911</v>
      </c>
      <c r="G7584" s="41">
        <v>0</v>
      </c>
      <c r="H7584" s="42"/>
      <c r="I7584" s="42"/>
      <c r="J7584" s="42"/>
    </row>
    <row r="7585" spans="5:10">
      <c r="E7585" s="43">
        <v>45352.024305530387</v>
      </c>
      <c r="F7585" s="41">
        <v>3.5842771002616911</v>
      </c>
      <c r="G7585" s="41">
        <v>0</v>
      </c>
      <c r="H7585" s="42"/>
      <c r="I7585" s="42"/>
      <c r="J7585" s="42"/>
    </row>
    <row r="7586" spans="5:10">
      <c r="E7586" s="43">
        <v>45352.027777752606</v>
      </c>
      <c r="F7586" s="41">
        <v>3.5842771002616911</v>
      </c>
      <c r="G7586" s="41">
        <v>0</v>
      </c>
      <c r="H7586" s="42"/>
      <c r="I7586" s="42"/>
      <c r="J7586" s="42"/>
    </row>
    <row r="7587" spans="5:10">
      <c r="E7587" s="43">
        <v>45352.031249974825</v>
      </c>
      <c r="F7587" s="41">
        <v>3.5842771002616911</v>
      </c>
      <c r="G7587" s="41">
        <v>0</v>
      </c>
      <c r="H7587" s="42"/>
      <c r="I7587" s="42"/>
      <c r="J7587" s="42"/>
    </row>
    <row r="7588" spans="5:10">
      <c r="E7588" s="43">
        <v>45352.034722197044</v>
      </c>
      <c r="F7588" s="41">
        <v>3.5842771002616911</v>
      </c>
      <c r="G7588" s="41">
        <v>0</v>
      </c>
      <c r="H7588" s="42"/>
      <c r="I7588" s="42"/>
      <c r="J7588" s="42"/>
    </row>
    <row r="7589" spans="5:10">
      <c r="E7589" s="43">
        <v>45352.038194419263</v>
      </c>
      <c r="F7589" s="41">
        <v>3.5842771002616911</v>
      </c>
      <c r="G7589" s="41">
        <v>0</v>
      </c>
      <c r="H7589" s="42"/>
      <c r="I7589" s="42"/>
      <c r="J7589" s="42"/>
    </row>
    <row r="7590" spans="5:10">
      <c r="E7590" s="43">
        <v>45352.041666641482</v>
      </c>
      <c r="F7590" s="41">
        <v>3.5842771002616911</v>
      </c>
      <c r="G7590" s="41">
        <v>0</v>
      </c>
      <c r="H7590" s="42"/>
      <c r="I7590" s="42"/>
      <c r="J7590" s="42"/>
    </row>
    <row r="7591" spans="5:10">
      <c r="E7591" s="43">
        <v>45352.045138863701</v>
      </c>
      <c r="F7591" s="41">
        <v>3.5842771002616911</v>
      </c>
      <c r="G7591" s="41">
        <v>0</v>
      </c>
      <c r="H7591" s="42"/>
      <c r="I7591" s="42"/>
      <c r="J7591" s="42"/>
    </row>
    <row r="7592" spans="5:10">
      <c r="E7592" s="43">
        <v>45352.04861108592</v>
      </c>
      <c r="F7592" s="41">
        <v>3.5842771002616911</v>
      </c>
      <c r="G7592" s="41">
        <v>0</v>
      </c>
      <c r="H7592" s="42"/>
      <c r="I7592" s="42"/>
      <c r="J7592" s="42"/>
    </row>
    <row r="7593" spans="5:10">
      <c r="E7593" s="43">
        <v>45352.052083308139</v>
      </c>
      <c r="F7593" s="41">
        <v>3.5842771002616911</v>
      </c>
      <c r="G7593" s="41">
        <v>0</v>
      </c>
      <c r="H7593" s="42"/>
      <c r="I7593" s="42"/>
      <c r="J7593" s="42"/>
    </row>
    <row r="7594" spans="5:10">
      <c r="E7594" s="43">
        <v>45352.055555530358</v>
      </c>
      <c r="F7594" s="41">
        <v>3.5842771002616911</v>
      </c>
      <c r="G7594" s="41">
        <v>0</v>
      </c>
      <c r="H7594" s="42"/>
      <c r="I7594" s="42"/>
      <c r="J7594" s="42"/>
    </row>
    <row r="7595" spans="5:10">
      <c r="E7595" s="43">
        <v>45352.059027752577</v>
      </c>
      <c r="F7595" s="41">
        <v>3.5842771002616911</v>
      </c>
      <c r="G7595" s="41">
        <v>0</v>
      </c>
      <c r="H7595" s="42"/>
      <c r="I7595" s="42"/>
      <c r="J7595" s="42"/>
    </row>
    <row r="7596" spans="5:10">
      <c r="E7596" s="43">
        <v>45352.062499974796</v>
      </c>
      <c r="F7596" s="41">
        <v>3.5842771002616911</v>
      </c>
      <c r="G7596" s="41">
        <v>0</v>
      </c>
      <c r="H7596" s="42"/>
      <c r="I7596" s="42"/>
      <c r="J7596" s="42"/>
    </row>
    <row r="7597" spans="5:10">
      <c r="E7597" s="43">
        <v>45352.065972197015</v>
      </c>
      <c r="F7597" s="41">
        <v>3.5842771002616911</v>
      </c>
      <c r="G7597" s="41">
        <v>0</v>
      </c>
      <c r="H7597" s="42"/>
      <c r="I7597" s="42"/>
      <c r="J7597" s="42"/>
    </row>
    <row r="7598" spans="5:10">
      <c r="E7598" s="43">
        <v>45352.069444419234</v>
      </c>
      <c r="F7598" s="41">
        <v>3.5842771002616911</v>
      </c>
      <c r="G7598" s="41">
        <v>0</v>
      </c>
      <c r="H7598" s="42"/>
      <c r="I7598" s="42"/>
      <c r="J7598" s="42"/>
    </row>
    <row r="7599" spans="5:10">
      <c r="E7599" s="43">
        <v>45352.072916641453</v>
      </c>
      <c r="F7599" s="41">
        <v>3.5842771002616911</v>
      </c>
      <c r="G7599" s="41">
        <v>0</v>
      </c>
      <c r="H7599" s="42"/>
      <c r="I7599" s="42"/>
      <c r="J7599" s="42"/>
    </row>
    <row r="7600" spans="5:10">
      <c r="E7600" s="43">
        <v>45352.076388863672</v>
      </c>
      <c r="F7600" s="41">
        <v>3.5842771002616911</v>
      </c>
      <c r="G7600" s="41">
        <v>0</v>
      </c>
      <c r="H7600" s="42"/>
      <c r="I7600" s="42"/>
      <c r="J7600" s="42"/>
    </row>
    <row r="7601" spans="5:10">
      <c r="E7601" s="43">
        <v>45352.079861085891</v>
      </c>
      <c r="F7601" s="41">
        <v>3.5842771002616911</v>
      </c>
      <c r="G7601" s="41">
        <v>0</v>
      </c>
      <c r="H7601" s="42"/>
      <c r="I7601" s="42"/>
      <c r="J7601" s="42"/>
    </row>
    <row r="7602" spans="5:10">
      <c r="E7602" s="43">
        <v>45352.08333330811</v>
      </c>
      <c r="F7602" s="41">
        <v>3.5842771002616911</v>
      </c>
      <c r="G7602" s="41">
        <v>0</v>
      </c>
      <c r="H7602" s="42"/>
      <c r="I7602" s="42"/>
      <c r="J7602" s="42"/>
    </row>
    <row r="7603" spans="5:10">
      <c r="E7603" s="43">
        <v>45352.086805530329</v>
      </c>
      <c r="F7603" s="41">
        <v>3.5842771002616911</v>
      </c>
      <c r="G7603" s="41">
        <v>0</v>
      </c>
      <c r="H7603" s="42"/>
      <c r="I7603" s="42"/>
      <c r="J7603" s="42"/>
    </row>
    <row r="7604" spans="5:10">
      <c r="E7604" s="43">
        <v>45352.090277752548</v>
      </c>
      <c r="F7604" s="41">
        <v>3.5842771002616911</v>
      </c>
      <c r="G7604" s="41">
        <v>0</v>
      </c>
      <c r="H7604" s="42"/>
      <c r="I7604" s="42"/>
      <c r="J7604" s="42"/>
    </row>
    <row r="7605" spans="5:10">
      <c r="E7605" s="43">
        <v>45352.093749974767</v>
      </c>
      <c r="F7605" s="41">
        <v>3.5842771002616911</v>
      </c>
      <c r="G7605" s="41">
        <v>0</v>
      </c>
      <c r="H7605" s="42"/>
      <c r="I7605" s="42"/>
      <c r="J7605" s="42"/>
    </row>
    <row r="7606" spans="5:10">
      <c r="E7606" s="43">
        <v>45352.097222196986</v>
      </c>
      <c r="F7606" s="41">
        <v>3.5842771002616911</v>
      </c>
      <c r="G7606" s="41">
        <v>0</v>
      </c>
      <c r="H7606" s="42"/>
      <c r="I7606" s="42"/>
      <c r="J7606" s="42"/>
    </row>
    <row r="7607" spans="5:10">
      <c r="E7607" s="43">
        <v>45352.100694419205</v>
      </c>
      <c r="F7607" s="41">
        <v>3.5842771002616911</v>
      </c>
      <c r="G7607" s="41">
        <v>0</v>
      </c>
      <c r="H7607" s="42"/>
      <c r="I7607" s="42"/>
      <c r="J7607" s="42"/>
    </row>
    <row r="7608" spans="5:10">
      <c r="E7608" s="43">
        <v>45352.104166641424</v>
      </c>
      <c r="F7608" s="41">
        <v>3.5842771002616911</v>
      </c>
      <c r="G7608" s="41">
        <v>0</v>
      </c>
      <c r="H7608" s="42"/>
      <c r="I7608" s="42"/>
      <c r="J7608" s="42"/>
    </row>
    <row r="7609" spans="5:10">
      <c r="E7609" s="43">
        <v>45352.107638863643</v>
      </c>
      <c r="F7609" s="41">
        <v>3.5842771002616911</v>
      </c>
      <c r="G7609" s="41">
        <v>0</v>
      </c>
      <c r="H7609" s="42"/>
      <c r="I7609" s="42"/>
      <c r="J7609" s="42"/>
    </row>
    <row r="7610" spans="5:10">
      <c r="E7610" s="43">
        <v>45352.111111085862</v>
      </c>
      <c r="F7610" s="41">
        <v>3.5842771002616911</v>
      </c>
      <c r="G7610" s="41">
        <v>0</v>
      </c>
      <c r="H7610" s="42"/>
      <c r="I7610" s="42"/>
      <c r="J7610" s="42"/>
    </row>
    <row r="7611" spans="5:10">
      <c r="E7611" s="43">
        <v>45352.114583308081</v>
      </c>
      <c r="F7611" s="41">
        <v>3.5842771002616911</v>
      </c>
      <c r="G7611" s="41">
        <v>0</v>
      </c>
      <c r="H7611" s="42"/>
      <c r="I7611" s="42"/>
      <c r="J7611" s="42"/>
    </row>
    <row r="7612" spans="5:10">
      <c r="E7612" s="43">
        <v>45352.1180555303</v>
      </c>
      <c r="F7612" s="41">
        <v>3.5842771002616911</v>
      </c>
      <c r="G7612" s="41">
        <v>0</v>
      </c>
      <c r="H7612" s="42"/>
      <c r="I7612" s="42"/>
      <c r="J7612" s="42"/>
    </row>
    <row r="7613" spans="5:10">
      <c r="E7613" s="43">
        <v>45352.121527752519</v>
      </c>
      <c r="F7613" s="41">
        <v>3.5842771002616911</v>
      </c>
      <c r="G7613" s="41">
        <v>0</v>
      </c>
      <c r="H7613" s="42"/>
      <c r="I7613" s="42"/>
      <c r="J7613" s="42"/>
    </row>
    <row r="7614" spans="5:10">
      <c r="E7614" s="43">
        <v>45352.124999974738</v>
      </c>
      <c r="F7614" s="41">
        <v>3.5842771002616911</v>
      </c>
      <c r="G7614" s="41">
        <v>0</v>
      </c>
      <c r="H7614" s="42"/>
      <c r="I7614" s="42"/>
      <c r="J7614" s="42"/>
    </row>
    <row r="7615" spans="5:10">
      <c r="E7615" s="43">
        <v>45352.128472196957</v>
      </c>
      <c r="F7615" s="41">
        <v>3.5842771002616911</v>
      </c>
      <c r="G7615" s="41">
        <v>0</v>
      </c>
      <c r="H7615" s="42"/>
      <c r="I7615" s="42"/>
      <c r="J7615" s="42"/>
    </row>
    <row r="7616" spans="5:10">
      <c r="E7616" s="43">
        <v>45352.131944419176</v>
      </c>
      <c r="F7616" s="41">
        <v>3.5842771002616911</v>
      </c>
      <c r="G7616" s="41">
        <v>0</v>
      </c>
      <c r="H7616" s="42"/>
      <c r="I7616" s="42"/>
      <c r="J7616" s="42"/>
    </row>
    <row r="7617" spans="5:10">
      <c r="E7617" s="43">
        <v>45352.135416641395</v>
      </c>
      <c r="F7617" s="41">
        <v>3.5842771002616911</v>
      </c>
      <c r="G7617" s="41">
        <v>0</v>
      </c>
      <c r="H7617" s="42"/>
      <c r="I7617" s="42"/>
      <c r="J7617" s="42"/>
    </row>
    <row r="7618" spans="5:10">
      <c r="E7618" s="43">
        <v>45352.138888863614</v>
      </c>
      <c r="F7618" s="41">
        <v>3.5842771002616911</v>
      </c>
      <c r="G7618" s="41">
        <v>0</v>
      </c>
      <c r="H7618" s="42"/>
      <c r="I7618" s="42"/>
      <c r="J7618" s="42"/>
    </row>
    <row r="7619" spans="5:10">
      <c r="E7619" s="43">
        <v>45352.142361085833</v>
      </c>
      <c r="F7619" s="41">
        <v>3.5842771002616911</v>
      </c>
      <c r="G7619" s="41">
        <v>0</v>
      </c>
      <c r="H7619" s="42"/>
      <c r="I7619" s="42"/>
      <c r="J7619" s="42"/>
    </row>
    <row r="7620" spans="5:10">
      <c r="E7620" s="43">
        <v>45352.145833308052</v>
      </c>
      <c r="F7620" s="41">
        <v>3.5842771002616911</v>
      </c>
      <c r="G7620" s="41">
        <v>0</v>
      </c>
      <c r="H7620" s="42"/>
      <c r="I7620" s="42"/>
      <c r="J7620" s="42"/>
    </row>
    <row r="7621" spans="5:10">
      <c r="E7621" s="43">
        <v>45352.149305530271</v>
      </c>
      <c r="F7621" s="41">
        <v>3.5842771002616911</v>
      </c>
      <c r="G7621" s="41">
        <v>0</v>
      </c>
      <c r="H7621" s="42"/>
      <c r="I7621" s="42"/>
      <c r="J7621" s="42"/>
    </row>
    <row r="7622" spans="5:10">
      <c r="E7622" s="43">
        <v>45352.15277775249</v>
      </c>
      <c r="F7622" s="41">
        <v>3.5842771002616911</v>
      </c>
      <c r="G7622" s="41">
        <v>0</v>
      </c>
      <c r="H7622" s="42"/>
      <c r="I7622" s="42"/>
      <c r="J7622" s="42"/>
    </row>
    <row r="7623" spans="5:10">
      <c r="E7623" s="43">
        <v>45352.156249974709</v>
      </c>
      <c r="F7623" s="41">
        <v>3.5842771002616911</v>
      </c>
      <c r="G7623" s="41">
        <v>0</v>
      </c>
      <c r="H7623" s="42"/>
      <c r="I7623" s="42"/>
      <c r="J7623" s="42"/>
    </row>
    <row r="7624" spans="5:10">
      <c r="E7624" s="43">
        <v>45352.159722196928</v>
      </c>
      <c r="F7624" s="41">
        <v>3.5842771002616911</v>
      </c>
      <c r="G7624" s="41">
        <v>0</v>
      </c>
      <c r="H7624" s="42"/>
      <c r="I7624" s="42"/>
      <c r="J7624" s="42"/>
    </row>
    <row r="7625" spans="5:10">
      <c r="E7625" s="43">
        <v>45352.163194419147</v>
      </c>
      <c r="F7625" s="41">
        <v>3.5842771002616911</v>
      </c>
      <c r="G7625" s="41">
        <v>0</v>
      </c>
      <c r="H7625" s="42"/>
      <c r="I7625" s="42"/>
      <c r="J7625" s="42"/>
    </row>
    <row r="7626" spans="5:10">
      <c r="E7626" s="43">
        <v>45352.166666641366</v>
      </c>
      <c r="F7626" s="41">
        <v>3.5842771002616911</v>
      </c>
      <c r="G7626" s="41">
        <v>0</v>
      </c>
      <c r="H7626" s="42"/>
      <c r="I7626" s="42"/>
      <c r="J7626" s="42"/>
    </row>
    <row r="7627" spans="5:10">
      <c r="E7627" s="43">
        <v>45352.170138863585</v>
      </c>
      <c r="F7627" s="41">
        <v>3.5842771002616911</v>
      </c>
      <c r="G7627" s="41">
        <v>0</v>
      </c>
      <c r="H7627" s="42"/>
      <c r="I7627" s="42"/>
      <c r="J7627" s="42"/>
    </row>
    <row r="7628" spans="5:10">
      <c r="E7628" s="43">
        <v>45352.173611085804</v>
      </c>
      <c r="F7628" s="41">
        <v>3.5842771002616911</v>
      </c>
      <c r="G7628" s="41">
        <v>0</v>
      </c>
      <c r="H7628" s="42"/>
      <c r="I7628" s="42"/>
      <c r="J7628" s="42"/>
    </row>
    <row r="7629" spans="5:10">
      <c r="E7629" s="43">
        <v>45352.177083308023</v>
      </c>
      <c r="F7629" s="41">
        <v>3.5842771002616911</v>
      </c>
      <c r="G7629" s="41">
        <v>0</v>
      </c>
      <c r="H7629" s="42"/>
      <c r="I7629" s="42"/>
      <c r="J7629" s="42"/>
    </row>
    <row r="7630" spans="5:10">
      <c r="E7630" s="43">
        <v>45352.180555530242</v>
      </c>
      <c r="F7630" s="41">
        <v>3.5842771002616911</v>
      </c>
      <c r="G7630" s="41">
        <v>0</v>
      </c>
      <c r="H7630" s="42"/>
      <c r="I7630" s="42"/>
      <c r="J7630" s="42"/>
    </row>
    <row r="7631" spans="5:10">
      <c r="E7631" s="43">
        <v>45352.184027752461</v>
      </c>
      <c r="F7631" s="41">
        <v>3.5842771002616911</v>
      </c>
      <c r="G7631" s="41">
        <v>0</v>
      </c>
      <c r="H7631" s="42"/>
      <c r="I7631" s="42"/>
      <c r="J7631" s="42"/>
    </row>
    <row r="7632" spans="5:10">
      <c r="E7632" s="43">
        <v>45352.18749997468</v>
      </c>
      <c r="F7632" s="41">
        <v>3.5842771002616911</v>
      </c>
      <c r="G7632" s="41">
        <v>0</v>
      </c>
      <c r="H7632" s="42"/>
      <c r="I7632" s="42"/>
      <c r="J7632" s="42"/>
    </row>
    <row r="7633" spans="5:10">
      <c r="E7633" s="43">
        <v>45352.190972196899</v>
      </c>
      <c r="F7633" s="41">
        <v>3.5842771002616911</v>
      </c>
      <c r="G7633" s="41">
        <v>0</v>
      </c>
      <c r="H7633" s="42"/>
      <c r="I7633" s="42"/>
      <c r="J7633" s="42"/>
    </row>
    <row r="7634" spans="5:10">
      <c r="E7634" s="43">
        <v>45352.194444419118</v>
      </c>
      <c r="F7634" s="41">
        <v>3.5842771002616911</v>
      </c>
      <c r="G7634" s="41">
        <v>0</v>
      </c>
      <c r="H7634" s="42"/>
      <c r="I7634" s="42"/>
      <c r="J7634" s="42"/>
    </row>
    <row r="7635" spans="5:10">
      <c r="E7635" s="43">
        <v>45352.197916641337</v>
      </c>
      <c r="F7635" s="41">
        <v>3.5842771002616911</v>
      </c>
      <c r="G7635" s="41">
        <v>0</v>
      </c>
      <c r="H7635" s="42"/>
      <c r="I7635" s="42"/>
      <c r="J7635" s="42"/>
    </row>
    <row r="7636" spans="5:10">
      <c r="E7636" s="43">
        <v>45352.201388863556</v>
      </c>
      <c r="F7636" s="41">
        <v>3.5842771002616911</v>
      </c>
      <c r="G7636" s="41">
        <v>0</v>
      </c>
      <c r="H7636" s="42"/>
      <c r="I7636" s="42"/>
      <c r="J7636" s="42"/>
    </row>
    <row r="7637" spans="5:10">
      <c r="E7637" s="43">
        <v>45352.204861085775</v>
      </c>
      <c r="F7637" s="41">
        <v>3.5842771002616911</v>
      </c>
      <c r="G7637" s="41">
        <v>0</v>
      </c>
      <c r="H7637" s="42"/>
      <c r="I7637" s="42"/>
      <c r="J7637" s="42"/>
    </row>
    <row r="7638" spans="5:10">
      <c r="E7638" s="43">
        <v>45352.208333307994</v>
      </c>
      <c r="F7638" s="41">
        <v>3.5842771002616911</v>
      </c>
      <c r="G7638" s="41">
        <v>0</v>
      </c>
      <c r="H7638" s="42"/>
      <c r="I7638" s="42"/>
      <c r="J7638" s="42"/>
    </row>
    <row r="7639" spans="5:10">
      <c r="E7639" s="43">
        <v>45352.211805530213</v>
      </c>
      <c r="F7639" s="41">
        <v>3.5842771002616911</v>
      </c>
      <c r="G7639" s="41">
        <v>0</v>
      </c>
      <c r="H7639" s="42"/>
      <c r="I7639" s="42"/>
      <c r="J7639" s="42"/>
    </row>
    <row r="7640" spans="5:10">
      <c r="E7640" s="43">
        <v>45352.215277752432</v>
      </c>
      <c r="F7640" s="41">
        <v>3.5842771002616911</v>
      </c>
      <c r="G7640" s="41">
        <v>0</v>
      </c>
      <c r="H7640" s="42"/>
      <c r="I7640" s="42"/>
      <c r="J7640" s="42"/>
    </row>
    <row r="7641" spans="5:10">
      <c r="E7641" s="43">
        <v>45352.218749974651</v>
      </c>
      <c r="F7641" s="41">
        <v>3.5842771002616911</v>
      </c>
      <c r="G7641" s="41">
        <v>0</v>
      </c>
      <c r="H7641" s="42"/>
      <c r="I7641" s="42"/>
      <c r="J7641" s="42"/>
    </row>
    <row r="7642" spans="5:10">
      <c r="E7642" s="43">
        <v>45352.22222219687</v>
      </c>
      <c r="F7642" s="41">
        <v>3.5842771002616911</v>
      </c>
      <c r="G7642" s="41">
        <v>0</v>
      </c>
      <c r="H7642" s="42"/>
      <c r="I7642" s="42"/>
      <c r="J7642" s="42"/>
    </row>
    <row r="7643" spans="5:10">
      <c r="E7643" s="43">
        <v>45352.225694419089</v>
      </c>
      <c r="F7643" s="41">
        <v>3.5842771002616911</v>
      </c>
      <c r="G7643" s="41">
        <v>0</v>
      </c>
      <c r="H7643" s="42"/>
      <c r="I7643" s="42"/>
      <c r="J7643" s="42"/>
    </row>
    <row r="7644" spans="5:10">
      <c r="E7644" s="43">
        <v>45352.229166641308</v>
      </c>
      <c r="F7644" s="41">
        <v>3.5842771002616911</v>
      </c>
      <c r="G7644" s="41">
        <v>0</v>
      </c>
      <c r="H7644" s="42"/>
      <c r="I7644" s="42"/>
      <c r="J7644" s="42"/>
    </row>
    <row r="7645" spans="5:10">
      <c r="E7645" s="43">
        <v>45352.232638863527</v>
      </c>
      <c r="F7645" s="41">
        <v>3.5842771002616911</v>
      </c>
      <c r="G7645" s="41">
        <v>0</v>
      </c>
      <c r="H7645" s="42"/>
      <c r="I7645" s="42"/>
      <c r="J7645" s="42"/>
    </row>
    <row r="7646" spans="5:10">
      <c r="E7646" s="43">
        <v>45352.236111085746</v>
      </c>
      <c r="F7646" s="41">
        <v>3.5842771002616911</v>
      </c>
      <c r="G7646" s="41">
        <v>0</v>
      </c>
      <c r="H7646" s="42"/>
      <c r="I7646" s="42"/>
      <c r="J7646" s="42"/>
    </row>
    <row r="7647" spans="5:10">
      <c r="E7647" s="43">
        <v>45352.239583307964</v>
      </c>
      <c r="F7647" s="41">
        <v>3.5842771002616911</v>
      </c>
      <c r="G7647" s="41">
        <v>0</v>
      </c>
      <c r="H7647" s="42"/>
      <c r="I7647" s="42"/>
      <c r="J7647" s="42"/>
    </row>
    <row r="7648" spans="5:10">
      <c r="E7648" s="43">
        <v>45352.243055530183</v>
      </c>
      <c r="F7648" s="41">
        <v>3.5842771002616911</v>
      </c>
      <c r="G7648" s="41">
        <v>0</v>
      </c>
      <c r="H7648" s="42"/>
      <c r="I7648" s="42"/>
      <c r="J7648" s="42"/>
    </row>
    <row r="7649" spans="5:10">
      <c r="E7649" s="43">
        <v>45352.246527752402</v>
      </c>
      <c r="F7649" s="41">
        <v>3.5842771002616911</v>
      </c>
      <c r="G7649" s="41">
        <v>0</v>
      </c>
      <c r="H7649" s="42"/>
      <c r="I7649" s="42"/>
      <c r="J7649" s="42"/>
    </row>
    <row r="7650" spans="5:10">
      <c r="E7650" s="43">
        <v>45352.249999974621</v>
      </c>
      <c r="F7650" s="41">
        <v>3.5842771002616911</v>
      </c>
      <c r="G7650" s="41">
        <v>0</v>
      </c>
      <c r="H7650" s="42"/>
      <c r="I7650" s="42"/>
      <c r="J7650" s="42"/>
    </row>
    <row r="7651" spans="5:10">
      <c r="E7651" s="43">
        <v>45352.25347219684</v>
      </c>
      <c r="F7651" s="41">
        <v>3.5842771002616911</v>
      </c>
      <c r="G7651" s="41">
        <v>0</v>
      </c>
      <c r="H7651" s="42"/>
      <c r="I7651" s="42"/>
      <c r="J7651" s="42"/>
    </row>
    <row r="7652" spans="5:10">
      <c r="E7652" s="43">
        <v>45352.256944419059</v>
      </c>
      <c r="F7652" s="41">
        <v>3.5842771002616911</v>
      </c>
      <c r="G7652" s="41">
        <v>0</v>
      </c>
      <c r="H7652" s="42"/>
      <c r="I7652" s="42"/>
      <c r="J7652" s="42"/>
    </row>
    <row r="7653" spans="5:10">
      <c r="E7653" s="43">
        <v>45352.260416641278</v>
      </c>
      <c r="F7653" s="41">
        <v>3.5842771002616911</v>
      </c>
      <c r="G7653" s="41">
        <v>0</v>
      </c>
      <c r="H7653" s="42"/>
      <c r="I7653" s="42"/>
      <c r="J7653" s="42"/>
    </row>
    <row r="7654" spans="5:10">
      <c r="E7654" s="43">
        <v>45352.263888863497</v>
      </c>
      <c r="F7654" s="41">
        <v>3.5842771002616911</v>
      </c>
      <c r="G7654" s="41">
        <v>0</v>
      </c>
      <c r="H7654" s="42"/>
      <c r="I7654" s="42"/>
      <c r="J7654" s="42"/>
    </row>
    <row r="7655" spans="5:10">
      <c r="E7655" s="43">
        <v>45352.267361085716</v>
      </c>
      <c r="F7655" s="41">
        <v>3.5842771002616911</v>
      </c>
      <c r="G7655" s="41">
        <v>0</v>
      </c>
      <c r="H7655" s="42"/>
      <c r="I7655" s="42"/>
      <c r="J7655" s="42"/>
    </row>
    <row r="7656" spans="5:10">
      <c r="E7656" s="43">
        <v>45352.270833307935</v>
      </c>
      <c r="F7656" s="41">
        <v>3.5842771002616911</v>
      </c>
      <c r="G7656" s="41">
        <v>0</v>
      </c>
      <c r="H7656" s="42"/>
      <c r="I7656" s="42"/>
      <c r="J7656" s="42"/>
    </row>
    <row r="7657" spans="5:10">
      <c r="E7657" s="43">
        <v>45352.274305530154</v>
      </c>
      <c r="F7657" s="41">
        <v>3.5842771002616911</v>
      </c>
      <c r="G7657" s="41">
        <v>0</v>
      </c>
      <c r="H7657" s="42"/>
      <c r="I7657" s="42"/>
      <c r="J7657" s="42"/>
    </row>
    <row r="7658" spans="5:10">
      <c r="E7658" s="43">
        <v>45352.277777752373</v>
      </c>
      <c r="F7658" s="41">
        <v>3.5842771002616911</v>
      </c>
      <c r="G7658" s="41">
        <v>0</v>
      </c>
      <c r="H7658" s="42"/>
      <c r="I7658" s="42"/>
      <c r="J7658" s="42"/>
    </row>
    <row r="7659" spans="5:10">
      <c r="E7659" s="43">
        <v>45352.281249974592</v>
      </c>
      <c r="F7659" s="41">
        <v>3.5842771002616911</v>
      </c>
      <c r="G7659" s="41">
        <v>0</v>
      </c>
      <c r="H7659" s="42"/>
      <c r="I7659" s="42"/>
      <c r="J7659" s="42"/>
    </row>
    <row r="7660" spans="5:10">
      <c r="E7660" s="43">
        <v>45352.284722196811</v>
      </c>
      <c r="F7660" s="41">
        <v>3.5842771002616911</v>
      </c>
      <c r="G7660" s="41">
        <v>0</v>
      </c>
      <c r="H7660" s="42"/>
      <c r="I7660" s="42"/>
      <c r="J7660" s="42"/>
    </row>
    <row r="7661" spans="5:10">
      <c r="E7661" s="43">
        <v>45352.28819441903</v>
      </c>
      <c r="F7661" s="41">
        <v>3.5842771002616911</v>
      </c>
      <c r="G7661" s="41">
        <v>0</v>
      </c>
      <c r="H7661" s="42"/>
      <c r="I7661" s="42"/>
      <c r="J7661" s="42"/>
    </row>
    <row r="7662" spans="5:10">
      <c r="E7662" s="43">
        <v>45352.291666641249</v>
      </c>
      <c r="F7662" s="41">
        <v>3.5842771002616911</v>
      </c>
      <c r="G7662" s="41">
        <v>0</v>
      </c>
      <c r="H7662" s="42"/>
      <c r="I7662" s="42"/>
      <c r="J7662" s="42"/>
    </row>
    <row r="7663" spans="5:10">
      <c r="E7663" s="43">
        <v>45352.295138863468</v>
      </c>
      <c r="F7663" s="41">
        <v>3.5842771002616911</v>
      </c>
      <c r="G7663" s="41">
        <v>0</v>
      </c>
      <c r="H7663" s="42"/>
      <c r="I7663" s="42"/>
      <c r="J7663" s="42"/>
    </row>
    <row r="7664" spans="5:10">
      <c r="E7664" s="43">
        <v>45352.298611085687</v>
      </c>
      <c r="F7664" s="41">
        <v>3.5842771002616911</v>
      </c>
      <c r="G7664" s="41">
        <v>0</v>
      </c>
      <c r="H7664" s="42"/>
      <c r="I7664" s="42"/>
      <c r="J7664" s="42"/>
    </row>
    <row r="7665" spans="5:10">
      <c r="E7665" s="43">
        <v>45352.302083307906</v>
      </c>
      <c r="F7665" s="41">
        <v>3.5842771002616911</v>
      </c>
      <c r="G7665" s="41">
        <v>0</v>
      </c>
      <c r="H7665" s="42"/>
      <c r="I7665" s="42"/>
      <c r="J7665" s="42"/>
    </row>
    <row r="7666" spans="5:10">
      <c r="E7666" s="43">
        <v>45352.305555530125</v>
      </c>
      <c r="F7666" s="41">
        <v>3.5842771002616911</v>
      </c>
      <c r="G7666" s="41">
        <v>0</v>
      </c>
      <c r="H7666" s="42"/>
      <c r="I7666" s="42"/>
      <c r="J7666" s="42"/>
    </row>
    <row r="7667" spans="5:10">
      <c r="E7667" s="43">
        <v>45352.309027752344</v>
      </c>
      <c r="F7667" s="41">
        <v>3.5842771002616911</v>
      </c>
      <c r="G7667" s="41">
        <v>0</v>
      </c>
      <c r="H7667" s="42"/>
      <c r="I7667" s="42"/>
      <c r="J7667" s="42"/>
    </row>
    <row r="7668" spans="5:10">
      <c r="E7668" s="43">
        <v>45352.312499974563</v>
      </c>
      <c r="F7668" s="41">
        <v>3.5842771002616911</v>
      </c>
      <c r="G7668" s="41">
        <v>0</v>
      </c>
      <c r="H7668" s="42"/>
      <c r="I7668" s="42"/>
      <c r="J7668" s="42"/>
    </row>
    <row r="7669" spans="5:10">
      <c r="E7669" s="43">
        <v>45352.315972196782</v>
      </c>
      <c r="F7669" s="41">
        <v>3.5842771002616911</v>
      </c>
      <c r="G7669" s="41">
        <v>0</v>
      </c>
      <c r="H7669" s="42"/>
      <c r="I7669" s="42"/>
      <c r="J7669" s="42"/>
    </row>
    <row r="7670" spans="5:10">
      <c r="E7670" s="43">
        <v>45352.319444419001</v>
      </c>
      <c r="F7670" s="41">
        <v>3.5842771002616911</v>
      </c>
      <c r="G7670" s="41">
        <v>0</v>
      </c>
      <c r="H7670" s="42"/>
      <c r="I7670" s="42"/>
      <c r="J7670" s="42"/>
    </row>
    <row r="7671" spans="5:10">
      <c r="E7671" s="43">
        <v>45352.32291664122</v>
      </c>
      <c r="F7671" s="41">
        <v>3.5842771002616911</v>
      </c>
      <c r="G7671" s="41">
        <v>0</v>
      </c>
      <c r="H7671" s="42"/>
      <c r="I7671" s="42"/>
      <c r="J7671" s="42"/>
    </row>
    <row r="7672" spans="5:10">
      <c r="E7672" s="43">
        <v>45352.326388863439</v>
      </c>
      <c r="F7672" s="41">
        <v>3.5842771002616911</v>
      </c>
      <c r="G7672" s="41">
        <v>0</v>
      </c>
      <c r="H7672" s="42"/>
      <c r="I7672" s="42"/>
      <c r="J7672" s="42"/>
    </row>
    <row r="7673" spans="5:10">
      <c r="E7673" s="43">
        <v>45352.329861085658</v>
      </c>
      <c r="F7673" s="41">
        <v>3.5842771002616911</v>
      </c>
      <c r="G7673" s="41">
        <v>0</v>
      </c>
      <c r="H7673" s="42"/>
      <c r="I7673" s="42"/>
      <c r="J7673" s="42"/>
    </row>
    <row r="7674" spans="5:10">
      <c r="E7674" s="43">
        <v>45352.333333307877</v>
      </c>
      <c r="F7674" s="41">
        <v>3.5842771002616911</v>
      </c>
      <c r="G7674" s="41">
        <v>0</v>
      </c>
      <c r="H7674" s="42"/>
      <c r="I7674" s="42"/>
      <c r="J7674" s="42"/>
    </row>
    <row r="7675" spans="5:10">
      <c r="E7675" s="43">
        <v>45352.336805530096</v>
      </c>
      <c r="F7675" s="41">
        <v>3.5842771002616911</v>
      </c>
      <c r="G7675" s="41">
        <v>0</v>
      </c>
      <c r="H7675" s="42"/>
      <c r="I7675" s="42"/>
      <c r="J7675" s="42"/>
    </row>
    <row r="7676" spans="5:10">
      <c r="E7676" s="43">
        <v>45352.340277752315</v>
      </c>
      <c r="F7676" s="41">
        <v>3.5842771002616911</v>
      </c>
      <c r="G7676" s="41">
        <v>0</v>
      </c>
      <c r="H7676" s="42"/>
      <c r="I7676" s="42"/>
      <c r="J7676" s="42"/>
    </row>
    <row r="7677" spans="5:10">
      <c r="E7677" s="43">
        <v>45352.343749974534</v>
      </c>
      <c r="F7677" s="41">
        <v>3.5842771002616911</v>
      </c>
      <c r="G7677" s="41">
        <v>0</v>
      </c>
      <c r="H7677" s="42"/>
      <c r="I7677" s="42"/>
      <c r="J7677" s="42"/>
    </row>
    <row r="7678" spans="5:10">
      <c r="E7678" s="43">
        <v>45352.347222196753</v>
      </c>
      <c r="F7678" s="41">
        <v>3.5842771002616911</v>
      </c>
      <c r="G7678" s="41">
        <v>0</v>
      </c>
      <c r="H7678" s="42"/>
      <c r="I7678" s="42"/>
      <c r="J7678" s="42"/>
    </row>
    <row r="7679" spans="5:10">
      <c r="E7679" s="43">
        <v>45352.350694418972</v>
      </c>
      <c r="F7679" s="41">
        <v>3.5842771002616911</v>
      </c>
      <c r="G7679" s="41">
        <v>0</v>
      </c>
      <c r="H7679" s="42"/>
      <c r="I7679" s="42"/>
      <c r="J7679" s="42"/>
    </row>
    <row r="7680" spans="5:10">
      <c r="E7680" s="43">
        <v>45352.354166641191</v>
      </c>
      <c r="F7680" s="41">
        <v>3.5842771002616911</v>
      </c>
      <c r="G7680" s="41">
        <v>0</v>
      </c>
      <c r="H7680" s="42"/>
      <c r="I7680" s="42"/>
      <c r="J7680" s="42"/>
    </row>
    <row r="7681" spans="5:10">
      <c r="E7681" s="43">
        <v>45352.35763886341</v>
      </c>
      <c r="F7681" s="41">
        <v>3.5842771002616911</v>
      </c>
      <c r="G7681" s="41">
        <v>0</v>
      </c>
      <c r="H7681" s="42"/>
      <c r="I7681" s="42"/>
      <c r="J7681" s="42"/>
    </row>
    <row r="7682" spans="5:10">
      <c r="E7682" s="43">
        <v>45352.361111085629</v>
      </c>
      <c r="F7682" s="41">
        <v>3.5842771002616911</v>
      </c>
      <c r="G7682" s="41">
        <v>0</v>
      </c>
      <c r="H7682" s="42"/>
      <c r="I7682" s="42"/>
      <c r="J7682" s="42"/>
    </row>
    <row r="7683" spans="5:10">
      <c r="E7683" s="43">
        <v>45352.364583307848</v>
      </c>
      <c r="F7683" s="41">
        <v>3.5842771002616911</v>
      </c>
      <c r="G7683" s="41">
        <v>0</v>
      </c>
      <c r="H7683" s="42"/>
      <c r="I7683" s="42"/>
      <c r="J7683" s="42"/>
    </row>
    <row r="7684" spans="5:10">
      <c r="E7684" s="43">
        <v>45352.368055530067</v>
      </c>
      <c r="F7684" s="41">
        <v>3.5842771002616911</v>
      </c>
      <c r="G7684" s="41">
        <v>0</v>
      </c>
      <c r="H7684" s="42"/>
      <c r="I7684" s="42"/>
      <c r="J7684" s="42"/>
    </row>
    <row r="7685" spans="5:10">
      <c r="E7685" s="43">
        <v>45352.371527752286</v>
      </c>
      <c r="F7685" s="41">
        <v>3.5842771002616911</v>
      </c>
      <c r="G7685" s="41">
        <v>0</v>
      </c>
      <c r="H7685" s="42"/>
      <c r="I7685" s="42"/>
      <c r="J7685" s="42"/>
    </row>
    <row r="7686" spans="5:10">
      <c r="E7686" s="43">
        <v>45352.374999974505</v>
      </c>
      <c r="F7686" s="41">
        <v>3.5842771002616911</v>
      </c>
      <c r="G7686" s="41">
        <v>0</v>
      </c>
      <c r="H7686" s="42"/>
      <c r="I7686" s="42"/>
      <c r="J7686" s="42"/>
    </row>
    <row r="7687" spans="5:10">
      <c r="E7687" s="43">
        <v>45352.378472196724</v>
      </c>
      <c r="F7687" s="41">
        <v>3.5842771002616911</v>
      </c>
      <c r="G7687" s="41">
        <v>0</v>
      </c>
      <c r="H7687" s="42"/>
      <c r="I7687" s="42"/>
      <c r="J7687" s="42"/>
    </row>
    <row r="7688" spans="5:10">
      <c r="E7688" s="43">
        <v>45352.381944418943</v>
      </c>
      <c r="F7688" s="41">
        <v>3.5842771002616911</v>
      </c>
      <c r="G7688" s="41">
        <v>0</v>
      </c>
      <c r="H7688" s="42"/>
      <c r="I7688" s="42"/>
      <c r="J7688" s="42"/>
    </row>
    <row r="7689" spans="5:10">
      <c r="E7689" s="43">
        <v>45352.385416641162</v>
      </c>
      <c r="F7689" s="41">
        <v>3.5842771002616911</v>
      </c>
      <c r="G7689" s="41">
        <v>0</v>
      </c>
      <c r="H7689" s="42"/>
      <c r="I7689" s="42"/>
      <c r="J7689" s="42"/>
    </row>
    <row r="7690" spans="5:10">
      <c r="E7690" s="43">
        <v>45352.388888863381</v>
      </c>
      <c r="F7690" s="41">
        <v>3.5842771002616911</v>
      </c>
      <c r="G7690" s="41">
        <v>0</v>
      </c>
      <c r="H7690" s="42"/>
      <c r="I7690" s="42"/>
      <c r="J7690" s="42"/>
    </row>
    <row r="7691" spans="5:10">
      <c r="E7691" s="43">
        <v>45352.3923610856</v>
      </c>
      <c r="F7691" s="41">
        <v>3.5842771002616911</v>
      </c>
      <c r="G7691" s="41">
        <v>0</v>
      </c>
      <c r="H7691" s="42"/>
      <c r="I7691" s="42"/>
      <c r="J7691" s="42"/>
    </row>
    <row r="7692" spans="5:10">
      <c r="E7692" s="43">
        <v>45352.395833307819</v>
      </c>
      <c r="F7692" s="41">
        <v>3.5842771002616911</v>
      </c>
      <c r="G7692" s="41">
        <v>0</v>
      </c>
      <c r="H7692" s="42"/>
      <c r="I7692" s="42"/>
      <c r="J7692" s="42"/>
    </row>
    <row r="7693" spans="5:10">
      <c r="E7693" s="43">
        <v>45352.399305530038</v>
      </c>
      <c r="F7693" s="41">
        <v>3.5842771002616911</v>
      </c>
      <c r="G7693" s="41">
        <v>0</v>
      </c>
      <c r="H7693" s="42"/>
      <c r="I7693" s="42"/>
      <c r="J7693" s="42"/>
    </row>
    <row r="7694" spans="5:10">
      <c r="E7694" s="43">
        <v>45352.402777752257</v>
      </c>
      <c r="F7694" s="41">
        <v>3.5842771002616911</v>
      </c>
      <c r="G7694" s="41">
        <v>0</v>
      </c>
      <c r="H7694" s="42"/>
      <c r="I7694" s="42"/>
      <c r="J7694" s="42"/>
    </row>
    <row r="7695" spans="5:10">
      <c r="E7695" s="43">
        <v>45352.406249974476</v>
      </c>
      <c r="F7695" s="41">
        <v>3.5842771002616911</v>
      </c>
      <c r="G7695" s="41">
        <v>0</v>
      </c>
      <c r="H7695" s="42"/>
      <c r="I7695" s="42"/>
      <c r="J7695" s="42"/>
    </row>
    <row r="7696" spans="5:10">
      <c r="E7696" s="43">
        <v>45352.409722196695</v>
      </c>
      <c r="F7696" s="41">
        <v>3.5842771002616911</v>
      </c>
      <c r="G7696" s="41">
        <v>0</v>
      </c>
      <c r="H7696" s="42"/>
      <c r="I7696" s="42"/>
      <c r="J7696" s="42"/>
    </row>
    <row r="7697" spans="5:10">
      <c r="E7697" s="43">
        <v>45352.413194418914</v>
      </c>
      <c r="F7697" s="41">
        <v>3.5842771002616911</v>
      </c>
      <c r="G7697" s="41">
        <v>0</v>
      </c>
      <c r="H7697" s="42"/>
      <c r="I7697" s="42"/>
      <c r="J7697" s="42"/>
    </row>
    <row r="7698" spans="5:10">
      <c r="E7698" s="43">
        <v>45352.416666641133</v>
      </c>
      <c r="F7698" s="41">
        <v>3.5842771002616911</v>
      </c>
      <c r="G7698" s="41">
        <v>0</v>
      </c>
      <c r="H7698" s="42"/>
      <c r="I7698" s="42"/>
      <c r="J7698" s="42"/>
    </row>
    <row r="7699" spans="5:10">
      <c r="E7699" s="43">
        <v>45352.420138863352</v>
      </c>
      <c r="F7699" s="41">
        <v>3.5842771002616911</v>
      </c>
      <c r="G7699" s="41">
        <v>0</v>
      </c>
      <c r="H7699" s="42"/>
      <c r="I7699" s="42"/>
      <c r="J7699" s="42"/>
    </row>
    <row r="7700" spans="5:10">
      <c r="E7700" s="43">
        <v>45352.423611085571</v>
      </c>
      <c r="F7700" s="41">
        <v>3.5842771002616911</v>
      </c>
      <c r="G7700" s="41">
        <v>0</v>
      </c>
      <c r="H7700" s="42"/>
      <c r="I7700" s="42"/>
      <c r="J7700" s="42"/>
    </row>
    <row r="7701" spans="5:10">
      <c r="E7701" s="43">
        <v>45352.42708330779</v>
      </c>
      <c r="F7701" s="41">
        <v>3.5842771002616911</v>
      </c>
      <c r="G7701" s="41">
        <v>0</v>
      </c>
      <c r="H7701" s="42"/>
      <c r="I7701" s="42"/>
      <c r="J7701" s="42"/>
    </row>
    <row r="7702" spans="5:10">
      <c r="E7702" s="43">
        <v>45352.430555530009</v>
      </c>
      <c r="F7702" s="41">
        <v>3.5842771002616911</v>
      </c>
      <c r="G7702" s="41">
        <v>0</v>
      </c>
      <c r="H7702" s="42"/>
      <c r="I7702" s="42"/>
      <c r="J7702" s="42"/>
    </row>
    <row r="7703" spans="5:10">
      <c r="E7703" s="43">
        <v>45352.434027752228</v>
      </c>
      <c r="F7703" s="41">
        <v>3.5842771002616911</v>
      </c>
      <c r="G7703" s="41">
        <v>0</v>
      </c>
      <c r="H7703" s="42"/>
      <c r="I7703" s="42"/>
      <c r="J7703" s="42"/>
    </row>
    <row r="7704" spans="5:10">
      <c r="E7704" s="43">
        <v>45352.437499974447</v>
      </c>
      <c r="F7704" s="41">
        <v>3.5842771002616911</v>
      </c>
      <c r="G7704" s="41">
        <v>0</v>
      </c>
      <c r="H7704" s="42"/>
      <c r="I7704" s="42"/>
      <c r="J7704" s="42"/>
    </row>
    <row r="7705" spans="5:10">
      <c r="E7705" s="43">
        <v>45352.440972196666</v>
      </c>
      <c r="F7705" s="41">
        <v>3.5842771002616911</v>
      </c>
      <c r="G7705" s="41">
        <v>0</v>
      </c>
      <c r="H7705" s="42"/>
      <c r="I7705" s="42"/>
      <c r="J7705" s="42"/>
    </row>
    <row r="7706" spans="5:10">
      <c r="E7706" s="43">
        <v>45352.444444418885</v>
      </c>
      <c r="F7706" s="41">
        <v>3.5842771002616911</v>
      </c>
      <c r="G7706" s="41">
        <v>0</v>
      </c>
      <c r="H7706" s="42"/>
      <c r="I7706" s="42"/>
      <c r="J7706" s="42"/>
    </row>
    <row r="7707" spans="5:10">
      <c r="E7707" s="43">
        <v>45352.447916641104</v>
      </c>
      <c r="F7707" s="41">
        <v>3.5842771002616911</v>
      </c>
      <c r="G7707" s="41">
        <v>0</v>
      </c>
      <c r="H7707" s="42"/>
      <c r="I7707" s="42"/>
      <c r="J7707" s="42"/>
    </row>
    <row r="7708" spans="5:10">
      <c r="E7708" s="43">
        <v>45352.451388863323</v>
      </c>
      <c r="F7708" s="41">
        <v>3.5842771002616911</v>
      </c>
      <c r="G7708" s="41">
        <v>0</v>
      </c>
      <c r="H7708" s="42"/>
      <c r="I7708" s="42"/>
      <c r="J7708" s="42"/>
    </row>
    <row r="7709" spans="5:10">
      <c r="E7709" s="43">
        <v>45352.454861085542</v>
      </c>
      <c r="F7709" s="41">
        <v>3.5842771002616911</v>
      </c>
      <c r="G7709" s="41">
        <v>0</v>
      </c>
      <c r="H7709" s="42"/>
      <c r="I7709" s="42"/>
      <c r="J7709" s="42"/>
    </row>
    <row r="7710" spans="5:10">
      <c r="E7710" s="43">
        <v>45352.458333307761</v>
      </c>
      <c r="F7710" s="41">
        <v>3.5842771002616911</v>
      </c>
      <c r="G7710" s="41">
        <v>0</v>
      </c>
      <c r="H7710" s="42"/>
      <c r="I7710" s="42"/>
      <c r="J7710" s="42"/>
    </row>
    <row r="7711" spans="5:10">
      <c r="E7711" s="43">
        <v>45352.46180552998</v>
      </c>
      <c r="F7711" s="41">
        <v>3.5842771002616911</v>
      </c>
      <c r="G7711" s="41">
        <v>0</v>
      </c>
      <c r="H7711" s="42"/>
      <c r="I7711" s="42"/>
      <c r="J7711" s="42"/>
    </row>
    <row r="7712" spans="5:10">
      <c r="E7712" s="43">
        <v>45352.465277752199</v>
      </c>
      <c r="F7712" s="41">
        <v>3.5842771002616911</v>
      </c>
      <c r="G7712" s="41">
        <v>0</v>
      </c>
      <c r="H7712" s="42"/>
      <c r="I7712" s="42"/>
      <c r="J7712" s="42"/>
    </row>
    <row r="7713" spans="5:10">
      <c r="E7713" s="43">
        <v>45352.468749974418</v>
      </c>
      <c r="F7713" s="41">
        <v>3.5842771002616911</v>
      </c>
      <c r="G7713" s="41">
        <v>0</v>
      </c>
      <c r="H7713" s="42"/>
      <c r="I7713" s="42"/>
      <c r="J7713" s="42"/>
    </row>
    <row r="7714" spans="5:10">
      <c r="E7714" s="43">
        <v>45352.472222196637</v>
      </c>
      <c r="F7714" s="41">
        <v>3.5842771002616911</v>
      </c>
      <c r="G7714" s="41">
        <v>0</v>
      </c>
      <c r="H7714" s="42"/>
      <c r="I7714" s="42"/>
      <c r="J7714" s="42"/>
    </row>
    <row r="7715" spans="5:10">
      <c r="E7715" s="43">
        <v>45352.475694418856</v>
      </c>
      <c r="F7715" s="41">
        <v>3.5842771002616911</v>
      </c>
      <c r="G7715" s="41">
        <v>0</v>
      </c>
      <c r="H7715" s="42"/>
      <c r="I7715" s="42"/>
      <c r="J7715" s="42"/>
    </row>
    <row r="7716" spans="5:10">
      <c r="E7716" s="43">
        <v>45352.479166641075</v>
      </c>
      <c r="F7716" s="41">
        <v>3.5842771002616911</v>
      </c>
      <c r="G7716" s="41">
        <v>0</v>
      </c>
      <c r="H7716" s="42"/>
      <c r="I7716" s="42"/>
      <c r="J7716" s="42"/>
    </row>
    <row r="7717" spans="5:10">
      <c r="E7717" s="43">
        <v>45352.482638863294</v>
      </c>
      <c r="F7717" s="41">
        <v>3.5842771002616911</v>
      </c>
      <c r="G7717" s="41">
        <v>0</v>
      </c>
      <c r="H7717" s="42"/>
      <c r="I7717" s="42"/>
      <c r="J7717" s="42"/>
    </row>
    <row r="7718" spans="5:10">
      <c r="E7718" s="43">
        <v>45352.486111085513</v>
      </c>
      <c r="F7718" s="41">
        <v>3.5842771002616911</v>
      </c>
      <c r="G7718" s="41">
        <v>0</v>
      </c>
      <c r="H7718" s="42"/>
      <c r="I7718" s="42"/>
      <c r="J7718" s="42"/>
    </row>
    <row r="7719" spans="5:10">
      <c r="E7719" s="43">
        <v>45352.489583307732</v>
      </c>
      <c r="F7719" s="41">
        <v>3.5842771002616911</v>
      </c>
      <c r="G7719" s="41">
        <v>0</v>
      </c>
      <c r="H7719" s="42"/>
      <c r="I7719" s="42"/>
      <c r="J7719" s="42"/>
    </row>
    <row r="7720" spans="5:10">
      <c r="E7720" s="43">
        <v>45352.493055529951</v>
      </c>
      <c r="F7720" s="41">
        <v>3.5842771002616911</v>
      </c>
      <c r="G7720" s="41">
        <v>0</v>
      </c>
      <c r="H7720" s="42"/>
      <c r="I7720" s="42"/>
      <c r="J7720" s="42"/>
    </row>
    <row r="7721" spans="5:10">
      <c r="E7721" s="43">
        <v>45352.49652775217</v>
      </c>
      <c r="F7721" s="41">
        <v>3.5842771002616911</v>
      </c>
      <c r="G7721" s="41">
        <v>0</v>
      </c>
      <c r="H7721" s="42"/>
      <c r="I7721" s="42"/>
      <c r="J7721" s="42"/>
    </row>
    <row r="7722" spans="5:10">
      <c r="E7722" s="43">
        <v>45352.499999974389</v>
      </c>
      <c r="F7722" s="41">
        <v>3.5842771002616911</v>
      </c>
      <c r="G7722" s="41">
        <v>0</v>
      </c>
      <c r="H7722" s="42"/>
      <c r="I7722" s="42"/>
      <c r="J7722" s="42"/>
    </row>
    <row r="7723" spans="5:10">
      <c r="E7723" s="43">
        <v>45352.503472196608</v>
      </c>
      <c r="F7723" s="41">
        <v>3.5842771002616911</v>
      </c>
      <c r="G7723" s="41">
        <v>0</v>
      </c>
      <c r="H7723" s="42"/>
      <c r="I7723" s="42"/>
      <c r="J7723" s="42"/>
    </row>
    <row r="7724" spans="5:10">
      <c r="E7724" s="43">
        <v>45352.506944418827</v>
      </c>
      <c r="F7724" s="41">
        <v>3.5842771002616911</v>
      </c>
      <c r="G7724" s="41">
        <v>0</v>
      </c>
      <c r="H7724" s="42"/>
      <c r="I7724" s="42"/>
      <c r="J7724" s="42"/>
    </row>
    <row r="7725" spans="5:10">
      <c r="E7725" s="43">
        <v>45352.510416641046</v>
      </c>
      <c r="F7725" s="41">
        <v>3.5842771002616911</v>
      </c>
      <c r="G7725" s="41">
        <v>0</v>
      </c>
      <c r="H7725" s="42"/>
      <c r="I7725" s="42"/>
      <c r="J7725" s="42"/>
    </row>
    <row r="7726" spans="5:10">
      <c r="E7726" s="43">
        <v>45352.513888863265</v>
      </c>
      <c r="F7726" s="41">
        <v>3.5842771002616911</v>
      </c>
      <c r="G7726" s="41">
        <v>0</v>
      </c>
      <c r="H7726" s="42"/>
      <c r="I7726" s="42"/>
      <c r="J7726" s="42"/>
    </row>
    <row r="7727" spans="5:10">
      <c r="E7727" s="43">
        <v>45352.517361085484</v>
      </c>
      <c r="F7727" s="41">
        <v>3.5842771002616911</v>
      </c>
      <c r="G7727" s="41">
        <v>0</v>
      </c>
      <c r="H7727" s="42"/>
      <c r="I7727" s="42"/>
      <c r="J7727" s="42"/>
    </row>
    <row r="7728" spans="5:10">
      <c r="E7728" s="43">
        <v>45352.520833307703</v>
      </c>
      <c r="F7728" s="41">
        <v>3.5842771002616911</v>
      </c>
      <c r="G7728" s="41">
        <v>0</v>
      </c>
      <c r="H7728" s="42"/>
      <c r="I7728" s="42"/>
      <c r="J7728" s="42"/>
    </row>
    <row r="7729" spans="5:10">
      <c r="E7729" s="43">
        <v>45352.524305529922</v>
      </c>
      <c r="F7729" s="41">
        <v>3.5842771002616911</v>
      </c>
      <c r="G7729" s="41">
        <v>0</v>
      </c>
      <c r="H7729" s="42"/>
      <c r="I7729" s="42"/>
      <c r="J7729" s="42"/>
    </row>
    <row r="7730" spans="5:10">
      <c r="E7730" s="43">
        <v>45352.527777752141</v>
      </c>
      <c r="F7730" s="41">
        <v>3.5842771002616911</v>
      </c>
      <c r="G7730" s="41">
        <v>0</v>
      </c>
      <c r="H7730" s="42"/>
      <c r="I7730" s="42"/>
      <c r="J7730" s="42"/>
    </row>
    <row r="7731" spans="5:10">
      <c r="E7731" s="43">
        <v>45352.53124997436</v>
      </c>
      <c r="F7731" s="41">
        <v>3.5842771002616911</v>
      </c>
      <c r="G7731" s="41">
        <v>0</v>
      </c>
      <c r="H7731" s="42"/>
      <c r="I7731" s="42"/>
      <c r="J7731" s="42"/>
    </row>
    <row r="7732" spans="5:10">
      <c r="E7732" s="43">
        <v>45352.534722196579</v>
      </c>
      <c r="F7732" s="41">
        <v>3.5842771002616911</v>
      </c>
      <c r="G7732" s="41">
        <v>0</v>
      </c>
      <c r="H7732" s="42"/>
      <c r="I7732" s="42"/>
      <c r="J7732" s="42"/>
    </row>
    <row r="7733" spans="5:10">
      <c r="E7733" s="43">
        <v>45352.538194418798</v>
      </c>
      <c r="F7733" s="41">
        <v>3.5842771002616911</v>
      </c>
      <c r="G7733" s="41">
        <v>0</v>
      </c>
      <c r="H7733" s="42"/>
      <c r="I7733" s="42"/>
      <c r="J7733" s="42"/>
    </row>
    <row r="7734" spans="5:10">
      <c r="E7734" s="43">
        <v>45352.541666641016</v>
      </c>
      <c r="F7734" s="41">
        <v>3.5842771002616911</v>
      </c>
      <c r="G7734" s="41">
        <v>0</v>
      </c>
      <c r="H7734" s="42"/>
      <c r="I7734" s="42"/>
      <c r="J7734" s="42"/>
    </row>
    <row r="7735" spans="5:10">
      <c r="E7735" s="43">
        <v>45352.545138863235</v>
      </c>
      <c r="F7735" s="41">
        <v>3.5842771002616911</v>
      </c>
      <c r="G7735" s="41">
        <v>0</v>
      </c>
      <c r="H7735" s="42"/>
      <c r="I7735" s="42"/>
      <c r="J7735" s="42"/>
    </row>
    <row r="7736" spans="5:10">
      <c r="E7736" s="43">
        <v>45352.548611085454</v>
      </c>
      <c r="F7736" s="41">
        <v>3.5842771002616911</v>
      </c>
      <c r="G7736" s="41">
        <v>0</v>
      </c>
      <c r="H7736" s="42"/>
      <c r="I7736" s="42"/>
      <c r="J7736" s="42"/>
    </row>
    <row r="7737" spans="5:10">
      <c r="E7737" s="43">
        <v>45352.552083307673</v>
      </c>
      <c r="F7737" s="41">
        <v>3.5842771002616911</v>
      </c>
      <c r="G7737" s="41">
        <v>0</v>
      </c>
      <c r="H7737" s="42"/>
      <c r="I7737" s="42"/>
      <c r="J7737" s="42"/>
    </row>
    <row r="7738" spans="5:10">
      <c r="E7738" s="43">
        <v>45352.555555529892</v>
      </c>
      <c r="F7738" s="41">
        <v>3.5842771002616911</v>
      </c>
      <c r="G7738" s="41">
        <v>0</v>
      </c>
      <c r="H7738" s="42"/>
      <c r="I7738" s="42"/>
      <c r="J7738" s="42"/>
    </row>
    <row r="7739" spans="5:10">
      <c r="E7739" s="43">
        <v>45352.559027752111</v>
      </c>
      <c r="F7739" s="41">
        <v>3.5842771002616911</v>
      </c>
      <c r="G7739" s="41">
        <v>0</v>
      </c>
      <c r="H7739" s="42"/>
      <c r="I7739" s="42"/>
      <c r="J7739" s="42"/>
    </row>
    <row r="7740" spans="5:10">
      <c r="E7740" s="43">
        <v>45352.56249997433</v>
      </c>
      <c r="F7740" s="41">
        <v>3.5842771002616911</v>
      </c>
      <c r="G7740" s="41">
        <v>0</v>
      </c>
      <c r="H7740" s="42"/>
      <c r="I7740" s="42"/>
      <c r="J7740" s="42"/>
    </row>
    <row r="7741" spans="5:10">
      <c r="E7741" s="43">
        <v>45352.565972196549</v>
      </c>
      <c r="F7741" s="41">
        <v>3.5842771002616911</v>
      </c>
      <c r="G7741" s="41">
        <v>0</v>
      </c>
      <c r="H7741" s="42"/>
      <c r="I7741" s="42"/>
      <c r="J7741" s="42"/>
    </row>
    <row r="7742" spans="5:10">
      <c r="E7742" s="43">
        <v>45352.569444418768</v>
      </c>
      <c r="F7742" s="41">
        <v>3.5842771002616911</v>
      </c>
      <c r="G7742" s="41">
        <v>0</v>
      </c>
      <c r="H7742" s="42"/>
      <c r="I7742" s="42"/>
      <c r="J7742" s="42"/>
    </row>
    <row r="7743" spans="5:10">
      <c r="E7743" s="43">
        <v>45352.572916640987</v>
      </c>
      <c r="F7743" s="41">
        <v>3.5842771002616911</v>
      </c>
      <c r="G7743" s="41">
        <v>0</v>
      </c>
      <c r="H7743" s="42"/>
      <c r="I7743" s="42"/>
      <c r="J7743" s="42"/>
    </row>
    <row r="7744" spans="5:10">
      <c r="E7744" s="43">
        <v>45352.576388863206</v>
      </c>
      <c r="F7744" s="41">
        <v>3.5842771002616911</v>
      </c>
      <c r="G7744" s="41">
        <v>0</v>
      </c>
      <c r="H7744" s="42"/>
      <c r="I7744" s="42"/>
      <c r="J7744" s="42"/>
    </row>
    <row r="7745" spans="5:10">
      <c r="E7745" s="43">
        <v>45352.579861085425</v>
      </c>
      <c r="F7745" s="41">
        <v>3.5842771002616911</v>
      </c>
      <c r="G7745" s="41">
        <v>0</v>
      </c>
      <c r="H7745" s="42"/>
      <c r="I7745" s="42"/>
      <c r="J7745" s="42"/>
    </row>
    <row r="7746" spans="5:10">
      <c r="E7746" s="43">
        <v>45352.583333307644</v>
      </c>
      <c r="F7746" s="41">
        <v>3.5842771002616911</v>
      </c>
      <c r="G7746" s="41">
        <v>0</v>
      </c>
      <c r="H7746" s="42"/>
      <c r="I7746" s="42"/>
      <c r="J7746" s="42"/>
    </row>
    <row r="7747" spans="5:10">
      <c r="E7747" s="43">
        <v>45352.586805529863</v>
      </c>
      <c r="F7747" s="41">
        <v>3.5842771002616911</v>
      </c>
      <c r="G7747" s="41">
        <v>0</v>
      </c>
      <c r="H7747" s="42"/>
      <c r="I7747" s="42"/>
      <c r="J7747" s="42"/>
    </row>
    <row r="7748" spans="5:10">
      <c r="E7748" s="43">
        <v>45352.590277752082</v>
      </c>
      <c r="F7748" s="41">
        <v>3.5842771002616911</v>
      </c>
      <c r="G7748" s="41">
        <v>0</v>
      </c>
      <c r="H7748" s="42"/>
      <c r="I7748" s="42"/>
      <c r="J7748" s="42"/>
    </row>
    <row r="7749" spans="5:10">
      <c r="E7749" s="43">
        <v>45352.593749974301</v>
      </c>
      <c r="F7749" s="41">
        <v>3.5842771002616911</v>
      </c>
      <c r="G7749" s="41">
        <v>0</v>
      </c>
      <c r="H7749" s="42"/>
      <c r="I7749" s="42"/>
      <c r="J7749" s="42"/>
    </row>
    <row r="7750" spans="5:10">
      <c r="E7750" s="43">
        <v>45352.59722219652</v>
      </c>
      <c r="F7750" s="41">
        <v>3.5842771002616911</v>
      </c>
      <c r="G7750" s="41">
        <v>0</v>
      </c>
      <c r="H7750" s="42"/>
      <c r="I7750" s="42"/>
      <c r="J7750" s="42"/>
    </row>
    <row r="7751" spans="5:10">
      <c r="E7751" s="43">
        <v>45352.600694418739</v>
      </c>
      <c r="F7751" s="41">
        <v>3.5842771002616911</v>
      </c>
      <c r="G7751" s="41">
        <v>0</v>
      </c>
      <c r="H7751" s="42"/>
      <c r="I7751" s="42"/>
      <c r="J7751" s="42"/>
    </row>
    <row r="7752" spans="5:10">
      <c r="E7752" s="43">
        <v>45352.604166640958</v>
      </c>
      <c r="F7752" s="41">
        <v>3.5842771002616911</v>
      </c>
      <c r="G7752" s="41">
        <v>0</v>
      </c>
      <c r="H7752" s="42"/>
      <c r="I7752" s="42"/>
      <c r="J7752" s="42"/>
    </row>
    <row r="7753" spans="5:10">
      <c r="E7753" s="43">
        <v>45352.607638863177</v>
      </c>
      <c r="F7753" s="41">
        <v>3.5842771002616911</v>
      </c>
      <c r="G7753" s="41">
        <v>0</v>
      </c>
      <c r="H7753" s="42"/>
      <c r="I7753" s="42"/>
      <c r="J7753" s="42"/>
    </row>
    <row r="7754" spans="5:10">
      <c r="E7754" s="43">
        <v>45352.611111085396</v>
      </c>
      <c r="F7754" s="41">
        <v>3.5842771002616911</v>
      </c>
      <c r="G7754" s="41">
        <v>0</v>
      </c>
      <c r="H7754" s="42"/>
      <c r="I7754" s="42"/>
      <c r="J7754" s="42"/>
    </row>
    <row r="7755" spans="5:10">
      <c r="E7755" s="43">
        <v>45352.614583307615</v>
      </c>
      <c r="F7755" s="41">
        <v>3.5842771002616911</v>
      </c>
      <c r="G7755" s="41">
        <v>0</v>
      </c>
      <c r="H7755" s="42"/>
      <c r="I7755" s="42"/>
      <c r="J7755" s="42"/>
    </row>
    <row r="7756" spans="5:10">
      <c r="E7756" s="43">
        <v>45352.618055529834</v>
      </c>
      <c r="F7756" s="41">
        <v>3.5842771002616911</v>
      </c>
      <c r="G7756" s="41">
        <v>0</v>
      </c>
      <c r="H7756" s="42"/>
      <c r="I7756" s="42"/>
      <c r="J7756" s="42"/>
    </row>
    <row r="7757" spans="5:10">
      <c r="E7757" s="43">
        <v>45352.621527752053</v>
      </c>
      <c r="F7757" s="41">
        <v>3.5842771002616911</v>
      </c>
      <c r="G7757" s="41">
        <v>0</v>
      </c>
      <c r="H7757" s="42"/>
      <c r="I7757" s="42"/>
      <c r="J7757" s="42"/>
    </row>
    <row r="7758" spans="5:10">
      <c r="E7758" s="43">
        <v>45352.624999974272</v>
      </c>
      <c r="F7758" s="41">
        <v>3.5842771002616911</v>
      </c>
      <c r="G7758" s="41">
        <v>0</v>
      </c>
      <c r="H7758" s="42"/>
      <c r="I7758" s="42"/>
      <c r="J7758" s="42"/>
    </row>
    <row r="7759" spans="5:10">
      <c r="E7759" s="43">
        <v>45352.628472196491</v>
      </c>
      <c r="F7759" s="41">
        <v>3.5842771002616911</v>
      </c>
      <c r="G7759" s="41">
        <v>0</v>
      </c>
      <c r="H7759" s="42"/>
      <c r="I7759" s="42"/>
      <c r="J7759" s="42"/>
    </row>
    <row r="7760" spans="5:10">
      <c r="E7760" s="43">
        <v>45352.63194441871</v>
      </c>
      <c r="F7760" s="41">
        <v>3.5842771002616911</v>
      </c>
      <c r="G7760" s="41">
        <v>0</v>
      </c>
      <c r="H7760" s="42"/>
      <c r="I7760" s="42"/>
      <c r="J7760" s="42"/>
    </row>
    <row r="7761" spans="5:10">
      <c r="E7761" s="43">
        <v>45352.635416640929</v>
      </c>
      <c r="F7761" s="41">
        <v>3.5842771002616911</v>
      </c>
      <c r="G7761" s="41">
        <v>0</v>
      </c>
      <c r="H7761" s="42"/>
      <c r="I7761" s="42"/>
      <c r="J7761" s="42"/>
    </row>
    <row r="7762" spans="5:10">
      <c r="E7762" s="43">
        <v>45352.638888863148</v>
      </c>
      <c r="F7762" s="41">
        <v>3.5842771002616911</v>
      </c>
      <c r="G7762" s="41">
        <v>0</v>
      </c>
      <c r="H7762" s="42"/>
      <c r="I7762" s="42"/>
      <c r="J7762" s="42"/>
    </row>
    <row r="7763" spans="5:10">
      <c r="E7763" s="43">
        <v>45352.642361085367</v>
      </c>
      <c r="F7763" s="41">
        <v>3.5842771002616911</v>
      </c>
      <c r="G7763" s="41">
        <v>0</v>
      </c>
      <c r="H7763" s="42"/>
      <c r="I7763" s="42"/>
      <c r="J7763" s="42"/>
    </row>
    <row r="7764" spans="5:10">
      <c r="E7764" s="43">
        <v>45352.645833307586</v>
      </c>
      <c r="F7764" s="41">
        <v>3.5842771002616911</v>
      </c>
      <c r="G7764" s="41">
        <v>0</v>
      </c>
      <c r="H7764" s="42"/>
      <c r="I7764" s="42"/>
      <c r="J7764" s="42"/>
    </row>
    <row r="7765" spans="5:10">
      <c r="E7765" s="43">
        <v>45352.649305529805</v>
      </c>
      <c r="F7765" s="41">
        <v>3.5842771002616911</v>
      </c>
      <c r="G7765" s="41">
        <v>0</v>
      </c>
      <c r="H7765" s="42"/>
      <c r="I7765" s="42"/>
      <c r="J7765" s="42"/>
    </row>
    <row r="7766" spans="5:10">
      <c r="E7766" s="43">
        <v>45352.652777752024</v>
      </c>
      <c r="F7766" s="41">
        <v>0</v>
      </c>
      <c r="G7766" s="41">
        <v>0</v>
      </c>
      <c r="H7766" s="42"/>
      <c r="I7766" s="42"/>
      <c r="J7766" s="42"/>
    </row>
    <row r="7767" spans="5:10">
      <c r="E7767" s="43">
        <v>45352.656249974243</v>
      </c>
      <c r="F7767" s="41">
        <v>0</v>
      </c>
      <c r="G7767" s="41">
        <v>0</v>
      </c>
      <c r="H7767" s="42"/>
      <c r="I7767" s="42"/>
      <c r="J7767" s="42"/>
    </row>
    <row r="7768" spans="5:10">
      <c r="E7768" s="43">
        <v>45352.659722196462</v>
      </c>
      <c r="F7768" s="41">
        <v>0</v>
      </c>
      <c r="G7768" s="41">
        <v>0</v>
      </c>
      <c r="H7768" s="42"/>
      <c r="I7768" s="42"/>
      <c r="J7768" s="42"/>
    </row>
    <row r="7769" spans="5:10">
      <c r="E7769" s="43">
        <v>45352.663194418681</v>
      </c>
      <c r="F7769" s="41">
        <v>0</v>
      </c>
      <c r="G7769" s="41">
        <v>0</v>
      </c>
      <c r="H7769" s="42"/>
      <c r="I7769" s="42"/>
      <c r="J7769" s="42"/>
    </row>
    <row r="7770" spans="5:10">
      <c r="E7770" s="43">
        <v>45352.6666666409</v>
      </c>
      <c r="F7770" s="41">
        <v>0</v>
      </c>
      <c r="G7770" s="41">
        <v>0</v>
      </c>
      <c r="H7770" s="42"/>
      <c r="I7770" s="42"/>
      <c r="J7770" s="42"/>
    </row>
    <row r="7771" spans="5:10">
      <c r="E7771" s="43">
        <v>45352.670138863119</v>
      </c>
      <c r="F7771" s="41">
        <v>0</v>
      </c>
      <c r="G7771" s="41">
        <v>0</v>
      </c>
      <c r="H7771" s="42"/>
      <c r="I7771" s="42"/>
      <c r="J7771" s="42"/>
    </row>
    <row r="7772" spans="5:10">
      <c r="E7772" s="43">
        <v>45352.673611085338</v>
      </c>
      <c r="F7772" s="41">
        <v>0</v>
      </c>
      <c r="G7772" s="41">
        <v>0</v>
      </c>
      <c r="H7772" s="42"/>
      <c r="I7772" s="42"/>
      <c r="J7772" s="42"/>
    </row>
    <row r="7773" spans="5:10">
      <c r="E7773" s="43">
        <v>45352.677083307557</v>
      </c>
      <c r="F7773" s="41">
        <v>0</v>
      </c>
      <c r="G7773" s="41">
        <v>0</v>
      </c>
      <c r="H7773" s="42"/>
      <c r="I7773" s="42"/>
      <c r="J7773" s="42"/>
    </row>
    <row r="7774" spans="5:10">
      <c r="E7774" s="43">
        <v>45352.680555529776</v>
      </c>
      <c r="F7774" s="41">
        <v>0</v>
      </c>
      <c r="G7774" s="41">
        <v>0</v>
      </c>
      <c r="H7774" s="42"/>
      <c r="I7774" s="42"/>
      <c r="J7774" s="42"/>
    </row>
    <row r="7775" spans="5:10">
      <c r="E7775" s="43">
        <v>45352.684027751995</v>
      </c>
      <c r="F7775" s="41">
        <v>0</v>
      </c>
      <c r="G7775" s="41">
        <v>0</v>
      </c>
      <c r="H7775" s="42"/>
      <c r="I7775" s="42"/>
      <c r="J7775" s="42"/>
    </row>
    <row r="7776" spans="5:10">
      <c r="E7776" s="43">
        <v>45352.687499974214</v>
      </c>
      <c r="F7776" s="41">
        <v>0</v>
      </c>
      <c r="G7776" s="41">
        <v>0</v>
      </c>
      <c r="H7776" s="42"/>
      <c r="I7776" s="42"/>
      <c r="J7776" s="42"/>
    </row>
    <row r="7777" spans="5:10">
      <c r="E7777" s="43">
        <v>45352.690972196433</v>
      </c>
      <c r="F7777" s="41">
        <v>0</v>
      </c>
      <c r="G7777" s="41">
        <v>0</v>
      </c>
      <c r="H7777" s="42"/>
      <c r="I7777" s="42"/>
      <c r="J7777" s="42"/>
    </row>
    <row r="7778" spans="5:10">
      <c r="E7778" s="43">
        <v>45352.694444418652</v>
      </c>
      <c r="F7778" s="41">
        <v>0</v>
      </c>
      <c r="G7778" s="41">
        <v>0</v>
      </c>
      <c r="H7778" s="42"/>
      <c r="I7778" s="42"/>
      <c r="J7778" s="42"/>
    </row>
    <row r="7779" spans="5:10">
      <c r="E7779" s="43">
        <v>45352.697916640871</v>
      </c>
      <c r="F7779" s="41">
        <v>0</v>
      </c>
      <c r="G7779" s="41">
        <v>0</v>
      </c>
      <c r="H7779" s="42"/>
      <c r="I7779" s="42"/>
      <c r="J7779" s="42"/>
    </row>
    <row r="7780" spans="5:10">
      <c r="E7780" s="43">
        <v>45352.70138886309</v>
      </c>
      <c r="F7780" s="41">
        <v>0</v>
      </c>
      <c r="G7780" s="41">
        <v>0</v>
      </c>
      <c r="H7780" s="42"/>
      <c r="I7780" s="42"/>
      <c r="J7780" s="42"/>
    </row>
    <row r="7781" spans="5:10">
      <c r="E7781" s="43">
        <v>45352.704861085309</v>
      </c>
      <c r="F7781" s="41">
        <v>0</v>
      </c>
      <c r="G7781" s="41">
        <v>0</v>
      </c>
      <c r="H7781" s="42"/>
      <c r="I7781" s="42"/>
      <c r="J7781" s="42"/>
    </row>
    <row r="7782" spans="5:10">
      <c r="E7782" s="43">
        <v>45352.708333307528</v>
      </c>
      <c r="F7782" s="41">
        <v>10.616058752569032</v>
      </c>
      <c r="G7782" s="41">
        <v>0</v>
      </c>
      <c r="H7782" s="42"/>
      <c r="I7782" s="42"/>
      <c r="J7782" s="42"/>
    </row>
    <row r="7783" spans="5:10">
      <c r="E7783" s="43">
        <v>45352.711805529747</v>
      </c>
      <c r="F7783" s="41">
        <v>10.616058752569032</v>
      </c>
      <c r="G7783" s="41">
        <v>0</v>
      </c>
      <c r="H7783" s="42"/>
      <c r="I7783" s="42"/>
      <c r="J7783" s="42"/>
    </row>
    <row r="7784" spans="5:10">
      <c r="E7784" s="43">
        <v>45352.715277751966</v>
      </c>
      <c r="F7784" s="41">
        <v>10.616058752569032</v>
      </c>
      <c r="G7784" s="41">
        <v>0</v>
      </c>
      <c r="H7784" s="42"/>
      <c r="I7784" s="42"/>
      <c r="J7784" s="42"/>
    </row>
    <row r="7785" spans="5:10">
      <c r="E7785" s="43">
        <v>45352.718749974185</v>
      </c>
      <c r="F7785" s="41">
        <v>10.616058752569032</v>
      </c>
      <c r="G7785" s="41">
        <v>0</v>
      </c>
      <c r="H7785" s="42"/>
      <c r="I7785" s="42"/>
      <c r="J7785" s="42"/>
    </row>
    <row r="7786" spans="5:10">
      <c r="E7786" s="43">
        <v>45352.722222196404</v>
      </c>
      <c r="F7786" s="41">
        <v>10.616058752569032</v>
      </c>
      <c r="G7786" s="41">
        <v>0</v>
      </c>
      <c r="H7786" s="42"/>
      <c r="I7786" s="42"/>
      <c r="J7786" s="42"/>
    </row>
    <row r="7787" spans="5:10">
      <c r="E7787" s="43">
        <v>45352.725694418623</v>
      </c>
      <c r="F7787" s="41">
        <v>10.616058752569032</v>
      </c>
      <c r="G7787" s="41">
        <v>0</v>
      </c>
      <c r="H7787" s="42"/>
      <c r="I7787" s="42"/>
      <c r="J7787" s="42"/>
    </row>
    <row r="7788" spans="5:10">
      <c r="E7788" s="43">
        <v>45352.729166640842</v>
      </c>
      <c r="F7788" s="41">
        <v>10.616058752569032</v>
      </c>
      <c r="G7788" s="41">
        <v>0</v>
      </c>
      <c r="H7788" s="42"/>
      <c r="I7788" s="42"/>
      <c r="J7788" s="42"/>
    </row>
    <row r="7789" spans="5:10">
      <c r="E7789" s="43">
        <v>45352.732638863061</v>
      </c>
      <c r="F7789" s="41">
        <v>10.616058752569032</v>
      </c>
      <c r="G7789" s="41">
        <v>0</v>
      </c>
      <c r="H7789" s="42"/>
      <c r="I7789" s="42"/>
      <c r="J7789" s="42"/>
    </row>
    <row r="7790" spans="5:10">
      <c r="E7790" s="43">
        <v>45352.73611108528</v>
      </c>
      <c r="F7790" s="41">
        <v>10.616058752569032</v>
      </c>
      <c r="G7790" s="41">
        <v>0</v>
      </c>
      <c r="H7790" s="42"/>
      <c r="I7790" s="42"/>
      <c r="J7790" s="42"/>
    </row>
    <row r="7791" spans="5:10">
      <c r="E7791" s="43">
        <v>45352.739583307499</v>
      </c>
      <c r="F7791" s="41">
        <v>10.616058752569032</v>
      </c>
      <c r="G7791" s="41">
        <v>0</v>
      </c>
      <c r="H7791" s="42"/>
      <c r="I7791" s="42"/>
      <c r="J7791" s="42"/>
    </row>
    <row r="7792" spans="5:10">
      <c r="E7792" s="43">
        <v>45352.743055529718</v>
      </c>
      <c r="F7792" s="41">
        <v>10.616058752569032</v>
      </c>
      <c r="G7792" s="41">
        <v>0</v>
      </c>
      <c r="H7792" s="42"/>
      <c r="I7792" s="42"/>
      <c r="J7792" s="42"/>
    </row>
    <row r="7793" spans="5:10">
      <c r="E7793" s="43">
        <v>45352.746527751937</v>
      </c>
      <c r="F7793" s="41">
        <v>10.616058752569032</v>
      </c>
      <c r="G7793" s="41">
        <v>0</v>
      </c>
      <c r="H7793" s="42"/>
      <c r="I7793" s="42"/>
      <c r="J7793" s="42"/>
    </row>
    <row r="7794" spans="5:10">
      <c r="E7794" s="43">
        <v>45352.749999974156</v>
      </c>
      <c r="F7794" s="41">
        <v>10.616058752569032</v>
      </c>
      <c r="G7794" s="41">
        <v>0</v>
      </c>
      <c r="H7794" s="42"/>
      <c r="I7794" s="42"/>
      <c r="J7794" s="42"/>
    </row>
    <row r="7795" spans="5:10">
      <c r="E7795" s="43">
        <v>45352.753472196375</v>
      </c>
      <c r="F7795" s="41">
        <v>10.616058752569032</v>
      </c>
      <c r="G7795" s="41">
        <v>0</v>
      </c>
      <c r="H7795" s="42"/>
      <c r="I7795" s="42"/>
      <c r="J7795" s="42"/>
    </row>
    <row r="7796" spans="5:10">
      <c r="E7796" s="43">
        <v>45352.756944418594</v>
      </c>
      <c r="F7796" s="41">
        <v>10.616058752569032</v>
      </c>
      <c r="G7796" s="41">
        <v>0</v>
      </c>
      <c r="H7796" s="42"/>
      <c r="I7796" s="42"/>
      <c r="J7796" s="42"/>
    </row>
    <row r="7797" spans="5:10">
      <c r="E7797" s="43">
        <v>45352.760416640813</v>
      </c>
      <c r="F7797" s="41">
        <v>10.616058752569032</v>
      </c>
      <c r="G7797" s="41">
        <v>0</v>
      </c>
      <c r="H7797" s="42"/>
      <c r="I7797" s="42"/>
      <c r="J7797" s="42"/>
    </row>
    <row r="7798" spans="5:10">
      <c r="E7798" s="43">
        <v>45352.763888863032</v>
      </c>
      <c r="F7798" s="41">
        <v>10.616058752569032</v>
      </c>
      <c r="G7798" s="41">
        <v>0</v>
      </c>
      <c r="H7798" s="42"/>
      <c r="I7798" s="42"/>
      <c r="J7798" s="42"/>
    </row>
    <row r="7799" spans="5:10">
      <c r="E7799" s="43">
        <v>45352.767361085251</v>
      </c>
      <c r="F7799" s="41">
        <v>10.616058752569032</v>
      </c>
      <c r="G7799" s="41">
        <v>0</v>
      </c>
      <c r="H7799" s="42"/>
      <c r="I7799" s="42"/>
      <c r="J7799" s="42"/>
    </row>
    <row r="7800" spans="5:10">
      <c r="E7800" s="43">
        <v>45352.77083330747</v>
      </c>
      <c r="F7800" s="41">
        <v>10.616058752569032</v>
      </c>
      <c r="G7800" s="41">
        <v>0</v>
      </c>
      <c r="H7800" s="42"/>
      <c r="I7800" s="42"/>
      <c r="J7800" s="42"/>
    </row>
    <row r="7801" spans="5:10">
      <c r="E7801" s="43">
        <v>45352.774305529689</v>
      </c>
      <c r="F7801" s="41">
        <v>10.616058752569032</v>
      </c>
      <c r="G7801" s="41">
        <v>0</v>
      </c>
      <c r="H7801" s="42"/>
      <c r="I7801" s="42"/>
      <c r="J7801" s="42"/>
    </row>
    <row r="7802" spans="5:10">
      <c r="E7802" s="43">
        <v>45352.777777751908</v>
      </c>
      <c r="F7802" s="41">
        <v>10.616058752569032</v>
      </c>
      <c r="G7802" s="41">
        <v>0</v>
      </c>
      <c r="H7802" s="42"/>
      <c r="I7802" s="42"/>
      <c r="J7802" s="42"/>
    </row>
    <row r="7803" spans="5:10">
      <c r="E7803" s="43">
        <v>45352.781249974127</v>
      </c>
      <c r="F7803" s="41">
        <v>10.616058752569032</v>
      </c>
      <c r="G7803" s="41">
        <v>0</v>
      </c>
      <c r="H7803" s="42"/>
      <c r="I7803" s="42"/>
      <c r="J7803" s="42"/>
    </row>
    <row r="7804" spans="5:10">
      <c r="E7804" s="43">
        <v>45352.784722196346</v>
      </c>
      <c r="F7804" s="41">
        <v>10.616058752569032</v>
      </c>
      <c r="G7804" s="41">
        <v>0</v>
      </c>
      <c r="H7804" s="42"/>
      <c r="I7804" s="42"/>
      <c r="J7804" s="42"/>
    </row>
    <row r="7805" spans="5:10">
      <c r="E7805" s="43">
        <v>45352.788194418565</v>
      </c>
      <c r="F7805" s="41">
        <v>10.616058752569032</v>
      </c>
      <c r="G7805" s="41">
        <v>0</v>
      </c>
      <c r="H7805" s="42"/>
      <c r="I7805" s="42"/>
      <c r="J7805" s="42"/>
    </row>
    <row r="7806" spans="5:10">
      <c r="E7806" s="43">
        <v>45352.791666640784</v>
      </c>
      <c r="F7806" s="41">
        <v>10.616058752569032</v>
      </c>
      <c r="G7806" s="41">
        <v>0</v>
      </c>
      <c r="H7806" s="42"/>
      <c r="I7806" s="42"/>
      <c r="J7806" s="42"/>
    </row>
    <row r="7807" spans="5:10">
      <c r="E7807" s="43">
        <v>45352.795138863003</v>
      </c>
      <c r="F7807" s="41">
        <v>10.616058752569032</v>
      </c>
      <c r="G7807" s="41">
        <v>0</v>
      </c>
      <c r="H7807" s="42"/>
      <c r="I7807" s="42"/>
      <c r="J7807" s="42"/>
    </row>
    <row r="7808" spans="5:10">
      <c r="E7808" s="43">
        <v>45352.798611085222</v>
      </c>
      <c r="F7808" s="41">
        <v>10.616058752569032</v>
      </c>
      <c r="G7808" s="41">
        <v>0</v>
      </c>
      <c r="H7808" s="42"/>
      <c r="I7808" s="42"/>
      <c r="J7808" s="42"/>
    </row>
    <row r="7809" spans="5:10">
      <c r="E7809" s="43">
        <v>45352.802083307441</v>
      </c>
      <c r="F7809" s="41">
        <v>10.616058752569032</v>
      </c>
      <c r="G7809" s="41">
        <v>0</v>
      </c>
      <c r="H7809" s="42"/>
      <c r="I7809" s="42"/>
      <c r="J7809" s="42"/>
    </row>
    <row r="7810" spans="5:10">
      <c r="E7810" s="43">
        <v>45352.80555552966</v>
      </c>
      <c r="F7810" s="41">
        <v>10.616058752569032</v>
      </c>
      <c r="G7810" s="41">
        <v>0</v>
      </c>
      <c r="H7810" s="42"/>
      <c r="I7810" s="42"/>
      <c r="J7810" s="42"/>
    </row>
    <row r="7811" spans="5:10">
      <c r="E7811" s="43">
        <v>45352.809027751879</v>
      </c>
      <c r="F7811" s="41">
        <v>10.616058752569032</v>
      </c>
      <c r="G7811" s="41">
        <v>0</v>
      </c>
      <c r="H7811" s="42"/>
      <c r="I7811" s="42"/>
      <c r="J7811" s="42"/>
    </row>
    <row r="7812" spans="5:10">
      <c r="E7812" s="43">
        <v>45352.812499974098</v>
      </c>
      <c r="F7812" s="41">
        <v>10.616058752569032</v>
      </c>
      <c r="G7812" s="41">
        <v>0</v>
      </c>
      <c r="H7812" s="42"/>
      <c r="I7812" s="42"/>
      <c r="J7812" s="42"/>
    </row>
    <row r="7813" spans="5:10">
      <c r="E7813" s="43">
        <v>45352.815972196317</v>
      </c>
      <c r="F7813" s="41">
        <v>10.616058752569032</v>
      </c>
      <c r="G7813" s="41">
        <v>0</v>
      </c>
      <c r="H7813" s="42"/>
      <c r="I7813" s="42"/>
      <c r="J7813" s="42"/>
    </row>
    <row r="7814" spans="5:10">
      <c r="E7814" s="43">
        <v>45352.819444418536</v>
      </c>
      <c r="F7814" s="41">
        <v>10.616058752569032</v>
      </c>
      <c r="G7814" s="41">
        <v>0</v>
      </c>
      <c r="H7814" s="42"/>
      <c r="I7814" s="42"/>
      <c r="J7814" s="42"/>
    </row>
    <row r="7815" spans="5:10">
      <c r="E7815" s="43">
        <v>45352.822916640755</v>
      </c>
      <c r="F7815" s="41">
        <v>10.616058752569032</v>
      </c>
      <c r="G7815" s="41">
        <v>0</v>
      </c>
      <c r="H7815" s="42"/>
      <c r="I7815" s="42"/>
      <c r="J7815" s="42"/>
    </row>
    <row r="7816" spans="5:10">
      <c r="E7816" s="43">
        <v>45352.826388862974</v>
      </c>
      <c r="F7816" s="41">
        <v>10.616058752569032</v>
      </c>
      <c r="G7816" s="41">
        <v>0</v>
      </c>
      <c r="H7816" s="42"/>
      <c r="I7816" s="42"/>
      <c r="J7816" s="42"/>
    </row>
    <row r="7817" spans="5:10">
      <c r="E7817" s="43">
        <v>45352.829861085193</v>
      </c>
      <c r="F7817" s="41">
        <v>10.616058752569032</v>
      </c>
      <c r="G7817" s="41">
        <v>0</v>
      </c>
      <c r="H7817" s="42"/>
      <c r="I7817" s="42"/>
      <c r="J7817" s="42"/>
    </row>
    <row r="7818" spans="5:10">
      <c r="E7818" s="43">
        <v>45352.833333307412</v>
      </c>
      <c r="F7818" s="41">
        <v>10.616058752569032</v>
      </c>
      <c r="G7818" s="41">
        <v>0</v>
      </c>
      <c r="H7818" s="42"/>
      <c r="I7818" s="42"/>
      <c r="J7818" s="42"/>
    </row>
    <row r="7819" spans="5:10">
      <c r="E7819" s="43">
        <v>45352.836805529631</v>
      </c>
      <c r="F7819" s="41">
        <v>10.616058752569032</v>
      </c>
      <c r="G7819" s="41">
        <v>0</v>
      </c>
      <c r="H7819" s="42"/>
      <c r="I7819" s="42"/>
      <c r="J7819" s="42"/>
    </row>
    <row r="7820" spans="5:10">
      <c r="E7820" s="43">
        <v>45352.840277751849</v>
      </c>
      <c r="F7820" s="41">
        <v>10.616058752569032</v>
      </c>
      <c r="G7820" s="41">
        <v>0</v>
      </c>
      <c r="H7820" s="42"/>
      <c r="I7820" s="42"/>
      <c r="J7820" s="42"/>
    </row>
    <row r="7821" spans="5:10">
      <c r="E7821" s="43">
        <v>45352.843749974068</v>
      </c>
      <c r="F7821" s="41">
        <v>10.616058752569032</v>
      </c>
      <c r="G7821" s="41">
        <v>0</v>
      </c>
      <c r="H7821" s="42"/>
      <c r="I7821" s="42"/>
      <c r="J7821" s="42"/>
    </row>
    <row r="7822" spans="5:10">
      <c r="E7822" s="43">
        <v>45352.847222196287</v>
      </c>
      <c r="F7822" s="41">
        <v>10.616058752569032</v>
      </c>
      <c r="G7822" s="41">
        <v>0</v>
      </c>
      <c r="H7822" s="42"/>
      <c r="I7822" s="42"/>
      <c r="J7822" s="42"/>
    </row>
    <row r="7823" spans="5:10">
      <c r="E7823" s="43">
        <v>45352.850694418506</v>
      </c>
      <c r="F7823" s="41">
        <v>10.616058752569032</v>
      </c>
      <c r="G7823" s="41">
        <v>0</v>
      </c>
      <c r="H7823" s="42"/>
      <c r="I7823" s="42"/>
      <c r="J7823" s="42"/>
    </row>
    <row r="7824" spans="5:10">
      <c r="E7824" s="43">
        <v>45352.854166640725</v>
      </c>
      <c r="F7824" s="41">
        <v>10.616058752569032</v>
      </c>
      <c r="G7824" s="41">
        <v>0</v>
      </c>
      <c r="H7824" s="42"/>
      <c r="I7824" s="42"/>
      <c r="J7824" s="42"/>
    </row>
    <row r="7825" spans="5:10">
      <c r="E7825" s="43">
        <v>45352.857638862944</v>
      </c>
      <c r="F7825" s="41">
        <v>10.616058752569032</v>
      </c>
      <c r="G7825" s="41">
        <v>0</v>
      </c>
      <c r="H7825" s="42"/>
      <c r="I7825" s="42"/>
      <c r="J7825" s="42"/>
    </row>
    <row r="7826" spans="5:10">
      <c r="E7826" s="43">
        <v>45352.861111085163</v>
      </c>
      <c r="F7826" s="41">
        <v>10.616058752569032</v>
      </c>
      <c r="G7826" s="41">
        <v>0</v>
      </c>
      <c r="H7826" s="42"/>
      <c r="I7826" s="42"/>
      <c r="J7826" s="42"/>
    </row>
    <row r="7827" spans="5:10">
      <c r="E7827" s="43">
        <v>45352.864583307382</v>
      </c>
      <c r="F7827" s="41">
        <v>10.616058752569032</v>
      </c>
      <c r="G7827" s="41">
        <v>0</v>
      </c>
      <c r="H7827" s="42"/>
      <c r="I7827" s="42"/>
      <c r="J7827" s="42"/>
    </row>
    <row r="7828" spans="5:10">
      <c r="E7828" s="43">
        <v>45352.868055529601</v>
      </c>
      <c r="F7828" s="41">
        <v>10.616058752569032</v>
      </c>
      <c r="G7828" s="41">
        <v>0</v>
      </c>
      <c r="H7828" s="42"/>
      <c r="I7828" s="42"/>
      <c r="J7828" s="42"/>
    </row>
    <row r="7829" spans="5:10">
      <c r="E7829" s="43">
        <v>45352.87152775182</v>
      </c>
      <c r="F7829" s="41">
        <v>10.616058752569032</v>
      </c>
      <c r="G7829" s="41">
        <v>0</v>
      </c>
      <c r="H7829" s="42"/>
      <c r="I7829" s="42"/>
      <c r="J7829" s="42"/>
    </row>
    <row r="7830" spans="5:10">
      <c r="E7830" s="43">
        <v>45352.874999974039</v>
      </c>
      <c r="F7830" s="41">
        <v>10.616058752569032</v>
      </c>
      <c r="G7830" s="41">
        <v>0</v>
      </c>
      <c r="H7830" s="42"/>
      <c r="I7830" s="42"/>
      <c r="J7830" s="42"/>
    </row>
    <row r="7831" spans="5:10">
      <c r="E7831" s="43">
        <v>45352.878472196258</v>
      </c>
      <c r="F7831" s="41">
        <v>10.616058752569032</v>
      </c>
      <c r="G7831" s="41">
        <v>0</v>
      </c>
      <c r="H7831" s="42"/>
      <c r="I7831" s="42"/>
      <c r="J7831" s="42"/>
    </row>
    <row r="7832" spans="5:10">
      <c r="E7832" s="43">
        <v>45352.881944418477</v>
      </c>
      <c r="F7832" s="41">
        <v>10.616058752569032</v>
      </c>
      <c r="G7832" s="41">
        <v>0</v>
      </c>
      <c r="H7832" s="42"/>
      <c r="I7832" s="42"/>
      <c r="J7832" s="42"/>
    </row>
    <row r="7833" spans="5:10">
      <c r="E7833" s="43">
        <v>45352.885416640696</v>
      </c>
      <c r="F7833" s="41">
        <v>10.616058752569032</v>
      </c>
      <c r="G7833" s="41">
        <v>0</v>
      </c>
      <c r="H7833" s="42"/>
      <c r="I7833" s="42"/>
      <c r="J7833" s="42"/>
    </row>
    <row r="7834" spans="5:10">
      <c r="E7834" s="43">
        <v>45352.888888862915</v>
      </c>
      <c r="F7834" s="41">
        <v>10.616058752569032</v>
      </c>
      <c r="G7834" s="41">
        <v>0</v>
      </c>
      <c r="H7834" s="42"/>
      <c r="I7834" s="42"/>
      <c r="J7834" s="42"/>
    </row>
    <row r="7835" spans="5:10">
      <c r="E7835" s="43">
        <v>45352.892361085134</v>
      </c>
      <c r="F7835" s="41">
        <v>10.616058752569032</v>
      </c>
      <c r="G7835" s="41">
        <v>0</v>
      </c>
      <c r="H7835" s="42"/>
      <c r="I7835" s="42"/>
      <c r="J7835" s="42"/>
    </row>
    <row r="7836" spans="5:10">
      <c r="E7836" s="43">
        <v>45352.895833307353</v>
      </c>
      <c r="F7836" s="41">
        <v>10.616058752569032</v>
      </c>
      <c r="G7836" s="41">
        <v>0</v>
      </c>
      <c r="H7836" s="42"/>
      <c r="I7836" s="42"/>
      <c r="J7836" s="42"/>
    </row>
    <row r="7837" spans="5:10">
      <c r="E7837" s="43">
        <v>45352.899305529572</v>
      </c>
      <c r="F7837" s="41">
        <v>10.616058752569032</v>
      </c>
      <c r="G7837" s="41">
        <v>0</v>
      </c>
      <c r="H7837" s="42"/>
      <c r="I7837" s="42"/>
      <c r="J7837" s="42"/>
    </row>
    <row r="7838" spans="5:10">
      <c r="E7838" s="43">
        <v>45352.902777751791</v>
      </c>
      <c r="F7838" s="41">
        <v>10.616058752569032</v>
      </c>
      <c r="G7838" s="41">
        <v>0</v>
      </c>
      <c r="H7838" s="42"/>
      <c r="I7838" s="42"/>
      <c r="J7838" s="42"/>
    </row>
    <row r="7839" spans="5:10">
      <c r="E7839" s="43">
        <v>45352.90624997401</v>
      </c>
      <c r="F7839" s="41">
        <v>10.616058752569032</v>
      </c>
      <c r="G7839" s="41">
        <v>0</v>
      </c>
      <c r="H7839" s="42"/>
      <c r="I7839" s="42"/>
      <c r="J7839" s="42"/>
    </row>
    <row r="7840" spans="5:10">
      <c r="E7840" s="43">
        <v>45352.909722196229</v>
      </c>
      <c r="F7840" s="41">
        <v>10.616058752569032</v>
      </c>
      <c r="G7840" s="41">
        <v>0</v>
      </c>
      <c r="H7840" s="42"/>
      <c r="I7840" s="42"/>
      <c r="J7840" s="42"/>
    </row>
    <row r="7841" spans="5:10">
      <c r="E7841" s="43">
        <v>45352.913194418448</v>
      </c>
      <c r="F7841" s="41">
        <v>10.616058752569032</v>
      </c>
      <c r="G7841" s="41">
        <v>0</v>
      </c>
      <c r="H7841" s="42"/>
      <c r="I7841" s="42"/>
      <c r="J7841" s="42"/>
    </row>
    <row r="7842" spans="5:10">
      <c r="E7842" s="43">
        <v>45352.916666640667</v>
      </c>
      <c r="F7842" s="41">
        <v>10.616058752569032</v>
      </c>
      <c r="G7842" s="41">
        <v>0</v>
      </c>
      <c r="H7842" s="42"/>
      <c r="I7842" s="42"/>
      <c r="J7842" s="42"/>
    </row>
    <row r="7843" spans="5:10">
      <c r="E7843" s="43">
        <v>45352.920138862886</v>
      </c>
      <c r="F7843" s="41">
        <v>10.616058752569032</v>
      </c>
      <c r="G7843" s="41">
        <v>0</v>
      </c>
      <c r="H7843" s="42"/>
      <c r="I7843" s="42"/>
      <c r="J7843" s="42"/>
    </row>
    <row r="7844" spans="5:10">
      <c r="E7844" s="43">
        <v>45352.923611085105</v>
      </c>
      <c r="F7844" s="41">
        <v>10.616058752569032</v>
      </c>
      <c r="G7844" s="41">
        <v>0</v>
      </c>
      <c r="H7844" s="42"/>
      <c r="I7844" s="42"/>
      <c r="J7844" s="42"/>
    </row>
    <row r="7845" spans="5:10">
      <c r="E7845" s="43">
        <v>45352.927083307324</v>
      </c>
      <c r="F7845" s="41">
        <v>10.616058752569032</v>
      </c>
      <c r="G7845" s="41">
        <v>0</v>
      </c>
      <c r="H7845" s="42"/>
      <c r="I7845" s="42"/>
      <c r="J7845" s="42"/>
    </row>
    <row r="7846" spans="5:10">
      <c r="E7846" s="43">
        <v>45352.930555529543</v>
      </c>
      <c r="F7846" s="41">
        <v>10.616058752569032</v>
      </c>
      <c r="G7846" s="41">
        <v>0</v>
      </c>
      <c r="H7846" s="42"/>
      <c r="I7846" s="42"/>
      <c r="J7846" s="42"/>
    </row>
    <row r="7847" spans="5:10">
      <c r="E7847" s="43">
        <v>45352.934027751762</v>
      </c>
      <c r="F7847" s="41">
        <v>10.616058752569032</v>
      </c>
      <c r="G7847" s="41">
        <v>0</v>
      </c>
      <c r="H7847" s="42"/>
      <c r="I7847" s="42"/>
      <c r="J7847" s="42"/>
    </row>
    <row r="7848" spans="5:10">
      <c r="E7848" s="43">
        <v>45352.937499973981</v>
      </c>
      <c r="F7848" s="41">
        <v>10.616058752569032</v>
      </c>
      <c r="G7848" s="41">
        <v>0</v>
      </c>
      <c r="H7848" s="42"/>
      <c r="I7848" s="42"/>
      <c r="J7848" s="42"/>
    </row>
    <row r="7849" spans="5:10">
      <c r="E7849" s="43">
        <v>45352.9409721962</v>
      </c>
      <c r="F7849" s="41">
        <v>10.616058752569032</v>
      </c>
      <c r="G7849" s="41">
        <v>0</v>
      </c>
      <c r="H7849" s="42"/>
      <c r="I7849" s="42"/>
      <c r="J7849" s="42"/>
    </row>
    <row r="7850" spans="5:10">
      <c r="E7850" s="43">
        <v>45352.944444418419</v>
      </c>
      <c r="F7850" s="41">
        <v>10.616058752569032</v>
      </c>
      <c r="G7850" s="41">
        <v>0</v>
      </c>
      <c r="H7850" s="42"/>
      <c r="I7850" s="42"/>
      <c r="J7850" s="42"/>
    </row>
    <row r="7851" spans="5:10">
      <c r="E7851" s="43">
        <v>45352.947916640638</v>
      </c>
      <c r="F7851" s="41">
        <v>10.616058752569032</v>
      </c>
      <c r="G7851" s="41">
        <v>0</v>
      </c>
      <c r="H7851" s="42"/>
      <c r="I7851" s="42"/>
      <c r="J7851" s="42"/>
    </row>
    <row r="7852" spans="5:10">
      <c r="E7852" s="43">
        <v>45352.951388862857</v>
      </c>
      <c r="F7852" s="41">
        <v>10.616058752569032</v>
      </c>
      <c r="G7852" s="41">
        <v>0</v>
      </c>
      <c r="H7852" s="42"/>
      <c r="I7852" s="42"/>
      <c r="J7852" s="42"/>
    </row>
    <row r="7853" spans="5:10">
      <c r="E7853" s="43">
        <v>45352.954861085076</v>
      </c>
      <c r="F7853" s="41">
        <v>10.616058752569032</v>
      </c>
      <c r="G7853" s="41">
        <v>0</v>
      </c>
      <c r="H7853" s="42"/>
      <c r="I7853" s="42"/>
      <c r="J7853" s="42"/>
    </row>
    <row r="7854" spans="5:10">
      <c r="E7854" s="43">
        <v>45352.958333307295</v>
      </c>
      <c r="F7854" s="41">
        <v>10.616058752569032</v>
      </c>
      <c r="G7854" s="41">
        <v>0</v>
      </c>
      <c r="H7854" s="42"/>
      <c r="I7854" s="42"/>
      <c r="J7854" s="42"/>
    </row>
    <row r="7855" spans="5:10">
      <c r="E7855" s="43">
        <v>45352.961805529514</v>
      </c>
      <c r="F7855" s="41">
        <v>10.616058752569032</v>
      </c>
      <c r="G7855" s="41">
        <v>0</v>
      </c>
      <c r="H7855" s="42"/>
      <c r="I7855" s="42"/>
      <c r="J7855" s="42"/>
    </row>
    <row r="7856" spans="5:10">
      <c r="E7856" s="43">
        <v>45352.965277751733</v>
      </c>
      <c r="F7856" s="41">
        <v>10.616058752569032</v>
      </c>
      <c r="G7856" s="41">
        <v>0</v>
      </c>
      <c r="H7856" s="42"/>
      <c r="I7856" s="42"/>
      <c r="J7856" s="42"/>
    </row>
    <row r="7857" spans="5:10">
      <c r="E7857" s="43">
        <v>45352.968749973952</v>
      </c>
      <c r="F7857" s="41">
        <v>10.616058752569032</v>
      </c>
      <c r="G7857" s="41">
        <v>0</v>
      </c>
      <c r="H7857" s="42"/>
      <c r="I7857" s="42"/>
      <c r="J7857" s="42"/>
    </row>
    <row r="7858" spans="5:10">
      <c r="E7858" s="43">
        <v>45352.972222196171</v>
      </c>
      <c r="F7858" s="41">
        <v>10.616058752569032</v>
      </c>
      <c r="G7858" s="41">
        <v>0</v>
      </c>
      <c r="H7858" s="42"/>
      <c r="I7858" s="42"/>
      <c r="J7858" s="42"/>
    </row>
    <row r="7859" spans="5:10">
      <c r="E7859" s="43">
        <v>45352.97569441839</v>
      </c>
      <c r="F7859" s="41">
        <v>10.616058752569032</v>
      </c>
      <c r="G7859" s="41">
        <v>0</v>
      </c>
      <c r="H7859" s="42"/>
      <c r="I7859" s="42"/>
      <c r="J7859" s="42"/>
    </row>
    <row r="7860" spans="5:10">
      <c r="E7860" s="43">
        <v>45352.979166640609</v>
      </c>
      <c r="F7860" s="41">
        <v>10.616058752569032</v>
      </c>
      <c r="G7860" s="41">
        <v>0</v>
      </c>
      <c r="H7860" s="42"/>
      <c r="I7860" s="42"/>
      <c r="J7860" s="42"/>
    </row>
    <row r="7861" spans="5:10">
      <c r="E7861" s="43">
        <v>45352.982638862828</v>
      </c>
      <c r="F7861" s="41">
        <v>10.616058752569032</v>
      </c>
      <c r="G7861" s="41">
        <v>0</v>
      </c>
      <c r="H7861" s="42"/>
      <c r="I7861" s="42"/>
      <c r="J7861" s="42"/>
    </row>
    <row r="7862" spans="5:10">
      <c r="E7862" s="43">
        <v>45352.986111085047</v>
      </c>
      <c r="F7862" s="41">
        <v>10.616058752569032</v>
      </c>
      <c r="G7862" s="41">
        <v>0</v>
      </c>
      <c r="H7862" s="42"/>
      <c r="I7862" s="42"/>
      <c r="J7862" s="42"/>
    </row>
    <row r="7863" spans="5:10">
      <c r="E7863" s="43">
        <v>45352.989583307266</v>
      </c>
      <c r="F7863" s="41">
        <v>10.616058752569032</v>
      </c>
      <c r="G7863" s="41">
        <v>0</v>
      </c>
      <c r="H7863" s="42"/>
      <c r="I7863" s="42"/>
      <c r="J7863" s="42"/>
    </row>
    <row r="7864" spans="5:10">
      <c r="E7864" s="43">
        <v>45352.993055529485</v>
      </c>
      <c r="F7864" s="41">
        <v>10.616058752569032</v>
      </c>
      <c r="G7864" s="41">
        <v>0</v>
      </c>
      <c r="H7864" s="42"/>
      <c r="I7864" s="42"/>
      <c r="J7864" s="42"/>
    </row>
    <row r="7865" spans="5:10">
      <c r="E7865" s="43">
        <v>45352.996527751704</v>
      </c>
      <c r="F7865" s="41">
        <v>10.616058752569032</v>
      </c>
      <c r="G7865" s="41">
        <v>0</v>
      </c>
      <c r="H7865" s="42"/>
      <c r="I7865" s="42"/>
      <c r="J7865" s="42"/>
    </row>
    <row r="7866" spans="5:10">
      <c r="E7866" s="43">
        <v>45352.999999973923</v>
      </c>
      <c r="F7866" s="41">
        <v>10.616058752569032</v>
      </c>
      <c r="G7866" s="41">
        <v>0</v>
      </c>
      <c r="H7866" s="42"/>
      <c r="I7866" s="42"/>
      <c r="J7866" s="42"/>
    </row>
    <row r="7867" spans="5:10">
      <c r="E7867" s="43">
        <v>45353.003472196142</v>
      </c>
      <c r="F7867" s="41">
        <v>10.616058752569032</v>
      </c>
      <c r="G7867" s="41">
        <v>0</v>
      </c>
      <c r="H7867" s="42"/>
      <c r="I7867" s="42"/>
      <c r="J7867" s="42"/>
    </row>
    <row r="7868" spans="5:10">
      <c r="E7868" s="43">
        <v>45353.006944418361</v>
      </c>
      <c r="F7868" s="41">
        <v>10.616058752569032</v>
      </c>
      <c r="G7868" s="41">
        <v>0</v>
      </c>
      <c r="H7868" s="42"/>
      <c r="I7868" s="42"/>
      <c r="J7868" s="42"/>
    </row>
    <row r="7869" spans="5:10">
      <c r="E7869" s="43">
        <v>45353.01041664058</v>
      </c>
      <c r="F7869" s="41">
        <v>10.616058752569032</v>
      </c>
      <c r="G7869" s="41">
        <v>0</v>
      </c>
      <c r="H7869" s="42"/>
      <c r="I7869" s="42"/>
      <c r="J7869" s="42"/>
    </row>
    <row r="7870" spans="5:10">
      <c r="E7870" s="43">
        <v>45353.013888862799</v>
      </c>
      <c r="F7870" s="41">
        <v>10.616058752569032</v>
      </c>
      <c r="G7870" s="41">
        <v>0</v>
      </c>
      <c r="H7870" s="42"/>
      <c r="I7870" s="42"/>
      <c r="J7870" s="42"/>
    </row>
    <row r="7871" spans="5:10">
      <c r="E7871" s="43">
        <v>45353.017361085018</v>
      </c>
      <c r="F7871" s="41">
        <v>10.616058752569032</v>
      </c>
      <c r="G7871" s="41">
        <v>0</v>
      </c>
      <c r="H7871" s="42"/>
      <c r="I7871" s="42"/>
      <c r="J7871" s="42"/>
    </row>
    <row r="7872" spans="5:10">
      <c r="E7872" s="43">
        <v>45353.020833307237</v>
      </c>
      <c r="F7872" s="41">
        <v>10.616058752569032</v>
      </c>
      <c r="G7872" s="41">
        <v>0</v>
      </c>
      <c r="H7872" s="42"/>
      <c r="I7872" s="42"/>
      <c r="J7872" s="42"/>
    </row>
    <row r="7873" spans="5:10">
      <c r="E7873" s="43">
        <v>45353.024305529456</v>
      </c>
      <c r="F7873" s="41">
        <v>10.616058752569032</v>
      </c>
      <c r="G7873" s="41">
        <v>0</v>
      </c>
      <c r="H7873" s="42"/>
      <c r="I7873" s="42"/>
      <c r="J7873" s="42"/>
    </row>
    <row r="7874" spans="5:10">
      <c r="E7874" s="43">
        <v>45353.027777751675</v>
      </c>
      <c r="F7874" s="41">
        <v>10.616058752569032</v>
      </c>
      <c r="G7874" s="41">
        <v>0</v>
      </c>
      <c r="H7874" s="42"/>
      <c r="I7874" s="42"/>
      <c r="J7874" s="42"/>
    </row>
    <row r="7875" spans="5:10">
      <c r="E7875" s="43">
        <v>45353.031249973894</v>
      </c>
      <c r="F7875" s="41">
        <v>10.616058752569032</v>
      </c>
      <c r="G7875" s="41">
        <v>0</v>
      </c>
      <c r="H7875" s="42"/>
      <c r="I7875" s="42"/>
      <c r="J7875" s="42"/>
    </row>
    <row r="7876" spans="5:10">
      <c r="E7876" s="43">
        <v>45353.034722196113</v>
      </c>
      <c r="F7876" s="41">
        <v>10.616058752569032</v>
      </c>
      <c r="G7876" s="41">
        <v>0</v>
      </c>
      <c r="H7876" s="42"/>
      <c r="I7876" s="42"/>
      <c r="J7876" s="42"/>
    </row>
    <row r="7877" spans="5:10">
      <c r="E7877" s="43">
        <v>45353.038194418332</v>
      </c>
      <c r="F7877" s="41">
        <v>10.616058752569032</v>
      </c>
      <c r="G7877" s="41">
        <v>0</v>
      </c>
      <c r="H7877" s="42"/>
      <c r="I7877" s="42"/>
      <c r="J7877" s="42"/>
    </row>
    <row r="7878" spans="5:10">
      <c r="E7878" s="43">
        <v>45353.041666640551</v>
      </c>
      <c r="F7878" s="41">
        <v>10.616058752569032</v>
      </c>
      <c r="G7878" s="41">
        <v>0</v>
      </c>
      <c r="H7878" s="42"/>
      <c r="I7878" s="42"/>
      <c r="J7878" s="42"/>
    </row>
    <row r="7879" spans="5:10">
      <c r="E7879" s="43">
        <v>45353.04513886277</v>
      </c>
      <c r="F7879" s="41">
        <v>10.616058752569032</v>
      </c>
      <c r="G7879" s="41">
        <v>0</v>
      </c>
      <c r="H7879" s="42"/>
      <c r="I7879" s="42"/>
      <c r="J7879" s="42"/>
    </row>
    <row r="7880" spans="5:10">
      <c r="E7880" s="43">
        <v>45353.048611084989</v>
      </c>
      <c r="F7880" s="41">
        <v>10.616058752569032</v>
      </c>
      <c r="G7880" s="41">
        <v>0</v>
      </c>
      <c r="H7880" s="42"/>
      <c r="I7880" s="42"/>
      <c r="J7880" s="42"/>
    </row>
    <row r="7881" spans="5:10">
      <c r="E7881" s="43">
        <v>45353.052083307208</v>
      </c>
      <c r="F7881" s="41">
        <v>10.616058752569032</v>
      </c>
      <c r="G7881" s="41">
        <v>0</v>
      </c>
      <c r="H7881" s="42"/>
      <c r="I7881" s="42"/>
      <c r="J7881" s="42"/>
    </row>
    <row r="7882" spans="5:10">
      <c r="E7882" s="43">
        <v>45353.055555529427</v>
      </c>
      <c r="F7882" s="41">
        <v>10.616058752569032</v>
      </c>
      <c r="G7882" s="41">
        <v>0</v>
      </c>
      <c r="H7882" s="42"/>
      <c r="I7882" s="42"/>
      <c r="J7882" s="42"/>
    </row>
    <row r="7883" spans="5:10">
      <c r="E7883" s="43">
        <v>45353.059027751646</v>
      </c>
      <c r="F7883" s="41">
        <v>10.616058752569032</v>
      </c>
      <c r="G7883" s="41">
        <v>0</v>
      </c>
      <c r="H7883" s="42"/>
      <c r="I7883" s="42"/>
      <c r="J7883" s="42"/>
    </row>
    <row r="7884" spans="5:10">
      <c r="E7884" s="43">
        <v>45353.062499973865</v>
      </c>
      <c r="F7884" s="41">
        <v>10.616058752569032</v>
      </c>
      <c r="G7884" s="41">
        <v>0</v>
      </c>
      <c r="H7884" s="42"/>
      <c r="I7884" s="42"/>
      <c r="J7884" s="42"/>
    </row>
    <row r="7885" spans="5:10">
      <c r="E7885" s="43">
        <v>45353.065972196084</v>
      </c>
      <c r="F7885" s="41">
        <v>10.616058752569032</v>
      </c>
      <c r="G7885" s="41">
        <v>0</v>
      </c>
      <c r="H7885" s="42"/>
      <c r="I7885" s="42"/>
      <c r="J7885" s="42"/>
    </row>
    <row r="7886" spans="5:10">
      <c r="E7886" s="43">
        <v>45353.069444418303</v>
      </c>
      <c r="F7886" s="41">
        <v>10.616058752569032</v>
      </c>
      <c r="G7886" s="41">
        <v>0</v>
      </c>
      <c r="H7886" s="42"/>
      <c r="I7886" s="42"/>
      <c r="J7886" s="42"/>
    </row>
    <row r="7887" spans="5:10">
      <c r="E7887" s="43">
        <v>45353.072916640522</v>
      </c>
      <c r="F7887" s="41">
        <v>10.616058752569032</v>
      </c>
      <c r="G7887" s="41">
        <v>0</v>
      </c>
      <c r="H7887" s="42"/>
      <c r="I7887" s="42"/>
      <c r="J7887" s="42"/>
    </row>
    <row r="7888" spans="5:10">
      <c r="E7888" s="43">
        <v>45353.076388862741</v>
      </c>
      <c r="F7888" s="41">
        <v>10.616058752569032</v>
      </c>
      <c r="G7888" s="41">
        <v>0</v>
      </c>
      <c r="H7888" s="42"/>
      <c r="I7888" s="42"/>
      <c r="J7888" s="42"/>
    </row>
    <row r="7889" spans="5:10">
      <c r="E7889" s="43">
        <v>45353.07986108496</v>
      </c>
      <c r="F7889" s="41">
        <v>10.616058752569032</v>
      </c>
      <c r="G7889" s="41">
        <v>0</v>
      </c>
      <c r="H7889" s="42"/>
      <c r="I7889" s="42"/>
      <c r="J7889" s="42"/>
    </row>
    <row r="7890" spans="5:10">
      <c r="E7890" s="43">
        <v>45353.083333307179</v>
      </c>
      <c r="F7890" s="41">
        <v>10.616058752569032</v>
      </c>
      <c r="G7890" s="41">
        <v>0</v>
      </c>
      <c r="H7890" s="42"/>
      <c r="I7890" s="42"/>
      <c r="J7890" s="42"/>
    </row>
    <row r="7891" spans="5:10">
      <c r="E7891" s="43">
        <v>45353.086805529398</v>
      </c>
      <c r="F7891" s="41">
        <v>10.616058752569032</v>
      </c>
      <c r="G7891" s="41">
        <v>0</v>
      </c>
      <c r="H7891" s="42"/>
      <c r="I7891" s="42"/>
      <c r="J7891" s="42"/>
    </row>
    <row r="7892" spans="5:10">
      <c r="E7892" s="43">
        <v>45353.090277751617</v>
      </c>
      <c r="F7892" s="41">
        <v>10.616058752569032</v>
      </c>
      <c r="G7892" s="41">
        <v>0</v>
      </c>
      <c r="H7892" s="42"/>
      <c r="I7892" s="42"/>
      <c r="J7892" s="42"/>
    </row>
    <row r="7893" spans="5:10">
      <c r="E7893" s="43">
        <v>45353.093749973836</v>
      </c>
      <c r="F7893" s="41">
        <v>10.616058752569032</v>
      </c>
      <c r="G7893" s="41">
        <v>0</v>
      </c>
      <c r="H7893" s="42"/>
      <c r="I7893" s="42"/>
      <c r="J7893" s="42"/>
    </row>
    <row r="7894" spans="5:10">
      <c r="E7894" s="43">
        <v>45353.097222196055</v>
      </c>
      <c r="F7894" s="41">
        <v>10.616058752569032</v>
      </c>
      <c r="G7894" s="41">
        <v>0</v>
      </c>
      <c r="H7894" s="42"/>
      <c r="I7894" s="42"/>
      <c r="J7894" s="42"/>
    </row>
    <row r="7895" spans="5:10">
      <c r="E7895" s="43">
        <v>45353.100694418274</v>
      </c>
      <c r="F7895" s="41">
        <v>10.616058752569032</v>
      </c>
      <c r="G7895" s="41">
        <v>0</v>
      </c>
      <c r="H7895" s="42"/>
      <c r="I7895" s="42"/>
      <c r="J7895" s="42"/>
    </row>
    <row r="7896" spans="5:10">
      <c r="E7896" s="43">
        <v>45353.104166640493</v>
      </c>
      <c r="F7896" s="41">
        <v>10.616058752569032</v>
      </c>
      <c r="G7896" s="41">
        <v>0</v>
      </c>
      <c r="H7896" s="42"/>
      <c r="I7896" s="42"/>
      <c r="J7896" s="42"/>
    </row>
    <row r="7897" spans="5:10">
      <c r="E7897" s="43">
        <v>45353.107638862712</v>
      </c>
      <c r="F7897" s="41">
        <v>10.616058752569032</v>
      </c>
      <c r="G7897" s="41">
        <v>0</v>
      </c>
      <c r="H7897" s="42"/>
      <c r="I7897" s="42"/>
      <c r="J7897" s="42"/>
    </row>
    <row r="7898" spans="5:10">
      <c r="E7898" s="43">
        <v>45353.111111084931</v>
      </c>
      <c r="F7898" s="41">
        <v>10.616058752569032</v>
      </c>
      <c r="G7898" s="41">
        <v>0</v>
      </c>
      <c r="H7898" s="42"/>
      <c r="I7898" s="42"/>
      <c r="J7898" s="42"/>
    </row>
    <row r="7899" spans="5:10">
      <c r="E7899" s="43">
        <v>45353.11458330715</v>
      </c>
      <c r="F7899" s="41">
        <v>10.616058752569032</v>
      </c>
      <c r="G7899" s="41">
        <v>0</v>
      </c>
      <c r="H7899" s="42"/>
      <c r="I7899" s="42"/>
      <c r="J7899" s="42"/>
    </row>
    <row r="7900" spans="5:10">
      <c r="E7900" s="43">
        <v>45353.118055529369</v>
      </c>
      <c r="F7900" s="41">
        <v>10.616058752569032</v>
      </c>
      <c r="G7900" s="41">
        <v>0</v>
      </c>
      <c r="H7900" s="42"/>
      <c r="I7900" s="42"/>
      <c r="J7900" s="42"/>
    </row>
    <row r="7901" spans="5:10">
      <c r="E7901" s="43">
        <v>45353.121527751588</v>
      </c>
      <c r="F7901" s="41">
        <v>10.616058752569032</v>
      </c>
      <c r="G7901" s="41">
        <v>0</v>
      </c>
      <c r="H7901" s="42"/>
      <c r="I7901" s="42"/>
      <c r="J7901" s="42"/>
    </row>
    <row r="7902" spans="5:10">
      <c r="E7902" s="43">
        <v>45353.124999973807</v>
      </c>
      <c r="F7902" s="41">
        <v>10.616058752569032</v>
      </c>
      <c r="G7902" s="41">
        <v>0</v>
      </c>
      <c r="H7902" s="42"/>
      <c r="I7902" s="42"/>
      <c r="J7902" s="42"/>
    </row>
    <row r="7903" spans="5:10">
      <c r="E7903" s="43">
        <v>45353.128472196026</v>
      </c>
      <c r="F7903" s="41">
        <v>10.616058752569032</v>
      </c>
      <c r="G7903" s="41">
        <v>0</v>
      </c>
      <c r="H7903" s="42"/>
      <c r="I7903" s="42"/>
      <c r="J7903" s="42"/>
    </row>
    <row r="7904" spans="5:10">
      <c r="E7904" s="43">
        <v>45353.131944418245</v>
      </c>
      <c r="F7904" s="41">
        <v>10.616058752569032</v>
      </c>
      <c r="G7904" s="41">
        <v>0</v>
      </c>
      <c r="H7904" s="42"/>
      <c r="I7904" s="42"/>
      <c r="J7904" s="42"/>
    </row>
    <row r="7905" spans="5:10">
      <c r="E7905" s="43">
        <v>45353.135416640464</v>
      </c>
      <c r="F7905" s="41">
        <v>10.616058752569032</v>
      </c>
      <c r="G7905" s="41">
        <v>0</v>
      </c>
      <c r="H7905" s="42"/>
      <c r="I7905" s="42"/>
      <c r="J7905" s="42"/>
    </row>
    <row r="7906" spans="5:10">
      <c r="E7906" s="43">
        <v>45353.138888862683</v>
      </c>
      <c r="F7906" s="41">
        <v>10.616058752569032</v>
      </c>
      <c r="G7906" s="41">
        <v>0</v>
      </c>
      <c r="H7906" s="42"/>
      <c r="I7906" s="42"/>
      <c r="J7906" s="42"/>
    </row>
    <row r="7907" spans="5:10">
      <c r="E7907" s="43">
        <v>45353.142361084901</v>
      </c>
      <c r="F7907" s="41">
        <v>10.616058752569032</v>
      </c>
      <c r="G7907" s="41">
        <v>0</v>
      </c>
      <c r="H7907" s="42"/>
      <c r="I7907" s="42"/>
      <c r="J7907" s="42"/>
    </row>
    <row r="7908" spans="5:10">
      <c r="E7908" s="43">
        <v>45353.14583330712</v>
      </c>
      <c r="F7908" s="41">
        <v>10.616058752569032</v>
      </c>
      <c r="G7908" s="41">
        <v>0</v>
      </c>
      <c r="H7908" s="42"/>
      <c r="I7908" s="42"/>
      <c r="J7908" s="42"/>
    </row>
    <row r="7909" spans="5:10">
      <c r="E7909" s="43">
        <v>45353.149305529339</v>
      </c>
      <c r="F7909" s="41">
        <v>10.616058752569032</v>
      </c>
      <c r="G7909" s="41">
        <v>0</v>
      </c>
      <c r="H7909" s="42"/>
      <c r="I7909" s="42"/>
      <c r="J7909" s="42"/>
    </row>
    <row r="7910" spans="5:10">
      <c r="E7910" s="43">
        <v>45353.152777751558</v>
      </c>
      <c r="F7910" s="41">
        <v>10.616058752569032</v>
      </c>
      <c r="G7910" s="41">
        <v>0</v>
      </c>
      <c r="H7910" s="42"/>
      <c r="I7910" s="42"/>
      <c r="J7910" s="42"/>
    </row>
    <row r="7911" spans="5:10">
      <c r="E7911" s="43">
        <v>45353.156249973777</v>
      </c>
      <c r="F7911" s="41">
        <v>10.616058752569032</v>
      </c>
      <c r="G7911" s="41">
        <v>0</v>
      </c>
      <c r="H7911" s="42"/>
      <c r="I7911" s="42"/>
      <c r="J7911" s="42"/>
    </row>
    <row r="7912" spans="5:10">
      <c r="E7912" s="43">
        <v>45353.159722195996</v>
      </c>
      <c r="F7912" s="41">
        <v>10.616058752569032</v>
      </c>
      <c r="G7912" s="41">
        <v>0</v>
      </c>
      <c r="H7912" s="42"/>
      <c r="I7912" s="42"/>
      <c r="J7912" s="42"/>
    </row>
    <row r="7913" spans="5:10">
      <c r="E7913" s="43">
        <v>45353.163194418215</v>
      </c>
      <c r="F7913" s="41">
        <v>10.616058752569032</v>
      </c>
      <c r="G7913" s="41">
        <v>0</v>
      </c>
      <c r="H7913" s="42"/>
      <c r="I7913" s="42"/>
      <c r="J7913" s="42"/>
    </row>
    <row r="7914" spans="5:10">
      <c r="E7914" s="43">
        <v>45353.166666640434</v>
      </c>
      <c r="F7914" s="41">
        <v>10.616058752569032</v>
      </c>
      <c r="G7914" s="41">
        <v>0</v>
      </c>
      <c r="H7914" s="42"/>
      <c r="I7914" s="42"/>
      <c r="J7914" s="42"/>
    </row>
    <row r="7915" spans="5:10">
      <c r="E7915" s="43">
        <v>45353.170138862653</v>
      </c>
      <c r="F7915" s="41">
        <v>10.616058752569032</v>
      </c>
      <c r="G7915" s="41">
        <v>0</v>
      </c>
      <c r="H7915" s="42"/>
      <c r="I7915" s="42"/>
      <c r="J7915" s="42"/>
    </row>
    <row r="7916" spans="5:10">
      <c r="E7916" s="43">
        <v>45353.173611084872</v>
      </c>
      <c r="F7916" s="41">
        <v>10.616058752569032</v>
      </c>
      <c r="G7916" s="41">
        <v>0</v>
      </c>
      <c r="H7916" s="42"/>
      <c r="I7916" s="42"/>
      <c r="J7916" s="42"/>
    </row>
    <row r="7917" spans="5:10">
      <c r="E7917" s="43">
        <v>45353.177083307091</v>
      </c>
      <c r="F7917" s="41">
        <v>10.616058752569032</v>
      </c>
      <c r="G7917" s="41">
        <v>0</v>
      </c>
      <c r="H7917" s="42"/>
      <c r="I7917" s="42"/>
      <c r="J7917" s="42"/>
    </row>
    <row r="7918" spans="5:10">
      <c r="E7918" s="43">
        <v>45353.18055552931</v>
      </c>
      <c r="F7918" s="41">
        <v>10.616058752569032</v>
      </c>
      <c r="G7918" s="41">
        <v>0</v>
      </c>
      <c r="H7918" s="42"/>
      <c r="I7918" s="42"/>
      <c r="J7918" s="42"/>
    </row>
    <row r="7919" spans="5:10">
      <c r="E7919" s="43">
        <v>45353.184027751529</v>
      </c>
      <c r="F7919" s="41">
        <v>10.616058752569032</v>
      </c>
      <c r="G7919" s="41">
        <v>0</v>
      </c>
      <c r="H7919" s="42"/>
      <c r="I7919" s="42"/>
      <c r="J7919" s="42"/>
    </row>
    <row r="7920" spans="5:10">
      <c r="E7920" s="43">
        <v>45353.187499973748</v>
      </c>
      <c r="F7920" s="41">
        <v>10.616058752569032</v>
      </c>
      <c r="G7920" s="41">
        <v>0</v>
      </c>
      <c r="H7920" s="42"/>
      <c r="I7920" s="42"/>
      <c r="J7920" s="42"/>
    </row>
    <row r="7921" spans="5:10">
      <c r="E7921" s="43">
        <v>45353.190972195967</v>
      </c>
      <c r="F7921" s="41">
        <v>10.616058752569032</v>
      </c>
      <c r="G7921" s="41">
        <v>0</v>
      </c>
      <c r="H7921" s="42"/>
      <c r="I7921" s="42"/>
      <c r="J7921" s="42"/>
    </row>
    <row r="7922" spans="5:10">
      <c r="E7922" s="43">
        <v>45353.194444418186</v>
      </c>
      <c r="F7922" s="41">
        <v>10.616058752569032</v>
      </c>
      <c r="G7922" s="41">
        <v>0</v>
      </c>
      <c r="H7922" s="42"/>
      <c r="I7922" s="42"/>
      <c r="J7922" s="42"/>
    </row>
    <row r="7923" spans="5:10">
      <c r="E7923" s="43">
        <v>45353.197916640405</v>
      </c>
      <c r="F7923" s="41">
        <v>10.616058752569032</v>
      </c>
      <c r="G7923" s="41">
        <v>0</v>
      </c>
      <c r="H7923" s="42"/>
      <c r="I7923" s="42"/>
      <c r="J7923" s="42"/>
    </row>
    <row r="7924" spans="5:10">
      <c r="E7924" s="43">
        <v>45353.201388862624</v>
      </c>
      <c r="F7924" s="41">
        <v>10.616058752569032</v>
      </c>
      <c r="G7924" s="41">
        <v>0</v>
      </c>
      <c r="H7924" s="42"/>
      <c r="I7924" s="42"/>
      <c r="J7924" s="42"/>
    </row>
    <row r="7925" spans="5:10">
      <c r="E7925" s="43">
        <v>45353.204861084843</v>
      </c>
      <c r="F7925" s="41">
        <v>10.616058752569032</v>
      </c>
      <c r="G7925" s="41">
        <v>0</v>
      </c>
      <c r="H7925" s="42"/>
      <c r="I7925" s="42"/>
      <c r="J7925" s="42"/>
    </row>
    <row r="7926" spans="5:10">
      <c r="E7926" s="43">
        <v>45353.208333307062</v>
      </c>
      <c r="F7926" s="41">
        <v>10.616058752569032</v>
      </c>
      <c r="G7926" s="41">
        <v>0</v>
      </c>
      <c r="H7926" s="42"/>
      <c r="I7926" s="42"/>
      <c r="J7926" s="42"/>
    </row>
    <row r="7927" spans="5:10">
      <c r="E7927" s="43">
        <v>45353.211805529281</v>
      </c>
      <c r="F7927" s="41">
        <v>10.616058752569032</v>
      </c>
      <c r="G7927" s="41">
        <v>0</v>
      </c>
      <c r="H7927" s="42"/>
      <c r="I7927" s="42"/>
      <c r="J7927" s="42"/>
    </row>
    <row r="7928" spans="5:10">
      <c r="E7928" s="43">
        <v>45353.2152777515</v>
      </c>
      <c r="F7928" s="41">
        <v>10.616058752569032</v>
      </c>
      <c r="G7928" s="41">
        <v>0</v>
      </c>
      <c r="H7928" s="42"/>
      <c r="I7928" s="42"/>
      <c r="J7928" s="42"/>
    </row>
    <row r="7929" spans="5:10">
      <c r="E7929" s="43">
        <v>45353.218749973719</v>
      </c>
      <c r="F7929" s="41">
        <v>10.616058752569032</v>
      </c>
      <c r="G7929" s="41">
        <v>0</v>
      </c>
      <c r="H7929" s="42"/>
      <c r="I7929" s="42"/>
      <c r="J7929" s="42"/>
    </row>
    <row r="7930" spans="5:10">
      <c r="E7930" s="43">
        <v>45353.222222195938</v>
      </c>
      <c r="F7930" s="41">
        <v>10.616058752569032</v>
      </c>
      <c r="G7930" s="41">
        <v>0</v>
      </c>
      <c r="H7930" s="42"/>
      <c r="I7930" s="42"/>
      <c r="J7930" s="42"/>
    </row>
    <row r="7931" spans="5:10">
      <c r="E7931" s="43">
        <v>45353.225694418157</v>
      </c>
      <c r="F7931" s="41">
        <v>10.616058752569032</v>
      </c>
      <c r="G7931" s="41">
        <v>0</v>
      </c>
      <c r="H7931" s="42"/>
      <c r="I7931" s="42"/>
      <c r="J7931" s="42"/>
    </row>
    <row r="7932" spans="5:10">
      <c r="E7932" s="43">
        <v>45353.229166640376</v>
      </c>
      <c r="F7932" s="41">
        <v>10.616058752569032</v>
      </c>
      <c r="G7932" s="41">
        <v>0</v>
      </c>
      <c r="H7932" s="42"/>
      <c r="I7932" s="42"/>
      <c r="J7932" s="42"/>
    </row>
    <row r="7933" spans="5:10">
      <c r="E7933" s="43">
        <v>45353.232638862595</v>
      </c>
      <c r="F7933" s="41">
        <v>10.616058752569032</v>
      </c>
      <c r="G7933" s="41">
        <v>0</v>
      </c>
      <c r="H7933" s="42"/>
      <c r="I7933" s="42"/>
      <c r="J7933" s="42"/>
    </row>
    <row r="7934" spans="5:10">
      <c r="E7934" s="43">
        <v>45353.236111084814</v>
      </c>
      <c r="F7934" s="41">
        <v>10.616058752569032</v>
      </c>
      <c r="G7934" s="41">
        <v>0</v>
      </c>
      <c r="H7934" s="42"/>
      <c r="I7934" s="42"/>
      <c r="J7934" s="42"/>
    </row>
    <row r="7935" spans="5:10">
      <c r="E7935" s="43">
        <v>45353.239583307033</v>
      </c>
      <c r="F7935" s="41">
        <v>10.616058752569032</v>
      </c>
      <c r="G7935" s="41">
        <v>0</v>
      </c>
      <c r="H7935" s="42"/>
      <c r="I7935" s="42"/>
      <c r="J7935" s="42"/>
    </row>
    <row r="7936" spans="5:10">
      <c r="E7936" s="43">
        <v>45353.243055529252</v>
      </c>
      <c r="F7936" s="41">
        <v>10.616058752569032</v>
      </c>
      <c r="G7936" s="41">
        <v>0</v>
      </c>
      <c r="H7936" s="42"/>
      <c r="I7936" s="42"/>
      <c r="J7936" s="42"/>
    </row>
    <row r="7937" spans="5:10">
      <c r="E7937" s="43">
        <v>45353.246527751471</v>
      </c>
      <c r="F7937" s="41">
        <v>10.616058752569032</v>
      </c>
      <c r="G7937" s="41">
        <v>0</v>
      </c>
      <c r="H7937" s="42"/>
      <c r="I7937" s="42"/>
      <c r="J7937" s="42"/>
    </row>
    <row r="7938" spans="5:10">
      <c r="E7938" s="43">
        <v>45353.24999997369</v>
      </c>
      <c r="F7938" s="41">
        <v>10.616058752569032</v>
      </c>
      <c r="G7938" s="41">
        <v>0</v>
      </c>
      <c r="H7938" s="42"/>
      <c r="I7938" s="42"/>
      <c r="J7938" s="42"/>
    </row>
    <row r="7939" spans="5:10">
      <c r="E7939" s="43">
        <v>45353.253472195909</v>
      </c>
      <c r="F7939" s="41">
        <v>10.616058752569032</v>
      </c>
      <c r="G7939" s="41">
        <v>0</v>
      </c>
      <c r="H7939" s="42"/>
      <c r="I7939" s="42"/>
      <c r="J7939" s="42"/>
    </row>
    <row r="7940" spans="5:10">
      <c r="E7940" s="43">
        <v>45353.256944418128</v>
      </c>
      <c r="F7940" s="41">
        <v>10.616058752569032</v>
      </c>
      <c r="G7940" s="41">
        <v>0</v>
      </c>
      <c r="H7940" s="42"/>
      <c r="I7940" s="42"/>
      <c r="J7940" s="42"/>
    </row>
    <row r="7941" spans="5:10">
      <c r="E7941" s="43">
        <v>45353.260416640347</v>
      </c>
      <c r="F7941" s="41">
        <v>10.616058752569032</v>
      </c>
      <c r="G7941" s="41">
        <v>0</v>
      </c>
      <c r="H7941" s="42"/>
      <c r="I7941" s="42"/>
      <c r="J7941" s="42"/>
    </row>
    <row r="7942" spans="5:10">
      <c r="E7942" s="43">
        <v>45353.263888862566</v>
      </c>
      <c r="F7942" s="41">
        <v>10.616058752569032</v>
      </c>
      <c r="G7942" s="41">
        <v>0</v>
      </c>
      <c r="H7942" s="42"/>
      <c r="I7942" s="42"/>
      <c r="J7942" s="42"/>
    </row>
    <row r="7943" spans="5:10">
      <c r="E7943" s="43">
        <v>45353.267361084785</v>
      </c>
      <c r="F7943" s="41">
        <v>10.616058752569032</v>
      </c>
      <c r="G7943" s="41">
        <v>0</v>
      </c>
      <c r="H7943" s="42"/>
      <c r="I7943" s="42"/>
      <c r="J7943" s="42"/>
    </row>
    <row r="7944" spans="5:10">
      <c r="E7944" s="43">
        <v>45353.270833307004</v>
      </c>
      <c r="F7944" s="41">
        <v>10.616058752569032</v>
      </c>
      <c r="G7944" s="41">
        <v>0</v>
      </c>
      <c r="H7944" s="42"/>
      <c r="I7944" s="42"/>
      <c r="J7944" s="42"/>
    </row>
    <row r="7945" spans="5:10">
      <c r="E7945" s="43">
        <v>45353.274305529223</v>
      </c>
      <c r="F7945" s="41">
        <v>10.616058752569032</v>
      </c>
      <c r="G7945" s="41">
        <v>0</v>
      </c>
      <c r="H7945" s="42"/>
      <c r="I7945" s="42"/>
      <c r="J7945" s="42"/>
    </row>
    <row r="7946" spans="5:10">
      <c r="E7946" s="43">
        <v>45353.277777751442</v>
      </c>
      <c r="F7946" s="41">
        <v>10.616058752569032</v>
      </c>
      <c r="G7946" s="41">
        <v>0</v>
      </c>
      <c r="H7946" s="42"/>
      <c r="I7946" s="42"/>
      <c r="J7946" s="42"/>
    </row>
    <row r="7947" spans="5:10">
      <c r="E7947" s="43">
        <v>45353.281249973661</v>
      </c>
      <c r="F7947" s="41">
        <v>10.616058752569032</v>
      </c>
      <c r="G7947" s="41">
        <v>0</v>
      </c>
      <c r="H7947" s="42"/>
      <c r="I7947" s="42"/>
      <c r="J7947" s="42"/>
    </row>
    <row r="7948" spans="5:10">
      <c r="E7948" s="43">
        <v>45353.28472219588</v>
      </c>
      <c r="F7948" s="41">
        <v>10.616058752569032</v>
      </c>
      <c r="G7948" s="41">
        <v>0</v>
      </c>
      <c r="H7948" s="42"/>
      <c r="I7948" s="42"/>
      <c r="J7948" s="42"/>
    </row>
    <row r="7949" spans="5:10">
      <c r="E7949" s="43">
        <v>45353.288194418099</v>
      </c>
      <c r="F7949" s="41">
        <v>10.616058752569032</v>
      </c>
      <c r="G7949" s="41">
        <v>0</v>
      </c>
      <c r="H7949" s="42"/>
      <c r="I7949" s="42"/>
      <c r="J7949" s="42"/>
    </row>
    <row r="7950" spans="5:10">
      <c r="E7950" s="43">
        <v>45353.291666640318</v>
      </c>
      <c r="F7950" s="41">
        <v>10.616058752569032</v>
      </c>
      <c r="G7950" s="41">
        <v>0</v>
      </c>
      <c r="H7950" s="42"/>
      <c r="I7950" s="42"/>
      <c r="J7950" s="42"/>
    </row>
    <row r="7951" spans="5:10">
      <c r="E7951" s="43">
        <v>45353.295138862537</v>
      </c>
      <c r="F7951" s="41">
        <v>10.616058752569032</v>
      </c>
      <c r="G7951" s="41">
        <v>0</v>
      </c>
      <c r="H7951" s="42"/>
      <c r="I7951" s="42"/>
      <c r="J7951" s="42"/>
    </row>
    <row r="7952" spans="5:10">
      <c r="E7952" s="43">
        <v>45353.298611084756</v>
      </c>
      <c r="F7952" s="41">
        <v>10.616058752569032</v>
      </c>
      <c r="G7952" s="41">
        <v>0</v>
      </c>
      <c r="H7952" s="42"/>
      <c r="I7952" s="42"/>
      <c r="J7952" s="42"/>
    </row>
    <row r="7953" spans="5:10">
      <c r="E7953" s="43">
        <v>45353.302083306975</v>
      </c>
      <c r="F7953" s="41">
        <v>10.616058752569032</v>
      </c>
      <c r="G7953" s="41">
        <v>0</v>
      </c>
      <c r="H7953" s="42"/>
      <c r="I7953" s="42"/>
      <c r="J7953" s="42"/>
    </row>
    <row r="7954" spans="5:10">
      <c r="E7954" s="43">
        <v>45353.305555529194</v>
      </c>
      <c r="F7954" s="41">
        <v>10.616058752569032</v>
      </c>
      <c r="G7954" s="41">
        <v>0</v>
      </c>
      <c r="H7954" s="42"/>
      <c r="I7954" s="42"/>
      <c r="J7954" s="42"/>
    </row>
    <row r="7955" spans="5:10">
      <c r="E7955" s="43">
        <v>45353.309027751413</v>
      </c>
      <c r="F7955" s="41">
        <v>10.616058752569032</v>
      </c>
      <c r="G7955" s="41">
        <v>0</v>
      </c>
      <c r="H7955" s="42"/>
      <c r="I7955" s="42"/>
      <c r="J7955" s="42"/>
    </row>
    <row r="7956" spans="5:10">
      <c r="E7956" s="43">
        <v>45353.312499973632</v>
      </c>
      <c r="F7956" s="41">
        <v>10.616058752569032</v>
      </c>
      <c r="G7956" s="41">
        <v>0</v>
      </c>
      <c r="H7956" s="42"/>
      <c r="I7956" s="42"/>
      <c r="J7956" s="42"/>
    </row>
    <row r="7957" spans="5:10">
      <c r="E7957" s="43">
        <v>45353.315972195851</v>
      </c>
      <c r="F7957" s="41">
        <v>10.616058752569032</v>
      </c>
      <c r="G7957" s="41">
        <v>0</v>
      </c>
      <c r="H7957" s="42"/>
      <c r="I7957" s="42"/>
      <c r="J7957" s="42"/>
    </row>
    <row r="7958" spans="5:10">
      <c r="E7958" s="43">
        <v>45353.31944441807</v>
      </c>
      <c r="F7958" s="41">
        <v>10.616058752569032</v>
      </c>
      <c r="G7958" s="41">
        <v>0</v>
      </c>
      <c r="H7958" s="42"/>
      <c r="I7958" s="42"/>
      <c r="J7958" s="42"/>
    </row>
    <row r="7959" spans="5:10">
      <c r="E7959" s="43">
        <v>45353.322916640289</v>
      </c>
      <c r="F7959" s="41">
        <v>10.616058752569032</v>
      </c>
      <c r="G7959" s="41">
        <v>0</v>
      </c>
      <c r="H7959" s="42"/>
      <c r="I7959" s="42"/>
      <c r="J7959" s="42"/>
    </row>
    <row r="7960" spans="5:10">
      <c r="E7960" s="43">
        <v>45353.326388862508</v>
      </c>
      <c r="F7960" s="41">
        <v>10.616058752569032</v>
      </c>
      <c r="G7960" s="41">
        <v>0</v>
      </c>
      <c r="H7960" s="42"/>
      <c r="I7960" s="42"/>
      <c r="J7960" s="42"/>
    </row>
    <row r="7961" spans="5:10">
      <c r="E7961" s="43">
        <v>45353.329861084727</v>
      </c>
      <c r="F7961" s="41">
        <v>10.616058752569032</v>
      </c>
      <c r="G7961" s="41">
        <v>0</v>
      </c>
      <c r="H7961" s="42"/>
      <c r="I7961" s="42"/>
      <c r="J7961" s="42"/>
    </row>
    <row r="7962" spans="5:10">
      <c r="E7962" s="43">
        <v>45353.333333306946</v>
      </c>
      <c r="F7962" s="41">
        <v>10.616058752569032</v>
      </c>
      <c r="G7962" s="41">
        <v>0</v>
      </c>
      <c r="H7962" s="42"/>
      <c r="I7962" s="42"/>
      <c r="J7962" s="42"/>
    </row>
    <row r="7963" spans="5:10">
      <c r="E7963" s="43">
        <v>45353.336805529165</v>
      </c>
      <c r="F7963" s="41">
        <v>10.616058752569032</v>
      </c>
      <c r="G7963" s="41">
        <v>0</v>
      </c>
      <c r="H7963" s="42"/>
      <c r="I7963" s="42"/>
      <c r="J7963" s="42"/>
    </row>
    <row r="7964" spans="5:10">
      <c r="E7964" s="43">
        <v>45353.340277751384</v>
      </c>
      <c r="F7964" s="41">
        <v>10.616058752569032</v>
      </c>
      <c r="G7964" s="41">
        <v>0</v>
      </c>
      <c r="H7964" s="42"/>
      <c r="I7964" s="42"/>
      <c r="J7964" s="42"/>
    </row>
    <row r="7965" spans="5:10">
      <c r="E7965" s="43">
        <v>45353.343749973603</v>
      </c>
      <c r="F7965" s="41">
        <v>10.616058752569032</v>
      </c>
      <c r="G7965" s="41">
        <v>0</v>
      </c>
      <c r="H7965" s="42"/>
      <c r="I7965" s="42"/>
      <c r="J7965" s="42"/>
    </row>
    <row r="7966" spans="5:10">
      <c r="E7966" s="43">
        <v>45353.347222195822</v>
      </c>
      <c r="F7966" s="41">
        <v>10.616058752569032</v>
      </c>
      <c r="G7966" s="41">
        <v>0</v>
      </c>
      <c r="H7966" s="42"/>
      <c r="I7966" s="42"/>
      <c r="J7966" s="42"/>
    </row>
    <row r="7967" spans="5:10">
      <c r="E7967" s="43">
        <v>45353.350694418041</v>
      </c>
      <c r="F7967" s="41">
        <v>10.616058752569032</v>
      </c>
      <c r="G7967" s="41">
        <v>0</v>
      </c>
      <c r="H7967" s="42"/>
      <c r="I7967" s="42"/>
      <c r="J7967" s="42"/>
    </row>
    <row r="7968" spans="5:10">
      <c r="E7968" s="43">
        <v>45353.35416664026</v>
      </c>
      <c r="F7968" s="41">
        <v>10.616058752569032</v>
      </c>
      <c r="G7968" s="41">
        <v>0</v>
      </c>
      <c r="H7968" s="42"/>
      <c r="I7968" s="42"/>
      <c r="J7968" s="42"/>
    </row>
    <row r="7969" spans="5:10">
      <c r="E7969" s="43">
        <v>45353.357638862479</v>
      </c>
      <c r="F7969" s="41">
        <v>10.616058752569032</v>
      </c>
      <c r="G7969" s="41">
        <v>0</v>
      </c>
      <c r="H7969" s="42"/>
      <c r="I7969" s="42"/>
      <c r="J7969" s="42"/>
    </row>
    <row r="7970" spans="5:10">
      <c r="E7970" s="43">
        <v>45353.361111084698</v>
      </c>
      <c r="F7970" s="41">
        <v>10.616058752569032</v>
      </c>
      <c r="G7970" s="41">
        <v>0</v>
      </c>
      <c r="H7970" s="42"/>
      <c r="I7970" s="42"/>
      <c r="J7970" s="42"/>
    </row>
    <row r="7971" spans="5:10">
      <c r="E7971" s="43">
        <v>45353.364583306917</v>
      </c>
      <c r="F7971" s="41">
        <v>10.616058752569032</v>
      </c>
      <c r="G7971" s="41">
        <v>0</v>
      </c>
      <c r="H7971" s="42"/>
      <c r="I7971" s="42"/>
      <c r="J7971" s="42"/>
    </row>
    <row r="7972" spans="5:10">
      <c r="E7972" s="43">
        <v>45353.368055529136</v>
      </c>
      <c r="F7972" s="41">
        <v>10.616058752569032</v>
      </c>
      <c r="G7972" s="41">
        <v>0</v>
      </c>
      <c r="H7972" s="42"/>
      <c r="I7972" s="42"/>
      <c r="J7972" s="42"/>
    </row>
    <row r="7973" spans="5:10">
      <c r="E7973" s="43">
        <v>45353.371527751355</v>
      </c>
      <c r="F7973" s="41">
        <v>10.616058752569032</v>
      </c>
      <c r="G7973" s="41">
        <v>0</v>
      </c>
      <c r="H7973" s="42"/>
      <c r="I7973" s="42"/>
      <c r="J7973" s="42"/>
    </row>
    <row r="7974" spans="5:10">
      <c r="E7974" s="43">
        <v>45353.374999973574</v>
      </c>
      <c r="F7974" s="41">
        <v>10.616058752569032</v>
      </c>
      <c r="G7974" s="41">
        <v>0</v>
      </c>
      <c r="H7974" s="42"/>
      <c r="I7974" s="42"/>
      <c r="J7974" s="42"/>
    </row>
    <row r="7975" spans="5:10">
      <c r="E7975" s="43">
        <v>45353.378472195793</v>
      </c>
      <c r="F7975" s="41">
        <v>10.616058752569032</v>
      </c>
      <c r="G7975" s="41">
        <v>0</v>
      </c>
      <c r="H7975" s="42"/>
      <c r="I7975" s="42"/>
      <c r="J7975" s="42"/>
    </row>
    <row r="7976" spans="5:10">
      <c r="E7976" s="43">
        <v>45353.381944418012</v>
      </c>
      <c r="F7976" s="41">
        <v>10.616058752569032</v>
      </c>
      <c r="G7976" s="41">
        <v>0</v>
      </c>
      <c r="H7976" s="42"/>
      <c r="I7976" s="42"/>
      <c r="J7976" s="42"/>
    </row>
    <row r="7977" spans="5:10">
      <c r="E7977" s="43">
        <v>45353.385416640231</v>
      </c>
      <c r="F7977" s="41">
        <v>10.616058752569032</v>
      </c>
      <c r="G7977" s="41">
        <v>0</v>
      </c>
      <c r="H7977" s="42"/>
      <c r="I7977" s="42"/>
      <c r="J7977" s="42"/>
    </row>
    <row r="7978" spans="5:10">
      <c r="E7978" s="43">
        <v>45353.38888886245</v>
      </c>
      <c r="F7978" s="41">
        <v>10.616058752569032</v>
      </c>
      <c r="G7978" s="41">
        <v>0</v>
      </c>
      <c r="H7978" s="42"/>
      <c r="I7978" s="42"/>
      <c r="J7978" s="42"/>
    </row>
    <row r="7979" spans="5:10">
      <c r="E7979" s="43">
        <v>45353.392361084669</v>
      </c>
      <c r="F7979" s="41">
        <v>10.616058752569032</v>
      </c>
      <c r="G7979" s="41">
        <v>0</v>
      </c>
      <c r="H7979" s="42"/>
      <c r="I7979" s="42"/>
      <c r="J7979" s="42"/>
    </row>
    <row r="7980" spans="5:10">
      <c r="E7980" s="43">
        <v>45353.395833306888</v>
      </c>
      <c r="F7980" s="41">
        <v>10.616058752569032</v>
      </c>
      <c r="G7980" s="41">
        <v>0</v>
      </c>
      <c r="H7980" s="42"/>
      <c r="I7980" s="42"/>
      <c r="J7980" s="42"/>
    </row>
    <row r="7981" spans="5:10">
      <c r="E7981" s="43">
        <v>45353.399305529107</v>
      </c>
      <c r="F7981" s="41">
        <v>10.616058752569032</v>
      </c>
      <c r="G7981" s="41">
        <v>0</v>
      </c>
      <c r="H7981" s="42"/>
      <c r="I7981" s="42"/>
      <c r="J7981" s="42"/>
    </row>
    <row r="7982" spans="5:10">
      <c r="E7982" s="43">
        <v>45353.402777751326</v>
      </c>
      <c r="F7982" s="41">
        <v>10.616058752569032</v>
      </c>
      <c r="G7982" s="41">
        <v>0</v>
      </c>
      <c r="H7982" s="42"/>
      <c r="I7982" s="42"/>
      <c r="J7982" s="42"/>
    </row>
    <row r="7983" spans="5:10">
      <c r="E7983" s="43">
        <v>45353.406249973545</v>
      </c>
      <c r="F7983" s="41">
        <v>10.616058752569032</v>
      </c>
      <c r="G7983" s="41">
        <v>0</v>
      </c>
      <c r="H7983" s="42"/>
      <c r="I7983" s="42"/>
      <c r="J7983" s="42"/>
    </row>
    <row r="7984" spans="5:10">
      <c r="E7984" s="43">
        <v>45353.409722195764</v>
      </c>
      <c r="F7984" s="41">
        <v>10.616058752569032</v>
      </c>
      <c r="G7984" s="41">
        <v>0</v>
      </c>
      <c r="H7984" s="42"/>
      <c r="I7984" s="42"/>
      <c r="J7984" s="42"/>
    </row>
    <row r="7985" spans="5:10">
      <c r="E7985" s="43">
        <v>45353.413194417983</v>
      </c>
      <c r="F7985" s="41">
        <v>10.616058752569032</v>
      </c>
      <c r="G7985" s="41">
        <v>0</v>
      </c>
      <c r="H7985" s="42"/>
      <c r="I7985" s="42"/>
      <c r="J7985" s="42"/>
    </row>
    <row r="7986" spans="5:10">
      <c r="E7986" s="43">
        <v>45353.416666640202</v>
      </c>
      <c r="F7986" s="41">
        <v>10.616058752569032</v>
      </c>
      <c r="G7986" s="41">
        <v>0</v>
      </c>
      <c r="H7986" s="42"/>
      <c r="I7986" s="42"/>
      <c r="J7986" s="42"/>
    </row>
    <row r="7987" spans="5:10">
      <c r="E7987" s="43">
        <v>45353.420138862421</v>
      </c>
      <c r="F7987" s="41">
        <v>10.616058752569032</v>
      </c>
      <c r="G7987" s="41">
        <v>0</v>
      </c>
      <c r="H7987" s="42"/>
      <c r="I7987" s="42"/>
      <c r="J7987" s="42"/>
    </row>
    <row r="7988" spans="5:10">
      <c r="E7988" s="43">
        <v>45353.42361108464</v>
      </c>
      <c r="F7988" s="41">
        <v>10.616058752569032</v>
      </c>
      <c r="G7988" s="41">
        <v>0</v>
      </c>
      <c r="H7988" s="42"/>
      <c r="I7988" s="42"/>
      <c r="J7988" s="42"/>
    </row>
    <row r="7989" spans="5:10">
      <c r="E7989" s="43">
        <v>45353.427083306859</v>
      </c>
      <c r="F7989" s="41">
        <v>10.616058752569032</v>
      </c>
      <c r="G7989" s="41">
        <v>0</v>
      </c>
      <c r="H7989" s="42"/>
      <c r="I7989" s="42"/>
      <c r="J7989" s="42"/>
    </row>
    <row r="7990" spans="5:10">
      <c r="E7990" s="43">
        <v>45353.430555529078</v>
      </c>
      <c r="F7990" s="41">
        <v>10.616058752569032</v>
      </c>
      <c r="G7990" s="41">
        <v>0</v>
      </c>
      <c r="H7990" s="42"/>
      <c r="I7990" s="42"/>
      <c r="J7990" s="42"/>
    </row>
    <row r="7991" spans="5:10">
      <c r="E7991" s="43">
        <v>45353.434027751297</v>
      </c>
      <c r="F7991" s="41">
        <v>10.616058752569032</v>
      </c>
      <c r="G7991" s="41">
        <v>0</v>
      </c>
      <c r="H7991" s="42"/>
      <c r="I7991" s="42"/>
      <c r="J7991" s="42"/>
    </row>
    <row r="7992" spans="5:10">
      <c r="E7992" s="43">
        <v>45353.437499973516</v>
      </c>
      <c r="F7992" s="41">
        <v>10.616058752569032</v>
      </c>
      <c r="G7992" s="41">
        <v>0</v>
      </c>
      <c r="H7992" s="42"/>
      <c r="I7992" s="42"/>
      <c r="J7992" s="42"/>
    </row>
    <row r="7993" spans="5:10">
      <c r="E7993" s="43">
        <v>45353.440972195735</v>
      </c>
      <c r="F7993" s="41">
        <v>10.616058752569032</v>
      </c>
      <c r="G7993" s="41">
        <v>0</v>
      </c>
      <c r="H7993" s="42"/>
      <c r="I7993" s="42"/>
      <c r="J7993" s="42"/>
    </row>
    <row r="7994" spans="5:10">
      <c r="E7994" s="43">
        <v>45353.444444417953</v>
      </c>
      <c r="F7994" s="41">
        <v>10.616058752569032</v>
      </c>
      <c r="G7994" s="41">
        <v>0</v>
      </c>
      <c r="H7994" s="42"/>
      <c r="I7994" s="42"/>
      <c r="J7994" s="42"/>
    </row>
    <row r="7995" spans="5:10">
      <c r="E7995" s="43">
        <v>45353.447916640172</v>
      </c>
      <c r="F7995" s="41">
        <v>10.616058752569032</v>
      </c>
      <c r="G7995" s="41">
        <v>0</v>
      </c>
      <c r="H7995" s="42"/>
      <c r="I7995" s="42"/>
      <c r="J7995" s="42"/>
    </row>
    <row r="7996" spans="5:10">
      <c r="E7996" s="43">
        <v>45353.451388862391</v>
      </c>
      <c r="F7996" s="41">
        <v>10.616058752569032</v>
      </c>
      <c r="G7996" s="41">
        <v>0</v>
      </c>
      <c r="H7996" s="42"/>
      <c r="I7996" s="42"/>
      <c r="J7996" s="42"/>
    </row>
    <row r="7997" spans="5:10">
      <c r="E7997" s="43">
        <v>45353.45486108461</v>
      </c>
      <c r="F7997" s="41">
        <v>10.616058752569032</v>
      </c>
      <c r="G7997" s="41">
        <v>0</v>
      </c>
      <c r="H7997" s="42"/>
      <c r="I7997" s="42"/>
      <c r="J7997" s="42"/>
    </row>
    <row r="7998" spans="5:10">
      <c r="E7998" s="43">
        <v>45353.458333306829</v>
      </c>
      <c r="F7998" s="41">
        <v>10.616058752569032</v>
      </c>
      <c r="G7998" s="41">
        <v>0</v>
      </c>
      <c r="H7998" s="42"/>
      <c r="I7998" s="42"/>
      <c r="J7998" s="42"/>
    </row>
    <row r="7999" spans="5:10">
      <c r="E7999" s="43">
        <v>45353.461805529048</v>
      </c>
      <c r="F7999" s="41">
        <v>10.616058752569032</v>
      </c>
      <c r="G7999" s="41">
        <v>0</v>
      </c>
      <c r="H7999" s="42"/>
      <c r="I7999" s="42"/>
      <c r="J7999" s="42"/>
    </row>
    <row r="8000" spans="5:10">
      <c r="E8000" s="43">
        <v>45353.465277751267</v>
      </c>
      <c r="F8000" s="41">
        <v>10.616058752569032</v>
      </c>
      <c r="G8000" s="41">
        <v>0</v>
      </c>
      <c r="H8000" s="42"/>
      <c r="I8000" s="42"/>
      <c r="J8000" s="42"/>
    </row>
    <row r="8001" spans="5:10">
      <c r="E8001" s="43">
        <v>45353.468749973486</v>
      </c>
      <c r="F8001" s="41">
        <v>10.616058752569032</v>
      </c>
      <c r="G8001" s="41">
        <v>0</v>
      </c>
      <c r="H8001" s="42"/>
      <c r="I8001" s="42"/>
      <c r="J8001" s="42"/>
    </row>
    <row r="8002" spans="5:10">
      <c r="E8002" s="43">
        <v>45353.472222195705</v>
      </c>
      <c r="F8002" s="41">
        <v>10.616058752569032</v>
      </c>
      <c r="G8002" s="41">
        <v>0</v>
      </c>
      <c r="H8002" s="42"/>
      <c r="I8002" s="42"/>
      <c r="J8002" s="42"/>
    </row>
    <row r="8003" spans="5:10">
      <c r="E8003" s="43">
        <v>45353.475694417924</v>
      </c>
      <c r="F8003" s="41">
        <v>10.616058752569032</v>
      </c>
      <c r="G8003" s="41">
        <v>0</v>
      </c>
      <c r="H8003" s="42"/>
      <c r="I8003" s="42"/>
      <c r="J8003" s="42"/>
    </row>
    <row r="8004" spans="5:10">
      <c r="E8004" s="43">
        <v>45353.479166640143</v>
      </c>
      <c r="F8004" s="41">
        <v>10.616058752569032</v>
      </c>
      <c r="G8004" s="41">
        <v>0</v>
      </c>
      <c r="H8004" s="42"/>
      <c r="I8004" s="42"/>
      <c r="J8004" s="42"/>
    </row>
    <row r="8005" spans="5:10">
      <c r="E8005" s="43">
        <v>45353.482638862362</v>
      </c>
      <c r="F8005" s="41">
        <v>10.616058752569032</v>
      </c>
      <c r="G8005" s="41">
        <v>0</v>
      </c>
      <c r="H8005" s="42"/>
      <c r="I8005" s="42"/>
      <c r="J8005" s="42"/>
    </row>
    <row r="8006" spans="5:10">
      <c r="E8006" s="43">
        <v>45353.486111084581</v>
      </c>
      <c r="F8006" s="41">
        <v>10.616058752569032</v>
      </c>
      <c r="G8006" s="41">
        <v>0</v>
      </c>
      <c r="H8006" s="42"/>
      <c r="I8006" s="42"/>
      <c r="J8006" s="42"/>
    </row>
    <row r="8007" spans="5:10">
      <c r="E8007" s="43">
        <v>45353.4895833068</v>
      </c>
      <c r="F8007" s="41">
        <v>10.616058752569032</v>
      </c>
      <c r="G8007" s="41">
        <v>0</v>
      </c>
      <c r="H8007" s="42"/>
      <c r="I8007" s="42"/>
      <c r="J8007" s="42"/>
    </row>
    <row r="8008" spans="5:10">
      <c r="E8008" s="43">
        <v>45353.493055529019</v>
      </c>
      <c r="F8008" s="41">
        <v>10.616058752569032</v>
      </c>
      <c r="G8008" s="41">
        <v>0</v>
      </c>
      <c r="H8008" s="42"/>
      <c r="I8008" s="42"/>
      <c r="J8008" s="42"/>
    </row>
    <row r="8009" spans="5:10">
      <c r="E8009" s="43">
        <v>45353.496527751238</v>
      </c>
      <c r="F8009" s="41">
        <v>10.616058752569032</v>
      </c>
      <c r="G8009" s="41">
        <v>0</v>
      </c>
      <c r="H8009" s="42"/>
      <c r="I8009" s="42"/>
      <c r="J8009" s="42"/>
    </row>
    <row r="8010" spans="5:10">
      <c r="E8010" s="43">
        <v>45353.499999973457</v>
      </c>
      <c r="F8010" s="41">
        <v>10.616058752569032</v>
      </c>
      <c r="G8010" s="41">
        <v>0</v>
      </c>
      <c r="H8010" s="42"/>
      <c r="I8010" s="42"/>
      <c r="J8010" s="42"/>
    </row>
    <row r="8011" spans="5:10">
      <c r="E8011" s="43">
        <v>45353.503472195676</v>
      </c>
      <c r="F8011" s="41">
        <v>10.616058752569032</v>
      </c>
      <c r="G8011" s="41">
        <v>0</v>
      </c>
      <c r="H8011" s="42"/>
      <c r="I8011" s="42"/>
      <c r="J8011" s="42"/>
    </row>
    <row r="8012" spans="5:10">
      <c r="E8012" s="43">
        <v>45353.506944417895</v>
      </c>
      <c r="F8012" s="41">
        <v>10.616058752569032</v>
      </c>
      <c r="G8012" s="41">
        <v>0</v>
      </c>
      <c r="H8012" s="42"/>
      <c r="I8012" s="42"/>
      <c r="J8012" s="42"/>
    </row>
    <row r="8013" spans="5:10">
      <c r="E8013" s="43">
        <v>45353.510416640114</v>
      </c>
      <c r="F8013" s="41">
        <v>10.616058752569032</v>
      </c>
      <c r="G8013" s="41">
        <v>0</v>
      </c>
      <c r="H8013" s="42"/>
      <c r="I8013" s="42"/>
      <c r="J8013" s="42"/>
    </row>
    <row r="8014" spans="5:10">
      <c r="E8014" s="43">
        <v>45353.513888862333</v>
      </c>
      <c r="F8014" s="41">
        <v>10.616058752569032</v>
      </c>
      <c r="G8014" s="41">
        <v>0</v>
      </c>
      <c r="H8014" s="42"/>
      <c r="I8014" s="42"/>
      <c r="J8014" s="42"/>
    </row>
    <row r="8015" spans="5:10">
      <c r="E8015" s="43">
        <v>45353.517361084552</v>
      </c>
      <c r="F8015" s="41">
        <v>10.616058752569032</v>
      </c>
      <c r="G8015" s="41">
        <v>0</v>
      </c>
      <c r="H8015" s="42"/>
      <c r="I8015" s="42"/>
      <c r="J8015" s="42"/>
    </row>
    <row r="8016" spans="5:10">
      <c r="E8016" s="43">
        <v>45353.520833306771</v>
      </c>
      <c r="F8016" s="41">
        <v>10.616058752569032</v>
      </c>
      <c r="G8016" s="41">
        <v>0</v>
      </c>
      <c r="H8016" s="42"/>
      <c r="I8016" s="42"/>
      <c r="J8016" s="42"/>
    </row>
    <row r="8017" spans="5:10">
      <c r="E8017" s="43">
        <v>45353.52430552899</v>
      </c>
      <c r="F8017" s="41">
        <v>10.616058752569032</v>
      </c>
      <c r="G8017" s="41">
        <v>0</v>
      </c>
      <c r="H8017" s="42"/>
      <c r="I8017" s="42"/>
      <c r="J8017" s="42"/>
    </row>
    <row r="8018" spans="5:10">
      <c r="E8018" s="43">
        <v>45353.527777751209</v>
      </c>
      <c r="F8018" s="41">
        <v>10.616058752569032</v>
      </c>
      <c r="G8018" s="41">
        <v>0</v>
      </c>
      <c r="H8018" s="42"/>
      <c r="I8018" s="42"/>
      <c r="J8018" s="42"/>
    </row>
    <row r="8019" spans="5:10">
      <c r="E8019" s="43">
        <v>45353.531249973428</v>
      </c>
      <c r="F8019" s="41">
        <v>10.616058752569032</v>
      </c>
      <c r="G8019" s="41">
        <v>0</v>
      </c>
      <c r="H8019" s="42"/>
      <c r="I8019" s="42"/>
      <c r="J8019" s="42"/>
    </row>
    <row r="8020" spans="5:10">
      <c r="E8020" s="43">
        <v>45353.534722195647</v>
      </c>
      <c r="F8020" s="41">
        <v>10.616058752569032</v>
      </c>
      <c r="G8020" s="41">
        <v>0</v>
      </c>
      <c r="H8020" s="42"/>
      <c r="I8020" s="42"/>
      <c r="J8020" s="42"/>
    </row>
    <row r="8021" spans="5:10">
      <c r="E8021" s="43">
        <v>45353.538194417866</v>
      </c>
      <c r="F8021" s="41">
        <v>10.616058752569032</v>
      </c>
      <c r="G8021" s="41">
        <v>0</v>
      </c>
      <c r="H8021" s="42"/>
      <c r="I8021" s="42"/>
      <c r="J8021" s="42"/>
    </row>
    <row r="8022" spans="5:10">
      <c r="E8022" s="43">
        <v>45353.541666640085</v>
      </c>
      <c r="F8022" s="41">
        <v>10.616058752569032</v>
      </c>
      <c r="G8022" s="41">
        <v>0</v>
      </c>
      <c r="H8022" s="42"/>
      <c r="I8022" s="42"/>
      <c r="J8022" s="42"/>
    </row>
    <row r="8023" spans="5:10">
      <c r="E8023" s="43">
        <v>45353.545138862304</v>
      </c>
      <c r="F8023" s="41">
        <v>10.616058752569032</v>
      </c>
      <c r="G8023" s="41">
        <v>0</v>
      </c>
      <c r="H8023" s="42"/>
      <c r="I8023" s="42"/>
      <c r="J8023" s="42"/>
    </row>
    <row r="8024" spans="5:10">
      <c r="E8024" s="43">
        <v>45353.548611084523</v>
      </c>
      <c r="F8024" s="41">
        <v>10.616058752569032</v>
      </c>
      <c r="G8024" s="41">
        <v>0</v>
      </c>
      <c r="H8024" s="42"/>
      <c r="I8024" s="42"/>
      <c r="J8024" s="42"/>
    </row>
    <row r="8025" spans="5:10">
      <c r="E8025" s="43">
        <v>45353.552083306742</v>
      </c>
      <c r="F8025" s="41">
        <v>10.616058752569032</v>
      </c>
      <c r="G8025" s="41">
        <v>0</v>
      </c>
      <c r="H8025" s="42"/>
      <c r="I8025" s="42"/>
      <c r="J8025" s="42"/>
    </row>
    <row r="8026" spans="5:10">
      <c r="E8026" s="43">
        <v>45353.555555528961</v>
      </c>
      <c r="F8026" s="41">
        <v>10.616058752569032</v>
      </c>
      <c r="G8026" s="41">
        <v>0</v>
      </c>
      <c r="H8026" s="42"/>
      <c r="I8026" s="42"/>
      <c r="J8026" s="42"/>
    </row>
    <row r="8027" spans="5:10">
      <c r="E8027" s="43">
        <v>45353.55902775118</v>
      </c>
      <c r="F8027" s="41">
        <v>10.616058752569032</v>
      </c>
      <c r="G8027" s="41">
        <v>0</v>
      </c>
      <c r="H8027" s="42"/>
      <c r="I8027" s="42"/>
      <c r="J8027" s="42"/>
    </row>
    <row r="8028" spans="5:10">
      <c r="E8028" s="43">
        <v>45353.562499973399</v>
      </c>
      <c r="F8028" s="41">
        <v>10.616058752569032</v>
      </c>
      <c r="G8028" s="41">
        <v>0</v>
      </c>
      <c r="H8028" s="42"/>
      <c r="I8028" s="42"/>
      <c r="J8028" s="42"/>
    </row>
    <row r="8029" spans="5:10">
      <c r="E8029" s="43">
        <v>45353.565972195618</v>
      </c>
      <c r="F8029" s="41">
        <v>10.616058752569032</v>
      </c>
      <c r="G8029" s="41">
        <v>0</v>
      </c>
      <c r="H8029" s="42"/>
      <c r="I8029" s="42"/>
      <c r="J8029" s="42"/>
    </row>
    <row r="8030" spans="5:10">
      <c r="E8030" s="43">
        <v>45353.569444417837</v>
      </c>
      <c r="F8030" s="41">
        <v>10.616058752569032</v>
      </c>
      <c r="G8030" s="41">
        <v>0</v>
      </c>
      <c r="H8030" s="42"/>
      <c r="I8030" s="42"/>
      <c r="J8030" s="42"/>
    </row>
    <row r="8031" spans="5:10">
      <c r="E8031" s="43">
        <v>45353.572916640056</v>
      </c>
      <c r="F8031" s="41">
        <v>10.616058752569032</v>
      </c>
      <c r="G8031" s="41">
        <v>0</v>
      </c>
      <c r="H8031" s="42"/>
      <c r="I8031" s="42"/>
      <c r="J8031" s="42"/>
    </row>
    <row r="8032" spans="5:10">
      <c r="E8032" s="43">
        <v>45353.576388862275</v>
      </c>
      <c r="F8032" s="41">
        <v>10.616058752569032</v>
      </c>
      <c r="G8032" s="41">
        <v>0</v>
      </c>
      <c r="H8032" s="42"/>
      <c r="I8032" s="42"/>
      <c r="J8032" s="42"/>
    </row>
    <row r="8033" spans="5:10">
      <c r="E8033" s="43">
        <v>45353.579861084494</v>
      </c>
      <c r="F8033" s="41">
        <v>10.616058752569032</v>
      </c>
      <c r="G8033" s="41">
        <v>0</v>
      </c>
      <c r="H8033" s="42"/>
      <c r="I8033" s="42"/>
      <c r="J8033" s="42"/>
    </row>
    <row r="8034" spans="5:10">
      <c r="E8034" s="43">
        <v>45353.583333306713</v>
      </c>
      <c r="F8034" s="41">
        <v>10.616058752569032</v>
      </c>
      <c r="G8034" s="41">
        <v>0</v>
      </c>
      <c r="H8034" s="42"/>
      <c r="I8034" s="42"/>
      <c r="J8034" s="42"/>
    </row>
    <row r="8035" spans="5:10">
      <c r="E8035" s="43">
        <v>45353.586805528932</v>
      </c>
      <c r="F8035" s="41">
        <v>10.616058752569032</v>
      </c>
      <c r="G8035" s="41">
        <v>0</v>
      </c>
      <c r="H8035" s="42"/>
      <c r="I8035" s="42"/>
      <c r="J8035" s="42"/>
    </row>
    <row r="8036" spans="5:10">
      <c r="E8036" s="43">
        <v>45353.590277751151</v>
      </c>
      <c r="F8036" s="41">
        <v>10.616058752569032</v>
      </c>
      <c r="G8036" s="41">
        <v>0</v>
      </c>
      <c r="H8036" s="42"/>
      <c r="I8036" s="42"/>
      <c r="J8036" s="42"/>
    </row>
    <row r="8037" spans="5:10">
      <c r="E8037" s="43">
        <v>45353.59374997337</v>
      </c>
      <c r="F8037" s="41">
        <v>10.616058752569032</v>
      </c>
      <c r="G8037" s="41">
        <v>0</v>
      </c>
      <c r="H8037" s="42"/>
      <c r="I8037" s="42"/>
      <c r="J8037" s="42"/>
    </row>
    <row r="8038" spans="5:10">
      <c r="E8038" s="43">
        <v>45353.597222195589</v>
      </c>
      <c r="F8038" s="41">
        <v>10.616058752569032</v>
      </c>
      <c r="G8038" s="41">
        <v>0</v>
      </c>
      <c r="H8038" s="42"/>
      <c r="I8038" s="42"/>
      <c r="J8038" s="42"/>
    </row>
    <row r="8039" spans="5:10">
      <c r="E8039" s="43">
        <v>45353.600694417808</v>
      </c>
      <c r="F8039" s="41">
        <v>10.616058752569032</v>
      </c>
      <c r="G8039" s="41">
        <v>0</v>
      </c>
      <c r="H8039" s="42"/>
      <c r="I8039" s="42"/>
      <c r="J8039" s="42"/>
    </row>
    <row r="8040" spans="5:10">
      <c r="E8040" s="43">
        <v>45353.604166640027</v>
      </c>
      <c r="F8040" s="41">
        <v>10.616058752569032</v>
      </c>
      <c r="G8040" s="41">
        <v>0</v>
      </c>
      <c r="H8040" s="42"/>
      <c r="I8040" s="42"/>
      <c r="J8040" s="42"/>
    </row>
    <row r="8041" spans="5:10">
      <c r="E8041" s="43">
        <v>45353.607638862246</v>
      </c>
      <c r="F8041" s="41">
        <v>10.616058752569032</v>
      </c>
      <c r="G8041" s="41">
        <v>0</v>
      </c>
      <c r="H8041" s="42"/>
      <c r="I8041" s="42"/>
      <c r="J8041" s="42"/>
    </row>
    <row r="8042" spans="5:10">
      <c r="E8042" s="43">
        <v>45353.611111084465</v>
      </c>
      <c r="F8042" s="41">
        <v>10.616058752569032</v>
      </c>
      <c r="G8042" s="41">
        <v>0</v>
      </c>
      <c r="H8042" s="42"/>
      <c r="I8042" s="42"/>
      <c r="J8042" s="42"/>
    </row>
    <row r="8043" spans="5:10">
      <c r="E8043" s="43">
        <v>45353.614583306684</v>
      </c>
      <c r="F8043" s="41">
        <v>10.616058752569032</v>
      </c>
      <c r="G8043" s="41">
        <v>0</v>
      </c>
      <c r="H8043" s="42"/>
      <c r="I8043" s="42"/>
      <c r="J8043" s="42"/>
    </row>
    <row r="8044" spans="5:10">
      <c r="E8044" s="43">
        <v>45353.618055528903</v>
      </c>
      <c r="F8044" s="41">
        <v>10.616058752569032</v>
      </c>
      <c r="G8044" s="41">
        <v>0</v>
      </c>
      <c r="H8044" s="42"/>
      <c r="I8044" s="42"/>
      <c r="J8044" s="42"/>
    </row>
    <row r="8045" spans="5:10">
      <c r="E8045" s="43">
        <v>45353.621527751122</v>
      </c>
      <c r="F8045" s="41">
        <v>10.616058752569032</v>
      </c>
      <c r="G8045" s="41">
        <v>0</v>
      </c>
      <c r="H8045" s="42"/>
      <c r="I8045" s="42"/>
      <c r="J8045" s="42"/>
    </row>
    <row r="8046" spans="5:10">
      <c r="E8046" s="43">
        <v>45353.624999973341</v>
      </c>
      <c r="F8046" s="41">
        <v>10.616058752569032</v>
      </c>
      <c r="G8046" s="41">
        <v>0</v>
      </c>
      <c r="H8046" s="42"/>
      <c r="I8046" s="42"/>
      <c r="J8046" s="42"/>
    </row>
    <row r="8047" spans="5:10">
      <c r="E8047" s="43">
        <v>45353.62847219556</v>
      </c>
      <c r="F8047" s="41">
        <v>10.616058752569032</v>
      </c>
      <c r="G8047" s="41">
        <v>0</v>
      </c>
      <c r="H8047" s="42"/>
      <c r="I8047" s="42"/>
      <c r="J8047" s="42"/>
    </row>
    <row r="8048" spans="5:10">
      <c r="E8048" s="43">
        <v>45353.631944417779</v>
      </c>
      <c r="F8048" s="41">
        <v>10.616058752569032</v>
      </c>
      <c r="G8048" s="41">
        <v>0</v>
      </c>
      <c r="H8048" s="42"/>
      <c r="I8048" s="42"/>
      <c r="J8048" s="42"/>
    </row>
    <row r="8049" spans="5:10">
      <c r="E8049" s="43">
        <v>45353.635416639998</v>
      </c>
      <c r="F8049" s="41">
        <v>10.616058752569032</v>
      </c>
      <c r="G8049" s="41">
        <v>0</v>
      </c>
      <c r="H8049" s="42"/>
      <c r="I8049" s="42"/>
      <c r="J8049" s="42"/>
    </row>
    <row r="8050" spans="5:10">
      <c r="E8050" s="43">
        <v>45353.638888862217</v>
      </c>
      <c r="F8050" s="41">
        <v>10.616058752569032</v>
      </c>
      <c r="G8050" s="41">
        <v>0</v>
      </c>
      <c r="H8050" s="42"/>
      <c r="I8050" s="42"/>
      <c r="J8050" s="42"/>
    </row>
    <row r="8051" spans="5:10">
      <c r="E8051" s="43">
        <v>45353.642361084436</v>
      </c>
      <c r="F8051" s="41">
        <v>10.616058752569032</v>
      </c>
      <c r="G8051" s="41">
        <v>0</v>
      </c>
      <c r="H8051" s="42"/>
      <c r="I8051" s="42"/>
      <c r="J8051" s="42"/>
    </row>
    <row r="8052" spans="5:10">
      <c r="E8052" s="43">
        <v>45353.645833306655</v>
      </c>
      <c r="F8052" s="41">
        <v>10.616058752569032</v>
      </c>
      <c r="G8052" s="41">
        <v>0</v>
      </c>
      <c r="H8052" s="42"/>
      <c r="I8052" s="42"/>
      <c r="J8052" s="42"/>
    </row>
    <row r="8053" spans="5:10">
      <c r="E8053" s="43">
        <v>45353.649305528874</v>
      </c>
      <c r="F8053" s="41">
        <v>10.616058752569032</v>
      </c>
      <c r="G8053" s="41">
        <v>0</v>
      </c>
      <c r="H8053" s="42"/>
      <c r="I8053" s="42"/>
      <c r="J8053" s="42"/>
    </row>
    <row r="8054" spans="5:10">
      <c r="E8054" s="43">
        <v>45353.652777751093</v>
      </c>
      <c r="F8054" s="41">
        <v>10.616058752569032</v>
      </c>
      <c r="G8054" s="41">
        <v>0</v>
      </c>
      <c r="H8054" s="42"/>
      <c r="I8054" s="42"/>
      <c r="J8054" s="42"/>
    </row>
    <row r="8055" spans="5:10">
      <c r="E8055" s="43">
        <v>45353.656249973312</v>
      </c>
      <c r="F8055" s="41">
        <v>10.616058752569032</v>
      </c>
      <c r="G8055" s="41">
        <v>0</v>
      </c>
      <c r="H8055" s="42"/>
      <c r="I8055" s="42"/>
      <c r="J8055" s="42"/>
    </row>
    <row r="8056" spans="5:10">
      <c r="E8056" s="43">
        <v>45353.659722195531</v>
      </c>
      <c r="F8056" s="41">
        <v>10.616058752569032</v>
      </c>
      <c r="G8056" s="41">
        <v>0</v>
      </c>
      <c r="H8056" s="42"/>
      <c r="I8056" s="42"/>
      <c r="J8056" s="42"/>
    </row>
    <row r="8057" spans="5:10">
      <c r="E8057" s="43">
        <v>45353.66319441775</v>
      </c>
      <c r="F8057" s="41">
        <v>10.616058752569032</v>
      </c>
      <c r="G8057" s="41">
        <v>0</v>
      </c>
      <c r="H8057" s="42"/>
      <c r="I8057" s="42"/>
      <c r="J8057" s="42"/>
    </row>
    <row r="8058" spans="5:10">
      <c r="E8058" s="43">
        <v>45353.666666639969</v>
      </c>
      <c r="F8058" s="41">
        <v>10.616058752569032</v>
      </c>
      <c r="G8058" s="41">
        <v>0</v>
      </c>
      <c r="H8058" s="42"/>
      <c r="I8058" s="42"/>
      <c r="J8058" s="42"/>
    </row>
    <row r="8059" spans="5:10">
      <c r="E8059" s="43">
        <v>45353.670138862188</v>
      </c>
      <c r="F8059" s="41">
        <v>10.616058752569032</v>
      </c>
      <c r="G8059" s="41">
        <v>0</v>
      </c>
      <c r="H8059" s="42"/>
      <c r="I8059" s="42"/>
      <c r="J8059" s="42"/>
    </row>
    <row r="8060" spans="5:10">
      <c r="E8060" s="43">
        <v>45353.673611084407</v>
      </c>
      <c r="F8060" s="41">
        <v>10.616058752569032</v>
      </c>
      <c r="G8060" s="41">
        <v>0</v>
      </c>
      <c r="H8060" s="42"/>
      <c r="I8060" s="42"/>
      <c r="J8060" s="42"/>
    </row>
    <row r="8061" spans="5:10">
      <c r="E8061" s="43">
        <v>45353.677083306626</v>
      </c>
      <c r="F8061" s="41">
        <v>10.616058752569032</v>
      </c>
      <c r="G8061" s="41">
        <v>0</v>
      </c>
      <c r="H8061" s="42"/>
      <c r="I8061" s="42"/>
      <c r="J8061" s="42"/>
    </row>
    <row r="8062" spans="5:10">
      <c r="E8062" s="43">
        <v>45353.680555528845</v>
      </c>
      <c r="F8062" s="41">
        <v>10.616058752569032</v>
      </c>
      <c r="G8062" s="41">
        <v>0</v>
      </c>
      <c r="H8062" s="42"/>
      <c r="I8062" s="42"/>
      <c r="J8062" s="42"/>
    </row>
    <row r="8063" spans="5:10">
      <c r="E8063" s="43">
        <v>45353.684027751064</v>
      </c>
      <c r="F8063" s="41">
        <v>10.616058752569032</v>
      </c>
      <c r="G8063" s="41">
        <v>0</v>
      </c>
      <c r="H8063" s="42"/>
      <c r="I8063" s="42"/>
      <c r="J8063" s="42"/>
    </row>
    <row r="8064" spans="5:10">
      <c r="E8064" s="43">
        <v>45353.687499973283</v>
      </c>
      <c r="F8064" s="41">
        <v>10.616058752569032</v>
      </c>
      <c r="G8064" s="41">
        <v>0</v>
      </c>
      <c r="H8064" s="42"/>
      <c r="I8064" s="42"/>
      <c r="J8064" s="42"/>
    </row>
    <row r="8065" spans="5:10">
      <c r="E8065" s="43">
        <v>45353.690972195502</v>
      </c>
      <c r="F8065" s="41">
        <v>5.2711661304843176</v>
      </c>
      <c r="G8065" s="41">
        <v>0</v>
      </c>
      <c r="H8065" s="42"/>
      <c r="I8065" s="42"/>
      <c r="J8065" s="42"/>
    </row>
    <row r="8066" spans="5:10">
      <c r="E8066" s="43">
        <v>45353.694444417721</v>
      </c>
      <c r="F8066" s="41">
        <v>5.2711661304843176</v>
      </c>
      <c r="G8066" s="41">
        <v>0</v>
      </c>
      <c r="H8066" s="42"/>
      <c r="I8066" s="42"/>
      <c r="J8066" s="42"/>
    </row>
    <row r="8067" spans="5:10">
      <c r="E8067" s="43">
        <v>45353.69791663994</v>
      </c>
      <c r="F8067" s="41">
        <v>5.2711661304843176</v>
      </c>
      <c r="G8067" s="41">
        <v>0</v>
      </c>
      <c r="H8067" s="42"/>
      <c r="I8067" s="42"/>
      <c r="J8067" s="42"/>
    </row>
    <row r="8068" spans="5:10">
      <c r="E8068" s="43">
        <v>45353.701388862159</v>
      </c>
      <c r="F8068" s="41">
        <v>5.2711661304843176</v>
      </c>
      <c r="G8068" s="41">
        <v>0</v>
      </c>
      <c r="H8068" s="42"/>
      <c r="I8068" s="42"/>
      <c r="J8068" s="42"/>
    </row>
    <row r="8069" spans="5:10">
      <c r="E8069" s="43">
        <v>45353.704861084378</v>
      </c>
      <c r="F8069" s="41">
        <v>5.2711661304843176</v>
      </c>
      <c r="G8069" s="41">
        <v>0</v>
      </c>
      <c r="H8069" s="42"/>
      <c r="I8069" s="42"/>
      <c r="J8069" s="42"/>
    </row>
    <row r="8070" spans="5:10">
      <c r="E8070" s="43">
        <v>45353.708333306597</v>
      </c>
      <c r="F8070" s="41">
        <v>5.2711661304843176</v>
      </c>
      <c r="G8070" s="41">
        <v>0</v>
      </c>
      <c r="H8070" s="42"/>
      <c r="I8070" s="42"/>
      <c r="J8070" s="42"/>
    </row>
    <row r="8071" spans="5:10">
      <c r="E8071" s="43">
        <v>45353.711805528816</v>
      </c>
      <c r="F8071" s="41">
        <v>5.2711661304843176</v>
      </c>
      <c r="G8071" s="41">
        <v>0</v>
      </c>
      <c r="H8071" s="42"/>
      <c r="I8071" s="42"/>
      <c r="J8071" s="42"/>
    </row>
    <row r="8072" spans="5:10">
      <c r="E8072" s="43">
        <v>45353.715277751035</v>
      </c>
      <c r="F8072" s="41">
        <v>5.2711661304843176</v>
      </c>
      <c r="G8072" s="41">
        <v>0</v>
      </c>
      <c r="H8072" s="42"/>
      <c r="I8072" s="42"/>
      <c r="J8072" s="42"/>
    </row>
    <row r="8073" spans="5:10">
      <c r="E8073" s="43">
        <v>45353.718749973254</v>
      </c>
      <c r="F8073" s="41">
        <v>5.2711661304843176</v>
      </c>
      <c r="G8073" s="41">
        <v>0</v>
      </c>
      <c r="H8073" s="42"/>
      <c r="I8073" s="42"/>
      <c r="J8073" s="42"/>
    </row>
    <row r="8074" spans="5:10">
      <c r="E8074" s="43">
        <v>45353.722222195473</v>
      </c>
      <c r="F8074" s="41">
        <v>5.2711661304843176</v>
      </c>
      <c r="G8074" s="41">
        <v>0</v>
      </c>
      <c r="H8074" s="42"/>
      <c r="I8074" s="42"/>
      <c r="J8074" s="42"/>
    </row>
    <row r="8075" spans="5:10">
      <c r="E8075" s="43">
        <v>45353.725694417692</v>
      </c>
      <c r="F8075" s="41">
        <v>5.2711661304843176</v>
      </c>
      <c r="G8075" s="41">
        <v>0</v>
      </c>
      <c r="H8075" s="42"/>
      <c r="I8075" s="42"/>
      <c r="J8075" s="42"/>
    </row>
    <row r="8076" spans="5:10">
      <c r="E8076" s="43">
        <v>45353.729166639911</v>
      </c>
      <c r="F8076" s="41">
        <v>5.2711661304843176</v>
      </c>
      <c r="G8076" s="41">
        <v>0</v>
      </c>
      <c r="H8076" s="42"/>
      <c r="I8076" s="42"/>
      <c r="J8076" s="42"/>
    </row>
  </sheetData>
  <sheetProtection algorithmName="SHA-512" hashValue="ER+wsQbajdXcVCcMoSCI9jOy1AUSR4svl7VJ61oPXba6ejOfdVbDfCzqyYaHz8kzCm6bcdaoQY++uEta0xjbMw==" saltValue="69TUuvfha3nFLXkisq+EkA==" spinCount="100000" sheet="1" objects="1" scenarios="1"/>
  <mergeCells count="2">
    <mergeCell ref="F4:J4"/>
    <mergeCell ref="B2:J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D5" sqref="D5"/>
    </sheetView>
  </sheetViews>
  <sheetFormatPr defaultRowHeight="15"/>
  <cols>
    <col min="1" max="1" width="4.25" customWidth="1"/>
    <col min="2" max="2" width="19.25" customWidth="1"/>
    <col min="3" max="3" width="18.75" customWidth="1"/>
    <col min="4" max="4" width="30" customWidth="1"/>
    <col min="5" max="5" width="27.375" customWidth="1"/>
    <col min="6" max="6" width="24.125" customWidth="1"/>
  </cols>
  <sheetData>
    <row r="2" spans="2:4" ht="23.25" thickBot="1">
      <c r="B2" s="73" t="s">
        <v>80</v>
      </c>
      <c r="C2" s="73"/>
      <c r="D2" s="73"/>
    </row>
    <row r="4" spans="2:4">
      <c r="B4" s="44" t="s">
        <v>81</v>
      </c>
      <c r="C4" s="44" t="s">
        <v>82</v>
      </c>
      <c r="D4" s="44" t="s">
        <v>83</v>
      </c>
    </row>
    <row r="5" spans="2:4" ht="15" customHeight="1">
      <c r="B5" s="45">
        <v>1</v>
      </c>
      <c r="C5" s="72">
        <v>45575</v>
      </c>
      <c r="D5" s="46" t="s">
        <v>84</v>
      </c>
    </row>
  </sheetData>
  <sheetProtection algorithmName="SHA-512" hashValue="VQnkbjb4087HtLxpUVHOGrb0IPj8tBslbiAVgmJhe6s0NNkTvTG9TIgpEeH3G+bTGT9ctBkm1yl1UCYIJ7Uq7Q==" saltValue="F84K9qQGEGPhNOVfabceWA=="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5"/>
  <cols>
    <col min="2" max="2" width="18.875" bestFit="1" customWidth="1"/>
    <col min="3" max="3" width="18.375" bestFit="1" customWidth="1"/>
    <col min="4" max="4" width="17" customWidth="1"/>
    <col min="5" max="5" width="14.125" bestFit="1" customWidth="1"/>
    <col min="6" max="6" width="20.375" customWidth="1"/>
    <col min="7" max="7" width="26" customWidth="1"/>
    <col min="8" max="8" width="27" customWidth="1"/>
    <col min="9" max="9" width="9.375" customWidth="1"/>
    <col min="10" max="10" width="15.75" customWidth="1"/>
    <col min="12" max="12" width="16.25" bestFit="1" customWidth="1"/>
    <col min="13" max="13" width="11.375" bestFit="1" customWidth="1"/>
    <col min="14" max="17" width="10.625" customWidth="1"/>
    <col min="19" max="21" width="15.625" bestFit="1" customWidth="1"/>
    <col min="22" max="22" width="11.375" bestFit="1" customWidth="1"/>
  </cols>
  <sheetData>
    <row r="1" spans="2:17">
      <c r="B1" t="s">
        <v>73</v>
      </c>
      <c r="C1" t="s">
        <v>74</v>
      </c>
    </row>
    <row r="2" spans="2:17">
      <c r="B2" s="16">
        <v>44652</v>
      </c>
      <c r="C2" s="15">
        <f>EOMONTH(B2,0)</f>
        <v>44681</v>
      </c>
    </row>
    <row r="4" spans="2:17">
      <c r="B4" s="4" t="s">
        <v>85</v>
      </c>
      <c r="C4" s="4" t="s">
        <v>86</v>
      </c>
      <c r="D4" s="4" t="s">
        <v>87</v>
      </c>
      <c r="E4" s="4" t="s">
        <v>88</v>
      </c>
      <c r="F4" s="4" t="s">
        <v>89</v>
      </c>
      <c r="G4" s="3" t="s">
        <v>90</v>
      </c>
      <c r="H4" s="3" t="s">
        <v>91</v>
      </c>
      <c r="I4" s="4" t="s">
        <v>92</v>
      </c>
      <c r="J4" s="4" t="s">
        <v>93</v>
      </c>
      <c r="M4" s="9" t="s">
        <v>39</v>
      </c>
      <c r="N4" s="9" t="s">
        <v>53</v>
      </c>
      <c r="O4" s="9" t="s">
        <v>77</v>
      </c>
      <c r="P4" s="9" t="s">
        <v>78</v>
      </c>
      <c r="Q4" s="9" t="s">
        <v>79</v>
      </c>
    </row>
    <row r="5" spans="2:17" hidden="1">
      <c r="B5" t="e" cm="1">
        <f t="array" ref="B5">_xlfn.UNIQUE(#REF!)</f>
        <v>#REF!</v>
      </c>
      <c r="C5" s="1" t="e">
        <f>VLOOKUP($B5,#REF!,5,FALSE)</f>
        <v>#REF!</v>
      </c>
      <c r="D5" s="1" t="e">
        <f>VLOOKUP($B5,#REF!,6,FALSE)</f>
        <v>#REF!</v>
      </c>
      <c r="E5" s="2" t="e">
        <f>VLOOKUP($B5,#REF!,17,FALSE)</f>
        <v>#REF!</v>
      </c>
      <c r="F5" s="2" t="e">
        <f>VLOOKUP($B5,#REF!,7,FALSE)</f>
        <v>#REF!</v>
      </c>
      <c r="G5" s="2"/>
      <c r="H5" s="2"/>
      <c r="I5" s="2" t="e">
        <f>VLOOKUP($B5,#REF!,19,FALSE)</f>
        <v>#REF!</v>
      </c>
      <c r="J5" s="2" t="e">
        <f>VLOOKUP($B5,#REF!,6,FALSE)</f>
        <v>#REF!</v>
      </c>
    </row>
    <row r="6" spans="2:17">
      <c r="B6" s="5"/>
      <c r="C6" s="6" t="e">
        <f>VLOOKUP($B6,#REF!,5,FALSE)</f>
        <v>#REF!</v>
      </c>
      <c r="D6" s="6" t="e">
        <f>VLOOKUP($B6,#REF!,6,FALSE)</f>
        <v>#REF!</v>
      </c>
      <c r="E6" s="7" t="e">
        <f>VLOOKUP($B6,#REF!,17,FALSE)</f>
        <v>#REF!</v>
      </c>
      <c r="F6" s="8" t="e">
        <f>VLOOKUP($B6,#REF!,7,FALSE)</f>
        <v>#REF!</v>
      </c>
      <c r="G6" s="8"/>
      <c r="H6" s="8"/>
      <c r="I6" s="9" t="e">
        <f>VLOOKUP($B6,#REF!,19,FALSE)</f>
        <v>#REF!</v>
      </c>
      <c r="J6" s="9" t="e">
        <f>VLOOKUP($B6,#REF!,6,FALSE)</f>
        <v>#REF!</v>
      </c>
      <c r="L6" s="1" cm="1">
        <f t="array" ref="L6:L8645">_xlfn.SEQUENCE((C2-B2+1)*288,1,B2,1/288)</f>
        <v>44652</v>
      </c>
      <c r="M6" s="13"/>
    </row>
    <row r="7" spans="2:17">
      <c r="B7" s="5"/>
      <c r="C7" s="6" t="e">
        <f>VLOOKUP($B7,#REF!,5,FALSE)</f>
        <v>#REF!</v>
      </c>
      <c r="D7" s="6" t="e">
        <f>VLOOKUP($B7,#REF!,6,FALSE)</f>
        <v>#REF!</v>
      </c>
      <c r="E7" s="7" t="e">
        <f>VLOOKUP($B7,#REF!,17,FALSE)</f>
        <v>#REF!</v>
      </c>
      <c r="F7" s="8" t="e">
        <f>VLOOKUP($B7,#REF!,7,FALSE)</f>
        <v>#REF!</v>
      </c>
      <c r="G7" s="8"/>
      <c r="H7" s="8"/>
      <c r="I7" s="9" t="e">
        <f>VLOOKUP($B7,#REF!,19,FALSE)</f>
        <v>#REF!</v>
      </c>
      <c r="J7" s="9" t="e">
        <f>VLOOKUP($B7,#REF!,6,FALSE)</f>
        <v>#REF!</v>
      </c>
      <c r="L7" s="1">
        <v>44652.003472222219</v>
      </c>
      <c r="M7" s="13"/>
    </row>
    <row r="8" spans="2:17">
      <c r="B8" s="5"/>
      <c r="C8" s="6" t="e">
        <f>VLOOKUP($B8,#REF!,5,FALSE)</f>
        <v>#REF!</v>
      </c>
      <c r="D8" s="6" t="e">
        <f>VLOOKUP($B8,#REF!,6,FALSE)</f>
        <v>#REF!</v>
      </c>
      <c r="E8" s="7" t="e">
        <f>VLOOKUP($B8,#REF!,17,FALSE)</f>
        <v>#REF!</v>
      </c>
      <c r="F8" s="8" t="e">
        <f>VLOOKUP($B8,#REF!,7,FALSE)</f>
        <v>#REF!</v>
      </c>
      <c r="G8" s="8"/>
      <c r="H8" s="8"/>
      <c r="I8" s="9" t="e">
        <f>VLOOKUP($B8,#REF!,19,FALSE)</f>
        <v>#REF!</v>
      </c>
      <c r="J8" s="9" t="e">
        <f>VLOOKUP($B8,#REF!,6,FALSE)</f>
        <v>#REF!</v>
      </c>
      <c r="L8" s="1">
        <v>44652.006944444438</v>
      </c>
      <c r="M8" s="13"/>
    </row>
    <row r="9" spans="2:17">
      <c r="B9" s="5"/>
      <c r="C9" s="6" t="e">
        <f>VLOOKUP($B9,#REF!,5,FALSE)</f>
        <v>#REF!</v>
      </c>
      <c r="D9" s="6" t="e">
        <f>VLOOKUP($B9,#REF!,6,FALSE)</f>
        <v>#REF!</v>
      </c>
      <c r="E9" s="7" t="e">
        <f>VLOOKUP($B9,#REF!,17,FALSE)</f>
        <v>#REF!</v>
      </c>
      <c r="F9" s="8" t="e">
        <f>VLOOKUP($B9,#REF!,7,FALSE)</f>
        <v>#REF!</v>
      </c>
      <c r="G9" s="8"/>
      <c r="H9" s="8"/>
      <c r="I9" s="9" t="e">
        <f>VLOOKUP($B9,#REF!,19,FALSE)</f>
        <v>#REF!</v>
      </c>
      <c r="J9" s="9" t="e">
        <f>VLOOKUP($B9,#REF!,6,FALSE)</f>
        <v>#REF!</v>
      </c>
      <c r="L9" s="1">
        <v>44652.010416666657</v>
      </c>
      <c r="M9" s="13"/>
    </row>
    <row r="10" spans="2:17">
      <c r="B10" s="5"/>
      <c r="C10" s="6" t="e">
        <f>VLOOKUP($B10,#REF!,5,FALSE)</f>
        <v>#REF!</v>
      </c>
      <c r="D10" s="6" t="e">
        <f>VLOOKUP($B10,#REF!,6,FALSE)</f>
        <v>#REF!</v>
      </c>
      <c r="E10" s="7" t="e">
        <f>VLOOKUP($B10,#REF!,17,FALSE)</f>
        <v>#REF!</v>
      </c>
      <c r="F10" s="8" t="e">
        <f>VLOOKUP($B10,#REF!,7,FALSE)</f>
        <v>#REF!</v>
      </c>
      <c r="G10" s="8"/>
      <c r="H10" s="8"/>
      <c r="I10" s="9" t="e">
        <f>VLOOKUP($B10,#REF!,19,FALSE)</f>
        <v>#REF!</v>
      </c>
      <c r="J10" s="9" t="e">
        <f>VLOOKUP($B10,#REF!,6,FALSE)</f>
        <v>#REF!</v>
      </c>
      <c r="L10" s="1">
        <v>44652.013888888876</v>
      </c>
      <c r="M10" s="13"/>
    </row>
    <row r="11" spans="2:17">
      <c r="B11" s="5"/>
      <c r="C11" s="6" t="e">
        <f>VLOOKUP($B11,#REF!,5,FALSE)</f>
        <v>#REF!</v>
      </c>
      <c r="D11" s="6" t="e">
        <f>VLOOKUP($B11,#REF!,6,FALSE)</f>
        <v>#REF!</v>
      </c>
      <c r="E11" s="7" t="e">
        <f>VLOOKUP($B11,#REF!,17,FALSE)</f>
        <v>#REF!</v>
      </c>
      <c r="F11" s="8" t="e">
        <f>VLOOKUP($B11,#REF!,7,FALSE)</f>
        <v>#REF!</v>
      </c>
      <c r="G11" s="8"/>
      <c r="H11" s="8"/>
      <c r="I11" s="9" t="e">
        <f>VLOOKUP($B11,#REF!,19,FALSE)</f>
        <v>#REF!</v>
      </c>
      <c r="J11" s="9" t="e">
        <f>VLOOKUP($B11,#REF!,6,FALSE)</f>
        <v>#REF!</v>
      </c>
      <c r="L11" s="1">
        <v>44652.017361111095</v>
      </c>
      <c r="M11" s="13"/>
    </row>
    <row r="12" spans="2:17">
      <c r="B12" s="5"/>
      <c r="C12" s="6" t="e">
        <f>VLOOKUP($B12,#REF!,5,FALSE)</f>
        <v>#REF!</v>
      </c>
      <c r="D12" s="6" t="e">
        <f>VLOOKUP($B12,#REF!,6,FALSE)</f>
        <v>#REF!</v>
      </c>
      <c r="E12" s="7" t="e">
        <f>VLOOKUP($B12,#REF!,17,FALSE)</f>
        <v>#REF!</v>
      </c>
      <c r="F12" s="8" t="e">
        <f>VLOOKUP($B12,#REF!,7,FALSE)</f>
        <v>#REF!</v>
      </c>
      <c r="G12" s="8"/>
      <c r="H12" s="8"/>
      <c r="I12" s="9" t="e">
        <f>VLOOKUP($B12,#REF!,19,FALSE)</f>
        <v>#REF!</v>
      </c>
      <c r="J12" s="9" t="e">
        <f>VLOOKUP($B12,#REF!,6,FALSE)</f>
        <v>#REF!</v>
      </c>
      <c r="L12" s="1">
        <v>44652.020833333314</v>
      </c>
      <c r="M12" s="13"/>
    </row>
    <row r="13" spans="2:17">
      <c r="B13" s="5"/>
      <c r="C13" s="6" t="e">
        <f>VLOOKUP($B13,#REF!,5,FALSE)</f>
        <v>#REF!</v>
      </c>
      <c r="D13" s="6" t="e">
        <f>VLOOKUP($B13,#REF!,6,FALSE)</f>
        <v>#REF!</v>
      </c>
      <c r="E13" s="7" t="e">
        <f>VLOOKUP($B13,#REF!,17,FALSE)</f>
        <v>#REF!</v>
      </c>
      <c r="F13" s="8" t="e">
        <f>VLOOKUP($B13,#REF!,7,FALSE)</f>
        <v>#REF!</v>
      </c>
      <c r="G13" s="8"/>
      <c r="H13" s="8"/>
      <c r="I13" s="9" t="e">
        <f>VLOOKUP($B13,#REF!,19,FALSE)</f>
        <v>#REF!</v>
      </c>
      <c r="J13" s="9" t="e">
        <f>VLOOKUP($B13,#REF!,6,FALSE)</f>
        <v>#REF!</v>
      </c>
      <c r="L13" s="1">
        <v>44652.024305555533</v>
      </c>
      <c r="M13" s="13"/>
    </row>
    <row r="14" spans="2:17">
      <c r="B14" s="5"/>
      <c r="C14" s="6" t="e">
        <f>VLOOKUP($B14,#REF!,5,FALSE)</f>
        <v>#REF!</v>
      </c>
      <c r="D14" s="6" t="e">
        <f>VLOOKUP($B14,#REF!,6,FALSE)</f>
        <v>#REF!</v>
      </c>
      <c r="E14" s="7" t="e">
        <f>VLOOKUP($B14,#REF!,17,FALSE)</f>
        <v>#REF!</v>
      </c>
      <c r="F14" s="8" t="e">
        <f>VLOOKUP($B14,#REF!,7,FALSE)</f>
        <v>#REF!</v>
      </c>
      <c r="G14" s="8"/>
      <c r="H14" s="8"/>
      <c r="I14" s="9" t="e">
        <f>VLOOKUP($B14,#REF!,19,FALSE)</f>
        <v>#REF!</v>
      </c>
      <c r="J14" s="9" t="e">
        <f>VLOOKUP($B14,#REF!,6,FALSE)</f>
        <v>#REF!</v>
      </c>
      <c r="L14" s="1">
        <v>44652.027777777752</v>
      </c>
      <c r="M14" s="13"/>
    </row>
    <row r="15" spans="2:17">
      <c r="B15" s="5"/>
      <c r="C15" s="6" t="e">
        <f>VLOOKUP($B15,#REF!,5,FALSE)</f>
        <v>#REF!</v>
      </c>
      <c r="D15" s="6" t="e">
        <f>VLOOKUP($B15,#REF!,6,FALSE)</f>
        <v>#REF!</v>
      </c>
      <c r="E15" s="7" t="e">
        <f>VLOOKUP($B15,#REF!,17,FALSE)</f>
        <v>#REF!</v>
      </c>
      <c r="F15" s="8" t="e">
        <f>VLOOKUP($B15,#REF!,7,FALSE)</f>
        <v>#REF!</v>
      </c>
      <c r="G15" s="8"/>
      <c r="H15" s="8"/>
      <c r="I15" s="9" t="e">
        <f>VLOOKUP($B15,#REF!,19,FALSE)</f>
        <v>#REF!</v>
      </c>
      <c r="J15" s="9" t="e">
        <f>VLOOKUP($B15,#REF!,6,FALSE)</f>
        <v>#REF!</v>
      </c>
      <c r="L15" s="1">
        <v>44652.031249999971</v>
      </c>
      <c r="M15" s="13"/>
    </row>
    <row r="16" spans="2:17">
      <c r="B16" s="5"/>
      <c r="C16" s="6" t="e">
        <f>VLOOKUP($B16,#REF!,5,FALSE)</f>
        <v>#REF!</v>
      </c>
      <c r="D16" s="6" t="e">
        <f>VLOOKUP($B16,#REF!,6,FALSE)</f>
        <v>#REF!</v>
      </c>
      <c r="E16" s="7" t="e">
        <f>VLOOKUP($B16,#REF!,17,FALSE)</f>
        <v>#REF!</v>
      </c>
      <c r="F16" s="8" t="e">
        <f>VLOOKUP($B16,#REF!,7,FALSE)</f>
        <v>#REF!</v>
      </c>
      <c r="G16" s="8"/>
      <c r="H16" s="8"/>
      <c r="I16" s="9" t="e">
        <f>VLOOKUP($B16,#REF!,19,FALSE)</f>
        <v>#REF!</v>
      </c>
      <c r="J16" s="9" t="e">
        <f>VLOOKUP($B16,#REF!,6,FALSE)</f>
        <v>#REF!</v>
      </c>
      <c r="L16" s="1">
        <v>44652.03472222219</v>
      </c>
      <c r="M16" s="13"/>
    </row>
    <row r="17" spans="2:13">
      <c r="B17" s="5"/>
      <c r="C17" s="6" t="e">
        <f>VLOOKUP($B17,#REF!,5,FALSE)</f>
        <v>#REF!</v>
      </c>
      <c r="D17" s="6" t="e">
        <f>VLOOKUP($B17,#REF!,6,FALSE)</f>
        <v>#REF!</v>
      </c>
      <c r="E17" s="7" t="e">
        <f>VLOOKUP($B17,#REF!,17,FALSE)</f>
        <v>#REF!</v>
      </c>
      <c r="F17" s="8" t="e">
        <f>VLOOKUP($B17,#REF!,7,FALSE)</f>
        <v>#REF!</v>
      </c>
      <c r="G17" s="8"/>
      <c r="H17" s="8"/>
      <c r="I17" s="9" t="e">
        <f>VLOOKUP($B17,#REF!,19,FALSE)</f>
        <v>#REF!</v>
      </c>
      <c r="J17" s="9" t="e">
        <f>VLOOKUP($B17,#REF!,6,FALSE)</f>
        <v>#REF!</v>
      </c>
      <c r="L17" s="1">
        <v>44652.038194444409</v>
      </c>
      <c r="M17" s="13"/>
    </row>
    <row r="18" spans="2:13">
      <c r="B18" s="5"/>
      <c r="C18" s="6" t="e">
        <f>VLOOKUP($B18,#REF!,5,FALSE)</f>
        <v>#REF!</v>
      </c>
      <c r="D18" s="6" t="e">
        <f>VLOOKUP($B18,#REF!,6,FALSE)</f>
        <v>#REF!</v>
      </c>
      <c r="E18" s="7" t="e">
        <f>VLOOKUP($B18,#REF!,17,FALSE)</f>
        <v>#REF!</v>
      </c>
      <c r="F18" s="8" t="e">
        <f>VLOOKUP($B18,#REF!,7,FALSE)</f>
        <v>#REF!</v>
      </c>
      <c r="G18" s="8"/>
      <c r="H18" s="8"/>
      <c r="I18" s="9" t="e">
        <f>VLOOKUP($B18,#REF!,19,FALSE)</f>
        <v>#REF!</v>
      </c>
      <c r="J18" s="9" t="e">
        <f>VLOOKUP($B18,#REF!,6,FALSE)</f>
        <v>#REF!</v>
      </c>
      <c r="L18" s="1">
        <v>44652.041666666628</v>
      </c>
      <c r="M18" s="13"/>
    </row>
    <row r="19" spans="2:13">
      <c r="B19" s="5"/>
      <c r="C19" s="6" t="e">
        <f>VLOOKUP($B19,#REF!,5,FALSE)</f>
        <v>#REF!</v>
      </c>
      <c r="D19" s="6" t="e">
        <f>VLOOKUP($B19,#REF!,6,FALSE)</f>
        <v>#REF!</v>
      </c>
      <c r="E19" s="7" t="e">
        <f>VLOOKUP($B19,#REF!,17,FALSE)</f>
        <v>#REF!</v>
      </c>
      <c r="F19" s="8" t="e">
        <f>VLOOKUP($B19,#REF!,7,FALSE)</f>
        <v>#REF!</v>
      </c>
      <c r="G19" s="8"/>
      <c r="H19" s="8"/>
      <c r="I19" s="9" t="e">
        <f>VLOOKUP($B19,#REF!,19,FALSE)</f>
        <v>#REF!</v>
      </c>
      <c r="J19" s="9" t="e">
        <f>VLOOKUP($B19,#REF!,6,FALSE)</f>
        <v>#REF!</v>
      </c>
      <c r="L19" s="1">
        <v>44652.045138888847</v>
      </c>
      <c r="M19" s="13"/>
    </row>
    <row r="20" spans="2:13">
      <c r="B20" s="5"/>
      <c r="C20" s="6" t="e">
        <f>VLOOKUP($B20,#REF!,5,FALSE)</f>
        <v>#REF!</v>
      </c>
      <c r="D20" s="6" t="e">
        <f>VLOOKUP($B20,#REF!,6,FALSE)</f>
        <v>#REF!</v>
      </c>
      <c r="E20" s="7" t="e">
        <f>VLOOKUP($B20,#REF!,17,FALSE)</f>
        <v>#REF!</v>
      </c>
      <c r="F20" s="8" t="e">
        <f>VLOOKUP($B20,#REF!,7,FALSE)</f>
        <v>#REF!</v>
      </c>
      <c r="G20" s="8"/>
      <c r="H20" s="8"/>
      <c r="I20" s="9" t="e">
        <f>VLOOKUP($B20,#REF!,19,FALSE)</f>
        <v>#REF!</v>
      </c>
      <c r="J20" s="9" t="e">
        <f>VLOOKUP($B20,#REF!,6,FALSE)</f>
        <v>#REF!</v>
      </c>
      <c r="L20" s="1">
        <v>44652.048611111066</v>
      </c>
      <c r="M20" s="13"/>
    </row>
    <row r="21" spans="2:13">
      <c r="B21" s="5"/>
      <c r="C21" s="6" t="e">
        <f>VLOOKUP($B21,#REF!,5,FALSE)</f>
        <v>#REF!</v>
      </c>
      <c r="D21" s="6" t="e">
        <f>VLOOKUP($B21,#REF!,6,FALSE)</f>
        <v>#REF!</v>
      </c>
      <c r="E21" s="7" t="e">
        <f>VLOOKUP($B21,#REF!,17,FALSE)</f>
        <v>#REF!</v>
      </c>
      <c r="F21" s="8" t="e">
        <f>VLOOKUP($B21,#REF!,7,FALSE)</f>
        <v>#REF!</v>
      </c>
      <c r="G21" s="8"/>
      <c r="H21" s="8"/>
      <c r="I21" s="9" t="e">
        <f>VLOOKUP($B21,#REF!,19,FALSE)</f>
        <v>#REF!</v>
      </c>
      <c r="J21" s="9" t="e">
        <f>VLOOKUP($B21,#REF!,6,FALSE)</f>
        <v>#REF!</v>
      </c>
      <c r="L21" s="1">
        <v>44652.052083333285</v>
      </c>
      <c r="M21" s="13"/>
    </row>
    <row r="22" spans="2:13">
      <c r="B22" s="5"/>
      <c r="C22" s="6" t="e">
        <f>VLOOKUP($B22,#REF!,5,FALSE)</f>
        <v>#REF!</v>
      </c>
      <c r="D22" s="6" t="e">
        <f>VLOOKUP($B22,#REF!,6,FALSE)</f>
        <v>#REF!</v>
      </c>
      <c r="E22" s="7" t="e">
        <f>VLOOKUP($B22,#REF!,17,FALSE)</f>
        <v>#REF!</v>
      </c>
      <c r="F22" s="8" t="e">
        <f>VLOOKUP($B22,#REF!,7,FALSE)</f>
        <v>#REF!</v>
      </c>
      <c r="G22" s="8"/>
      <c r="H22" s="8"/>
      <c r="I22" s="9" t="e">
        <f>VLOOKUP($B22,#REF!,19,FALSE)</f>
        <v>#REF!</v>
      </c>
      <c r="J22" s="9" t="e">
        <f>VLOOKUP($B22,#REF!,6,FALSE)</f>
        <v>#REF!</v>
      </c>
      <c r="L22" s="1">
        <v>44652.055555555504</v>
      </c>
      <c r="M22" s="13"/>
    </row>
    <row r="23" spans="2:13">
      <c r="B23" s="5"/>
      <c r="C23" s="6" t="e">
        <f>VLOOKUP($B23,#REF!,5,FALSE)</f>
        <v>#REF!</v>
      </c>
      <c r="D23" s="6" t="e">
        <f>VLOOKUP($B23,#REF!,6,FALSE)</f>
        <v>#REF!</v>
      </c>
      <c r="E23" s="7" t="e">
        <f>VLOOKUP($B23,#REF!,17,FALSE)</f>
        <v>#REF!</v>
      </c>
      <c r="F23" s="8" t="e">
        <f>VLOOKUP($B23,#REF!,7,FALSE)</f>
        <v>#REF!</v>
      </c>
      <c r="G23" s="8"/>
      <c r="H23" s="8"/>
      <c r="I23" s="9" t="e">
        <f>VLOOKUP($B23,#REF!,19,FALSE)</f>
        <v>#REF!</v>
      </c>
      <c r="J23" s="9" t="e">
        <f>VLOOKUP($B23,#REF!,6,FALSE)</f>
        <v>#REF!</v>
      </c>
      <c r="L23" s="1">
        <v>44652.059027777723</v>
      </c>
      <c r="M23" s="13"/>
    </row>
    <row r="24" spans="2:13">
      <c r="B24" s="5"/>
      <c r="C24" s="6" t="e">
        <f>VLOOKUP($B24,#REF!,5,FALSE)</f>
        <v>#REF!</v>
      </c>
      <c r="D24" s="6" t="e">
        <f>VLOOKUP($B24,#REF!,6,FALSE)</f>
        <v>#REF!</v>
      </c>
      <c r="E24" s="7" t="e">
        <f>VLOOKUP($B24,#REF!,17,FALSE)</f>
        <v>#REF!</v>
      </c>
      <c r="F24" s="8" t="e">
        <f>VLOOKUP($B24,#REF!,7,FALSE)</f>
        <v>#REF!</v>
      </c>
      <c r="G24" s="8"/>
      <c r="H24" s="8"/>
      <c r="I24" s="9" t="e">
        <f>VLOOKUP($B24,#REF!,19,FALSE)</f>
        <v>#REF!</v>
      </c>
      <c r="J24" s="9" t="e">
        <f>VLOOKUP($B24,#REF!,6,FALSE)</f>
        <v>#REF!</v>
      </c>
      <c r="L24" s="1">
        <v>44652.062499999942</v>
      </c>
      <c r="M24" s="13"/>
    </row>
    <row r="25" spans="2:13">
      <c r="B25" s="5"/>
      <c r="C25" s="6" t="e">
        <f>VLOOKUP($B25,#REF!,5,FALSE)</f>
        <v>#REF!</v>
      </c>
      <c r="D25" s="6" t="e">
        <f>VLOOKUP($B25,#REF!,6,FALSE)</f>
        <v>#REF!</v>
      </c>
      <c r="E25" s="7" t="e">
        <f>VLOOKUP($B25,#REF!,17,FALSE)</f>
        <v>#REF!</v>
      </c>
      <c r="F25" s="8" t="e">
        <f>VLOOKUP($B25,#REF!,7,FALSE)</f>
        <v>#REF!</v>
      </c>
      <c r="G25" s="8"/>
      <c r="H25" s="8"/>
      <c r="I25" s="9" t="e">
        <f>VLOOKUP($B25,#REF!,19,FALSE)</f>
        <v>#REF!</v>
      </c>
      <c r="J25" s="9" t="e">
        <f>VLOOKUP($B25,#REF!,6,FALSE)</f>
        <v>#REF!</v>
      </c>
      <c r="L25" s="1">
        <v>44652.065972222161</v>
      </c>
      <c r="M25" s="13"/>
    </row>
    <row r="26" spans="2:13">
      <c r="B26" s="5"/>
      <c r="C26" s="6" t="e">
        <f>VLOOKUP($B26,#REF!,5,FALSE)</f>
        <v>#REF!</v>
      </c>
      <c r="D26" s="6" t="e">
        <f>VLOOKUP($B26,#REF!,6,FALSE)</f>
        <v>#REF!</v>
      </c>
      <c r="E26" s="7" t="e">
        <f>VLOOKUP($B26,#REF!,17,FALSE)</f>
        <v>#REF!</v>
      </c>
      <c r="F26" s="8" t="e">
        <f>VLOOKUP($B26,#REF!,7,FALSE)</f>
        <v>#REF!</v>
      </c>
      <c r="G26" s="8"/>
      <c r="H26" s="8"/>
      <c r="I26" s="9" t="e">
        <f>VLOOKUP($B26,#REF!,19,FALSE)</f>
        <v>#REF!</v>
      </c>
      <c r="J26" s="9" t="e">
        <f>VLOOKUP($B26,#REF!,6,FALSE)</f>
        <v>#REF!</v>
      </c>
      <c r="L26" s="1">
        <v>44652.06944444438</v>
      </c>
      <c r="M26" s="13"/>
    </row>
    <row r="27" spans="2:13">
      <c r="B27" s="5"/>
      <c r="C27" s="6" t="e">
        <f>VLOOKUP($B27,#REF!,5,FALSE)</f>
        <v>#REF!</v>
      </c>
      <c r="D27" s="6" t="e">
        <f>VLOOKUP($B27,#REF!,6,FALSE)</f>
        <v>#REF!</v>
      </c>
      <c r="E27" s="7" t="e">
        <f>VLOOKUP($B27,#REF!,17,FALSE)</f>
        <v>#REF!</v>
      </c>
      <c r="F27" s="8" t="e">
        <f>VLOOKUP($B27,#REF!,7,FALSE)</f>
        <v>#REF!</v>
      </c>
      <c r="G27" s="8"/>
      <c r="H27" s="8"/>
      <c r="I27" s="9" t="e">
        <f>VLOOKUP($B27,#REF!,19,FALSE)</f>
        <v>#REF!</v>
      </c>
      <c r="J27" s="9" t="e">
        <f>VLOOKUP($B27,#REF!,6,FALSE)</f>
        <v>#REF!</v>
      </c>
      <c r="L27" s="1">
        <v>44652.072916666599</v>
      </c>
      <c r="M27" s="13"/>
    </row>
    <row r="28" spans="2:13">
      <c r="B28" s="5"/>
      <c r="C28" s="6" t="e">
        <f>VLOOKUP($B28,#REF!,5,FALSE)</f>
        <v>#REF!</v>
      </c>
      <c r="D28" s="6" t="e">
        <f>VLOOKUP($B28,#REF!,6,FALSE)</f>
        <v>#REF!</v>
      </c>
      <c r="E28" s="7" t="e">
        <f>VLOOKUP($B28,#REF!,17,FALSE)</f>
        <v>#REF!</v>
      </c>
      <c r="F28" s="8" t="e">
        <f>VLOOKUP($B28,#REF!,7,FALSE)</f>
        <v>#REF!</v>
      </c>
      <c r="G28" s="8"/>
      <c r="H28" s="8"/>
      <c r="I28" s="9" t="e">
        <f>VLOOKUP($B28,#REF!,19,FALSE)</f>
        <v>#REF!</v>
      </c>
      <c r="J28" s="9" t="e">
        <f>VLOOKUP($B28,#REF!,6,FALSE)</f>
        <v>#REF!</v>
      </c>
      <c r="L28" s="1">
        <v>44652.076388888818</v>
      </c>
      <c r="M28" s="13"/>
    </row>
    <row r="29" spans="2:13">
      <c r="B29" s="5"/>
      <c r="C29" s="6" t="e">
        <f>VLOOKUP($B29,#REF!,5,FALSE)</f>
        <v>#REF!</v>
      </c>
      <c r="D29" s="6" t="e">
        <f>VLOOKUP($B29,#REF!,6,FALSE)</f>
        <v>#REF!</v>
      </c>
      <c r="E29" s="7" t="e">
        <f>VLOOKUP($B29,#REF!,17,FALSE)</f>
        <v>#REF!</v>
      </c>
      <c r="F29" s="8" t="e">
        <f>VLOOKUP($B29,#REF!,7,FALSE)</f>
        <v>#REF!</v>
      </c>
      <c r="G29" s="8"/>
      <c r="H29" s="8"/>
      <c r="I29" s="9" t="e">
        <f>VLOOKUP($B29,#REF!,19,FALSE)</f>
        <v>#REF!</v>
      </c>
      <c r="J29" s="9" t="e">
        <f>VLOOKUP($B29,#REF!,6,FALSE)</f>
        <v>#REF!</v>
      </c>
      <c r="L29" s="1">
        <v>44652.079861111037</v>
      </c>
      <c r="M29" s="13"/>
    </row>
    <row r="30" spans="2:13">
      <c r="B30" s="5"/>
      <c r="C30" s="6" t="e">
        <f>VLOOKUP($B30,#REF!,5,FALSE)</f>
        <v>#REF!</v>
      </c>
      <c r="D30" s="6" t="e">
        <f>VLOOKUP($B30,#REF!,6,FALSE)</f>
        <v>#REF!</v>
      </c>
      <c r="E30" s="7" t="e">
        <f>VLOOKUP($B30,#REF!,17,FALSE)</f>
        <v>#REF!</v>
      </c>
      <c r="F30" s="8" t="e">
        <f>VLOOKUP($B30,#REF!,7,FALSE)</f>
        <v>#REF!</v>
      </c>
      <c r="G30" s="8"/>
      <c r="H30" s="8"/>
      <c r="I30" s="9" t="e">
        <f>VLOOKUP($B30,#REF!,19,FALSE)</f>
        <v>#REF!</v>
      </c>
      <c r="J30" s="9" t="e">
        <f>VLOOKUP($B30,#REF!,6,FALSE)</f>
        <v>#REF!</v>
      </c>
      <c r="L30" s="1">
        <v>44652.083333333256</v>
      </c>
      <c r="M30" s="13"/>
    </row>
    <row r="31" spans="2:13">
      <c r="B31" s="5"/>
      <c r="C31" s="6" t="e">
        <f>VLOOKUP($B31,#REF!,5,FALSE)</f>
        <v>#REF!</v>
      </c>
      <c r="D31" s="6" t="e">
        <f>VLOOKUP($B31,#REF!,6,FALSE)</f>
        <v>#REF!</v>
      </c>
      <c r="E31" s="7" t="e">
        <f>VLOOKUP($B31,#REF!,17,FALSE)</f>
        <v>#REF!</v>
      </c>
      <c r="F31" s="8" t="e">
        <f>VLOOKUP($B31,#REF!,7,FALSE)</f>
        <v>#REF!</v>
      </c>
      <c r="G31" s="8"/>
      <c r="H31" s="8"/>
      <c r="I31" s="9" t="e">
        <f>VLOOKUP($B31,#REF!,19,FALSE)</f>
        <v>#REF!</v>
      </c>
      <c r="J31" s="9" t="e">
        <f>VLOOKUP($B31,#REF!,6,FALSE)</f>
        <v>#REF!</v>
      </c>
      <c r="L31" s="1">
        <v>44652.086805555475</v>
      </c>
      <c r="M31" s="13"/>
    </row>
    <row r="32" spans="2:13">
      <c r="B32" s="5"/>
      <c r="C32" s="6" t="e">
        <f>VLOOKUP($B32,#REF!,5,FALSE)</f>
        <v>#REF!</v>
      </c>
      <c r="D32" s="6" t="e">
        <f>VLOOKUP($B32,#REF!,6,FALSE)</f>
        <v>#REF!</v>
      </c>
      <c r="E32" s="7" t="e">
        <f>VLOOKUP($B32,#REF!,17,FALSE)</f>
        <v>#REF!</v>
      </c>
      <c r="F32" s="8" t="e">
        <f>VLOOKUP($B32,#REF!,7,FALSE)</f>
        <v>#REF!</v>
      </c>
      <c r="G32" s="8"/>
      <c r="H32" s="8"/>
      <c r="I32" s="9" t="e">
        <f>VLOOKUP($B32,#REF!,19,FALSE)</f>
        <v>#REF!</v>
      </c>
      <c r="J32" s="9" t="e">
        <f>VLOOKUP($B32,#REF!,6,FALSE)</f>
        <v>#REF!</v>
      </c>
      <c r="L32" s="1">
        <v>44652.090277777694</v>
      </c>
      <c r="M32" s="13"/>
    </row>
    <row r="33" spans="2:13">
      <c r="B33" s="5"/>
      <c r="C33" s="6" t="e">
        <f>VLOOKUP($B33,#REF!,5,FALSE)</f>
        <v>#REF!</v>
      </c>
      <c r="D33" s="6" t="e">
        <f>VLOOKUP($B33,#REF!,6,FALSE)</f>
        <v>#REF!</v>
      </c>
      <c r="E33" s="7" t="e">
        <f>VLOOKUP($B33,#REF!,17,FALSE)</f>
        <v>#REF!</v>
      </c>
      <c r="F33" s="8" t="e">
        <f>VLOOKUP($B33,#REF!,7,FALSE)</f>
        <v>#REF!</v>
      </c>
      <c r="G33" s="8"/>
      <c r="H33" s="8"/>
      <c r="I33" s="9" t="e">
        <f>VLOOKUP($B33,#REF!,19,FALSE)</f>
        <v>#REF!</v>
      </c>
      <c r="J33" s="9" t="e">
        <f>VLOOKUP($B33,#REF!,6,FALSE)</f>
        <v>#REF!</v>
      </c>
      <c r="L33" s="1">
        <v>44652.093749999913</v>
      </c>
      <c r="M33" s="13"/>
    </row>
    <row r="34" spans="2:13">
      <c r="B34" s="5"/>
      <c r="C34" s="6" t="e">
        <f>VLOOKUP($B34,#REF!,5,FALSE)</f>
        <v>#REF!</v>
      </c>
      <c r="D34" s="6" t="e">
        <f>VLOOKUP($B34,#REF!,6,FALSE)</f>
        <v>#REF!</v>
      </c>
      <c r="E34" s="7" t="e">
        <f>VLOOKUP($B34,#REF!,17,FALSE)</f>
        <v>#REF!</v>
      </c>
      <c r="F34" s="8" t="e">
        <f>VLOOKUP($B34,#REF!,7,FALSE)</f>
        <v>#REF!</v>
      </c>
      <c r="G34" s="8"/>
      <c r="H34" s="8"/>
      <c r="I34" s="9" t="e">
        <f>VLOOKUP($B34,#REF!,19,FALSE)</f>
        <v>#REF!</v>
      </c>
      <c r="J34" s="9" t="e">
        <f>VLOOKUP($B34,#REF!,6,FALSE)</f>
        <v>#REF!</v>
      </c>
      <c r="L34" s="1">
        <v>44652.097222222132</v>
      </c>
      <c r="M34" s="13"/>
    </row>
    <row r="35" spans="2:13">
      <c r="B35" s="5"/>
      <c r="C35" s="6" t="e">
        <f>VLOOKUP($B35,#REF!,5,FALSE)</f>
        <v>#REF!</v>
      </c>
      <c r="D35" s="6" t="e">
        <f>VLOOKUP($B35,#REF!,6,FALSE)</f>
        <v>#REF!</v>
      </c>
      <c r="E35" s="7" t="e">
        <f>VLOOKUP($B35,#REF!,17,FALSE)</f>
        <v>#REF!</v>
      </c>
      <c r="F35" s="8" t="e">
        <f>VLOOKUP($B35,#REF!,7,FALSE)</f>
        <v>#REF!</v>
      </c>
      <c r="G35" s="8"/>
      <c r="H35" s="8"/>
      <c r="I35" s="9" t="e">
        <f>VLOOKUP($B35,#REF!,19,FALSE)</f>
        <v>#REF!</v>
      </c>
      <c r="J35" s="9" t="e">
        <f>VLOOKUP($B35,#REF!,6,FALSE)</f>
        <v>#REF!</v>
      </c>
      <c r="L35" s="1">
        <v>44652.100694444351</v>
      </c>
      <c r="M35" s="13"/>
    </row>
    <row r="36" spans="2:13">
      <c r="B36" s="5"/>
      <c r="C36" s="6" t="e">
        <f>VLOOKUP($B36,#REF!,5,FALSE)</f>
        <v>#REF!</v>
      </c>
      <c r="D36" s="6" t="e">
        <f>VLOOKUP($B36,#REF!,6,FALSE)</f>
        <v>#REF!</v>
      </c>
      <c r="E36" s="7" t="e">
        <f>VLOOKUP($B36,#REF!,17,FALSE)</f>
        <v>#REF!</v>
      </c>
      <c r="F36" s="8" t="e">
        <f>VLOOKUP($B36,#REF!,7,FALSE)</f>
        <v>#REF!</v>
      </c>
      <c r="G36" s="8"/>
      <c r="H36" s="8"/>
      <c r="I36" s="9" t="e">
        <f>VLOOKUP($B36,#REF!,19,FALSE)</f>
        <v>#REF!</v>
      </c>
      <c r="J36" s="9" t="e">
        <f>VLOOKUP($B36,#REF!,6,FALSE)</f>
        <v>#REF!</v>
      </c>
      <c r="L36" s="1">
        <v>44652.10416666657</v>
      </c>
      <c r="M36" s="13"/>
    </row>
    <row r="37" spans="2:13">
      <c r="B37" s="5"/>
      <c r="C37" s="6" t="e">
        <f>VLOOKUP($B37,#REF!,5,FALSE)</f>
        <v>#REF!</v>
      </c>
      <c r="D37" s="6" t="e">
        <f>VLOOKUP($B37,#REF!,6,FALSE)</f>
        <v>#REF!</v>
      </c>
      <c r="E37" s="7" t="e">
        <f>VLOOKUP($B37,#REF!,17,FALSE)</f>
        <v>#REF!</v>
      </c>
      <c r="F37" s="8" t="e">
        <f>VLOOKUP($B37,#REF!,7,FALSE)</f>
        <v>#REF!</v>
      </c>
      <c r="G37" s="8"/>
      <c r="H37" s="8"/>
      <c r="I37" s="9" t="e">
        <f>VLOOKUP($B37,#REF!,19,FALSE)</f>
        <v>#REF!</v>
      </c>
      <c r="J37" s="9" t="e">
        <f>VLOOKUP($B37,#REF!,6,FALSE)</f>
        <v>#REF!</v>
      </c>
      <c r="L37" s="1">
        <v>44652.107638888789</v>
      </c>
      <c r="M37" s="13"/>
    </row>
    <row r="38" spans="2:13">
      <c r="B38" s="5"/>
      <c r="C38" s="6" t="e">
        <f>VLOOKUP($B38,#REF!,5,FALSE)</f>
        <v>#REF!</v>
      </c>
      <c r="D38" s="6" t="e">
        <f>VLOOKUP($B38,#REF!,6,FALSE)</f>
        <v>#REF!</v>
      </c>
      <c r="E38" s="7" t="e">
        <f>VLOOKUP($B38,#REF!,17,FALSE)</f>
        <v>#REF!</v>
      </c>
      <c r="F38" s="8" t="e">
        <f>VLOOKUP($B38,#REF!,7,FALSE)</f>
        <v>#REF!</v>
      </c>
      <c r="G38" s="8"/>
      <c r="H38" s="8"/>
      <c r="I38" s="9" t="e">
        <f>VLOOKUP($B38,#REF!,19,FALSE)</f>
        <v>#REF!</v>
      </c>
      <c r="J38" s="9" t="e">
        <f>VLOOKUP($B38,#REF!,6,FALSE)</f>
        <v>#REF!</v>
      </c>
      <c r="L38" s="1">
        <v>44652.111111111008</v>
      </c>
      <c r="M38" s="13"/>
    </row>
    <row r="39" spans="2:13">
      <c r="B39" s="5"/>
      <c r="C39" s="6" t="e">
        <f>VLOOKUP($B39,#REF!,5,FALSE)</f>
        <v>#REF!</v>
      </c>
      <c r="D39" s="6" t="e">
        <f>VLOOKUP($B39,#REF!,6,FALSE)</f>
        <v>#REF!</v>
      </c>
      <c r="E39" s="7" t="e">
        <f>VLOOKUP($B39,#REF!,17,FALSE)</f>
        <v>#REF!</v>
      </c>
      <c r="F39" s="8" t="e">
        <f>VLOOKUP($B39,#REF!,7,FALSE)</f>
        <v>#REF!</v>
      </c>
      <c r="G39" s="8"/>
      <c r="H39" s="8"/>
      <c r="I39" s="9" t="e">
        <f>VLOOKUP($B39,#REF!,19,FALSE)</f>
        <v>#REF!</v>
      </c>
      <c r="J39" s="9" t="e">
        <f>VLOOKUP($B39,#REF!,6,FALSE)</f>
        <v>#REF!</v>
      </c>
      <c r="L39" s="1">
        <v>44652.114583333227</v>
      </c>
      <c r="M39" s="13"/>
    </row>
    <row r="40" spans="2:13">
      <c r="B40" s="5"/>
      <c r="C40" s="6" t="e">
        <f>VLOOKUP($B40,#REF!,5,FALSE)</f>
        <v>#REF!</v>
      </c>
      <c r="D40" s="6" t="e">
        <f>VLOOKUP($B40,#REF!,6,FALSE)</f>
        <v>#REF!</v>
      </c>
      <c r="E40" s="7" t="e">
        <f>VLOOKUP($B40,#REF!,17,FALSE)</f>
        <v>#REF!</v>
      </c>
      <c r="F40" s="8" t="e">
        <f>VLOOKUP($B40,#REF!,7,FALSE)</f>
        <v>#REF!</v>
      </c>
      <c r="G40" s="8"/>
      <c r="H40" s="8"/>
      <c r="I40" s="9" t="e">
        <f>VLOOKUP($B40,#REF!,19,FALSE)</f>
        <v>#REF!</v>
      </c>
      <c r="J40" s="9" t="e">
        <f>VLOOKUP($B40,#REF!,6,FALSE)</f>
        <v>#REF!</v>
      </c>
      <c r="L40" s="1">
        <v>44652.118055555446</v>
      </c>
      <c r="M40" s="13"/>
    </row>
    <row r="41" spans="2:13">
      <c r="B41" s="5"/>
      <c r="C41" s="6" t="e">
        <f>VLOOKUP($B41,#REF!,5,FALSE)</f>
        <v>#REF!</v>
      </c>
      <c r="D41" s="6" t="e">
        <f>VLOOKUP($B41,#REF!,6,FALSE)</f>
        <v>#REF!</v>
      </c>
      <c r="E41" s="7" t="e">
        <f>VLOOKUP($B41,#REF!,17,FALSE)</f>
        <v>#REF!</v>
      </c>
      <c r="F41" s="8" t="e">
        <f>VLOOKUP($B41,#REF!,7,FALSE)</f>
        <v>#REF!</v>
      </c>
      <c r="G41" s="8"/>
      <c r="H41" s="8"/>
      <c r="I41" s="9" t="e">
        <f>VLOOKUP($B41,#REF!,19,FALSE)</f>
        <v>#REF!</v>
      </c>
      <c r="J41" s="9" t="e">
        <f>VLOOKUP($B41,#REF!,6,FALSE)</f>
        <v>#REF!</v>
      </c>
      <c r="L41" s="1">
        <v>44652.121527777665</v>
      </c>
      <c r="M41" s="13"/>
    </row>
    <row r="42" spans="2:13">
      <c r="B42" s="5"/>
      <c r="C42" s="6" t="e">
        <f>VLOOKUP($B42,#REF!,5,FALSE)</f>
        <v>#REF!</v>
      </c>
      <c r="D42" s="6" t="e">
        <f>VLOOKUP($B42,#REF!,6,FALSE)</f>
        <v>#REF!</v>
      </c>
      <c r="E42" s="7" t="e">
        <f>VLOOKUP($B42,#REF!,17,FALSE)</f>
        <v>#REF!</v>
      </c>
      <c r="F42" s="8" t="e">
        <f>VLOOKUP($B42,#REF!,7,FALSE)</f>
        <v>#REF!</v>
      </c>
      <c r="G42" s="8"/>
      <c r="H42" s="8"/>
      <c r="I42" s="9" t="e">
        <f>VLOOKUP($B42,#REF!,19,FALSE)</f>
        <v>#REF!</v>
      </c>
      <c r="J42" s="9" t="e">
        <f>VLOOKUP($B42,#REF!,6,FALSE)</f>
        <v>#REF!</v>
      </c>
      <c r="L42" s="1">
        <v>44652.124999999884</v>
      </c>
      <c r="M42" s="13"/>
    </row>
    <row r="43" spans="2:13">
      <c r="B43" s="5"/>
      <c r="C43" s="6" t="e">
        <f>VLOOKUP($B43,#REF!,5,FALSE)</f>
        <v>#REF!</v>
      </c>
      <c r="D43" s="6" t="e">
        <f>VLOOKUP($B43,#REF!,6,FALSE)</f>
        <v>#REF!</v>
      </c>
      <c r="E43" s="7" t="e">
        <f>VLOOKUP($B43,#REF!,17,FALSE)</f>
        <v>#REF!</v>
      </c>
      <c r="F43" s="8" t="e">
        <f>VLOOKUP($B43,#REF!,7,FALSE)</f>
        <v>#REF!</v>
      </c>
      <c r="G43" s="8"/>
      <c r="H43" s="8"/>
      <c r="I43" s="9" t="e">
        <f>VLOOKUP($B43,#REF!,19,FALSE)</f>
        <v>#REF!</v>
      </c>
      <c r="J43" s="9" t="e">
        <f>VLOOKUP($B43,#REF!,6,FALSE)</f>
        <v>#REF!</v>
      </c>
      <c r="L43" s="1">
        <v>44652.128472222103</v>
      </c>
      <c r="M43" s="13"/>
    </row>
    <row r="44" spans="2:13">
      <c r="B44" s="5"/>
      <c r="C44" s="6" t="e">
        <f>VLOOKUP($B44,#REF!,5,FALSE)</f>
        <v>#REF!</v>
      </c>
      <c r="D44" s="6" t="e">
        <f>VLOOKUP($B44,#REF!,6,FALSE)</f>
        <v>#REF!</v>
      </c>
      <c r="E44" s="7" t="e">
        <f>VLOOKUP($B44,#REF!,17,FALSE)</f>
        <v>#REF!</v>
      </c>
      <c r="F44" s="8" t="e">
        <f>VLOOKUP($B44,#REF!,7,FALSE)</f>
        <v>#REF!</v>
      </c>
      <c r="G44" s="8"/>
      <c r="H44" s="8"/>
      <c r="I44" s="9" t="e">
        <f>VLOOKUP($B44,#REF!,19,FALSE)</f>
        <v>#REF!</v>
      </c>
      <c r="J44" s="9" t="e">
        <f>VLOOKUP($B44,#REF!,6,FALSE)</f>
        <v>#REF!</v>
      </c>
      <c r="L44" s="1">
        <v>44652.131944444322</v>
      </c>
      <c r="M44" s="13"/>
    </row>
    <row r="45" spans="2:13">
      <c r="B45" s="5"/>
      <c r="C45" s="6" t="e">
        <f>VLOOKUP($B45,#REF!,5,FALSE)</f>
        <v>#REF!</v>
      </c>
      <c r="D45" s="6" t="e">
        <f>VLOOKUP($B45,#REF!,6,FALSE)</f>
        <v>#REF!</v>
      </c>
      <c r="E45" s="7" t="e">
        <f>VLOOKUP($B45,#REF!,17,FALSE)</f>
        <v>#REF!</v>
      </c>
      <c r="F45" s="8" t="e">
        <f>VLOOKUP($B45,#REF!,7,FALSE)</f>
        <v>#REF!</v>
      </c>
      <c r="G45" s="8"/>
      <c r="H45" s="8"/>
      <c r="I45" s="9" t="e">
        <f>VLOOKUP($B45,#REF!,19,FALSE)</f>
        <v>#REF!</v>
      </c>
      <c r="J45" s="9" t="e">
        <f>VLOOKUP($B45,#REF!,6,FALSE)</f>
        <v>#REF!</v>
      </c>
      <c r="L45" s="1">
        <v>44652.135416666541</v>
      </c>
      <c r="M45" s="13"/>
    </row>
    <row r="46" spans="2:13">
      <c r="B46" s="5"/>
      <c r="C46" s="6" t="e">
        <f>VLOOKUP($B46,#REF!,5,FALSE)</f>
        <v>#REF!</v>
      </c>
      <c r="D46" s="6" t="e">
        <f>VLOOKUP($B46,#REF!,6,FALSE)</f>
        <v>#REF!</v>
      </c>
      <c r="E46" s="7" t="e">
        <f>VLOOKUP($B46,#REF!,17,FALSE)</f>
        <v>#REF!</v>
      </c>
      <c r="F46" s="8" t="e">
        <f>VLOOKUP($B46,#REF!,7,FALSE)</f>
        <v>#REF!</v>
      </c>
      <c r="G46" s="8"/>
      <c r="H46" s="8"/>
      <c r="I46" s="9" t="e">
        <f>VLOOKUP($B46,#REF!,19,FALSE)</f>
        <v>#REF!</v>
      </c>
      <c r="J46" s="9" t="e">
        <f>VLOOKUP($B46,#REF!,6,FALSE)</f>
        <v>#REF!</v>
      </c>
      <c r="L46" s="1">
        <v>44652.13888888876</v>
      </c>
      <c r="M46" s="13"/>
    </row>
    <row r="47" spans="2:13">
      <c r="B47" s="5"/>
      <c r="C47" s="6" t="e">
        <f>VLOOKUP($B47,#REF!,5,FALSE)</f>
        <v>#REF!</v>
      </c>
      <c r="D47" s="6" t="e">
        <f>VLOOKUP($B47,#REF!,6,FALSE)</f>
        <v>#REF!</v>
      </c>
      <c r="E47" s="7" t="e">
        <f>VLOOKUP($B47,#REF!,17,FALSE)</f>
        <v>#REF!</v>
      </c>
      <c r="F47" s="8" t="e">
        <f>VLOOKUP($B47,#REF!,7,FALSE)</f>
        <v>#REF!</v>
      </c>
      <c r="G47" s="8"/>
      <c r="H47" s="8"/>
      <c r="I47" s="9" t="e">
        <f>VLOOKUP($B47,#REF!,19,FALSE)</f>
        <v>#REF!</v>
      </c>
      <c r="J47" s="9" t="e">
        <f>VLOOKUP($B47,#REF!,6,FALSE)</f>
        <v>#REF!</v>
      </c>
      <c r="L47" s="1">
        <v>44652.142361110979</v>
      </c>
      <c r="M47" s="13"/>
    </row>
    <row r="48" spans="2:13">
      <c r="B48" s="5"/>
      <c r="C48" s="6" t="e">
        <f>VLOOKUP($B48,#REF!,5,FALSE)</f>
        <v>#REF!</v>
      </c>
      <c r="D48" s="6" t="e">
        <f>VLOOKUP($B48,#REF!,6,FALSE)</f>
        <v>#REF!</v>
      </c>
      <c r="E48" s="7" t="e">
        <f>VLOOKUP($B48,#REF!,17,FALSE)</f>
        <v>#REF!</v>
      </c>
      <c r="F48" s="8" t="e">
        <f>VLOOKUP($B48,#REF!,7,FALSE)</f>
        <v>#REF!</v>
      </c>
      <c r="G48" s="8"/>
      <c r="H48" s="8"/>
      <c r="I48" s="9" t="e">
        <f>VLOOKUP($B48,#REF!,19,FALSE)</f>
        <v>#REF!</v>
      </c>
      <c r="J48" s="9" t="e">
        <f>VLOOKUP($B48,#REF!,6,FALSE)</f>
        <v>#REF!</v>
      </c>
      <c r="L48" s="1">
        <v>44652.145833333198</v>
      </c>
      <c r="M48" s="13"/>
    </row>
    <row r="49" spans="2:13">
      <c r="B49" s="5"/>
      <c r="C49" s="6" t="e">
        <f>VLOOKUP($B49,#REF!,5,FALSE)</f>
        <v>#REF!</v>
      </c>
      <c r="D49" s="6" t="e">
        <f>VLOOKUP($B49,#REF!,6,FALSE)</f>
        <v>#REF!</v>
      </c>
      <c r="E49" s="7" t="e">
        <f>VLOOKUP($B49,#REF!,17,FALSE)</f>
        <v>#REF!</v>
      </c>
      <c r="F49" s="8" t="e">
        <f>VLOOKUP($B49,#REF!,7,FALSE)</f>
        <v>#REF!</v>
      </c>
      <c r="G49" s="8"/>
      <c r="H49" s="8"/>
      <c r="I49" s="9" t="e">
        <f>VLOOKUP($B49,#REF!,19,FALSE)</f>
        <v>#REF!</v>
      </c>
      <c r="J49" s="9" t="e">
        <f>VLOOKUP($B49,#REF!,6,FALSE)</f>
        <v>#REF!</v>
      </c>
      <c r="L49" s="1">
        <v>44652.149305555417</v>
      </c>
      <c r="M49" s="13"/>
    </row>
    <row r="50" spans="2:13">
      <c r="B50" s="5"/>
      <c r="C50" s="6" t="e">
        <f>VLOOKUP($B50,#REF!,5,FALSE)</f>
        <v>#REF!</v>
      </c>
      <c r="D50" s="6" t="e">
        <f>VLOOKUP($B50,#REF!,6,FALSE)</f>
        <v>#REF!</v>
      </c>
      <c r="E50" s="7" t="e">
        <f>VLOOKUP($B50,#REF!,17,FALSE)</f>
        <v>#REF!</v>
      </c>
      <c r="F50" s="8" t="e">
        <f>VLOOKUP($B50,#REF!,7,FALSE)</f>
        <v>#REF!</v>
      </c>
      <c r="G50" s="8"/>
      <c r="H50" s="8"/>
      <c r="I50" s="9" t="e">
        <f>VLOOKUP($B50,#REF!,19,FALSE)</f>
        <v>#REF!</v>
      </c>
      <c r="J50" s="9" t="e">
        <f>VLOOKUP($B50,#REF!,6,FALSE)</f>
        <v>#REF!</v>
      </c>
      <c r="L50" s="1">
        <v>44652.152777777635</v>
      </c>
      <c r="M50" s="13"/>
    </row>
    <row r="51" spans="2:13">
      <c r="B51" s="5"/>
      <c r="C51" s="6" t="e">
        <f>VLOOKUP($B51,#REF!,5,FALSE)</f>
        <v>#REF!</v>
      </c>
      <c r="D51" s="6" t="e">
        <f>VLOOKUP($B51,#REF!,6,FALSE)</f>
        <v>#REF!</v>
      </c>
      <c r="E51" s="7" t="e">
        <f>VLOOKUP($B51,#REF!,17,FALSE)</f>
        <v>#REF!</v>
      </c>
      <c r="F51" s="8" t="e">
        <f>VLOOKUP($B51,#REF!,7,FALSE)</f>
        <v>#REF!</v>
      </c>
      <c r="G51" s="8"/>
      <c r="H51" s="8"/>
      <c r="I51" s="9" t="e">
        <f>VLOOKUP($B51,#REF!,19,FALSE)</f>
        <v>#REF!</v>
      </c>
      <c r="J51" s="9" t="e">
        <f>VLOOKUP($B51,#REF!,6,FALSE)</f>
        <v>#REF!</v>
      </c>
      <c r="L51" s="1">
        <v>44652.156249999854</v>
      </c>
      <c r="M51" s="13"/>
    </row>
    <row r="52" spans="2:13">
      <c r="B52" s="5"/>
      <c r="C52" s="6" t="e">
        <f>VLOOKUP($B52,#REF!,5,FALSE)</f>
        <v>#REF!</v>
      </c>
      <c r="D52" s="6" t="e">
        <f>VLOOKUP($B52,#REF!,6,FALSE)</f>
        <v>#REF!</v>
      </c>
      <c r="E52" s="7" t="e">
        <f>VLOOKUP($B52,#REF!,17,FALSE)</f>
        <v>#REF!</v>
      </c>
      <c r="F52" s="8" t="e">
        <f>VLOOKUP($B52,#REF!,7,FALSE)</f>
        <v>#REF!</v>
      </c>
      <c r="G52" s="8"/>
      <c r="H52" s="8"/>
      <c r="I52" s="9" t="e">
        <f>VLOOKUP($B52,#REF!,19,FALSE)</f>
        <v>#REF!</v>
      </c>
      <c r="J52" s="9" t="e">
        <f>VLOOKUP($B52,#REF!,6,FALSE)</f>
        <v>#REF!</v>
      </c>
      <c r="L52" s="1">
        <v>44652.159722222073</v>
      </c>
      <c r="M52" s="13"/>
    </row>
    <row r="53" spans="2:13">
      <c r="B53" s="5"/>
      <c r="C53" s="6" t="e">
        <f>VLOOKUP($B53,#REF!,5,FALSE)</f>
        <v>#REF!</v>
      </c>
      <c r="D53" s="6" t="e">
        <f>VLOOKUP($B53,#REF!,6,FALSE)</f>
        <v>#REF!</v>
      </c>
      <c r="E53" s="7" t="e">
        <f>VLOOKUP($B53,#REF!,17,FALSE)</f>
        <v>#REF!</v>
      </c>
      <c r="F53" s="8" t="e">
        <f>VLOOKUP($B53,#REF!,7,FALSE)</f>
        <v>#REF!</v>
      </c>
      <c r="G53" s="8"/>
      <c r="H53" s="8"/>
      <c r="I53" s="9" t="e">
        <f>VLOOKUP($B53,#REF!,19,FALSE)</f>
        <v>#REF!</v>
      </c>
      <c r="J53" s="9" t="e">
        <f>VLOOKUP($B53,#REF!,6,FALSE)</f>
        <v>#REF!</v>
      </c>
      <c r="L53" s="1">
        <v>44652.163194444292</v>
      </c>
      <c r="M53" s="13"/>
    </row>
    <row r="54" spans="2:13">
      <c r="B54" s="5"/>
      <c r="C54" s="6" t="e">
        <f>VLOOKUP($B54,#REF!,5,FALSE)</f>
        <v>#REF!</v>
      </c>
      <c r="D54" s="6" t="e">
        <f>VLOOKUP($B54,#REF!,6,FALSE)</f>
        <v>#REF!</v>
      </c>
      <c r="E54" s="7" t="e">
        <f>VLOOKUP($B54,#REF!,17,FALSE)</f>
        <v>#REF!</v>
      </c>
      <c r="F54" s="8" t="e">
        <f>VLOOKUP($B54,#REF!,7,FALSE)</f>
        <v>#REF!</v>
      </c>
      <c r="G54" s="8"/>
      <c r="H54" s="8"/>
      <c r="I54" s="9" t="e">
        <f>VLOOKUP($B54,#REF!,19,FALSE)</f>
        <v>#REF!</v>
      </c>
      <c r="J54" s="9" t="e">
        <f>VLOOKUP($B54,#REF!,6,FALSE)</f>
        <v>#REF!</v>
      </c>
      <c r="L54" s="1">
        <v>44652.166666666511</v>
      </c>
      <c r="M54" s="13"/>
    </row>
    <row r="55" spans="2:13">
      <c r="B55" s="5"/>
      <c r="C55" s="6" t="e">
        <f>VLOOKUP($B55,#REF!,5,FALSE)</f>
        <v>#REF!</v>
      </c>
      <c r="D55" s="6" t="e">
        <f>VLOOKUP($B55,#REF!,6,FALSE)</f>
        <v>#REF!</v>
      </c>
      <c r="E55" s="7" t="e">
        <f>VLOOKUP($B55,#REF!,17,FALSE)</f>
        <v>#REF!</v>
      </c>
      <c r="F55" s="8" t="e">
        <f>VLOOKUP($B55,#REF!,7,FALSE)</f>
        <v>#REF!</v>
      </c>
      <c r="G55" s="8"/>
      <c r="H55" s="8"/>
      <c r="I55" s="9" t="e">
        <f>VLOOKUP($B55,#REF!,19,FALSE)</f>
        <v>#REF!</v>
      </c>
      <c r="J55" s="9" t="e">
        <f>VLOOKUP($B55,#REF!,6,FALSE)</f>
        <v>#REF!</v>
      </c>
      <c r="L55" s="1">
        <v>44652.17013888873</v>
      </c>
      <c r="M55" s="13"/>
    </row>
    <row r="56" spans="2:13">
      <c r="B56" s="5"/>
      <c r="C56" s="6" t="e">
        <f>VLOOKUP($B56,#REF!,5,FALSE)</f>
        <v>#REF!</v>
      </c>
      <c r="D56" s="6" t="e">
        <f>VLOOKUP($B56,#REF!,6,FALSE)</f>
        <v>#REF!</v>
      </c>
      <c r="E56" s="7" t="e">
        <f>VLOOKUP($B56,#REF!,17,FALSE)</f>
        <v>#REF!</v>
      </c>
      <c r="F56" s="8" t="e">
        <f>VLOOKUP($B56,#REF!,7,FALSE)</f>
        <v>#REF!</v>
      </c>
      <c r="G56" s="8"/>
      <c r="H56" s="8"/>
      <c r="I56" s="9" t="e">
        <f>VLOOKUP($B56,#REF!,19,FALSE)</f>
        <v>#REF!</v>
      </c>
      <c r="J56" s="9" t="e">
        <f>VLOOKUP($B56,#REF!,6,FALSE)</f>
        <v>#REF!</v>
      </c>
      <c r="L56" s="1">
        <v>44652.173611110949</v>
      </c>
      <c r="M56" s="13"/>
    </row>
    <row r="57" spans="2:13">
      <c r="B57" s="5"/>
      <c r="C57" s="6" t="e">
        <f>VLOOKUP($B57,#REF!,5,FALSE)</f>
        <v>#REF!</v>
      </c>
      <c r="D57" s="6" t="e">
        <f>VLOOKUP($B57,#REF!,6,FALSE)</f>
        <v>#REF!</v>
      </c>
      <c r="E57" s="7" t="e">
        <f>VLOOKUP($B57,#REF!,17,FALSE)</f>
        <v>#REF!</v>
      </c>
      <c r="F57" s="8" t="e">
        <f>VLOOKUP($B57,#REF!,7,FALSE)</f>
        <v>#REF!</v>
      </c>
      <c r="G57" s="8"/>
      <c r="H57" s="8"/>
      <c r="I57" s="9" t="e">
        <f>VLOOKUP($B57,#REF!,19,FALSE)</f>
        <v>#REF!</v>
      </c>
      <c r="J57" s="9" t="e">
        <f>VLOOKUP($B57,#REF!,6,FALSE)</f>
        <v>#REF!</v>
      </c>
      <c r="L57" s="1">
        <v>44652.177083333168</v>
      </c>
      <c r="M57" s="13"/>
    </row>
    <row r="58" spans="2:13">
      <c r="B58" s="5"/>
      <c r="C58" s="6" t="e">
        <f>VLOOKUP($B58,#REF!,5,FALSE)</f>
        <v>#REF!</v>
      </c>
      <c r="D58" s="6" t="e">
        <f>VLOOKUP($B58,#REF!,6,FALSE)</f>
        <v>#REF!</v>
      </c>
      <c r="E58" s="7" t="e">
        <f>VLOOKUP($B58,#REF!,17,FALSE)</f>
        <v>#REF!</v>
      </c>
      <c r="F58" s="8" t="e">
        <f>VLOOKUP($B58,#REF!,7,FALSE)</f>
        <v>#REF!</v>
      </c>
      <c r="G58" s="8"/>
      <c r="H58" s="8"/>
      <c r="I58" s="9" t="e">
        <f>VLOOKUP($B58,#REF!,19,FALSE)</f>
        <v>#REF!</v>
      </c>
      <c r="J58" s="9" t="e">
        <f>VLOOKUP($B58,#REF!,6,FALSE)</f>
        <v>#REF!</v>
      </c>
      <c r="L58" s="1">
        <v>44652.180555555387</v>
      </c>
      <c r="M58" s="13"/>
    </row>
    <row r="59" spans="2:13">
      <c r="B59" s="5"/>
      <c r="C59" s="6" t="e">
        <f>VLOOKUP($B59,#REF!,5,FALSE)</f>
        <v>#REF!</v>
      </c>
      <c r="D59" s="6" t="e">
        <f>VLOOKUP($B59,#REF!,6,FALSE)</f>
        <v>#REF!</v>
      </c>
      <c r="E59" s="7" t="e">
        <f>VLOOKUP($B59,#REF!,17,FALSE)</f>
        <v>#REF!</v>
      </c>
      <c r="F59" s="8" t="e">
        <f>VLOOKUP($B59,#REF!,7,FALSE)</f>
        <v>#REF!</v>
      </c>
      <c r="G59" s="8"/>
      <c r="H59" s="8"/>
      <c r="I59" s="9" t="e">
        <f>VLOOKUP($B59,#REF!,19,FALSE)</f>
        <v>#REF!</v>
      </c>
      <c r="J59" s="9" t="e">
        <f>VLOOKUP($B59,#REF!,6,FALSE)</f>
        <v>#REF!</v>
      </c>
      <c r="L59" s="1">
        <v>44652.184027777606</v>
      </c>
      <c r="M59" s="13"/>
    </row>
    <row r="60" spans="2:13">
      <c r="B60" s="5"/>
      <c r="C60" s="6" t="e">
        <f>VLOOKUP($B60,#REF!,5,FALSE)</f>
        <v>#REF!</v>
      </c>
      <c r="D60" s="6" t="e">
        <f>VLOOKUP($B60,#REF!,6,FALSE)</f>
        <v>#REF!</v>
      </c>
      <c r="E60" s="7" t="e">
        <f>VLOOKUP($B60,#REF!,17,FALSE)</f>
        <v>#REF!</v>
      </c>
      <c r="F60" s="8" t="e">
        <f>VLOOKUP($B60,#REF!,7,FALSE)</f>
        <v>#REF!</v>
      </c>
      <c r="G60" s="8"/>
      <c r="H60" s="8"/>
      <c r="I60" s="9" t="e">
        <f>VLOOKUP($B60,#REF!,19,FALSE)</f>
        <v>#REF!</v>
      </c>
      <c r="J60" s="9" t="e">
        <f>VLOOKUP($B60,#REF!,6,FALSE)</f>
        <v>#REF!</v>
      </c>
      <c r="L60" s="1">
        <v>44652.187499999825</v>
      </c>
      <c r="M60" s="13"/>
    </row>
    <row r="61" spans="2:13">
      <c r="B61" s="5"/>
      <c r="C61" s="6" t="e">
        <f>VLOOKUP($B61,#REF!,5,FALSE)</f>
        <v>#REF!</v>
      </c>
      <c r="D61" s="6" t="e">
        <f>VLOOKUP($B61,#REF!,6,FALSE)</f>
        <v>#REF!</v>
      </c>
      <c r="E61" s="7" t="e">
        <f>VLOOKUP($B61,#REF!,17,FALSE)</f>
        <v>#REF!</v>
      </c>
      <c r="F61" s="8" t="e">
        <f>VLOOKUP($B61,#REF!,7,FALSE)</f>
        <v>#REF!</v>
      </c>
      <c r="G61" s="8"/>
      <c r="H61" s="8"/>
      <c r="I61" s="9" t="e">
        <f>VLOOKUP($B61,#REF!,19,FALSE)</f>
        <v>#REF!</v>
      </c>
      <c r="J61" s="9" t="e">
        <f>VLOOKUP($B61,#REF!,6,FALSE)</f>
        <v>#REF!</v>
      </c>
      <c r="L61" s="1">
        <v>44652.190972222044</v>
      </c>
      <c r="M61" s="13"/>
    </row>
    <row r="62" spans="2:13">
      <c r="B62" s="5"/>
      <c r="C62" s="6" t="e">
        <f>VLOOKUP($B62,#REF!,5,FALSE)</f>
        <v>#REF!</v>
      </c>
      <c r="D62" s="6" t="e">
        <f>VLOOKUP($B62,#REF!,6,FALSE)</f>
        <v>#REF!</v>
      </c>
      <c r="E62" s="7" t="e">
        <f>VLOOKUP($B62,#REF!,17,FALSE)</f>
        <v>#REF!</v>
      </c>
      <c r="F62" s="8" t="e">
        <f>VLOOKUP($B62,#REF!,7,FALSE)</f>
        <v>#REF!</v>
      </c>
      <c r="G62" s="8"/>
      <c r="H62" s="8"/>
      <c r="I62" s="9" t="e">
        <f>VLOOKUP($B62,#REF!,19,FALSE)</f>
        <v>#REF!</v>
      </c>
      <c r="J62" s="9" t="e">
        <f>VLOOKUP($B62,#REF!,6,FALSE)</f>
        <v>#REF!</v>
      </c>
      <c r="L62" s="1">
        <v>44652.194444444263</v>
      </c>
      <c r="M62" s="13"/>
    </row>
    <row r="63" spans="2:13">
      <c r="B63" s="5"/>
      <c r="C63" s="6" t="e">
        <f>VLOOKUP($B63,#REF!,5,FALSE)</f>
        <v>#REF!</v>
      </c>
      <c r="D63" s="6" t="e">
        <f>VLOOKUP($B63,#REF!,6,FALSE)</f>
        <v>#REF!</v>
      </c>
      <c r="E63" s="7" t="e">
        <f>VLOOKUP($B63,#REF!,17,FALSE)</f>
        <v>#REF!</v>
      </c>
      <c r="F63" s="8" t="e">
        <f>VLOOKUP($B63,#REF!,7,FALSE)</f>
        <v>#REF!</v>
      </c>
      <c r="G63" s="8"/>
      <c r="H63" s="8"/>
      <c r="I63" s="9" t="e">
        <f>VLOOKUP($B63,#REF!,19,FALSE)</f>
        <v>#REF!</v>
      </c>
      <c r="J63" s="9" t="e">
        <f>VLOOKUP($B63,#REF!,6,FALSE)</f>
        <v>#REF!</v>
      </c>
      <c r="L63" s="1">
        <v>44652.197916666482</v>
      </c>
      <c r="M63" s="13"/>
    </row>
    <row r="64" spans="2:13">
      <c r="B64" s="5"/>
      <c r="C64" s="6" t="e">
        <f>VLOOKUP($B64,#REF!,5,FALSE)</f>
        <v>#REF!</v>
      </c>
      <c r="D64" s="6" t="e">
        <f>VLOOKUP($B64,#REF!,6,FALSE)</f>
        <v>#REF!</v>
      </c>
      <c r="E64" s="7" t="e">
        <f>VLOOKUP($B64,#REF!,17,FALSE)</f>
        <v>#REF!</v>
      </c>
      <c r="F64" s="8" t="e">
        <f>VLOOKUP($B64,#REF!,7,FALSE)</f>
        <v>#REF!</v>
      </c>
      <c r="G64" s="8"/>
      <c r="H64" s="8"/>
      <c r="I64" s="9" t="e">
        <f>VLOOKUP($B64,#REF!,19,FALSE)</f>
        <v>#REF!</v>
      </c>
      <c r="J64" s="9" t="e">
        <f>VLOOKUP($B64,#REF!,6,FALSE)</f>
        <v>#REF!</v>
      </c>
      <c r="L64" s="1">
        <v>44652.201388888701</v>
      </c>
      <c r="M64" s="13"/>
    </row>
    <row r="65" spans="2:13">
      <c r="B65" s="5"/>
      <c r="C65" s="6" t="e">
        <f>VLOOKUP($B65,#REF!,5,FALSE)</f>
        <v>#REF!</v>
      </c>
      <c r="D65" s="6" t="e">
        <f>VLOOKUP($B65,#REF!,6,FALSE)</f>
        <v>#REF!</v>
      </c>
      <c r="E65" s="7" t="e">
        <f>VLOOKUP($B65,#REF!,17,FALSE)</f>
        <v>#REF!</v>
      </c>
      <c r="F65" s="8" t="e">
        <f>VLOOKUP($B65,#REF!,7,FALSE)</f>
        <v>#REF!</v>
      </c>
      <c r="G65" s="8"/>
      <c r="H65" s="8"/>
      <c r="I65" s="9" t="e">
        <f>VLOOKUP($B65,#REF!,19,FALSE)</f>
        <v>#REF!</v>
      </c>
      <c r="J65" s="9" t="e">
        <f>VLOOKUP($B65,#REF!,6,FALSE)</f>
        <v>#REF!</v>
      </c>
      <c r="L65" s="1">
        <v>44652.20486111092</v>
      </c>
      <c r="M65" s="13"/>
    </row>
    <row r="66" spans="2:13">
      <c r="B66" s="5"/>
      <c r="C66" s="6" t="e">
        <f>VLOOKUP($B66,#REF!,5,FALSE)</f>
        <v>#REF!</v>
      </c>
      <c r="D66" s="6" t="e">
        <f>VLOOKUP($B66,#REF!,6,FALSE)</f>
        <v>#REF!</v>
      </c>
      <c r="E66" s="7" t="e">
        <f>VLOOKUP($B66,#REF!,17,FALSE)</f>
        <v>#REF!</v>
      </c>
      <c r="F66" s="8" t="e">
        <f>VLOOKUP($B66,#REF!,7,FALSE)</f>
        <v>#REF!</v>
      </c>
      <c r="G66" s="8"/>
      <c r="H66" s="8"/>
      <c r="I66" s="9" t="e">
        <f>VLOOKUP($B66,#REF!,19,FALSE)</f>
        <v>#REF!</v>
      </c>
      <c r="J66" s="9" t="e">
        <f>VLOOKUP($B66,#REF!,6,FALSE)</f>
        <v>#REF!</v>
      </c>
      <c r="L66" s="1">
        <v>44652.208333333139</v>
      </c>
      <c r="M66" s="13"/>
    </row>
    <row r="67" spans="2:13">
      <c r="B67" s="5"/>
      <c r="C67" s="6" t="e">
        <f>VLOOKUP($B67,#REF!,5,FALSE)</f>
        <v>#REF!</v>
      </c>
      <c r="D67" s="6" t="e">
        <f>VLOOKUP($B67,#REF!,6,FALSE)</f>
        <v>#REF!</v>
      </c>
      <c r="E67" s="7" t="e">
        <f>VLOOKUP($B67,#REF!,17,FALSE)</f>
        <v>#REF!</v>
      </c>
      <c r="F67" s="8" t="e">
        <f>VLOOKUP($B67,#REF!,7,FALSE)</f>
        <v>#REF!</v>
      </c>
      <c r="G67" s="8"/>
      <c r="H67" s="8"/>
      <c r="I67" s="9" t="e">
        <f>VLOOKUP($B67,#REF!,19,FALSE)</f>
        <v>#REF!</v>
      </c>
      <c r="J67" s="9" t="e">
        <f>VLOOKUP($B67,#REF!,6,FALSE)</f>
        <v>#REF!</v>
      </c>
      <c r="L67" s="1">
        <v>44652.211805555358</v>
      </c>
      <c r="M67" s="13"/>
    </row>
    <row r="68" spans="2:13">
      <c r="B68" s="5"/>
      <c r="C68" s="6" t="e">
        <f>VLOOKUP($B68,#REF!,5,FALSE)</f>
        <v>#REF!</v>
      </c>
      <c r="D68" s="6" t="e">
        <f>VLOOKUP($B68,#REF!,6,FALSE)</f>
        <v>#REF!</v>
      </c>
      <c r="E68" s="7" t="e">
        <f>VLOOKUP($B68,#REF!,17,FALSE)</f>
        <v>#REF!</v>
      </c>
      <c r="F68" s="8" t="e">
        <f>VLOOKUP($B68,#REF!,7,FALSE)</f>
        <v>#REF!</v>
      </c>
      <c r="G68" s="8"/>
      <c r="H68" s="8"/>
      <c r="I68" s="9" t="e">
        <f>VLOOKUP($B68,#REF!,19,FALSE)</f>
        <v>#REF!</v>
      </c>
      <c r="J68" s="9" t="e">
        <f>VLOOKUP($B68,#REF!,6,FALSE)</f>
        <v>#REF!</v>
      </c>
      <c r="L68" s="1">
        <v>44652.215277777577</v>
      </c>
      <c r="M68" s="13"/>
    </row>
    <row r="69" spans="2:13">
      <c r="B69" s="5"/>
      <c r="C69" s="6" t="e">
        <f>VLOOKUP($B69,#REF!,5,FALSE)</f>
        <v>#REF!</v>
      </c>
      <c r="D69" s="6" t="e">
        <f>VLOOKUP($B69,#REF!,6,FALSE)</f>
        <v>#REF!</v>
      </c>
      <c r="E69" s="7" t="e">
        <f>VLOOKUP($B69,#REF!,17,FALSE)</f>
        <v>#REF!</v>
      </c>
      <c r="F69" s="8" t="e">
        <f>VLOOKUP($B69,#REF!,7,FALSE)</f>
        <v>#REF!</v>
      </c>
      <c r="G69" s="8"/>
      <c r="H69" s="8"/>
      <c r="I69" s="9" t="e">
        <f>VLOOKUP($B69,#REF!,19,FALSE)</f>
        <v>#REF!</v>
      </c>
      <c r="J69" s="9" t="e">
        <f>VLOOKUP($B69,#REF!,6,FALSE)</f>
        <v>#REF!</v>
      </c>
      <c r="L69" s="1">
        <v>44652.218749999796</v>
      </c>
      <c r="M69" s="13"/>
    </row>
    <row r="70" spans="2:13">
      <c r="B70" s="5"/>
      <c r="C70" s="6" t="e">
        <f>VLOOKUP($B70,#REF!,5,FALSE)</f>
        <v>#REF!</v>
      </c>
      <c r="D70" s="6" t="e">
        <f>VLOOKUP($B70,#REF!,6,FALSE)</f>
        <v>#REF!</v>
      </c>
      <c r="E70" s="7" t="e">
        <f>VLOOKUP($B70,#REF!,17,FALSE)</f>
        <v>#REF!</v>
      </c>
      <c r="F70" s="8" t="e">
        <f>VLOOKUP($B70,#REF!,7,FALSE)</f>
        <v>#REF!</v>
      </c>
      <c r="G70" s="8"/>
      <c r="H70" s="8"/>
      <c r="I70" s="9" t="e">
        <f>VLOOKUP($B70,#REF!,19,FALSE)</f>
        <v>#REF!</v>
      </c>
      <c r="J70" s="9" t="e">
        <f>VLOOKUP($B70,#REF!,6,FALSE)</f>
        <v>#REF!</v>
      </c>
      <c r="L70" s="1">
        <v>44652.222222222015</v>
      </c>
      <c r="M70" s="13"/>
    </row>
    <row r="71" spans="2:13">
      <c r="B71" s="5"/>
      <c r="C71" s="6" t="e">
        <f>VLOOKUP($B71,#REF!,5,FALSE)</f>
        <v>#REF!</v>
      </c>
      <c r="D71" s="6" t="e">
        <f>VLOOKUP($B71,#REF!,6,FALSE)</f>
        <v>#REF!</v>
      </c>
      <c r="E71" s="7" t="e">
        <f>VLOOKUP($B71,#REF!,17,FALSE)</f>
        <v>#REF!</v>
      </c>
      <c r="F71" s="8" t="e">
        <f>VLOOKUP($B71,#REF!,7,FALSE)</f>
        <v>#REF!</v>
      </c>
      <c r="G71" s="8"/>
      <c r="H71" s="8"/>
      <c r="I71" s="9" t="e">
        <f>VLOOKUP($B71,#REF!,19,FALSE)</f>
        <v>#REF!</v>
      </c>
      <c r="J71" s="9" t="e">
        <f>VLOOKUP($B71,#REF!,6,FALSE)</f>
        <v>#REF!</v>
      </c>
      <c r="L71" s="1">
        <v>44652.225694444234</v>
      </c>
      <c r="M71" s="13"/>
    </row>
    <row r="72" spans="2:13">
      <c r="B72" s="5"/>
      <c r="C72" s="6" t="e">
        <f>VLOOKUP($B72,#REF!,5,FALSE)</f>
        <v>#REF!</v>
      </c>
      <c r="D72" s="6" t="e">
        <f>VLOOKUP($B72,#REF!,6,FALSE)</f>
        <v>#REF!</v>
      </c>
      <c r="E72" s="7" t="e">
        <f>VLOOKUP($B72,#REF!,17,FALSE)</f>
        <v>#REF!</v>
      </c>
      <c r="F72" s="8" t="e">
        <f>VLOOKUP($B72,#REF!,7,FALSE)</f>
        <v>#REF!</v>
      </c>
      <c r="G72" s="8"/>
      <c r="H72" s="8"/>
      <c r="I72" s="9" t="e">
        <f>VLOOKUP($B72,#REF!,19,FALSE)</f>
        <v>#REF!</v>
      </c>
      <c r="J72" s="9" t="e">
        <f>VLOOKUP($B72,#REF!,6,FALSE)</f>
        <v>#REF!</v>
      </c>
      <c r="L72" s="1">
        <v>44652.229166666453</v>
      </c>
      <c r="M72" s="13"/>
    </row>
    <row r="73" spans="2:13">
      <c r="B73" s="5"/>
      <c r="C73" s="6" t="e">
        <f>VLOOKUP($B73,#REF!,5,FALSE)</f>
        <v>#REF!</v>
      </c>
      <c r="D73" s="6" t="e">
        <f>VLOOKUP($B73,#REF!,6,FALSE)</f>
        <v>#REF!</v>
      </c>
      <c r="E73" s="7" t="e">
        <f>VLOOKUP($B73,#REF!,17,FALSE)</f>
        <v>#REF!</v>
      </c>
      <c r="F73" s="8" t="e">
        <f>VLOOKUP($B73,#REF!,7,FALSE)</f>
        <v>#REF!</v>
      </c>
      <c r="G73" s="8"/>
      <c r="H73" s="8"/>
      <c r="I73" s="9" t="e">
        <f>VLOOKUP($B73,#REF!,19,FALSE)</f>
        <v>#REF!</v>
      </c>
      <c r="J73" s="9" t="e">
        <f>VLOOKUP($B73,#REF!,6,FALSE)</f>
        <v>#REF!</v>
      </c>
      <c r="L73" s="1">
        <v>44652.232638888672</v>
      </c>
      <c r="M73" s="13"/>
    </row>
    <row r="74" spans="2:13">
      <c r="B74" s="5"/>
      <c r="C74" s="6" t="e">
        <f>VLOOKUP($B74,#REF!,5,FALSE)</f>
        <v>#REF!</v>
      </c>
      <c r="D74" s="6" t="e">
        <f>VLOOKUP($B74,#REF!,6,FALSE)</f>
        <v>#REF!</v>
      </c>
      <c r="E74" s="7" t="e">
        <f>VLOOKUP($B74,#REF!,17,FALSE)</f>
        <v>#REF!</v>
      </c>
      <c r="F74" s="8" t="e">
        <f>VLOOKUP($B74,#REF!,7,FALSE)</f>
        <v>#REF!</v>
      </c>
      <c r="G74" s="8"/>
      <c r="H74" s="8"/>
      <c r="I74" s="9" t="e">
        <f>VLOOKUP($B74,#REF!,19,FALSE)</f>
        <v>#REF!</v>
      </c>
      <c r="J74" s="9" t="e">
        <f>VLOOKUP($B74,#REF!,6,FALSE)</f>
        <v>#REF!</v>
      </c>
      <c r="L74" s="1">
        <v>44652.236111110891</v>
      </c>
      <c r="M74" s="13"/>
    </row>
    <row r="75" spans="2:13">
      <c r="B75" s="5"/>
      <c r="C75" s="6" t="e">
        <f>VLOOKUP($B75,#REF!,5,FALSE)</f>
        <v>#REF!</v>
      </c>
      <c r="D75" s="6" t="e">
        <f>VLOOKUP($B75,#REF!,6,FALSE)</f>
        <v>#REF!</v>
      </c>
      <c r="E75" s="7" t="e">
        <f>VLOOKUP($B75,#REF!,17,FALSE)</f>
        <v>#REF!</v>
      </c>
      <c r="F75" s="8" t="e">
        <f>VLOOKUP($B75,#REF!,7,FALSE)</f>
        <v>#REF!</v>
      </c>
      <c r="G75" s="8"/>
      <c r="H75" s="8"/>
      <c r="I75" s="9" t="e">
        <f>VLOOKUP($B75,#REF!,19,FALSE)</f>
        <v>#REF!</v>
      </c>
      <c r="J75" s="9" t="e">
        <f>VLOOKUP($B75,#REF!,6,FALSE)</f>
        <v>#REF!</v>
      </c>
      <c r="L75" s="1">
        <v>44652.23958333311</v>
      </c>
      <c r="M75" s="13"/>
    </row>
    <row r="76" spans="2:13">
      <c r="B76" s="5"/>
      <c r="C76" s="6" t="e">
        <f>VLOOKUP($B76,#REF!,5,FALSE)</f>
        <v>#REF!</v>
      </c>
      <c r="D76" s="6" t="e">
        <f>VLOOKUP($B76,#REF!,6,FALSE)</f>
        <v>#REF!</v>
      </c>
      <c r="E76" s="7" t="e">
        <f>VLOOKUP($B76,#REF!,17,FALSE)</f>
        <v>#REF!</v>
      </c>
      <c r="F76" s="8" t="e">
        <f>VLOOKUP($B76,#REF!,7,FALSE)</f>
        <v>#REF!</v>
      </c>
      <c r="G76" s="8"/>
      <c r="H76" s="8"/>
      <c r="I76" s="9" t="e">
        <f>VLOOKUP($B76,#REF!,19,FALSE)</f>
        <v>#REF!</v>
      </c>
      <c r="J76" s="9" t="e">
        <f>VLOOKUP($B76,#REF!,6,FALSE)</f>
        <v>#REF!</v>
      </c>
      <c r="L76" s="1">
        <v>44652.243055555329</v>
      </c>
      <c r="M76" s="13"/>
    </row>
    <row r="77" spans="2:13">
      <c r="B77" s="5"/>
      <c r="C77" s="6" t="e">
        <f>VLOOKUP($B77,#REF!,5,FALSE)</f>
        <v>#REF!</v>
      </c>
      <c r="D77" s="6" t="e">
        <f>VLOOKUP($B77,#REF!,6,FALSE)</f>
        <v>#REF!</v>
      </c>
      <c r="E77" s="7" t="e">
        <f>VLOOKUP($B77,#REF!,17,FALSE)</f>
        <v>#REF!</v>
      </c>
      <c r="F77" s="8" t="e">
        <f>VLOOKUP($B77,#REF!,7,FALSE)</f>
        <v>#REF!</v>
      </c>
      <c r="G77" s="8"/>
      <c r="H77" s="8"/>
      <c r="I77" s="9" t="e">
        <f>VLOOKUP($B77,#REF!,19,FALSE)</f>
        <v>#REF!</v>
      </c>
      <c r="J77" s="9" t="e">
        <f>VLOOKUP($B77,#REF!,6,FALSE)</f>
        <v>#REF!</v>
      </c>
      <c r="L77" s="1">
        <v>44652.246527777548</v>
      </c>
      <c r="M77" s="13"/>
    </row>
    <row r="78" spans="2:13">
      <c r="B78" s="5"/>
      <c r="C78" s="6" t="e">
        <f>VLOOKUP($B78,#REF!,5,FALSE)</f>
        <v>#REF!</v>
      </c>
      <c r="D78" s="6" t="e">
        <f>VLOOKUP($B78,#REF!,6,FALSE)</f>
        <v>#REF!</v>
      </c>
      <c r="E78" s="7" t="e">
        <f>VLOOKUP($B78,#REF!,17,FALSE)</f>
        <v>#REF!</v>
      </c>
      <c r="F78" s="8" t="e">
        <f>VLOOKUP($B78,#REF!,7,FALSE)</f>
        <v>#REF!</v>
      </c>
      <c r="G78" s="8"/>
      <c r="H78" s="8"/>
      <c r="I78" s="9" t="e">
        <f>VLOOKUP($B78,#REF!,19,FALSE)</f>
        <v>#REF!</v>
      </c>
      <c r="J78" s="9" t="e">
        <f>VLOOKUP($B78,#REF!,6,FALSE)</f>
        <v>#REF!</v>
      </c>
      <c r="L78" s="1">
        <v>44652.249999999767</v>
      </c>
      <c r="M78" s="13"/>
    </row>
    <row r="79" spans="2:13">
      <c r="B79" s="5"/>
      <c r="C79" s="6" t="e">
        <f>VLOOKUP($B79,#REF!,5,FALSE)</f>
        <v>#REF!</v>
      </c>
      <c r="D79" s="6" t="e">
        <f>VLOOKUP($B79,#REF!,6,FALSE)</f>
        <v>#REF!</v>
      </c>
      <c r="E79" s="7" t="e">
        <f>VLOOKUP($B79,#REF!,17,FALSE)</f>
        <v>#REF!</v>
      </c>
      <c r="F79" s="8" t="e">
        <f>VLOOKUP($B79,#REF!,7,FALSE)</f>
        <v>#REF!</v>
      </c>
      <c r="G79" s="8"/>
      <c r="H79" s="8"/>
      <c r="I79" s="9" t="e">
        <f>VLOOKUP($B79,#REF!,19,FALSE)</f>
        <v>#REF!</v>
      </c>
      <c r="J79" s="9" t="e">
        <f>VLOOKUP($B79,#REF!,6,FALSE)</f>
        <v>#REF!</v>
      </c>
      <c r="L79" s="1">
        <v>44652.253472221986</v>
      </c>
      <c r="M79" s="13"/>
    </row>
    <row r="80" spans="2:13">
      <c r="B80" s="5"/>
      <c r="C80" s="6" t="e">
        <f>VLOOKUP($B80,#REF!,5,FALSE)</f>
        <v>#REF!</v>
      </c>
      <c r="D80" s="6" t="e">
        <f>VLOOKUP($B80,#REF!,6,FALSE)</f>
        <v>#REF!</v>
      </c>
      <c r="E80" s="7" t="e">
        <f>VLOOKUP($B80,#REF!,17,FALSE)</f>
        <v>#REF!</v>
      </c>
      <c r="F80" s="8" t="e">
        <f>VLOOKUP($B80,#REF!,7,FALSE)</f>
        <v>#REF!</v>
      </c>
      <c r="G80" s="8"/>
      <c r="H80" s="8"/>
      <c r="I80" s="9" t="e">
        <f>VLOOKUP($B80,#REF!,19,FALSE)</f>
        <v>#REF!</v>
      </c>
      <c r="J80" s="9" t="e">
        <f>VLOOKUP($B80,#REF!,6,FALSE)</f>
        <v>#REF!</v>
      </c>
      <c r="L80" s="1">
        <v>44652.256944444205</v>
      </c>
      <c r="M80" s="13"/>
    </row>
    <row r="81" spans="2:13">
      <c r="B81" s="5"/>
      <c r="C81" s="6" t="e">
        <f>VLOOKUP($B81,#REF!,5,FALSE)</f>
        <v>#REF!</v>
      </c>
      <c r="D81" s="6" t="e">
        <f>VLOOKUP($B81,#REF!,6,FALSE)</f>
        <v>#REF!</v>
      </c>
      <c r="E81" s="7" t="e">
        <f>VLOOKUP($B81,#REF!,17,FALSE)</f>
        <v>#REF!</v>
      </c>
      <c r="F81" s="8" t="e">
        <f>VLOOKUP($B81,#REF!,7,FALSE)</f>
        <v>#REF!</v>
      </c>
      <c r="G81" s="8"/>
      <c r="H81" s="8"/>
      <c r="I81" s="9" t="e">
        <f>VLOOKUP($B81,#REF!,19,FALSE)</f>
        <v>#REF!</v>
      </c>
      <c r="J81" s="9" t="e">
        <f>VLOOKUP($B81,#REF!,6,FALSE)</f>
        <v>#REF!</v>
      </c>
      <c r="L81" s="1">
        <v>44652.260416666424</v>
      </c>
      <c r="M81" s="13"/>
    </row>
    <row r="82" spans="2:13">
      <c r="B82" s="5"/>
      <c r="C82" s="6" t="e">
        <f>VLOOKUP($B82,#REF!,5,FALSE)</f>
        <v>#REF!</v>
      </c>
      <c r="D82" s="6" t="e">
        <f>VLOOKUP($B82,#REF!,6,FALSE)</f>
        <v>#REF!</v>
      </c>
      <c r="E82" s="7" t="e">
        <f>VLOOKUP($B82,#REF!,17,FALSE)</f>
        <v>#REF!</v>
      </c>
      <c r="F82" s="8" t="e">
        <f>VLOOKUP($B82,#REF!,7,FALSE)</f>
        <v>#REF!</v>
      </c>
      <c r="G82" s="8"/>
      <c r="H82" s="8"/>
      <c r="I82" s="9" t="e">
        <f>VLOOKUP($B82,#REF!,19,FALSE)</f>
        <v>#REF!</v>
      </c>
      <c r="J82" s="9" t="e">
        <f>VLOOKUP($B82,#REF!,6,FALSE)</f>
        <v>#REF!</v>
      </c>
      <c r="L82" s="1">
        <v>44652.263888888643</v>
      </c>
      <c r="M82" s="13"/>
    </row>
    <row r="83" spans="2:13">
      <c r="B83" s="5"/>
      <c r="C83" s="6" t="e">
        <f>VLOOKUP($B83,#REF!,5,FALSE)</f>
        <v>#REF!</v>
      </c>
      <c r="D83" s="6" t="e">
        <f>VLOOKUP($B83,#REF!,6,FALSE)</f>
        <v>#REF!</v>
      </c>
      <c r="E83" s="7" t="e">
        <f>VLOOKUP($B83,#REF!,17,FALSE)</f>
        <v>#REF!</v>
      </c>
      <c r="F83" s="8" t="e">
        <f>VLOOKUP($B83,#REF!,7,FALSE)</f>
        <v>#REF!</v>
      </c>
      <c r="G83" s="8"/>
      <c r="H83" s="8"/>
      <c r="I83" s="9" t="e">
        <f>VLOOKUP($B83,#REF!,19,FALSE)</f>
        <v>#REF!</v>
      </c>
      <c r="J83" s="9" t="e">
        <f>VLOOKUP($B83,#REF!,6,FALSE)</f>
        <v>#REF!</v>
      </c>
      <c r="L83" s="1">
        <v>44652.267361110862</v>
      </c>
      <c r="M83" s="13"/>
    </row>
    <row r="84" spans="2:13">
      <c r="B84" s="5"/>
      <c r="C84" s="6" t="e">
        <f>VLOOKUP($B84,#REF!,5,FALSE)</f>
        <v>#REF!</v>
      </c>
      <c r="D84" s="6" t="e">
        <f>VLOOKUP($B84,#REF!,6,FALSE)</f>
        <v>#REF!</v>
      </c>
      <c r="E84" s="7" t="e">
        <f>VLOOKUP($B84,#REF!,17,FALSE)</f>
        <v>#REF!</v>
      </c>
      <c r="F84" s="8" t="e">
        <f>VLOOKUP($B84,#REF!,7,FALSE)</f>
        <v>#REF!</v>
      </c>
      <c r="G84" s="8"/>
      <c r="H84" s="8"/>
      <c r="I84" s="9" t="e">
        <f>VLOOKUP($B84,#REF!,19,FALSE)</f>
        <v>#REF!</v>
      </c>
      <c r="J84" s="9" t="e">
        <f>VLOOKUP($B84,#REF!,6,FALSE)</f>
        <v>#REF!</v>
      </c>
      <c r="L84" s="1">
        <v>44652.270833333081</v>
      </c>
      <c r="M84" s="13"/>
    </row>
    <row r="85" spans="2:13">
      <c r="B85" s="5"/>
      <c r="C85" s="6" t="e">
        <f>VLOOKUP($B85,#REF!,5,FALSE)</f>
        <v>#REF!</v>
      </c>
      <c r="D85" s="6" t="e">
        <f>VLOOKUP($B85,#REF!,6,FALSE)</f>
        <v>#REF!</v>
      </c>
      <c r="E85" s="7" t="e">
        <f>VLOOKUP($B85,#REF!,17,FALSE)</f>
        <v>#REF!</v>
      </c>
      <c r="F85" s="8" t="e">
        <f>VLOOKUP($B85,#REF!,7,FALSE)</f>
        <v>#REF!</v>
      </c>
      <c r="G85" s="8"/>
      <c r="H85" s="8"/>
      <c r="I85" s="9" t="e">
        <f>VLOOKUP($B85,#REF!,19,FALSE)</f>
        <v>#REF!</v>
      </c>
      <c r="J85" s="9" t="e">
        <f>VLOOKUP($B85,#REF!,6,FALSE)</f>
        <v>#REF!</v>
      </c>
      <c r="L85" s="1">
        <v>44652.2743055553</v>
      </c>
      <c r="M85" s="13"/>
    </row>
    <row r="86" spans="2:13">
      <c r="B86" s="5"/>
      <c r="C86" s="6" t="e">
        <f>VLOOKUP($B86,#REF!,5,FALSE)</f>
        <v>#REF!</v>
      </c>
      <c r="D86" s="6" t="e">
        <f>VLOOKUP($B86,#REF!,6,FALSE)</f>
        <v>#REF!</v>
      </c>
      <c r="E86" s="7" t="e">
        <f>VLOOKUP($B86,#REF!,17,FALSE)</f>
        <v>#REF!</v>
      </c>
      <c r="F86" s="8" t="e">
        <f>VLOOKUP($B86,#REF!,7,FALSE)</f>
        <v>#REF!</v>
      </c>
      <c r="G86" s="8"/>
      <c r="H86" s="8"/>
      <c r="I86" s="9" t="e">
        <f>VLOOKUP($B86,#REF!,19,FALSE)</f>
        <v>#REF!</v>
      </c>
      <c r="J86" s="9" t="e">
        <f>VLOOKUP($B86,#REF!,6,FALSE)</f>
        <v>#REF!</v>
      </c>
      <c r="L86" s="1">
        <v>44652.277777777519</v>
      </c>
      <c r="M86" s="13"/>
    </row>
    <row r="87" spans="2:13">
      <c r="B87" s="5"/>
      <c r="C87" s="6" t="e">
        <f>VLOOKUP($B87,#REF!,5,FALSE)</f>
        <v>#REF!</v>
      </c>
      <c r="D87" s="6" t="e">
        <f>VLOOKUP($B87,#REF!,6,FALSE)</f>
        <v>#REF!</v>
      </c>
      <c r="E87" s="7" t="e">
        <f>VLOOKUP($B87,#REF!,17,FALSE)</f>
        <v>#REF!</v>
      </c>
      <c r="F87" s="8" t="e">
        <f>VLOOKUP($B87,#REF!,7,FALSE)</f>
        <v>#REF!</v>
      </c>
      <c r="G87" s="8"/>
      <c r="H87" s="8"/>
      <c r="I87" s="9" t="e">
        <f>VLOOKUP($B87,#REF!,19,FALSE)</f>
        <v>#REF!</v>
      </c>
      <c r="J87" s="9" t="e">
        <f>VLOOKUP($B87,#REF!,6,FALSE)</f>
        <v>#REF!</v>
      </c>
      <c r="L87" s="1">
        <v>44652.281249999738</v>
      </c>
      <c r="M87" s="13"/>
    </row>
    <row r="88" spans="2:13">
      <c r="B88" s="5"/>
      <c r="C88" s="6" t="e">
        <f>VLOOKUP($B88,#REF!,5,FALSE)</f>
        <v>#REF!</v>
      </c>
      <c r="D88" s="6" t="e">
        <f>VLOOKUP($B88,#REF!,6,FALSE)</f>
        <v>#REF!</v>
      </c>
      <c r="E88" s="7" t="e">
        <f>VLOOKUP($B88,#REF!,17,FALSE)</f>
        <v>#REF!</v>
      </c>
      <c r="F88" s="8" t="e">
        <f>VLOOKUP($B88,#REF!,7,FALSE)</f>
        <v>#REF!</v>
      </c>
      <c r="G88" s="8"/>
      <c r="H88" s="8"/>
      <c r="I88" s="9" t="e">
        <f>VLOOKUP($B88,#REF!,19,FALSE)</f>
        <v>#REF!</v>
      </c>
      <c r="J88" s="9" t="e">
        <f>VLOOKUP($B88,#REF!,6,FALSE)</f>
        <v>#REF!</v>
      </c>
      <c r="L88" s="1">
        <v>44652.284722221957</v>
      </c>
      <c r="M88" s="13"/>
    </row>
    <row r="89" spans="2:13">
      <c r="B89" s="5"/>
      <c r="C89" s="6" t="e">
        <f>VLOOKUP($B89,#REF!,5,FALSE)</f>
        <v>#REF!</v>
      </c>
      <c r="D89" s="6" t="e">
        <f>VLOOKUP($B89,#REF!,6,FALSE)</f>
        <v>#REF!</v>
      </c>
      <c r="E89" s="7" t="e">
        <f>VLOOKUP($B89,#REF!,17,FALSE)</f>
        <v>#REF!</v>
      </c>
      <c r="F89" s="8" t="e">
        <f>VLOOKUP($B89,#REF!,7,FALSE)</f>
        <v>#REF!</v>
      </c>
      <c r="G89" s="8"/>
      <c r="H89" s="8"/>
      <c r="I89" s="9" t="e">
        <f>VLOOKUP($B89,#REF!,19,FALSE)</f>
        <v>#REF!</v>
      </c>
      <c r="J89" s="9" t="e">
        <f>VLOOKUP($B89,#REF!,6,FALSE)</f>
        <v>#REF!</v>
      </c>
      <c r="L89" s="1">
        <v>44652.288194444176</v>
      </c>
      <c r="M89" s="13"/>
    </row>
    <row r="90" spans="2:13">
      <c r="B90" s="5"/>
      <c r="C90" s="6" t="e">
        <f>VLOOKUP($B90,#REF!,5,FALSE)</f>
        <v>#REF!</v>
      </c>
      <c r="D90" s="6" t="e">
        <f>VLOOKUP($B90,#REF!,6,FALSE)</f>
        <v>#REF!</v>
      </c>
      <c r="E90" s="7" t="e">
        <f>VLOOKUP($B90,#REF!,17,FALSE)</f>
        <v>#REF!</v>
      </c>
      <c r="F90" s="8" t="e">
        <f>VLOOKUP($B90,#REF!,7,FALSE)</f>
        <v>#REF!</v>
      </c>
      <c r="G90" s="8"/>
      <c r="H90" s="8"/>
      <c r="I90" s="9" t="e">
        <f>VLOOKUP($B90,#REF!,19,FALSE)</f>
        <v>#REF!</v>
      </c>
      <c r="J90" s="9" t="e">
        <f>VLOOKUP($B90,#REF!,6,FALSE)</f>
        <v>#REF!</v>
      </c>
      <c r="L90" s="1">
        <v>44652.291666666395</v>
      </c>
      <c r="M90" s="13"/>
    </row>
    <row r="91" spans="2:13">
      <c r="B91" s="5"/>
      <c r="C91" s="6" t="e">
        <f>VLOOKUP($B91,#REF!,5,FALSE)</f>
        <v>#REF!</v>
      </c>
      <c r="D91" s="6" t="e">
        <f>VLOOKUP($B91,#REF!,6,FALSE)</f>
        <v>#REF!</v>
      </c>
      <c r="E91" s="7" t="e">
        <f>VLOOKUP($B91,#REF!,17,FALSE)</f>
        <v>#REF!</v>
      </c>
      <c r="F91" s="8" t="e">
        <f>VLOOKUP($B91,#REF!,7,FALSE)</f>
        <v>#REF!</v>
      </c>
      <c r="G91" s="8"/>
      <c r="H91" s="8"/>
      <c r="I91" s="9" t="e">
        <f>VLOOKUP($B91,#REF!,19,FALSE)</f>
        <v>#REF!</v>
      </c>
      <c r="J91" s="9" t="e">
        <f>VLOOKUP($B91,#REF!,6,FALSE)</f>
        <v>#REF!</v>
      </c>
      <c r="L91" s="1">
        <v>44652.295138888614</v>
      </c>
      <c r="M91" s="13"/>
    </row>
    <row r="92" spans="2:13">
      <c r="B92" s="5"/>
      <c r="C92" s="6" t="e">
        <f>VLOOKUP($B92,#REF!,5,FALSE)</f>
        <v>#REF!</v>
      </c>
      <c r="D92" s="6" t="e">
        <f>VLOOKUP($B92,#REF!,6,FALSE)</f>
        <v>#REF!</v>
      </c>
      <c r="E92" s="7" t="e">
        <f>VLOOKUP($B92,#REF!,17,FALSE)</f>
        <v>#REF!</v>
      </c>
      <c r="F92" s="8" t="e">
        <f>VLOOKUP($B92,#REF!,7,FALSE)</f>
        <v>#REF!</v>
      </c>
      <c r="G92" s="8"/>
      <c r="H92" s="8"/>
      <c r="I92" s="9" t="e">
        <f>VLOOKUP($B92,#REF!,19,FALSE)</f>
        <v>#REF!</v>
      </c>
      <c r="J92" s="9" t="e">
        <f>VLOOKUP($B92,#REF!,6,FALSE)</f>
        <v>#REF!</v>
      </c>
      <c r="L92" s="1">
        <v>44652.298611110833</v>
      </c>
      <c r="M92" s="13"/>
    </row>
    <row r="93" spans="2:13">
      <c r="B93" s="5"/>
      <c r="C93" s="6" t="e">
        <f>VLOOKUP($B93,#REF!,5,FALSE)</f>
        <v>#REF!</v>
      </c>
      <c r="D93" s="6" t="e">
        <f>VLOOKUP($B93,#REF!,6,FALSE)</f>
        <v>#REF!</v>
      </c>
      <c r="E93" s="7" t="e">
        <f>VLOOKUP($B93,#REF!,17,FALSE)</f>
        <v>#REF!</v>
      </c>
      <c r="F93" s="8" t="e">
        <f>VLOOKUP($B93,#REF!,7,FALSE)</f>
        <v>#REF!</v>
      </c>
      <c r="G93" s="8"/>
      <c r="H93" s="8"/>
      <c r="I93" s="9" t="e">
        <f>VLOOKUP($B93,#REF!,19,FALSE)</f>
        <v>#REF!</v>
      </c>
      <c r="J93" s="9" t="e">
        <f>VLOOKUP($B93,#REF!,6,FALSE)</f>
        <v>#REF!</v>
      </c>
      <c r="L93" s="1">
        <v>44652.302083333052</v>
      </c>
      <c r="M93" s="13"/>
    </row>
    <row r="94" spans="2:13">
      <c r="B94" s="5"/>
      <c r="C94" s="6" t="e">
        <f>VLOOKUP($B94,#REF!,5,FALSE)</f>
        <v>#REF!</v>
      </c>
      <c r="D94" s="6" t="e">
        <f>VLOOKUP($B94,#REF!,6,FALSE)</f>
        <v>#REF!</v>
      </c>
      <c r="E94" s="7" t="e">
        <f>VLOOKUP($B94,#REF!,17,FALSE)</f>
        <v>#REF!</v>
      </c>
      <c r="F94" s="8" t="e">
        <f>VLOOKUP($B94,#REF!,7,FALSE)</f>
        <v>#REF!</v>
      </c>
      <c r="G94" s="8"/>
      <c r="H94" s="8"/>
      <c r="I94" s="9" t="e">
        <f>VLOOKUP($B94,#REF!,19,FALSE)</f>
        <v>#REF!</v>
      </c>
      <c r="J94" s="9" t="e">
        <f>VLOOKUP($B94,#REF!,6,FALSE)</f>
        <v>#REF!</v>
      </c>
      <c r="L94" s="1">
        <v>44652.305555555271</v>
      </c>
      <c r="M94" s="13"/>
    </row>
    <row r="95" spans="2:13">
      <c r="B95" s="5"/>
      <c r="C95" s="6" t="e">
        <f>VLOOKUP($B95,#REF!,5,FALSE)</f>
        <v>#REF!</v>
      </c>
      <c r="D95" s="6" t="e">
        <f>VLOOKUP($B95,#REF!,6,FALSE)</f>
        <v>#REF!</v>
      </c>
      <c r="E95" s="7" t="e">
        <f>VLOOKUP($B95,#REF!,17,FALSE)</f>
        <v>#REF!</v>
      </c>
      <c r="F95" s="8" t="e">
        <f>VLOOKUP($B95,#REF!,7,FALSE)</f>
        <v>#REF!</v>
      </c>
      <c r="G95" s="8"/>
      <c r="H95" s="8"/>
      <c r="I95" s="9" t="e">
        <f>VLOOKUP($B95,#REF!,19,FALSE)</f>
        <v>#REF!</v>
      </c>
      <c r="J95" s="9" t="e">
        <f>VLOOKUP($B95,#REF!,6,FALSE)</f>
        <v>#REF!</v>
      </c>
      <c r="L95" s="1">
        <v>44652.30902777749</v>
      </c>
      <c r="M95" s="13"/>
    </row>
    <row r="96" spans="2:13">
      <c r="B96" s="5"/>
      <c r="C96" s="6" t="e">
        <f>VLOOKUP($B96,#REF!,5,FALSE)</f>
        <v>#REF!</v>
      </c>
      <c r="D96" s="6" t="e">
        <f>VLOOKUP($B96,#REF!,6,FALSE)</f>
        <v>#REF!</v>
      </c>
      <c r="E96" s="7" t="e">
        <f>VLOOKUP($B96,#REF!,17,FALSE)</f>
        <v>#REF!</v>
      </c>
      <c r="F96" s="8" t="e">
        <f>VLOOKUP($B96,#REF!,7,FALSE)</f>
        <v>#REF!</v>
      </c>
      <c r="G96" s="8"/>
      <c r="H96" s="8"/>
      <c r="I96" s="9" t="e">
        <f>VLOOKUP($B96,#REF!,19,FALSE)</f>
        <v>#REF!</v>
      </c>
      <c r="J96" s="9" t="e">
        <f>VLOOKUP($B96,#REF!,6,FALSE)</f>
        <v>#REF!</v>
      </c>
      <c r="L96" s="1">
        <v>44652.312499999709</v>
      </c>
      <c r="M96" s="13"/>
    </row>
    <row r="97" spans="2:22">
      <c r="B97" s="5"/>
      <c r="C97" s="6" t="e">
        <f>VLOOKUP($B97,#REF!,5,FALSE)</f>
        <v>#REF!</v>
      </c>
      <c r="D97" s="6" t="e">
        <f>VLOOKUP($B97,#REF!,6,FALSE)</f>
        <v>#REF!</v>
      </c>
      <c r="E97" s="7" t="e">
        <f>VLOOKUP($B97,#REF!,17,FALSE)</f>
        <v>#REF!</v>
      </c>
      <c r="F97" s="8" t="e">
        <f>VLOOKUP($B97,#REF!,7,FALSE)</f>
        <v>#REF!</v>
      </c>
      <c r="G97" s="8"/>
      <c r="H97" s="8"/>
      <c r="I97" s="9" t="e">
        <f>VLOOKUP($B97,#REF!,19,FALSE)</f>
        <v>#REF!</v>
      </c>
      <c r="J97" s="9" t="e">
        <f>VLOOKUP($B97,#REF!,6,FALSE)</f>
        <v>#REF!</v>
      </c>
      <c r="L97" s="1">
        <v>44652.315972221928</v>
      </c>
      <c r="M97" s="13"/>
    </row>
    <row r="98" spans="2:22">
      <c r="B98" s="5"/>
      <c r="C98" s="6" t="e">
        <f>VLOOKUP($B98,#REF!,5,FALSE)</f>
        <v>#REF!</v>
      </c>
      <c r="D98" s="6" t="e">
        <f>VLOOKUP($B98,#REF!,6,FALSE)</f>
        <v>#REF!</v>
      </c>
      <c r="E98" s="7" t="e">
        <f>VLOOKUP($B98,#REF!,17,FALSE)</f>
        <v>#REF!</v>
      </c>
      <c r="F98" s="8" t="e">
        <f>VLOOKUP($B98,#REF!,7,FALSE)</f>
        <v>#REF!</v>
      </c>
      <c r="G98" s="8"/>
      <c r="H98" s="8"/>
      <c r="I98" s="9" t="e">
        <f>VLOOKUP($B98,#REF!,19,FALSE)</f>
        <v>#REF!</v>
      </c>
      <c r="J98" s="9" t="e">
        <f>VLOOKUP($B98,#REF!,6,FALSE)</f>
        <v>#REF!</v>
      </c>
      <c r="L98" s="1">
        <v>44652.319444444147</v>
      </c>
      <c r="M98" s="13"/>
    </row>
    <row r="99" spans="2:22">
      <c r="B99" s="5"/>
      <c r="C99" s="6" t="e">
        <f>VLOOKUP($B99,#REF!,5,FALSE)</f>
        <v>#REF!</v>
      </c>
      <c r="D99" s="6" t="e">
        <f>VLOOKUP($B99,#REF!,6,FALSE)</f>
        <v>#REF!</v>
      </c>
      <c r="E99" s="7" t="e">
        <f>VLOOKUP($B99,#REF!,17,FALSE)</f>
        <v>#REF!</v>
      </c>
      <c r="F99" s="8" t="e">
        <f>VLOOKUP($B99,#REF!,7,FALSE)</f>
        <v>#REF!</v>
      </c>
      <c r="G99" s="8"/>
      <c r="H99" s="8"/>
      <c r="I99" s="9" t="e">
        <f>VLOOKUP($B99,#REF!,19,FALSE)</f>
        <v>#REF!</v>
      </c>
      <c r="J99" s="9" t="e">
        <f>VLOOKUP($B99,#REF!,6,FALSE)</f>
        <v>#REF!</v>
      </c>
      <c r="L99" s="1">
        <v>44652.322916666366</v>
      </c>
      <c r="M99" s="13"/>
    </row>
    <row r="100" spans="2:22">
      <c r="B100" s="5"/>
      <c r="C100" s="6" t="e">
        <f>VLOOKUP($B100,#REF!,5,FALSE)</f>
        <v>#REF!</v>
      </c>
      <c r="D100" s="6" t="e">
        <f>VLOOKUP($B100,#REF!,6,FALSE)</f>
        <v>#REF!</v>
      </c>
      <c r="E100" s="7" t="e">
        <f>VLOOKUP($B100,#REF!,17,FALSE)</f>
        <v>#REF!</v>
      </c>
      <c r="F100" s="8" t="e">
        <f>VLOOKUP($B100,#REF!,7,FALSE)</f>
        <v>#REF!</v>
      </c>
      <c r="G100" s="8"/>
      <c r="H100" s="8"/>
      <c r="I100" s="9" t="e">
        <f>VLOOKUP($B100,#REF!,19,FALSE)</f>
        <v>#REF!</v>
      </c>
      <c r="J100" s="9" t="e">
        <f>VLOOKUP($B100,#REF!,6,FALSE)</f>
        <v>#REF!</v>
      </c>
      <c r="L100" s="1">
        <v>44652.326388888585</v>
      </c>
      <c r="M100" s="13"/>
      <c r="S100" t="e">
        <f>MATCH(L101,C6:C1372)</f>
        <v>#N/A</v>
      </c>
    </row>
    <row r="101" spans="2:22">
      <c r="B101" s="5"/>
      <c r="C101" s="6" t="e">
        <f>VLOOKUP($B101,#REF!,5,FALSE)</f>
        <v>#REF!</v>
      </c>
      <c r="D101" s="6" t="e">
        <f>VLOOKUP($B101,#REF!,6,FALSE)</f>
        <v>#REF!</v>
      </c>
      <c r="E101" s="7" t="e">
        <f>VLOOKUP($B101,#REF!,17,FALSE)</f>
        <v>#REF!</v>
      </c>
      <c r="F101" s="8" t="e">
        <f>VLOOKUP($B101,#REF!,7,FALSE)</f>
        <v>#REF!</v>
      </c>
      <c r="G101" s="8"/>
      <c r="H101" s="8"/>
      <c r="I101" s="9" t="e">
        <f>VLOOKUP($B101,#REF!,19,FALSE)</f>
        <v>#REF!</v>
      </c>
      <c r="J101" s="9" t="e">
        <f>VLOOKUP($B101,#REF!,6,FALSE)</f>
        <v>#REF!</v>
      </c>
      <c r="L101" s="1">
        <v>44652.329861110804</v>
      </c>
      <c r="M101" s="13"/>
    </row>
    <row r="102" spans="2:22">
      <c r="B102" s="5"/>
      <c r="C102" s="6" t="e">
        <f>VLOOKUP($B102,#REF!,5,FALSE)</f>
        <v>#REF!</v>
      </c>
      <c r="D102" s="6" t="e">
        <f>VLOOKUP($B102,#REF!,6,FALSE)</f>
        <v>#REF!</v>
      </c>
      <c r="E102" s="7" t="e">
        <f>VLOOKUP($B102,#REF!,17,FALSE)</f>
        <v>#REF!</v>
      </c>
      <c r="F102" s="8" t="e">
        <f>VLOOKUP($B102,#REF!,7,FALSE)</f>
        <v>#REF!</v>
      </c>
      <c r="G102" s="8"/>
      <c r="H102" s="8"/>
      <c r="I102" s="9" t="e">
        <f>VLOOKUP($B102,#REF!,19,FALSE)</f>
        <v>#REF!</v>
      </c>
      <c r="J102" s="9" t="e">
        <f>VLOOKUP($B102,#REF!,6,FALSE)</f>
        <v>#REF!</v>
      </c>
      <c r="L102" s="1">
        <v>44652.333333333023</v>
      </c>
      <c r="M102" s="13"/>
      <c r="S102" s="1">
        <v>44652.333333333336</v>
      </c>
      <c r="T102" s="1">
        <v>44653.645833333336</v>
      </c>
      <c r="U102">
        <v>282935.45377675002</v>
      </c>
    </row>
    <row r="103" spans="2:22">
      <c r="B103" s="5"/>
      <c r="C103" s="6" t="e">
        <f>VLOOKUP($B103,#REF!,5,FALSE)</f>
        <v>#REF!</v>
      </c>
      <c r="D103" s="6" t="e">
        <f>VLOOKUP($B103,#REF!,6,FALSE)</f>
        <v>#REF!</v>
      </c>
      <c r="E103" s="7" t="e">
        <f>VLOOKUP($B103,#REF!,17,FALSE)</f>
        <v>#REF!</v>
      </c>
      <c r="F103" s="8" t="e">
        <f>VLOOKUP($B103,#REF!,7,FALSE)</f>
        <v>#REF!</v>
      </c>
      <c r="G103" s="8"/>
      <c r="H103" s="8"/>
      <c r="I103" s="9" t="e">
        <f>VLOOKUP($B103,#REF!,19,FALSE)</f>
        <v>#REF!</v>
      </c>
      <c r="J103" s="9" t="e">
        <f>VLOOKUP($B103,#REF!,6,FALSE)</f>
        <v>#REF!</v>
      </c>
      <c r="L103" s="1">
        <v>44652.336805555242</v>
      </c>
      <c r="M103" s="13"/>
    </row>
    <row r="104" spans="2:22">
      <c r="B104" s="5"/>
      <c r="C104" s="6" t="e">
        <f>VLOOKUP($B104,#REF!,5,FALSE)</f>
        <v>#REF!</v>
      </c>
      <c r="D104" s="6" t="e">
        <f>VLOOKUP($B104,#REF!,6,FALSE)</f>
        <v>#REF!</v>
      </c>
      <c r="E104" s="7" t="e">
        <f>VLOOKUP($B104,#REF!,17,FALSE)</f>
        <v>#REF!</v>
      </c>
      <c r="F104" s="8" t="e">
        <f>VLOOKUP($B104,#REF!,7,FALSE)</f>
        <v>#REF!</v>
      </c>
      <c r="G104" s="8"/>
      <c r="H104" s="8"/>
      <c r="I104" s="9" t="e">
        <f>VLOOKUP($B104,#REF!,19,FALSE)</f>
        <v>#REF!</v>
      </c>
      <c r="J104" s="9" t="e">
        <f>VLOOKUP($B104,#REF!,6,FALSE)</f>
        <v>#REF!</v>
      </c>
      <c r="L104" s="1">
        <v>44652.340277777461</v>
      </c>
      <c r="M104" s="13"/>
      <c r="S104" t="b">
        <f>IF(L102&gt;=S102,TRUE,FALSE)</f>
        <v>0</v>
      </c>
      <c r="T104" t="b">
        <f>IF(L102&lt;=T102,TRUE,FALSE)</f>
        <v>1</v>
      </c>
    </row>
    <row r="105" spans="2:22">
      <c r="B105" s="5"/>
      <c r="C105" s="6" t="e">
        <f>VLOOKUP($B105,#REF!,5,FALSE)</f>
        <v>#REF!</v>
      </c>
      <c r="D105" s="6" t="e">
        <f>VLOOKUP($B105,#REF!,6,FALSE)</f>
        <v>#REF!</v>
      </c>
      <c r="E105" s="7" t="e">
        <f>VLOOKUP($B105,#REF!,17,FALSE)</f>
        <v>#REF!</v>
      </c>
      <c r="F105" s="8" t="e">
        <f>VLOOKUP($B105,#REF!,7,FALSE)</f>
        <v>#REF!</v>
      </c>
      <c r="G105" s="8"/>
      <c r="H105" s="8"/>
      <c r="I105" s="9" t="e">
        <f>VLOOKUP($B105,#REF!,19,FALSE)</f>
        <v>#REF!</v>
      </c>
      <c r="J105" s="9" t="e">
        <f>VLOOKUP($B105,#REF!,6,FALSE)</f>
        <v>#REF!</v>
      </c>
      <c r="L105" s="1">
        <v>44652.34374999968</v>
      </c>
      <c r="M105" s="13"/>
    </row>
    <row r="106" spans="2:22">
      <c r="B106" s="5"/>
      <c r="C106" s="6" t="e">
        <f>VLOOKUP($B106,#REF!,5,FALSE)</f>
        <v>#REF!</v>
      </c>
      <c r="D106" s="6" t="e">
        <f>VLOOKUP($B106,#REF!,6,FALSE)</f>
        <v>#REF!</v>
      </c>
      <c r="E106" s="7" t="e">
        <f>VLOOKUP($B106,#REF!,17,FALSE)</f>
        <v>#REF!</v>
      </c>
      <c r="F106" s="8" t="e">
        <f>VLOOKUP($B106,#REF!,7,FALSE)</f>
        <v>#REF!</v>
      </c>
      <c r="G106" s="8"/>
      <c r="H106" s="8"/>
      <c r="I106" s="9" t="e">
        <f>VLOOKUP($B106,#REF!,19,FALSE)</f>
        <v>#REF!</v>
      </c>
      <c r="J106" s="9" t="e">
        <f>VLOOKUP($B106,#REF!,6,FALSE)</f>
        <v>#REF!</v>
      </c>
      <c r="L106" s="1">
        <v>44652.347222221899</v>
      </c>
      <c r="M106" s="13"/>
      <c r="S106" s="4" t="s">
        <v>85</v>
      </c>
      <c r="T106" s="4" t="s">
        <v>86</v>
      </c>
      <c r="U106" s="4" t="s">
        <v>87</v>
      </c>
      <c r="V106" s="4" t="s">
        <v>88</v>
      </c>
    </row>
    <row r="107" spans="2:22">
      <c r="B107" s="5"/>
      <c r="C107" s="6" t="e">
        <f>VLOOKUP($B107,#REF!,5,FALSE)</f>
        <v>#REF!</v>
      </c>
      <c r="D107" s="6" t="e">
        <f>VLOOKUP($B107,#REF!,6,FALSE)</f>
        <v>#REF!</v>
      </c>
      <c r="E107" s="7" t="e">
        <f>VLOOKUP($B107,#REF!,17,FALSE)</f>
        <v>#REF!</v>
      </c>
      <c r="F107" s="8" t="e">
        <f>VLOOKUP($B107,#REF!,7,FALSE)</f>
        <v>#REF!</v>
      </c>
      <c r="G107" s="8"/>
      <c r="H107" s="8"/>
      <c r="I107" s="9" t="e">
        <f>VLOOKUP($B107,#REF!,19,FALSE)</f>
        <v>#REF!</v>
      </c>
      <c r="J107" s="9" t="e">
        <f>VLOOKUP($B107,#REF!,6,FALSE)</f>
        <v>#REF!</v>
      </c>
      <c r="L107" s="1">
        <v>44652.350694444118</v>
      </c>
      <c r="M107" s="13"/>
      <c r="S107" s="5" t="s">
        <v>94</v>
      </c>
      <c r="T107" s="11">
        <v>44652.333333333336</v>
      </c>
      <c r="U107" s="11">
        <v>44653.645833333336</v>
      </c>
      <c r="V107" s="12">
        <v>282935.45377675002</v>
      </c>
    </row>
    <row r="108" spans="2:22">
      <c r="B108" s="5"/>
      <c r="C108" s="6" t="e">
        <f>VLOOKUP($B108,#REF!,5,FALSE)</f>
        <v>#REF!</v>
      </c>
      <c r="D108" s="6" t="e">
        <f>VLOOKUP($B108,#REF!,6,FALSE)</f>
        <v>#REF!</v>
      </c>
      <c r="E108" s="7" t="e">
        <f>VLOOKUP($B108,#REF!,17,FALSE)</f>
        <v>#REF!</v>
      </c>
      <c r="F108" s="8" t="e">
        <f>VLOOKUP($B108,#REF!,7,FALSE)</f>
        <v>#REF!</v>
      </c>
      <c r="G108" s="8"/>
      <c r="H108" s="8"/>
      <c r="I108" s="9" t="e">
        <f>VLOOKUP($B108,#REF!,19,FALSE)</f>
        <v>#REF!</v>
      </c>
      <c r="J108" s="9" t="e">
        <f>VLOOKUP($B108,#REF!,6,FALSE)</f>
        <v>#REF!</v>
      </c>
      <c r="L108" s="1">
        <v>44652.354166666337</v>
      </c>
      <c r="M108" s="13"/>
      <c r="S108" s="5" t="s">
        <v>95</v>
      </c>
      <c r="T108" s="6">
        <v>44653.538194444445</v>
      </c>
      <c r="U108" s="6">
        <v>44653.604166666664</v>
      </c>
      <c r="V108" s="7">
        <v>15288.42201604</v>
      </c>
    </row>
    <row r="109" spans="2:22">
      <c r="B109" s="5"/>
      <c r="C109" s="6" t="e">
        <f>VLOOKUP($B109,#REF!,5,FALSE)</f>
        <v>#REF!</v>
      </c>
      <c r="D109" s="6" t="e">
        <f>VLOOKUP($B109,#REF!,6,FALSE)</f>
        <v>#REF!</v>
      </c>
      <c r="E109" s="7" t="e">
        <f>VLOOKUP($B109,#REF!,17,FALSE)</f>
        <v>#REF!</v>
      </c>
      <c r="F109" s="8" t="e">
        <f>VLOOKUP($B109,#REF!,7,FALSE)</f>
        <v>#REF!</v>
      </c>
      <c r="G109" s="8"/>
      <c r="H109" s="8"/>
      <c r="I109" s="9" t="e">
        <f>VLOOKUP($B109,#REF!,19,FALSE)</f>
        <v>#REF!</v>
      </c>
      <c r="J109" s="9" t="e">
        <f>VLOOKUP($B109,#REF!,6,FALSE)</f>
        <v>#REF!</v>
      </c>
      <c r="L109" s="1">
        <v>44652.357638888556</v>
      </c>
      <c r="M109" s="13"/>
      <c r="S109" s="5" t="s">
        <v>96</v>
      </c>
      <c r="T109" s="6">
        <v>44653.538194444445</v>
      </c>
      <c r="U109" s="6">
        <v>44653.604166666664</v>
      </c>
      <c r="V109" s="7">
        <v>15122.659980390001</v>
      </c>
    </row>
    <row r="110" spans="2:22">
      <c r="B110" s="5"/>
      <c r="C110" s="6" t="e">
        <f>VLOOKUP($B110,#REF!,5,FALSE)</f>
        <v>#REF!</v>
      </c>
      <c r="D110" s="6" t="e">
        <f>VLOOKUP($B110,#REF!,6,FALSE)</f>
        <v>#REF!</v>
      </c>
      <c r="E110" s="7" t="e">
        <f>VLOOKUP($B110,#REF!,17,FALSE)</f>
        <v>#REF!</v>
      </c>
      <c r="F110" s="8" t="e">
        <f>VLOOKUP($B110,#REF!,7,FALSE)</f>
        <v>#REF!</v>
      </c>
      <c r="G110" s="8"/>
      <c r="H110" s="8"/>
      <c r="I110" s="9" t="e">
        <f>VLOOKUP($B110,#REF!,19,FALSE)</f>
        <v>#REF!</v>
      </c>
      <c r="J110" s="9" t="e">
        <f>VLOOKUP($B110,#REF!,6,FALSE)</f>
        <v>#REF!</v>
      </c>
      <c r="L110" s="1">
        <v>44652.361111110775</v>
      </c>
      <c r="M110" s="13"/>
    </row>
    <row r="111" spans="2:22">
      <c r="B111" s="5"/>
      <c r="C111" s="6" t="e">
        <f>VLOOKUP($B111,#REF!,5,FALSE)</f>
        <v>#REF!</v>
      </c>
      <c r="D111" s="6" t="e">
        <f>VLOOKUP($B111,#REF!,6,FALSE)</f>
        <v>#REF!</v>
      </c>
      <c r="E111" s="7" t="e">
        <f>VLOOKUP($B111,#REF!,17,FALSE)</f>
        <v>#REF!</v>
      </c>
      <c r="F111" s="8" t="e">
        <f>VLOOKUP($B111,#REF!,7,FALSE)</f>
        <v>#REF!</v>
      </c>
      <c r="G111" s="8"/>
      <c r="H111" s="8"/>
      <c r="I111" s="9" t="e">
        <f>VLOOKUP($B111,#REF!,19,FALSE)</f>
        <v>#REF!</v>
      </c>
      <c r="J111" s="9" t="e">
        <f>VLOOKUP($B111,#REF!,6,FALSE)</f>
        <v>#REF!</v>
      </c>
      <c r="L111" s="1">
        <v>44652.364583332994</v>
      </c>
      <c r="M111" s="13"/>
      <c r="S111" s="4" t="s">
        <v>85</v>
      </c>
      <c r="T111" s="4" t="s">
        <v>86</v>
      </c>
      <c r="U111" s="4" t="s">
        <v>87</v>
      </c>
      <c r="V111" s="4" t="s">
        <v>88</v>
      </c>
    </row>
    <row r="112" spans="2:22">
      <c r="B112" s="5"/>
      <c r="C112" s="6" t="e">
        <f>VLOOKUP($B112,#REF!,5,FALSE)</f>
        <v>#REF!</v>
      </c>
      <c r="D112" s="6" t="e">
        <f>VLOOKUP($B112,#REF!,6,FALSE)</f>
        <v>#REF!</v>
      </c>
      <c r="E112" s="7" t="e">
        <f>VLOOKUP($B112,#REF!,17,FALSE)</f>
        <v>#REF!</v>
      </c>
      <c r="F112" s="8" t="e">
        <f>VLOOKUP($B112,#REF!,7,FALSE)</f>
        <v>#REF!</v>
      </c>
      <c r="G112" s="8"/>
      <c r="H112" s="8"/>
      <c r="I112" s="9" t="e">
        <f>VLOOKUP($B112,#REF!,19,FALSE)</f>
        <v>#REF!</v>
      </c>
      <c r="J112" s="9" t="e">
        <f>VLOOKUP($B112,#REF!,6,FALSE)</f>
        <v>#REF!</v>
      </c>
      <c r="L112" s="1">
        <v>44652.368055555213</v>
      </c>
      <c r="M112" s="13"/>
      <c r="S112" s="5" t="s">
        <v>97</v>
      </c>
      <c r="T112" s="6">
        <v>44650.041666666664</v>
      </c>
      <c r="U112" s="6">
        <v>44652.333333333336</v>
      </c>
      <c r="V112" s="7">
        <v>379926.97793527</v>
      </c>
    </row>
    <row r="113" spans="2:22">
      <c r="B113" s="5"/>
      <c r="C113" s="6" t="e">
        <f>VLOOKUP($B113,#REF!,5,FALSE)</f>
        <v>#REF!</v>
      </c>
      <c r="D113" s="6" t="e">
        <f>VLOOKUP($B113,#REF!,6,FALSE)</f>
        <v>#REF!</v>
      </c>
      <c r="E113" s="7" t="e">
        <f>VLOOKUP($B113,#REF!,17,FALSE)</f>
        <v>#REF!</v>
      </c>
      <c r="F113" s="8" t="e">
        <f>VLOOKUP($B113,#REF!,7,FALSE)</f>
        <v>#REF!</v>
      </c>
      <c r="G113" s="8"/>
      <c r="H113" s="8"/>
      <c r="I113" s="9" t="e">
        <f>VLOOKUP($B113,#REF!,19,FALSE)</f>
        <v>#REF!</v>
      </c>
      <c r="J113" s="9" t="e">
        <f>VLOOKUP($B113,#REF!,6,FALSE)</f>
        <v>#REF!</v>
      </c>
      <c r="L113" s="1">
        <v>44652.371527777432</v>
      </c>
      <c r="M113" s="13"/>
      <c r="S113" s="5" t="s">
        <v>98</v>
      </c>
      <c r="T113" s="6">
        <v>44650.354166666664</v>
      </c>
      <c r="U113" s="6">
        <v>44653.520833333336</v>
      </c>
      <c r="V113" s="7">
        <v>591651.54810578004</v>
      </c>
    </row>
    <row r="114" spans="2:22">
      <c r="B114" s="5"/>
      <c r="C114" s="6" t="e">
        <f>VLOOKUP($B114,#REF!,5,FALSE)</f>
        <v>#REF!</v>
      </c>
      <c r="D114" s="6" t="e">
        <f>VLOOKUP($B114,#REF!,6,FALSE)</f>
        <v>#REF!</v>
      </c>
      <c r="E114" s="7" t="e">
        <f>VLOOKUP($B114,#REF!,17,FALSE)</f>
        <v>#REF!</v>
      </c>
      <c r="F114" s="8" t="e">
        <f>VLOOKUP($B114,#REF!,7,FALSE)</f>
        <v>#REF!</v>
      </c>
      <c r="G114" s="8"/>
      <c r="H114" s="8"/>
      <c r="I114" s="9" t="e">
        <f>VLOOKUP($B114,#REF!,19,FALSE)</f>
        <v>#REF!</v>
      </c>
      <c r="J114" s="9" t="e">
        <f>VLOOKUP($B114,#REF!,6,FALSE)</f>
        <v>#REF!</v>
      </c>
      <c r="L114" s="1">
        <v>44652.374999999651</v>
      </c>
      <c r="M114" s="13"/>
      <c r="S114" s="5" t="s">
        <v>94</v>
      </c>
      <c r="T114" s="11">
        <v>44652.333333333336</v>
      </c>
      <c r="U114" s="11">
        <v>44653.645833333336</v>
      </c>
      <c r="V114" s="12">
        <v>282935.45377675002</v>
      </c>
    </row>
    <row r="115" spans="2:22">
      <c r="B115" s="5"/>
      <c r="C115" s="6" t="e">
        <f>VLOOKUP($B115,#REF!,5,FALSE)</f>
        <v>#REF!</v>
      </c>
      <c r="D115" s="6" t="e">
        <f>VLOOKUP($B115,#REF!,6,FALSE)</f>
        <v>#REF!</v>
      </c>
      <c r="E115" s="7" t="e">
        <f>VLOOKUP($B115,#REF!,17,FALSE)</f>
        <v>#REF!</v>
      </c>
      <c r="F115" s="8" t="e">
        <f>VLOOKUP($B115,#REF!,7,FALSE)</f>
        <v>#REF!</v>
      </c>
      <c r="G115" s="8"/>
      <c r="H115" s="8"/>
      <c r="I115" s="9" t="e">
        <f>VLOOKUP($B115,#REF!,19,FALSE)</f>
        <v>#REF!</v>
      </c>
      <c r="J115" s="9" t="e">
        <f>VLOOKUP($B115,#REF!,6,FALSE)</f>
        <v>#REF!</v>
      </c>
      <c r="L115" s="1">
        <v>44652.37847222187</v>
      </c>
      <c r="M115" s="13"/>
      <c r="S115" s="5" t="s">
        <v>95</v>
      </c>
      <c r="T115" s="6">
        <v>44653.538194444445</v>
      </c>
      <c r="U115" s="6">
        <v>44653.604166666664</v>
      </c>
      <c r="V115" s="14">
        <v>15288.42201604</v>
      </c>
    </row>
    <row r="116" spans="2:22">
      <c r="B116" s="5"/>
      <c r="C116" s="6" t="e">
        <f>VLOOKUP($B116,#REF!,5,FALSE)</f>
        <v>#REF!</v>
      </c>
      <c r="D116" s="6" t="e">
        <f>VLOOKUP($B116,#REF!,6,FALSE)</f>
        <v>#REF!</v>
      </c>
      <c r="E116" s="7" t="e">
        <f>VLOOKUP($B116,#REF!,17,FALSE)</f>
        <v>#REF!</v>
      </c>
      <c r="F116" s="8" t="e">
        <f>VLOOKUP($B116,#REF!,7,FALSE)</f>
        <v>#REF!</v>
      </c>
      <c r="G116" s="8"/>
      <c r="H116" s="8"/>
      <c r="I116" s="9" t="e">
        <f>VLOOKUP($B116,#REF!,19,FALSE)</f>
        <v>#REF!</v>
      </c>
      <c r="J116" s="9" t="e">
        <f>VLOOKUP($B116,#REF!,6,FALSE)</f>
        <v>#REF!</v>
      </c>
      <c r="L116" s="1">
        <v>44652.381944444089</v>
      </c>
      <c r="M116" s="13"/>
      <c r="S116" s="5" t="s">
        <v>96</v>
      </c>
      <c r="T116" s="6">
        <v>44653.538194444445</v>
      </c>
      <c r="U116" s="6">
        <v>44653.604166666664</v>
      </c>
      <c r="V116" s="14">
        <v>15122.659980390001</v>
      </c>
    </row>
    <row r="117" spans="2:22">
      <c r="B117" s="5"/>
      <c r="C117" s="6" t="e">
        <f>VLOOKUP($B117,#REF!,5,FALSE)</f>
        <v>#REF!</v>
      </c>
      <c r="D117" s="6" t="e">
        <f>VLOOKUP($B117,#REF!,6,FALSE)</f>
        <v>#REF!</v>
      </c>
      <c r="E117" s="7" t="e">
        <f>VLOOKUP($B117,#REF!,17,FALSE)</f>
        <v>#REF!</v>
      </c>
      <c r="F117" s="8" t="e">
        <f>VLOOKUP($B117,#REF!,7,FALSE)</f>
        <v>#REF!</v>
      </c>
      <c r="G117" s="8"/>
      <c r="H117" s="8"/>
      <c r="I117" s="9" t="e">
        <f>VLOOKUP($B117,#REF!,19,FALSE)</f>
        <v>#REF!</v>
      </c>
      <c r="J117" s="9" t="e">
        <f>VLOOKUP($B117,#REF!,6,FALSE)</f>
        <v>#REF!</v>
      </c>
      <c r="L117" s="1">
        <v>44652.385416666308</v>
      </c>
      <c r="M117" s="13"/>
    </row>
    <row r="118" spans="2:22">
      <c r="B118" s="5"/>
      <c r="C118" s="6" t="e">
        <f>VLOOKUP($B118,#REF!,5,FALSE)</f>
        <v>#REF!</v>
      </c>
      <c r="D118" s="6" t="e">
        <f>VLOOKUP($B118,#REF!,6,FALSE)</f>
        <v>#REF!</v>
      </c>
      <c r="E118" s="7" t="e">
        <f>VLOOKUP($B118,#REF!,17,FALSE)</f>
        <v>#REF!</v>
      </c>
      <c r="F118" s="8" t="e">
        <f>VLOOKUP($B118,#REF!,7,FALSE)</f>
        <v>#REF!</v>
      </c>
      <c r="G118" s="8"/>
      <c r="H118" s="8"/>
      <c r="I118" s="9" t="e">
        <f>VLOOKUP($B118,#REF!,19,FALSE)</f>
        <v>#REF!</v>
      </c>
      <c r="J118" s="9" t="e">
        <f>VLOOKUP($B118,#REF!,6,FALSE)</f>
        <v>#REF!</v>
      </c>
      <c r="L118" s="1">
        <v>44652.388888888527</v>
      </c>
      <c r="M118" s="13"/>
    </row>
    <row r="119" spans="2:22">
      <c r="B119" s="5"/>
      <c r="C119" s="6" t="e">
        <f>VLOOKUP($B119,#REF!,5,FALSE)</f>
        <v>#REF!</v>
      </c>
      <c r="D119" s="6" t="e">
        <f>VLOOKUP($B119,#REF!,6,FALSE)</f>
        <v>#REF!</v>
      </c>
      <c r="E119" s="7" t="e">
        <f>VLOOKUP($B119,#REF!,17,FALSE)</f>
        <v>#REF!</v>
      </c>
      <c r="F119" s="8" t="e">
        <f>VLOOKUP($B119,#REF!,7,FALSE)</f>
        <v>#REF!</v>
      </c>
      <c r="G119" s="8"/>
      <c r="H119" s="8"/>
      <c r="I119" s="9" t="e">
        <f>VLOOKUP($B119,#REF!,19,FALSE)</f>
        <v>#REF!</v>
      </c>
      <c r="J119" s="9" t="e">
        <f>VLOOKUP($B119,#REF!,6,FALSE)</f>
        <v>#REF!</v>
      </c>
      <c r="L119" s="1">
        <v>44652.392361110746</v>
      </c>
      <c r="M119" s="13"/>
    </row>
    <row r="120" spans="2:22">
      <c r="B120" s="5"/>
      <c r="C120" s="6" t="e">
        <f>VLOOKUP($B120,#REF!,5,FALSE)</f>
        <v>#REF!</v>
      </c>
      <c r="D120" s="6" t="e">
        <f>VLOOKUP($B120,#REF!,6,FALSE)</f>
        <v>#REF!</v>
      </c>
      <c r="E120" s="7" t="e">
        <f>VLOOKUP($B120,#REF!,17,FALSE)</f>
        <v>#REF!</v>
      </c>
      <c r="F120" s="8" t="e">
        <f>VLOOKUP($B120,#REF!,7,FALSE)</f>
        <v>#REF!</v>
      </c>
      <c r="G120" s="8"/>
      <c r="H120" s="8"/>
      <c r="I120" s="9" t="e">
        <f>VLOOKUP($B120,#REF!,19,FALSE)</f>
        <v>#REF!</v>
      </c>
      <c r="J120" s="9" t="e">
        <f>VLOOKUP($B120,#REF!,6,FALSE)</f>
        <v>#REF!</v>
      </c>
      <c r="L120" s="1">
        <v>44652.395833332965</v>
      </c>
      <c r="M120" s="13"/>
    </row>
    <row r="121" spans="2:22">
      <c r="B121" s="5"/>
      <c r="C121" s="6" t="e">
        <f>VLOOKUP($B121,#REF!,5,FALSE)</f>
        <v>#REF!</v>
      </c>
      <c r="D121" s="6" t="e">
        <f>VLOOKUP($B121,#REF!,6,FALSE)</f>
        <v>#REF!</v>
      </c>
      <c r="E121" s="7" t="e">
        <f>VLOOKUP($B121,#REF!,17,FALSE)</f>
        <v>#REF!</v>
      </c>
      <c r="F121" s="8" t="e">
        <f>VLOOKUP($B121,#REF!,7,FALSE)</f>
        <v>#REF!</v>
      </c>
      <c r="G121" s="8"/>
      <c r="H121" s="8"/>
      <c r="I121" s="9" t="e">
        <f>VLOOKUP($B121,#REF!,19,FALSE)</f>
        <v>#REF!</v>
      </c>
      <c r="J121" s="9" t="e">
        <f>VLOOKUP($B121,#REF!,6,FALSE)</f>
        <v>#REF!</v>
      </c>
      <c r="L121" s="1">
        <v>44652.399305555184</v>
      </c>
      <c r="M121" s="13"/>
    </row>
    <row r="122" spans="2:22">
      <c r="B122" s="5"/>
      <c r="C122" s="6" t="e">
        <f>VLOOKUP($B122,#REF!,5,FALSE)</f>
        <v>#REF!</v>
      </c>
      <c r="D122" s="6" t="e">
        <f>VLOOKUP($B122,#REF!,6,FALSE)</f>
        <v>#REF!</v>
      </c>
      <c r="E122" s="7" t="e">
        <f>VLOOKUP($B122,#REF!,17,FALSE)</f>
        <v>#REF!</v>
      </c>
      <c r="F122" s="8" t="e">
        <f>VLOOKUP($B122,#REF!,7,FALSE)</f>
        <v>#REF!</v>
      </c>
      <c r="G122" s="8"/>
      <c r="H122" s="8"/>
      <c r="I122" s="9" t="e">
        <f>VLOOKUP($B122,#REF!,19,FALSE)</f>
        <v>#REF!</v>
      </c>
      <c r="J122" s="9" t="e">
        <f>VLOOKUP($B122,#REF!,6,FALSE)</f>
        <v>#REF!</v>
      </c>
      <c r="L122" s="1">
        <v>44652.402777777403</v>
      </c>
      <c r="M122" s="13"/>
    </row>
    <row r="123" spans="2:22">
      <c r="B123" s="5"/>
      <c r="C123" s="6" t="e">
        <f>VLOOKUP($B123,#REF!,5,FALSE)</f>
        <v>#REF!</v>
      </c>
      <c r="D123" s="6" t="e">
        <f>VLOOKUP($B123,#REF!,6,FALSE)</f>
        <v>#REF!</v>
      </c>
      <c r="E123" s="7" t="e">
        <f>VLOOKUP($B123,#REF!,17,FALSE)</f>
        <v>#REF!</v>
      </c>
      <c r="F123" s="8" t="e">
        <f>VLOOKUP($B123,#REF!,7,FALSE)</f>
        <v>#REF!</v>
      </c>
      <c r="G123" s="8"/>
      <c r="H123" s="8"/>
      <c r="I123" s="9" t="e">
        <f>VLOOKUP($B123,#REF!,19,FALSE)</f>
        <v>#REF!</v>
      </c>
      <c r="J123" s="9" t="e">
        <f>VLOOKUP($B123,#REF!,6,FALSE)</f>
        <v>#REF!</v>
      </c>
      <c r="L123" s="1">
        <v>44652.406249999622</v>
      </c>
      <c r="M123" s="13"/>
    </row>
    <row r="124" spans="2:22">
      <c r="B124" s="5"/>
      <c r="C124" s="6" t="e">
        <f>VLOOKUP($B124,#REF!,5,FALSE)</f>
        <v>#REF!</v>
      </c>
      <c r="D124" s="6" t="e">
        <f>VLOOKUP($B124,#REF!,6,FALSE)</f>
        <v>#REF!</v>
      </c>
      <c r="E124" s="7" t="e">
        <f>VLOOKUP($B124,#REF!,17,FALSE)</f>
        <v>#REF!</v>
      </c>
      <c r="F124" s="8" t="e">
        <f>VLOOKUP($B124,#REF!,7,FALSE)</f>
        <v>#REF!</v>
      </c>
      <c r="G124" s="8"/>
      <c r="H124" s="8"/>
      <c r="I124" s="9" t="e">
        <f>VLOOKUP($B124,#REF!,19,FALSE)</f>
        <v>#REF!</v>
      </c>
      <c r="J124" s="9" t="e">
        <f>VLOOKUP($B124,#REF!,6,FALSE)</f>
        <v>#REF!</v>
      </c>
      <c r="L124" s="1">
        <v>44652.409722221841</v>
      </c>
      <c r="M124" s="13"/>
    </row>
    <row r="125" spans="2:22">
      <c r="B125" s="5"/>
      <c r="C125" s="6" t="e">
        <f>VLOOKUP($B125,#REF!,5,FALSE)</f>
        <v>#REF!</v>
      </c>
      <c r="D125" s="6" t="e">
        <f>VLOOKUP($B125,#REF!,6,FALSE)</f>
        <v>#REF!</v>
      </c>
      <c r="E125" s="7" t="e">
        <f>VLOOKUP($B125,#REF!,17,FALSE)</f>
        <v>#REF!</v>
      </c>
      <c r="F125" s="8" t="e">
        <f>VLOOKUP($B125,#REF!,7,FALSE)</f>
        <v>#REF!</v>
      </c>
      <c r="G125" s="8"/>
      <c r="H125" s="8"/>
      <c r="I125" s="9" t="e">
        <f>VLOOKUP($B125,#REF!,19,FALSE)</f>
        <v>#REF!</v>
      </c>
      <c r="J125" s="9" t="e">
        <f>VLOOKUP($B125,#REF!,6,FALSE)</f>
        <v>#REF!</v>
      </c>
      <c r="L125" s="1">
        <v>44652.41319444406</v>
      </c>
      <c r="M125" s="13"/>
    </row>
    <row r="126" spans="2:22">
      <c r="B126" s="5"/>
      <c r="C126" s="6" t="e">
        <f>VLOOKUP($B126,#REF!,5,FALSE)</f>
        <v>#REF!</v>
      </c>
      <c r="D126" s="6" t="e">
        <f>VLOOKUP($B126,#REF!,6,FALSE)</f>
        <v>#REF!</v>
      </c>
      <c r="E126" s="7" t="e">
        <f>VLOOKUP($B126,#REF!,17,FALSE)</f>
        <v>#REF!</v>
      </c>
      <c r="F126" s="8" t="e">
        <f>VLOOKUP($B126,#REF!,7,FALSE)</f>
        <v>#REF!</v>
      </c>
      <c r="G126" s="8"/>
      <c r="H126" s="8"/>
      <c r="I126" s="9" t="e">
        <f>VLOOKUP($B126,#REF!,19,FALSE)</f>
        <v>#REF!</v>
      </c>
      <c r="J126" s="9" t="e">
        <f>VLOOKUP($B126,#REF!,6,FALSE)</f>
        <v>#REF!</v>
      </c>
      <c r="L126" s="1">
        <v>44652.416666666279</v>
      </c>
      <c r="M126" s="13"/>
    </row>
    <row r="127" spans="2:22">
      <c r="B127" s="5"/>
      <c r="C127" s="6" t="e">
        <f>VLOOKUP($B127,#REF!,5,FALSE)</f>
        <v>#REF!</v>
      </c>
      <c r="D127" s="6" t="e">
        <f>VLOOKUP($B127,#REF!,6,FALSE)</f>
        <v>#REF!</v>
      </c>
      <c r="E127" s="7" t="e">
        <f>VLOOKUP($B127,#REF!,17,FALSE)</f>
        <v>#REF!</v>
      </c>
      <c r="F127" s="8" t="e">
        <f>VLOOKUP($B127,#REF!,7,FALSE)</f>
        <v>#REF!</v>
      </c>
      <c r="G127" s="8"/>
      <c r="H127" s="8"/>
      <c r="I127" s="9" t="e">
        <f>VLOOKUP($B127,#REF!,19,FALSE)</f>
        <v>#REF!</v>
      </c>
      <c r="J127" s="9" t="e">
        <f>VLOOKUP($B127,#REF!,6,FALSE)</f>
        <v>#REF!</v>
      </c>
      <c r="L127" s="1">
        <v>44652.420138888498</v>
      </c>
      <c r="M127" s="13"/>
    </row>
    <row r="128" spans="2:22">
      <c r="B128" s="5"/>
      <c r="C128" s="6" t="e">
        <f>VLOOKUP($B128,#REF!,5,FALSE)</f>
        <v>#REF!</v>
      </c>
      <c r="D128" s="6" t="e">
        <f>VLOOKUP($B128,#REF!,6,FALSE)</f>
        <v>#REF!</v>
      </c>
      <c r="E128" s="7" t="e">
        <f>VLOOKUP($B128,#REF!,17,FALSE)</f>
        <v>#REF!</v>
      </c>
      <c r="F128" s="8" t="e">
        <f>VLOOKUP($B128,#REF!,7,FALSE)</f>
        <v>#REF!</v>
      </c>
      <c r="G128" s="8"/>
      <c r="H128" s="8"/>
      <c r="I128" s="9" t="e">
        <f>VLOOKUP($B128,#REF!,19,FALSE)</f>
        <v>#REF!</v>
      </c>
      <c r="J128" s="9" t="e">
        <f>VLOOKUP($B128,#REF!,6,FALSE)</f>
        <v>#REF!</v>
      </c>
      <c r="L128" s="1">
        <v>44652.423611110717</v>
      </c>
      <c r="M128" s="13"/>
    </row>
    <row r="129" spans="2:13">
      <c r="B129" s="5"/>
      <c r="C129" s="6" t="e">
        <f>VLOOKUP($B129,#REF!,5,FALSE)</f>
        <v>#REF!</v>
      </c>
      <c r="D129" s="6" t="e">
        <f>VLOOKUP($B129,#REF!,6,FALSE)</f>
        <v>#REF!</v>
      </c>
      <c r="E129" s="7" t="e">
        <f>VLOOKUP($B129,#REF!,17,FALSE)</f>
        <v>#REF!</v>
      </c>
      <c r="F129" s="8" t="e">
        <f>VLOOKUP($B129,#REF!,7,FALSE)</f>
        <v>#REF!</v>
      </c>
      <c r="G129" s="8"/>
      <c r="H129" s="8"/>
      <c r="I129" s="9" t="e">
        <f>VLOOKUP($B129,#REF!,19,FALSE)</f>
        <v>#REF!</v>
      </c>
      <c r="J129" s="9" t="e">
        <f>VLOOKUP($B129,#REF!,6,FALSE)</f>
        <v>#REF!</v>
      </c>
      <c r="L129" s="1">
        <v>44652.427083332936</v>
      </c>
      <c r="M129" s="13"/>
    </row>
    <row r="130" spans="2:13">
      <c r="B130" s="5"/>
      <c r="C130" s="6" t="e">
        <f>VLOOKUP($B130,#REF!,5,FALSE)</f>
        <v>#REF!</v>
      </c>
      <c r="D130" s="6" t="e">
        <f>VLOOKUP($B130,#REF!,6,FALSE)</f>
        <v>#REF!</v>
      </c>
      <c r="E130" s="7" t="e">
        <f>VLOOKUP($B130,#REF!,17,FALSE)</f>
        <v>#REF!</v>
      </c>
      <c r="F130" s="8" t="e">
        <f>VLOOKUP($B130,#REF!,7,FALSE)</f>
        <v>#REF!</v>
      </c>
      <c r="G130" s="8"/>
      <c r="H130" s="8"/>
      <c r="I130" s="9" t="e">
        <f>VLOOKUP($B130,#REF!,19,FALSE)</f>
        <v>#REF!</v>
      </c>
      <c r="J130" s="9" t="e">
        <f>VLOOKUP($B130,#REF!,6,FALSE)</f>
        <v>#REF!</v>
      </c>
      <c r="L130" s="1">
        <v>44652.430555555155</v>
      </c>
      <c r="M130" s="13"/>
    </row>
    <row r="131" spans="2:13">
      <c r="B131" s="5"/>
      <c r="C131" s="6" t="e">
        <f>VLOOKUP($B131,#REF!,5,FALSE)</f>
        <v>#REF!</v>
      </c>
      <c r="D131" s="6" t="e">
        <f>VLOOKUP($B131,#REF!,6,FALSE)</f>
        <v>#REF!</v>
      </c>
      <c r="E131" s="7" t="e">
        <f>VLOOKUP($B131,#REF!,17,FALSE)</f>
        <v>#REF!</v>
      </c>
      <c r="F131" s="8" t="e">
        <f>VLOOKUP($B131,#REF!,7,FALSE)</f>
        <v>#REF!</v>
      </c>
      <c r="G131" s="8"/>
      <c r="H131" s="8"/>
      <c r="I131" s="9" t="e">
        <f>VLOOKUP($B131,#REF!,19,FALSE)</f>
        <v>#REF!</v>
      </c>
      <c r="J131" s="9" t="e">
        <f>VLOOKUP($B131,#REF!,6,FALSE)</f>
        <v>#REF!</v>
      </c>
      <c r="L131" s="1">
        <v>44652.434027777374</v>
      </c>
      <c r="M131" s="13"/>
    </row>
    <row r="132" spans="2:13">
      <c r="B132" s="5"/>
      <c r="C132" s="6" t="e">
        <f>VLOOKUP($B132,#REF!,5,FALSE)</f>
        <v>#REF!</v>
      </c>
      <c r="D132" s="6" t="e">
        <f>VLOOKUP($B132,#REF!,6,FALSE)</f>
        <v>#REF!</v>
      </c>
      <c r="E132" s="7" t="e">
        <f>VLOOKUP($B132,#REF!,17,FALSE)</f>
        <v>#REF!</v>
      </c>
      <c r="F132" s="8" t="e">
        <f>VLOOKUP($B132,#REF!,7,FALSE)</f>
        <v>#REF!</v>
      </c>
      <c r="G132" s="8"/>
      <c r="H132" s="8"/>
      <c r="I132" s="9" t="e">
        <f>VLOOKUP($B132,#REF!,19,FALSE)</f>
        <v>#REF!</v>
      </c>
      <c r="J132" s="9" t="e">
        <f>VLOOKUP($B132,#REF!,6,FALSE)</f>
        <v>#REF!</v>
      </c>
      <c r="L132" s="1">
        <v>44652.437499999593</v>
      </c>
      <c r="M132" s="13"/>
    </row>
    <row r="133" spans="2:13">
      <c r="B133" s="5"/>
      <c r="C133" s="6" t="e">
        <f>VLOOKUP($B133,#REF!,5,FALSE)</f>
        <v>#REF!</v>
      </c>
      <c r="D133" s="6" t="e">
        <f>VLOOKUP($B133,#REF!,6,FALSE)</f>
        <v>#REF!</v>
      </c>
      <c r="E133" s="7" t="e">
        <f>VLOOKUP($B133,#REF!,17,FALSE)</f>
        <v>#REF!</v>
      </c>
      <c r="F133" s="8" t="e">
        <f>VLOOKUP($B133,#REF!,7,FALSE)</f>
        <v>#REF!</v>
      </c>
      <c r="G133" s="8"/>
      <c r="H133" s="8"/>
      <c r="I133" s="9" t="e">
        <f>VLOOKUP($B133,#REF!,19,FALSE)</f>
        <v>#REF!</v>
      </c>
      <c r="J133" s="9" t="e">
        <f>VLOOKUP($B133,#REF!,6,FALSE)</f>
        <v>#REF!</v>
      </c>
      <c r="L133" s="1">
        <v>44652.440972221812</v>
      </c>
      <c r="M133" s="13"/>
    </row>
    <row r="134" spans="2:13">
      <c r="B134" s="5"/>
      <c r="C134" s="6" t="e">
        <f>VLOOKUP($B134,#REF!,5,FALSE)</f>
        <v>#REF!</v>
      </c>
      <c r="D134" s="6" t="e">
        <f>VLOOKUP($B134,#REF!,6,FALSE)</f>
        <v>#REF!</v>
      </c>
      <c r="E134" s="7" t="e">
        <f>VLOOKUP($B134,#REF!,17,FALSE)</f>
        <v>#REF!</v>
      </c>
      <c r="F134" s="8" t="e">
        <f>VLOOKUP($B134,#REF!,7,FALSE)</f>
        <v>#REF!</v>
      </c>
      <c r="G134" s="8"/>
      <c r="H134" s="8"/>
      <c r="I134" s="9" t="e">
        <f>VLOOKUP($B134,#REF!,19,FALSE)</f>
        <v>#REF!</v>
      </c>
      <c r="J134" s="9" t="e">
        <f>VLOOKUP($B134,#REF!,6,FALSE)</f>
        <v>#REF!</v>
      </c>
      <c r="L134" s="1">
        <v>44652.444444444031</v>
      </c>
      <c r="M134" s="13"/>
    </row>
    <row r="135" spans="2:13">
      <c r="B135" s="5"/>
      <c r="C135" s="6" t="e">
        <f>VLOOKUP($B135,#REF!,5,FALSE)</f>
        <v>#REF!</v>
      </c>
      <c r="D135" s="6" t="e">
        <f>VLOOKUP($B135,#REF!,6,FALSE)</f>
        <v>#REF!</v>
      </c>
      <c r="E135" s="7" t="e">
        <f>VLOOKUP($B135,#REF!,17,FALSE)</f>
        <v>#REF!</v>
      </c>
      <c r="F135" s="8" t="e">
        <f>VLOOKUP($B135,#REF!,7,FALSE)</f>
        <v>#REF!</v>
      </c>
      <c r="G135" s="8"/>
      <c r="H135" s="8"/>
      <c r="I135" s="9" t="e">
        <f>VLOOKUP($B135,#REF!,19,FALSE)</f>
        <v>#REF!</v>
      </c>
      <c r="J135" s="9" t="e">
        <f>VLOOKUP($B135,#REF!,6,FALSE)</f>
        <v>#REF!</v>
      </c>
      <c r="L135" s="1">
        <v>44652.44791666625</v>
      </c>
      <c r="M135" s="13"/>
    </row>
    <row r="136" spans="2:13">
      <c r="B136" s="5"/>
      <c r="C136" s="6" t="e">
        <f>VLOOKUP($B136,#REF!,5,FALSE)</f>
        <v>#REF!</v>
      </c>
      <c r="D136" s="6" t="e">
        <f>VLOOKUP($B136,#REF!,6,FALSE)</f>
        <v>#REF!</v>
      </c>
      <c r="E136" s="7" t="e">
        <f>VLOOKUP($B136,#REF!,17,FALSE)</f>
        <v>#REF!</v>
      </c>
      <c r="F136" s="8" t="e">
        <f>VLOOKUP($B136,#REF!,7,FALSE)</f>
        <v>#REF!</v>
      </c>
      <c r="G136" s="8"/>
      <c r="H136" s="8"/>
      <c r="I136" s="9" t="e">
        <f>VLOOKUP($B136,#REF!,19,FALSE)</f>
        <v>#REF!</v>
      </c>
      <c r="J136" s="9" t="e">
        <f>VLOOKUP($B136,#REF!,6,FALSE)</f>
        <v>#REF!</v>
      </c>
      <c r="L136" s="1">
        <v>44652.451388888469</v>
      </c>
      <c r="M136" s="13"/>
    </row>
    <row r="137" spans="2:13">
      <c r="B137" s="5"/>
      <c r="C137" s="6" t="e">
        <f>VLOOKUP($B137,#REF!,5,FALSE)</f>
        <v>#REF!</v>
      </c>
      <c r="D137" s="6" t="e">
        <f>VLOOKUP($B137,#REF!,6,FALSE)</f>
        <v>#REF!</v>
      </c>
      <c r="E137" s="7" t="e">
        <f>VLOOKUP($B137,#REF!,17,FALSE)</f>
        <v>#REF!</v>
      </c>
      <c r="F137" s="8" t="e">
        <f>VLOOKUP($B137,#REF!,7,FALSE)</f>
        <v>#REF!</v>
      </c>
      <c r="G137" s="8"/>
      <c r="H137" s="8"/>
      <c r="I137" s="9" t="e">
        <f>VLOOKUP($B137,#REF!,19,FALSE)</f>
        <v>#REF!</v>
      </c>
      <c r="J137" s="9" t="e">
        <f>VLOOKUP($B137,#REF!,6,FALSE)</f>
        <v>#REF!</v>
      </c>
      <c r="L137" s="1">
        <v>44652.454861110687</v>
      </c>
      <c r="M137" s="13"/>
    </row>
    <row r="138" spans="2:13">
      <c r="B138" s="5"/>
      <c r="C138" s="6" t="e">
        <f>VLOOKUP($B138,#REF!,5,FALSE)</f>
        <v>#REF!</v>
      </c>
      <c r="D138" s="6" t="e">
        <f>VLOOKUP($B138,#REF!,6,FALSE)</f>
        <v>#REF!</v>
      </c>
      <c r="E138" s="7" t="e">
        <f>VLOOKUP($B138,#REF!,17,FALSE)</f>
        <v>#REF!</v>
      </c>
      <c r="F138" s="8" t="e">
        <f>VLOOKUP($B138,#REF!,7,FALSE)</f>
        <v>#REF!</v>
      </c>
      <c r="G138" s="8"/>
      <c r="H138" s="8"/>
      <c r="I138" s="9" t="e">
        <f>VLOOKUP($B138,#REF!,19,FALSE)</f>
        <v>#REF!</v>
      </c>
      <c r="J138" s="9" t="e">
        <f>VLOOKUP($B138,#REF!,6,FALSE)</f>
        <v>#REF!</v>
      </c>
      <c r="L138" s="1">
        <v>44652.458333332906</v>
      </c>
      <c r="M138" s="13"/>
    </row>
    <row r="139" spans="2:13">
      <c r="B139" s="5"/>
      <c r="C139" s="6" t="e">
        <f>VLOOKUP($B139,#REF!,5,FALSE)</f>
        <v>#REF!</v>
      </c>
      <c r="D139" s="6" t="e">
        <f>VLOOKUP($B139,#REF!,6,FALSE)</f>
        <v>#REF!</v>
      </c>
      <c r="E139" s="7" t="e">
        <f>VLOOKUP($B139,#REF!,17,FALSE)</f>
        <v>#REF!</v>
      </c>
      <c r="F139" s="8" t="e">
        <f>VLOOKUP($B139,#REF!,7,FALSE)</f>
        <v>#REF!</v>
      </c>
      <c r="G139" s="8"/>
      <c r="H139" s="8"/>
      <c r="I139" s="9" t="e">
        <f>VLOOKUP($B139,#REF!,19,FALSE)</f>
        <v>#REF!</v>
      </c>
      <c r="J139" s="9" t="e">
        <f>VLOOKUP($B139,#REF!,6,FALSE)</f>
        <v>#REF!</v>
      </c>
      <c r="L139" s="1">
        <v>44652.461805555125</v>
      </c>
      <c r="M139" s="13"/>
    </row>
    <row r="140" spans="2:13">
      <c r="B140" s="5"/>
      <c r="C140" s="6" t="e">
        <f>VLOOKUP($B140,#REF!,5,FALSE)</f>
        <v>#REF!</v>
      </c>
      <c r="D140" s="6" t="e">
        <f>VLOOKUP($B140,#REF!,6,FALSE)</f>
        <v>#REF!</v>
      </c>
      <c r="E140" s="7" t="e">
        <f>VLOOKUP($B140,#REF!,17,FALSE)</f>
        <v>#REF!</v>
      </c>
      <c r="F140" s="8" t="e">
        <f>VLOOKUP($B140,#REF!,7,FALSE)</f>
        <v>#REF!</v>
      </c>
      <c r="G140" s="8"/>
      <c r="H140" s="8"/>
      <c r="I140" s="9" t="e">
        <f>VLOOKUP($B140,#REF!,19,FALSE)</f>
        <v>#REF!</v>
      </c>
      <c r="J140" s="9" t="e">
        <f>VLOOKUP($B140,#REF!,6,FALSE)</f>
        <v>#REF!</v>
      </c>
      <c r="L140" s="1">
        <v>44652.465277777344</v>
      </c>
      <c r="M140" s="13"/>
    </row>
    <row r="141" spans="2:13">
      <c r="B141" s="5"/>
      <c r="C141" s="6" t="e">
        <f>VLOOKUP($B141,#REF!,5,FALSE)</f>
        <v>#REF!</v>
      </c>
      <c r="D141" s="6" t="e">
        <f>VLOOKUP($B141,#REF!,6,FALSE)</f>
        <v>#REF!</v>
      </c>
      <c r="E141" s="7" t="e">
        <f>VLOOKUP($B141,#REF!,17,FALSE)</f>
        <v>#REF!</v>
      </c>
      <c r="F141" s="8" t="e">
        <f>VLOOKUP($B141,#REF!,7,FALSE)</f>
        <v>#REF!</v>
      </c>
      <c r="G141" s="8"/>
      <c r="H141" s="8"/>
      <c r="I141" s="9" t="e">
        <f>VLOOKUP($B141,#REF!,19,FALSE)</f>
        <v>#REF!</v>
      </c>
      <c r="J141" s="9" t="e">
        <f>VLOOKUP($B141,#REF!,6,FALSE)</f>
        <v>#REF!</v>
      </c>
      <c r="L141" s="1">
        <v>44652.468749999563</v>
      </c>
      <c r="M141" s="13"/>
    </row>
    <row r="142" spans="2:13">
      <c r="B142" s="5"/>
      <c r="C142" s="6" t="e">
        <f>VLOOKUP($B142,#REF!,5,FALSE)</f>
        <v>#REF!</v>
      </c>
      <c r="D142" s="6" t="e">
        <f>VLOOKUP($B142,#REF!,6,FALSE)</f>
        <v>#REF!</v>
      </c>
      <c r="E142" s="7" t="e">
        <f>VLOOKUP($B142,#REF!,17,FALSE)</f>
        <v>#REF!</v>
      </c>
      <c r="F142" s="8" t="e">
        <f>VLOOKUP($B142,#REF!,7,FALSE)</f>
        <v>#REF!</v>
      </c>
      <c r="G142" s="8"/>
      <c r="H142" s="8"/>
      <c r="I142" s="9" t="e">
        <f>VLOOKUP($B142,#REF!,19,FALSE)</f>
        <v>#REF!</v>
      </c>
      <c r="J142" s="9" t="e">
        <f>VLOOKUP($B142,#REF!,6,FALSE)</f>
        <v>#REF!</v>
      </c>
      <c r="L142" s="1">
        <v>44652.472222221782</v>
      </c>
      <c r="M142" s="13"/>
    </row>
    <row r="143" spans="2:13">
      <c r="B143" s="5"/>
      <c r="C143" s="6" t="e">
        <f>VLOOKUP($B143,#REF!,5,FALSE)</f>
        <v>#REF!</v>
      </c>
      <c r="D143" s="6" t="e">
        <f>VLOOKUP($B143,#REF!,6,FALSE)</f>
        <v>#REF!</v>
      </c>
      <c r="E143" s="7" t="e">
        <f>VLOOKUP($B143,#REF!,17,FALSE)</f>
        <v>#REF!</v>
      </c>
      <c r="F143" s="8" t="e">
        <f>VLOOKUP($B143,#REF!,7,FALSE)</f>
        <v>#REF!</v>
      </c>
      <c r="G143" s="8"/>
      <c r="H143" s="8"/>
      <c r="I143" s="9" t="e">
        <f>VLOOKUP($B143,#REF!,19,FALSE)</f>
        <v>#REF!</v>
      </c>
      <c r="J143" s="9" t="e">
        <f>VLOOKUP($B143,#REF!,6,FALSE)</f>
        <v>#REF!</v>
      </c>
      <c r="L143" s="1">
        <v>44652.475694444001</v>
      </c>
      <c r="M143" s="13"/>
    </row>
    <row r="144" spans="2:13">
      <c r="B144" s="5"/>
      <c r="C144" s="6" t="e">
        <f>VLOOKUP($B144,#REF!,5,FALSE)</f>
        <v>#REF!</v>
      </c>
      <c r="D144" s="6" t="e">
        <f>VLOOKUP($B144,#REF!,6,FALSE)</f>
        <v>#REF!</v>
      </c>
      <c r="E144" s="7" t="e">
        <f>VLOOKUP($B144,#REF!,17,FALSE)</f>
        <v>#REF!</v>
      </c>
      <c r="F144" s="8" t="e">
        <f>VLOOKUP($B144,#REF!,7,FALSE)</f>
        <v>#REF!</v>
      </c>
      <c r="G144" s="8"/>
      <c r="H144" s="8"/>
      <c r="I144" s="9" t="e">
        <f>VLOOKUP($B144,#REF!,19,FALSE)</f>
        <v>#REF!</v>
      </c>
      <c r="J144" s="9" t="e">
        <f>VLOOKUP($B144,#REF!,6,FALSE)</f>
        <v>#REF!</v>
      </c>
      <c r="L144" s="1">
        <v>44652.47916666622</v>
      </c>
      <c r="M144" s="13"/>
    </row>
    <row r="145" spans="2:13">
      <c r="B145" s="5"/>
      <c r="C145" s="6" t="e">
        <f>VLOOKUP($B145,#REF!,5,FALSE)</f>
        <v>#REF!</v>
      </c>
      <c r="D145" s="6" t="e">
        <f>VLOOKUP($B145,#REF!,6,FALSE)</f>
        <v>#REF!</v>
      </c>
      <c r="E145" s="7" t="e">
        <f>VLOOKUP($B145,#REF!,17,FALSE)</f>
        <v>#REF!</v>
      </c>
      <c r="F145" s="8" t="e">
        <f>VLOOKUP($B145,#REF!,7,FALSE)</f>
        <v>#REF!</v>
      </c>
      <c r="G145" s="8"/>
      <c r="H145" s="8"/>
      <c r="I145" s="9" t="e">
        <f>VLOOKUP($B145,#REF!,19,FALSE)</f>
        <v>#REF!</v>
      </c>
      <c r="J145" s="9" t="e">
        <f>VLOOKUP($B145,#REF!,6,FALSE)</f>
        <v>#REF!</v>
      </c>
      <c r="L145" s="1">
        <v>44652.482638888439</v>
      </c>
      <c r="M145" s="13"/>
    </row>
    <row r="146" spans="2:13">
      <c r="B146" s="5"/>
      <c r="C146" s="6" t="e">
        <f>VLOOKUP($B146,#REF!,5,FALSE)</f>
        <v>#REF!</v>
      </c>
      <c r="D146" s="6" t="e">
        <f>VLOOKUP($B146,#REF!,6,FALSE)</f>
        <v>#REF!</v>
      </c>
      <c r="E146" s="7" t="e">
        <f>VLOOKUP($B146,#REF!,17,FALSE)</f>
        <v>#REF!</v>
      </c>
      <c r="F146" s="8" t="e">
        <f>VLOOKUP($B146,#REF!,7,FALSE)</f>
        <v>#REF!</v>
      </c>
      <c r="G146" s="8"/>
      <c r="H146" s="8"/>
      <c r="I146" s="9" t="e">
        <f>VLOOKUP($B146,#REF!,19,FALSE)</f>
        <v>#REF!</v>
      </c>
      <c r="J146" s="9" t="e">
        <f>VLOOKUP($B146,#REF!,6,FALSE)</f>
        <v>#REF!</v>
      </c>
      <c r="L146" s="1">
        <v>44652.486111110658</v>
      </c>
      <c r="M146" s="13"/>
    </row>
    <row r="147" spans="2:13">
      <c r="B147" s="5"/>
      <c r="C147" s="6" t="e">
        <f>VLOOKUP($B147,#REF!,5,FALSE)</f>
        <v>#REF!</v>
      </c>
      <c r="D147" s="6" t="e">
        <f>VLOOKUP($B147,#REF!,6,FALSE)</f>
        <v>#REF!</v>
      </c>
      <c r="E147" s="7" t="e">
        <f>VLOOKUP($B147,#REF!,17,FALSE)</f>
        <v>#REF!</v>
      </c>
      <c r="F147" s="8" t="e">
        <f>VLOOKUP($B147,#REF!,7,FALSE)</f>
        <v>#REF!</v>
      </c>
      <c r="G147" s="8"/>
      <c r="H147" s="8"/>
      <c r="I147" s="9" t="e">
        <f>VLOOKUP($B147,#REF!,19,FALSE)</f>
        <v>#REF!</v>
      </c>
      <c r="J147" s="9" t="e">
        <f>VLOOKUP($B147,#REF!,6,FALSE)</f>
        <v>#REF!</v>
      </c>
      <c r="L147" s="1">
        <v>44652.489583332877</v>
      </c>
      <c r="M147" s="13"/>
    </row>
    <row r="148" spans="2:13">
      <c r="B148" s="5"/>
      <c r="C148" s="6" t="e">
        <f>VLOOKUP($B148,#REF!,5,FALSE)</f>
        <v>#REF!</v>
      </c>
      <c r="D148" s="6" t="e">
        <f>VLOOKUP($B148,#REF!,6,FALSE)</f>
        <v>#REF!</v>
      </c>
      <c r="E148" s="7" t="e">
        <f>VLOOKUP($B148,#REF!,17,FALSE)</f>
        <v>#REF!</v>
      </c>
      <c r="F148" s="8" t="e">
        <f>VLOOKUP($B148,#REF!,7,FALSE)</f>
        <v>#REF!</v>
      </c>
      <c r="G148" s="8"/>
      <c r="H148" s="8"/>
      <c r="I148" s="9" t="e">
        <f>VLOOKUP($B148,#REF!,19,FALSE)</f>
        <v>#REF!</v>
      </c>
      <c r="J148" s="9" t="e">
        <f>VLOOKUP($B148,#REF!,6,FALSE)</f>
        <v>#REF!</v>
      </c>
      <c r="L148" s="1">
        <v>44652.493055555096</v>
      </c>
      <c r="M148" s="13"/>
    </row>
    <row r="149" spans="2:13">
      <c r="B149" s="5"/>
      <c r="C149" s="6" t="e">
        <f>VLOOKUP($B149,#REF!,5,FALSE)</f>
        <v>#REF!</v>
      </c>
      <c r="D149" s="6" t="e">
        <f>VLOOKUP($B149,#REF!,6,FALSE)</f>
        <v>#REF!</v>
      </c>
      <c r="E149" s="7" t="e">
        <f>VLOOKUP($B149,#REF!,17,FALSE)</f>
        <v>#REF!</v>
      </c>
      <c r="F149" s="8" t="e">
        <f>VLOOKUP($B149,#REF!,7,FALSE)</f>
        <v>#REF!</v>
      </c>
      <c r="G149" s="8"/>
      <c r="H149" s="8"/>
      <c r="I149" s="9" t="e">
        <f>VLOOKUP($B149,#REF!,19,FALSE)</f>
        <v>#REF!</v>
      </c>
      <c r="J149" s="9" t="e">
        <f>VLOOKUP($B149,#REF!,6,FALSE)</f>
        <v>#REF!</v>
      </c>
      <c r="L149" s="1">
        <v>44652.496527777315</v>
      </c>
      <c r="M149" s="13"/>
    </row>
    <row r="150" spans="2:13">
      <c r="B150" s="5"/>
      <c r="C150" s="6" t="e">
        <f>VLOOKUP($B150,#REF!,5,FALSE)</f>
        <v>#REF!</v>
      </c>
      <c r="D150" s="6" t="e">
        <f>VLOOKUP($B150,#REF!,6,FALSE)</f>
        <v>#REF!</v>
      </c>
      <c r="E150" s="7" t="e">
        <f>VLOOKUP($B150,#REF!,17,FALSE)</f>
        <v>#REF!</v>
      </c>
      <c r="F150" s="8" t="e">
        <f>VLOOKUP($B150,#REF!,7,FALSE)</f>
        <v>#REF!</v>
      </c>
      <c r="G150" s="8"/>
      <c r="H150" s="8"/>
      <c r="I150" s="9" t="e">
        <f>VLOOKUP($B150,#REF!,19,FALSE)</f>
        <v>#REF!</v>
      </c>
      <c r="J150" s="9" t="e">
        <f>VLOOKUP($B150,#REF!,6,FALSE)</f>
        <v>#REF!</v>
      </c>
      <c r="L150" s="1">
        <v>44652.499999999534</v>
      </c>
      <c r="M150" s="13"/>
    </row>
    <row r="151" spans="2:13">
      <c r="B151" s="5"/>
      <c r="C151" s="6" t="e">
        <f>VLOOKUP($B151,#REF!,5,FALSE)</f>
        <v>#REF!</v>
      </c>
      <c r="D151" s="6" t="e">
        <f>VLOOKUP($B151,#REF!,6,FALSE)</f>
        <v>#REF!</v>
      </c>
      <c r="E151" s="7" t="e">
        <f>VLOOKUP($B151,#REF!,17,FALSE)</f>
        <v>#REF!</v>
      </c>
      <c r="F151" s="8" t="e">
        <f>VLOOKUP($B151,#REF!,7,FALSE)</f>
        <v>#REF!</v>
      </c>
      <c r="G151" s="8"/>
      <c r="H151" s="8"/>
      <c r="I151" s="9" t="e">
        <f>VLOOKUP($B151,#REF!,19,FALSE)</f>
        <v>#REF!</v>
      </c>
      <c r="J151" s="9" t="e">
        <f>VLOOKUP($B151,#REF!,6,FALSE)</f>
        <v>#REF!</v>
      </c>
      <c r="L151" s="1">
        <v>44652.503472221753</v>
      </c>
      <c r="M151" s="13"/>
    </row>
    <row r="152" spans="2:13">
      <c r="B152" s="5"/>
      <c r="C152" s="6" t="e">
        <f>VLOOKUP($B152,#REF!,5,FALSE)</f>
        <v>#REF!</v>
      </c>
      <c r="D152" s="6" t="e">
        <f>VLOOKUP($B152,#REF!,6,FALSE)</f>
        <v>#REF!</v>
      </c>
      <c r="E152" s="7" t="e">
        <f>VLOOKUP($B152,#REF!,17,FALSE)</f>
        <v>#REF!</v>
      </c>
      <c r="F152" s="8" t="e">
        <f>VLOOKUP($B152,#REF!,7,FALSE)</f>
        <v>#REF!</v>
      </c>
      <c r="G152" s="8"/>
      <c r="H152" s="8"/>
      <c r="I152" s="9" t="e">
        <f>VLOOKUP($B152,#REF!,19,FALSE)</f>
        <v>#REF!</v>
      </c>
      <c r="J152" s="9" t="e">
        <f>VLOOKUP($B152,#REF!,6,FALSE)</f>
        <v>#REF!</v>
      </c>
      <c r="L152" s="1">
        <v>44652.506944443972</v>
      </c>
      <c r="M152" s="13"/>
    </row>
    <row r="153" spans="2:13">
      <c r="B153" s="5"/>
      <c r="C153" s="6" t="e">
        <f>VLOOKUP($B153,#REF!,5,FALSE)</f>
        <v>#REF!</v>
      </c>
      <c r="D153" s="6" t="e">
        <f>VLOOKUP($B153,#REF!,6,FALSE)</f>
        <v>#REF!</v>
      </c>
      <c r="E153" s="7" t="e">
        <f>VLOOKUP($B153,#REF!,17,FALSE)</f>
        <v>#REF!</v>
      </c>
      <c r="F153" s="8" t="e">
        <f>VLOOKUP($B153,#REF!,7,FALSE)</f>
        <v>#REF!</v>
      </c>
      <c r="G153" s="8"/>
      <c r="H153" s="8"/>
      <c r="I153" s="9" t="e">
        <f>VLOOKUP($B153,#REF!,19,FALSE)</f>
        <v>#REF!</v>
      </c>
      <c r="J153" s="9" t="e">
        <f>VLOOKUP($B153,#REF!,6,FALSE)</f>
        <v>#REF!</v>
      </c>
      <c r="L153" s="1">
        <v>44652.510416666191</v>
      </c>
      <c r="M153" s="13"/>
    </row>
    <row r="154" spans="2:13">
      <c r="B154" s="5"/>
      <c r="C154" s="6" t="e">
        <f>VLOOKUP($B154,#REF!,5,FALSE)</f>
        <v>#REF!</v>
      </c>
      <c r="D154" s="6" t="e">
        <f>VLOOKUP($B154,#REF!,6,FALSE)</f>
        <v>#REF!</v>
      </c>
      <c r="E154" s="7" t="e">
        <f>VLOOKUP($B154,#REF!,17,FALSE)</f>
        <v>#REF!</v>
      </c>
      <c r="F154" s="8" t="e">
        <f>VLOOKUP($B154,#REF!,7,FALSE)</f>
        <v>#REF!</v>
      </c>
      <c r="G154" s="8"/>
      <c r="H154" s="8"/>
      <c r="I154" s="9" t="e">
        <f>VLOOKUP($B154,#REF!,19,FALSE)</f>
        <v>#REF!</v>
      </c>
      <c r="J154" s="9" t="e">
        <f>VLOOKUP($B154,#REF!,6,FALSE)</f>
        <v>#REF!</v>
      </c>
      <c r="L154" s="1">
        <v>44652.51388888841</v>
      </c>
      <c r="M154" s="13"/>
    </row>
    <row r="155" spans="2:13">
      <c r="B155" s="5"/>
      <c r="C155" s="6" t="e">
        <f>VLOOKUP($B155,#REF!,5,FALSE)</f>
        <v>#REF!</v>
      </c>
      <c r="D155" s="6" t="e">
        <f>VLOOKUP($B155,#REF!,6,FALSE)</f>
        <v>#REF!</v>
      </c>
      <c r="E155" s="7" t="e">
        <f>VLOOKUP($B155,#REF!,17,FALSE)</f>
        <v>#REF!</v>
      </c>
      <c r="F155" s="8" t="e">
        <f>VLOOKUP($B155,#REF!,7,FALSE)</f>
        <v>#REF!</v>
      </c>
      <c r="G155" s="8"/>
      <c r="H155" s="8"/>
      <c r="I155" s="9" t="e">
        <f>VLOOKUP($B155,#REF!,19,FALSE)</f>
        <v>#REF!</v>
      </c>
      <c r="J155" s="9" t="e">
        <f>VLOOKUP($B155,#REF!,6,FALSE)</f>
        <v>#REF!</v>
      </c>
      <c r="L155" s="1">
        <v>44652.517361110629</v>
      </c>
      <c r="M155" s="13"/>
    </row>
    <row r="156" spans="2:13">
      <c r="B156" s="5"/>
      <c r="C156" s="6" t="e">
        <f>VLOOKUP($B156,#REF!,5,FALSE)</f>
        <v>#REF!</v>
      </c>
      <c r="D156" s="6" t="e">
        <f>VLOOKUP($B156,#REF!,6,FALSE)</f>
        <v>#REF!</v>
      </c>
      <c r="E156" s="7" t="e">
        <f>VLOOKUP($B156,#REF!,17,FALSE)</f>
        <v>#REF!</v>
      </c>
      <c r="F156" s="8" t="e">
        <f>VLOOKUP($B156,#REF!,7,FALSE)</f>
        <v>#REF!</v>
      </c>
      <c r="G156" s="8"/>
      <c r="H156" s="8"/>
      <c r="I156" s="9" t="e">
        <f>VLOOKUP($B156,#REF!,19,FALSE)</f>
        <v>#REF!</v>
      </c>
      <c r="J156" s="9" t="e">
        <f>VLOOKUP($B156,#REF!,6,FALSE)</f>
        <v>#REF!</v>
      </c>
      <c r="L156" s="1">
        <v>44652.520833332848</v>
      </c>
      <c r="M156" s="13"/>
    </row>
    <row r="157" spans="2:13">
      <c r="B157" s="5"/>
      <c r="C157" s="6" t="e">
        <f>VLOOKUP($B157,#REF!,5,FALSE)</f>
        <v>#REF!</v>
      </c>
      <c r="D157" s="6" t="e">
        <f>VLOOKUP($B157,#REF!,6,FALSE)</f>
        <v>#REF!</v>
      </c>
      <c r="E157" s="7" t="e">
        <f>VLOOKUP($B157,#REF!,17,FALSE)</f>
        <v>#REF!</v>
      </c>
      <c r="F157" s="8" t="e">
        <f>VLOOKUP($B157,#REF!,7,FALSE)</f>
        <v>#REF!</v>
      </c>
      <c r="G157" s="8"/>
      <c r="H157" s="8"/>
      <c r="I157" s="9" t="e">
        <f>VLOOKUP($B157,#REF!,19,FALSE)</f>
        <v>#REF!</v>
      </c>
      <c r="J157" s="9" t="e">
        <f>VLOOKUP($B157,#REF!,6,FALSE)</f>
        <v>#REF!</v>
      </c>
      <c r="L157" s="1">
        <v>44652.524305555067</v>
      </c>
      <c r="M157" s="13"/>
    </row>
    <row r="158" spans="2:13">
      <c r="B158" s="5"/>
      <c r="C158" s="6" t="e">
        <f>VLOOKUP($B158,#REF!,5,FALSE)</f>
        <v>#REF!</v>
      </c>
      <c r="D158" s="6" t="e">
        <f>VLOOKUP($B158,#REF!,6,FALSE)</f>
        <v>#REF!</v>
      </c>
      <c r="E158" s="7" t="e">
        <f>VLOOKUP($B158,#REF!,17,FALSE)</f>
        <v>#REF!</v>
      </c>
      <c r="F158" s="8" t="e">
        <f>VLOOKUP($B158,#REF!,7,FALSE)</f>
        <v>#REF!</v>
      </c>
      <c r="G158" s="8"/>
      <c r="H158" s="8"/>
      <c r="I158" s="9" t="e">
        <f>VLOOKUP($B158,#REF!,19,FALSE)</f>
        <v>#REF!</v>
      </c>
      <c r="J158" s="9" t="e">
        <f>VLOOKUP($B158,#REF!,6,FALSE)</f>
        <v>#REF!</v>
      </c>
      <c r="L158" s="1">
        <v>44652.527777777286</v>
      </c>
      <c r="M158" s="13"/>
    </row>
    <row r="159" spans="2:13">
      <c r="B159" s="5"/>
      <c r="C159" s="6" t="e">
        <f>VLOOKUP($B159,#REF!,5,FALSE)</f>
        <v>#REF!</v>
      </c>
      <c r="D159" s="6" t="e">
        <f>VLOOKUP($B159,#REF!,6,FALSE)</f>
        <v>#REF!</v>
      </c>
      <c r="E159" s="7" t="e">
        <f>VLOOKUP($B159,#REF!,17,FALSE)</f>
        <v>#REF!</v>
      </c>
      <c r="F159" s="8" t="e">
        <f>VLOOKUP($B159,#REF!,7,FALSE)</f>
        <v>#REF!</v>
      </c>
      <c r="G159" s="8"/>
      <c r="H159" s="8"/>
      <c r="I159" s="9" t="e">
        <f>VLOOKUP($B159,#REF!,19,FALSE)</f>
        <v>#REF!</v>
      </c>
      <c r="J159" s="9" t="e">
        <f>VLOOKUP($B159,#REF!,6,FALSE)</f>
        <v>#REF!</v>
      </c>
      <c r="L159" s="1">
        <v>44652.531249999505</v>
      </c>
      <c r="M159" s="13"/>
    </row>
    <row r="160" spans="2:13">
      <c r="B160" s="5"/>
      <c r="C160" s="6" t="e">
        <f>VLOOKUP($B160,#REF!,5,FALSE)</f>
        <v>#REF!</v>
      </c>
      <c r="D160" s="6" t="e">
        <f>VLOOKUP($B160,#REF!,6,FALSE)</f>
        <v>#REF!</v>
      </c>
      <c r="E160" s="7" t="e">
        <f>VLOOKUP($B160,#REF!,17,FALSE)</f>
        <v>#REF!</v>
      </c>
      <c r="F160" s="8" t="e">
        <f>VLOOKUP($B160,#REF!,7,FALSE)</f>
        <v>#REF!</v>
      </c>
      <c r="G160" s="8"/>
      <c r="H160" s="8"/>
      <c r="I160" s="9" t="e">
        <f>VLOOKUP($B160,#REF!,19,FALSE)</f>
        <v>#REF!</v>
      </c>
      <c r="J160" s="9" t="e">
        <f>VLOOKUP($B160,#REF!,6,FALSE)</f>
        <v>#REF!</v>
      </c>
      <c r="L160" s="1">
        <v>44652.534722221724</v>
      </c>
      <c r="M160" s="13"/>
    </row>
    <row r="161" spans="2:13">
      <c r="B161" s="5"/>
      <c r="C161" s="6" t="e">
        <f>VLOOKUP($B161,#REF!,5,FALSE)</f>
        <v>#REF!</v>
      </c>
      <c r="D161" s="6" t="e">
        <f>VLOOKUP($B161,#REF!,6,FALSE)</f>
        <v>#REF!</v>
      </c>
      <c r="E161" s="7" t="e">
        <f>VLOOKUP($B161,#REF!,17,FALSE)</f>
        <v>#REF!</v>
      </c>
      <c r="F161" s="8" t="e">
        <f>VLOOKUP($B161,#REF!,7,FALSE)</f>
        <v>#REF!</v>
      </c>
      <c r="G161" s="8"/>
      <c r="H161" s="8"/>
      <c r="I161" s="9" t="e">
        <f>VLOOKUP($B161,#REF!,19,FALSE)</f>
        <v>#REF!</v>
      </c>
      <c r="J161" s="9" t="e">
        <f>VLOOKUP($B161,#REF!,6,FALSE)</f>
        <v>#REF!</v>
      </c>
      <c r="L161" s="1">
        <v>44652.538194443943</v>
      </c>
      <c r="M161" s="13"/>
    </row>
    <row r="162" spans="2:13">
      <c r="B162" s="5"/>
      <c r="C162" s="6" t="e">
        <f>VLOOKUP($B162,#REF!,5,FALSE)</f>
        <v>#REF!</v>
      </c>
      <c r="D162" s="6" t="e">
        <f>VLOOKUP($B162,#REF!,6,FALSE)</f>
        <v>#REF!</v>
      </c>
      <c r="E162" s="7" t="e">
        <f>VLOOKUP($B162,#REF!,17,FALSE)</f>
        <v>#REF!</v>
      </c>
      <c r="F162" s="8" t="e">
        <f>VLOOKUP($B162,#REF!,7,FALSE)</f>
        <v>#REF!</v>
      </c>
      <c r="G162" s="8"/>
      <c r="H162" s="8"/>
      <c r="I162" s="9" t="e">
        <f>VLOOKUP($B162,#REF!,19,FALSE)</f>
        <v>#REF!</v>
      </c>
      <c r="J162" s="9" t="e">
        <f>VLOOKUP($B162,#REF!,6,FALSE)</f>
        <v>#REF!</v>
      </c>
      <c r="L162" s="1">
        <v>44652.541666666162</v>
      </c>
      <c r="M162" s="13"/>
    </row>
    <row r="163" spans="2:13">
      <c r="B163" s="5"/>
      <c r="C163" s="6" t="e">
        <f>VLOOKUP($B163,#REF!,5,FALSE)</f>
        <v>#REF!</v>
      </c>
      <c r="D163" s="6" t="e">
        <f>VLOOKUP($B163,#REF!,6,FALSE)</f>
        <v>#REF!</v>
      </c>
      <c r="E163" s="7" t="e">
        <f>VLOOKUP($B163,#REF!,17,FALSE)</f>
        <v>#REF!</v>
      </c>
      <c r="F163" s="8" t="e">
        <f>VLOOKUP($B163,#REF!,7,FALSE)</f>
        <v>#REF!</v>
      </c>
      <c r="G163" s="8"/>
      <c r="H163" s="8"/>
      <c r="I163" s="9" t="e">
        <f>VLOOKUP($B163,#REF!,19,FALSE)</f>
        <v>#REF!</v>
      </c>
      <c r="J163" s="9" t="e">
        <f>VLOOKUP($B163,#REF!,6,FALSE)</f>
        <v>#REF!</v>
      </c>
      <c r="L163" s="1">
        <v>44652.545138888381</v>
      </c>
      <c r="M163" s="13"/>
    </row>
    <row r="164" spans="2:13">
      <c r="B164" s="5"/>
      <c r="C164" s="6" t="e">
        <f>VLOOKUP($B164,#REF!,5,FALSE)</f>
        <v>#REF!</v>
      </c>
      <c r="D164" s="6" t="e">
        <f>VLOOKUP($B164,#REF!,6,FALSE)</f>
        <v>#REF!</v>
      </c>
      <c r="E164" s="7" t="e">
        <f>VLOOKUP($B164,#REF!,17,FALSE)</f>
        <v>#REF!</v>
      </c>
      <c r="F164" s="8" t="e">
        <f>VLOOKUP($B164,#REF!,7,FALSE)</f>
        <v>#REF!</v>
      </c>
      <c r="G164" s="8"/>
      <c r="H164" s="8"/>
      <c r="I164" s="9" t="e">
        <f>VLOOKUP($B164,#REF!,19,FALSE)</f>
        <v>#REF!</v>
      </c>
      <c r="J164" s="9" t="e">
        <f>VLOOKUP($B164,#REF!,6,FALSE)</f>
        <v>#REF!</v>
      </c>
      <c r="L164" s="1">
        <v>44652.5486111106</v>
      </c>
      <c r="M164" s="13"/>
    </row>
    <row r="165" spans="2:13">
      <c r="B165" s="5"/>
      <c r="C165" s="6" t="e">
        <f>VLOOKUP($B165,#REF!,5,FALSE)</f>
        <v>#REF!</v>
      </c>
      <c r="D165" s="6" t="e">
        <f>VLOOKUP($B165,#REF!,6,FALSE)</f>
        <v>#REF!</v>
      </c>
      <c r="E165" s="7" t="e">
        <f>VLOOKUP($B165,#REF!,17,FALSE)</f>
        <v>#REF!</v>
      </c>
      <c r="F165" s="8" t="e">
        <f>VLOOKUP($B165,#REF!,7,FALSE)</f>
        <v>#REF!</v>
      </c>
      <c r="G165" s="8"/>
      <c r="H165" s="8"/>
      <c r="I165" s="9" t="e">
        <f>VLOOKUP($B165,#REF!,19,FALSE)</f>
        <v>#REF!</v>
      </c>
      <c r="J165" s="9" t="e">
        <f>VLOOKUP($B165,#REF!,6,FALSE)</f>
        <v>#REF!</v>
      </c>
      <c r="L165" s="1">
        <v>44652.552083332819</v>
      </c>
      <c r="M165" s="13"/>
    </row>
    <row r="166" spans="2:13">
      <c r="B166" s="5"/>
      <c r="C166" s="6" t="e">
        <f>VLOOKUP($B166,#REF!,5,FALSE)</f>
        <v>#REF!</v>
      </c>
      <c r="D166" s="6" t="e">
        <f>VLOOKUP($B166,#REF!,6,FALSE)</f>
        <v>#REF!</v>
      </c>
      <c r="E166" s="7" t="e">
        <f>VLOOKUP($B166,#REF!,17,FALSE)</f>
        <v>#REF!</v>
      </c>
      <c r="F166" s="8" t="e">
        <f>VLOOKUP($B166,#REF!,7,FALSE)</f>
        <v>#REF!</v>
      </c>
      <c r="G166" s="8"/>
      <c r="H166" s="8"/>
      <c r="I166" s="9" t="e">
        <f>VLOOKUP($B166,#REF!,19,FALSE)</f>
        <v>#REF!</v>
      </c>
      <c r="J166" s="9" t="e">
        <f>VLOOKUP($B166,#REF!,6,FALSE)</f>
        <v>#REF!</v>
      </c>
      <c r="L166" s="1">
        <v>44652.555555555038</v>
      </c>
      <c r="M166" s="13"/>
    </row>
    <row r="167" spans="2:13">
      <c r="B167" s="5"/>
      <c r="C167" s="6" t="e">
        <f>VLOOKUP($B167,#REF!,5,FALSE)</f>
        <v>#REF!</v>
      </c>
      <c r="D167" s="6" t="e">
        <f>VLOOKUP($B167,#REF!,6,FALSE)</f>
        <v>#REF!</v>
      </c>
      <c r="E167" s="7" t="e">
        <f>VLOOKUP($B167,#REF!,17,FALSE)</f>
        <v>#REF!</v>
      </c>
      <c r="F167" s="8" t="e">
        <f>VLOOKUP($B167,#REF!,7,FALSE)</f>
        <v>#REF!</v>
      </c>
      <c r="G167" s="8"/>
      <c r="H167" s="8"/>
      <c r="I167" s="9" t="e">
        <f>VLOOKUP($B167,#REF!,19,FALSE)</f>
        <v>#REF!</v>
      </c>
      <c r="J167" s="9" t="e">
        <f>VLOOKUP($B167,#REF!,6,FALSE)</f>
        <v>#REF!</v>
      </c>
      <c r="L167" s="1">
        <v>44652.559027777257</v>
      </c>
      <c r="M167" s="13"/>
    </row>
    <row r="168" spans="2:13">
      <c r="B168" s="5"/>
      <c r="C168" s="6" t="e">
        <f>VLOOKUP($B168,#REF!,5,FALSE)</f>
        <v>#REF!</v>
      </c>
      <c r="D168" s="6" t="e">
        <f>VLOOKUP($B168,#REF!,6,FALSE)</f>
        <v>#REF!</v>
      </c>
      <c r="E168" s="7" t="e">
        <f>VLOOKUP($B168,#REF!,17,FALSE)</f>
        <v>#REF!</v>
      </c>
      <c r="F168" s="8" t="e">
        <f>VLOOKUP($B168,#REF!,7,FALSE)</f>
        <v>#REF!</v>
      </c>
      <c r="G168" s="8"/>
      <c r="H168" s="8"/>
      <c r="I168" s="9" t="e">
        <f>VLOOKUP($B168,#REF!,19,FALSE)</f>
        <v>#REF!</v>
      </c>
      <c r="J168" s="9" t="e">
        <f>VLOOKUP($B168,#REF!,6,FALSE)</f>
        <v>#REF!</v>
      </c>
      <c r="L168" s="1">
        <v>44652.562499999476</v>
      </c>
      <c r="M168" s="13"/>
    </row>
    <row r="169" spans="2:13">
      <c r="B169" s="5"/>
      <c r="C169" s="6" t="e">
        <f>VLOOKUP($B169,#REF!,5,FALSE)</f>
        <v>#REF!</v>
      </c>
      <c r="D169" s="6" t="e">
        <f>VLOOKUP($B169,#REF!,6,FALSE)</f>
        <v>#REF!</v>
      </c>
      <c r="E169" s="7" t="e">
        <f>VLOOKUP($B169,#REF!,17,FALSE)</f>
        <v>#REF!</v>
      </c>
      <c r="F169" s="8" t="e">
        <f>VLOOKUP($B169,#REF!,7,FALSE)</f>
        <v>#REF!</v>
      </c>
      <c r="G169" s="8"/>
      <c r="H169" s="8"/>
      <c r="I169" s="9" t="e">
        <f>VLOOKUP($B169,#REF!,19,FALSE)</f>
        <v>#REF!</v>
      </c>
      <c r="J169" s="9" t="e">
        <f>VLOOKUP($B169,#REF!,6,FALSE)</f>
        <v>#REF!</v>
      </c>
      <c r="L169" s="1">
        <v>44652.565972221695</v>
      </c>
      <c r="M169" s="13"/>
    </row>
    <row r="170" spans="2:13">
      <c r="B170" s="5"/>
      <c r="C170" s="6" t="e">
        <f>VLOOKUP($B170,#REF!,5,FALSE)</f>
        <v>#REF!</v>
      </c>
      <c r="D170" s="6" t="e">
        <f>VLOOKUP($B170,#REF!,6,FALSE)</f>
        <v>#REF!</v>
      </c>
      <c r="E170" s="7" t="e">
        <f>VLOOKUP($B170,#REF!,17,FALSE)</f>
        <v>#REF!</v>
      </c>
      <c r="F170" s="8" t="e">
        <f>VLOOKUP($B170,#REF!,7,FALSE)</f>
        <v>#REF!</v>
      </c>
      <c r="G170" s="8"/>
      <c r="H170" s="8"/>
      <c r="I170" s="9" t="e">
        <f>VLOOKUP($B170,#REF!,19,FALSE)</f>
        <v>#REF!</v>
      </c>
      <c r="J170" s="9" t="e">
        <f>VLOOKUP($B170,#REF!,6,FALSE)</f>
        <v>#REF!</v>
      </c>
      <c r="L170" s="1">
        <v>44652.569444443914</v>
      </c>
      <c r="M170" s="13"/>
    </row>
    <row r="171" spans="2:13">
      <c r="B171" s="5"/>
      <c r="C171" s="6" t="e">
        <f>VLOOKUP($B171,#REF!,5,FALSE)</f>
        <v>#REF!</v>
      </c>
      <c r="D171" s="6" t="e">
        <f>VLOOKUP($B171,#REF!,6,FALSE)</f>
        <v>#REF!</v>
      </c>
      <c r="E171" s="7" t="e">
        <f>VLOOKUP($B171,#REF!,17,FALSE)</f>
        <v>#REF!</v>
      </c>
      <c r="F171" s="8" t="e">
        <f>VLOOKUP($B171,#REF!,7,FALSE)</f>
        <v>#REF!</v>
      </c>
      <c r="G171" s="8"/>
      <c r="H171" s="8"/>
      <c r="I171" s="9" t="e">
        <f>VLOOKUP($B171,#REF!,19,FALSE)</f>
        <v>#REF!</v>
      </c>
      <c r="J171" s="9" t="e">
        <f>VLOOKUP($B171,#REF!,6,FALSE)</f>
        <v>#REF!</v>
      </c>
      <c r="L171" s="1">
        <v>44652.572916666133</v>
      </c>
      <c r="M171" s="13"/>
    </row>
    <row r="172" spans="2:13">
      <c r="B172" s="5"/>
      <c r="C172" s="6" t="e">
        <f>VLOOKUP($B172,#REF!,5,FALSE)</f>
        <v>#REF!</v>
      </c>
      <c r="D172" s="6" t="e">
        <f>VLOOKUP($B172,#REF!,6,FALSE)</f>
        <v>#REF!</v>
      </c>
      <c r="E172" s="7" t="e">
        <f>VLOOKUP($B172,#REF!,17,FALSE)</f>
        <v>#REF!</v>
      </c>
      <c r="F172" s="8" t="e">
        <f>VLOOKUP($B172,#REF!,7,FALSE)</f>
        <v>#REF!</v>
      </c>
      <c r="G172" s="8"/>
      <c r="H172" s="8"/>
      <c r="I172" s="9" t="e">
        <f>VLOOKUP($B172,#REF!,19,FALSE)</f>
        <v>#REF!</v>
      </c>
      <c r="J172" s="9" t="e">
        <f>VLOOKUP($B172,#REF!,6,FALSE)</f>
        <v>#REF!</v>
      </c>
      <c r="L172" s="1">
        <v>44652.576388888352</v>
      </c>
      <c r="M172" s="13"/>
    </row>
    <row r="173" spans="2:13">
      <c r="B173" s="5"/>
      <c r="C173" s="6" t="e">
        <f>VLOOKUP($B173,#REF!,5,FALSE)</f>
        <v>#REF!</v>
      </c>
      <c r="D173" s="6" t="e">
        <f>VLOOKUP($B173,#REF!,6,FALSE)</f>
        <v>#REF!</v>
      </c>
      <c r="E173" s="7" t="e">
        <f>VLOOKUP($B173,#REF!,17,FALSE)</f>
        <v>#REF!</v>
      </c>
      <c r="F173" s="8" t="e">
        <f>VLOOKUP($B173,#REF!,7,FALSE)</f>
        <v>#REF!</v>
      </c>
      <c r="G173" s="8"/>
      <c r="H173" s="8"/>
      <c r="I173" s="9" t="e">
        <f>VLOOKUP($B173,#REF!,19,FALSE)</f>
        <v>#REF!</v>
      </c>
      <c r="J173" s="9" t="e">
        <f>VLOOKUP($B173,#REF!,6,FALSE)</f>
        <v>#REF!</v>
      </c>
      <c r="L173" s="1">
        <v>44652.579861110571</v>
      </c>
      <c r="M173" s="13"/>
    </row>
    <row r="174" spans="2:13">
      <c r="B174" s="5"/>
      <c r="C174" s="6" t="e">
        <f>VLOOKUP($B174,#REF!,5,FALSE)</f>
        <v>#REF!</v>
      </c>
      <c r="D174" s="6" t="e">
        <f>VLOOKUP($B174,#REF!,6,FALSE)</f>
        <v>#REF!</v>
      </c>
      <c r="E174" s="7" t="e">
        <f>VLOOKUP($B174,#REF!,17,FALSE)</f>
        <v>#REF!</v>
      </c>
      <c r="F174" s="8" t="e">
        <f>VLOOKUP($B174,#REF!,7,FALSE)</f>
        <v>#REF!</v>
      </c>
      <c r="G174" s="8"/>
      <c r="H174" s="8"/>
      <c r="I174" s="9" t="e">
        <f>VLOOKUP($B174,#REF!,19,FALSE)</f>
        <v>#REF!</v>
      </c>
      <c r="J174" s="9" t="e">
        <f>VLOOKUP($B174,#REF!,6,FALSE)</f>
        <v>#REF!</v>
      </c>
      <c r="L174" s="1">
        <v>44652.58333333279</v>
      </c>
      <c r="M174" s="13"/>
    </row>
    <row r="175" spans="2:13">
      <c r="B175" s="5"/>
      <c r="C175" s="6" t="e">
        <f>VLOOKUP($B175,#REF!,5,FALSE)</f>
        <v>#REF!</v>
      </c>
      <c r="D175" s="6" t="e">
        <f>VLOOKUP($B175,#REF!,6,FALSE)</f>
        <v>#REF!</v>
      </c>
      <c r="E175" s="7" t="e">
        <f>VLOOKUP($B175,#REF!,17,FALSE)</f>
        <v>#REF!</v>
      </c>
      <c r="F175" s="8" t="e">
        <f>VLOOKUP($B175,#REF!,7,FALSE)</f>
        <v>#REF!</v>
      </c>
      <c r="G175" s="8"/>
      <c r="H175" s="8"/>
      <c r="I175" s="9" t="e">
        <f>VLOOKUP($B175,#REF!,19,FALSE)</f>
        <v>#REF!</v>
      </c>
      <c r="J175" s="9" t="e">
        <f>VLOOKUP($B175,#REF!,6,FALSE)</f>
        <v>#REF!</v>
      </c>
      <c r="L175" s="1">
        <v>44652.586805555009</v>
      </c>
      <c r="M175" s="13"/>
    </row>
    <row r="176" spans="2:13">
      <c r="B176" s="5"/>
      <c r="C176" s="6" t="e">
        <f>VLOOKUP($B176,#REF!,5,FALSE)</f>
        <v>#REF!</v>
      </c>
      <c r="D176" s="6" t="e">
        <f>VLOOKUP($B176,#REF!,6,FALSE)</f>
        <v>#REF!</v>
      </c>
      <c r="E176" s="7" t="e">
        <f>VLOOKUP($B176,#REF!,17,FALSE)</f>
        <v>#REF!</v>
      </c>
      <c r="F176" s="8" t="e">
        <f>VLOOKUP($B176,#REF!,7,FALSE)</f>
        <v>#REF!</v>
      </c>
      <c r="G176" s="8"/>
      <c r="H176" s="8"/>
      <c r="I176" s="9" t="e">
        <f>VLOOKUP($B176,#REF!,19,FALSE)</f>
        <v>#REF!</v>
      </c>
      <c r="J176" s="9" t="e">
        <f>VLOOKUP($B176,#REF!,6,FALSE)</f>
        <v>#REF!</v>
      </c>
      <c r="L176" s="1">
        <v>44652.590277777228</v>
      </c>
      <c r="M176" s="13"/>
    </row>
    <row r="177" spans="2:13">
      <c r="B177" s="5"/>
      <c r="C177" s="6" t="e">
        <f>VLOOKUP($B177,#REF!,5,FALSE)</f>
        <v>#REF!</v>
      </c>
      <c r="D177" s="6" t="e">
        <f>VLOOKUP($B177,#REF!,6,FALSE)</f>
        <v>#REF!</v>
      </c>
      <c r="E177" s="7" t="e">
        <f>VLOOKUP($B177,#REF!,17,FALSE)</f>
        <v>#REF!</v>
      </c>
      <c r="F177" s="8" t="e">
        <f>VLOOKUP($B177,#REF!,7,FALSE)</f>
        <v>#REF!</v>
      </c>
      <c r="G177" s="8"/>
      <c r="H177" s="8"/>
      <c r="I177" s="9" t="e">
        <f>VLOOKUP($B177,#REF!,19,FALSE)</f>
        <v>#REF!</v>
      </c>
      <c r="J177" s="9" t="e">
        <f>VLOOKUP($B177,#REF!,6,FALSE)</f>
        <v>#REF!</v>
      </c>
      <c r="L177" s="1">
        <v>44652.593749999447</v>
      </c>
      <c r="M177" s="13"/>
    </row>
    <row r="178" spans="2:13">
      <c r="B178" s="5"/>
      <c r="C178" s="6" t="e">
        <f>VLOOKUP($B178,#REF!,5,FALSE)</f>
        <v>#REF!</v>
      </c>
      <c r="D178" s="6" t="e">
        <f>VLOOKUP($B178,#REF!,6,FALSE)</f>
        <v>#REF!</v>
      </c>
      <c r="E178" s="7" t="e">
        <f>VLOOKUP($B178,#REF!,17,FALSE)</f>
        <v>#REF!</v>
      </c>
      <c r="F178" s="8" t="e">
        <f>VLOOKUP($B178,#REF!,7,FALSE)</f>
        <v>#REF!</v>
      </c>
      <c r="G178" s="8"/>
      <c r="H178" s="8"/>
      <c r="I178" s="9" t="e">
        <f>VLOOKUP($B178,#REF!,19,FALSE)</f>
        <v>#REF!</v>
      </c>
      <c r="J178" s="9" t="e">
        <f>VLOOKUP($B178,#REF!,6,FALSE)</f>
        <v>#REF!</v>
      </c>
      <c r="L178" s="1">
        <v>44652.597222221666</v>
      </c>
      <c r="M178" s="13"/>
    </row>
    <row r="179" spans="2:13">
      <c r="B179" s="5"/>
      <c r="C179" s="6" t="e">
        <f>VLOOKUP($B179,#REF!,5,FALSE)</f>
        <v>#REF!</v>
      </c>
      <c r="D179" s="6" t="e">
        <f>VLOOKUP($B179,#REF!,6,FALSE)</f>
        <v>#REF!</v>
      </c>
      <c r="E179" s="7" t="e">
        <f>VLOOKUP($B179,#REF!,17,FALSE)</f>
        <v>#REF!</v>
      </c>
      <c r="F179" s="8" t="e">
        <f>VLOOKUP($B179,#REF!,7,FALSE)</f>
        <v>#REF!</v>
      </c>
      <c r="G179" s="8"/>
      <c r="H179" s="8"/>
      <c r="I179" s="9" t="e">
        <f>VLOOKUP($B179,#REF!,19,FALSE)</f>
        <v>#REF!</v>
      </c>
      <c r="J179" s="9" t="e">
        <f>VLOOKUP($B179,#REF!,6,FALSE)</f>
        <v>#REF!</v>
      </c>
      <c r="L179" s="1">
        <v>44652.600694443885</v>
      </c>
      <c r="M179" s="13"/>
    </row>
    <row r="180" spans="2:13">
      <c r="B180" s="5"/>
      <c r="C180" s="6" t="e">
        <f>VLOOKUP($B180,#REF!,5,FALSE)</f>
        <v>#REF!</v>
      </c>
      <c r="D180" s="6" t="e">
        <f>VLOOKUP($B180,#REF!,6,FALSE)</f>
        <v>#REF!</v>
      </c>
      <c r="E180" s="7" t="e">
        <f>VLOOKUP($B180,#REF!,17,FALSE)</f>
        <v>#REF!</v>
      </c>
      <c r="F180" s="8" t="e">
        <f>VLOOKUP($B180,#REF!,7,FALSE)</f>
        <v>#REF!</v>
      </c>
      <c r="G180" s="8"/>
      <c r="H180" s="8"/>
      <c r="I180" s="9" t="e">
        <f>VLOOKUP($B180,#REF!,19,FALSE)</f>
        <v>#REF!</v>
      </c>
      <c r="J180" s="9" t="e">
        <f>VLOOKUP($B180,#REF!,6,FALSE)</f>
        <v>#REF!</v>
      </c>
      <c r="L180" s="1">
        <v>44652.604166666104</v>
      </c>
      <c r="M180" s="13"/>
    </row>
    <row r="181" spans="2:13">
      <c r="B181" s="5"/>
      <c r="C181" s="6" t="e">
        <f>VLOOKUP($B181,#REF!,5,FALSE)</f>
        <v>#REF!</v>
      </c>
      <c r="D181" s="6" t="e">
        <f>VLOOKUP($B181,#REF!,6,FALSE)</f>
        <v>#REF!</v>
      </c>
      <c r="E181" s="7" t="e">
        <f>VLOOKUP($B181,#REF!,17,FALSE)</f>
        <v>#REF!</v>
      </c>
      <c r="F181" s="8" t="e">
        <f>VLOOKUP($B181,#REF!,7,FALSE)</f>
        <v>#REF!</v>
      </c>
      <c r="G181" s="8"/>
      <c r="H181" s="8"/>
      <c r="I181" s="9" t="e">
        <f>VLOOKUP($B181,#REF!,19,FALSE)</f>
        <v>#REF!</v>
      </c>
      <c r="J181" s="9" t="e">
        <f>VLOOKUP($B181,#REF!,6,FALSE)</f>
        <v>#REF!</v>
      </c>
      <c r="L181" s="1">
        <v>44652.607638888323</v>
      </c>
      <c r="M181" s="13"/>
    </row>
    <row r="182" spans="2:13">
      <c r="B182" s="5"/>
      <c r="C182" s="6" t="e">
        <f>VLOOKUP($B182,#REF!,5,FALSE)</f>
        <v>#REF!</v>
      </c>
      <c r="D182" s="6" t="e">
        <f>VLOOKUP($B182,#REF!,6,FALSE)</f>
        <v>#REF!</v>
      </c>
      <c r="E182" s="7" t="e">
        <f>VLOOKUP($B182,#REF!,17,FALSE)</f>
        <v>#REF!</v>
      </c>
      <c r="F182" s="8" t="e">
        <f>VLOOKUP($B182,#REF!,7,FALSE)</f>
        <v>#REF!</v>
      </c>
      <c r="G182" s="8"/>
      <c r="H182" s="8"/>
      <c r="I182" s="9" t="e">
        <f>VLOOKUP($B182,#REF!,19,FALSE)</f>
        <v>#REF!</v>
      </c>
      <c r="J182" s="9" t="e">
        <f>VLOOKUP($B182,#REF!,6,FALSE)</f>
        <v>#REF!</v>
      </c>
      <c r="L182" s="1">
        <v>44652.611111110542</v>
      </c>
      <c r="M182" s="13"/>
    </row>
    <row r="183" spans="2:13">
      <c r="B183" s="5"/>
      <c r="C183" s="6" t="e">
        <f>VLOOKUP($B183,#REF!,5,FALSE)</f>
        <v>#REF!</v>
      </c>
      <c r="D183" s="6" t="e">
        <f>VLOOKUP($B183,#REF!,6,FALSE)</f>
        <v>#REF!</v>
      </c>
      <c r="E183" s="7" t="e">
        <f>VLOOKUP($B183,#REF!,17,FALSE)</f>
        <v>#REF!</v>
      </c>
      <c r="F183" s="8" t="e">
        <f>VLOOKUP($B183,#REF!,7,FALSE)</f>
        <v>#REF!</v>
      </c>
      <c r="G183" s="8"/>
      <c r="H183" s="8"/>
      <c r="I183" s="9" t="e">
        <f>VLOOKUP($B183,#REF!,19,FALSE)</f>
        <v>#REF!</v>
      </c>
      <c r="J183" s="9" t="e">
        <f>VLOOKUP($B183,#REF!,6,FALSE)</f>
        <v>#REF!</v>
      </c>
      <c r="L183" s="1">
        <v>44652.614583332761</v>
      </c>
      <c r="M183" s="13"/>
    </row>
    <row r="184" spans="2:13">
      <c r="B184" s="5"/>
      <c r="C184" s="6" t="e">
        <f>VLOOKUP($B184,#REF!,5,FALSE)</f>
        <v>#REF!</v>
      </c>
      <c r="D184" s="6" t="e">
        <f>VLOOKUP($B184,#REF!,6,FALSE)</f>
        <v>#REF!</v>
      </c>
      <c r="E184" s="7" t="e">
        <f>VLOOKUP($B184,#REF!,17,FALSE)</f>
        <v>#REF!</v>
      </c>
      <c r="F184" s="8" t="e">
        <f>VLOOKUP($B184,#REF!,7,FALSE)</f>
        <v>#REF!</v>
      </c>
      <c r="G184" s="8"/>
      <c r="H184" s="8"/>
      <c r="I184" s="9" t="e">
        <f>VLOOKUP($B184,#REF!,19,FALSE)</f>
        <v>#REF!</v>
      </c>
      <c r="J184" s="9" t="e">
        <f>VLOOKUP($B184,#REF!,6,FALSE)</f>
        <v>#REF!</v>
      </c>
      <c r="L184" s="1">
        <v>44652.61805555498</v>
      </c>
      <c r="M184" s="13"/>
    </row>
    <row r="185" spans="2:13">
      <c r="B185" s="5"/>
      <c r="C185" s="6" t="e">
        <f>VLOOKUP($B185,#REF!,5,FALSE)</f>
        <v>#REF!</v>
      </c>
      <c r="D185" s="6" t="e">
        <f>VLOOKUP($B185,#REF!,6,FALSE)</f>
        <v>#REF!</v>
      </c>
      <c r="E185" s="7" t="e">
        <f>VLOOKUP($B185,#REF!,17,FALSE)</f>
        <v>#REF!</v>
      </c>
      <c r="F185" s="8" t="e">
        <f>VLOOKUP($B185,#REF!,7,FALSE)</f>
        <v>#REF!</v>
      </c>
      <c r="G185" s="8"/>
      <c r="H185" s="8"/>
      <c r="I185" s="9" t="e">
        <f>VLOOKUP($B185,#REF!,19,FALSE)</f>
        <v>#REF!</v>
      </c>
      <c r="J185" s="9" t="e">
        <f>VLOOKUP($B185,#REF!,6,FALSE)</f>
        <v>#REF!</v>
      </c>
      <c r="L185" s="1">
        <v>44652.621527777199</v>
      </c>
      <c r="M185" s="13"/>
    </row>
    <row r="186" spans="2:13">
      <c r="B186" s="5"/>
      <c r="C186" s="6" t="e">
        <f>VLOOKUP($B186,#REF!,5,FALSE)</f>
        <v>#REF!</v>
      </c>
      <c r="D186" s="6" t="e">
        <f>VLOOKUP($B186,#REF!,6,FALSE)</f>
        <v>#REF!</v>
      </c>
      <c r="E186" s="7" t="e">
        <f>VLOOKUP($B186,#REF!,17,FALSE)</f>
        <v>#REF!</v>
      </c>
      <c r="F186" s="8" t="e">
        <f>VLOOKUP($B186,#REF!,7,FALSE)</f>
        <v>#REF!</v>
      </c>
      <c r="G186" s="8"/>
      <c r="H186" s="8"/>
      <c r="I186" s="9" t="e">
        <f>VLOOKUP($B186,#REF!,19,FALSE)</f>
        <v>#REF!</v>
      </c>
      <c r="J186" s="9" t="e">
        <f>VLOOKUP($B186,#REF!,6,FALSE)</f>
        <v>#REF!</v>
      </c>
      <c r="L186" s="1">
        <v>44652.624999999418</v>
      </c>
      <c r="M186" s="13"/>
    </row>
    <row r="187" spans="2:13">
      <c r="B187" s="5"/>
      <c r="C187" s="6" t="e">
        <f>VLOOKUP($B187,#REF!,5,FALSE)</f>
        <v>#REF!</v>
      </c>
      <c r="D187" s="6" t="e">
        <f>VLOOKUP($B187,#REF!,6,FALSE)</f>
        <v>#REF!</v>
      </c>
      <c r="E187" s="7" t="e">
        <f>VLOOKUP($B187,#REF!,17,FALSE)</f>
        <v>#REF!</v>
      </c>
      <c r="F187" s="8" t="e">
        <f>VLOOKUP($B187,#REF!,7,FALSE)</f>
        <v>#REF!</v>
      </c>
      <c r="G187" s="8"/>
      <c r="H187" s="8"/>
      <c r="I187" s="9" t="e">
        <f>VLOOKUP($B187,#REF!,19,FALSE)</f>
        <v>#REF!</v>
      </c>
      <c r="J187" s="9" t="e">
        <f>VLOOKUP($B187,#REF!,6,FALSE)</f>
        <v>#REF!</v>
      </c>
      <c r="L187" s="1">
        <v>44652.628472221637</v>
      </c>
      <c r="M187" s="13"/>
    </row>
    <row r="188" spans="2:13">
      <c r="B188" s="5"/>
      <c r="C188" s="6" t="e">
        <f>VLOOKUP($B188,#REF!,5,FALSE)</f>
        <v>#REF!</v>
      </c>
      <c r="D188" s="6" t="e">
        <f>VLOOKUP($B188,#REF!,6,FALSE)</f>
        <v>#REF!</v>
      </c>
      <c r="E188" s="7" t="e">
        <f>VLOOKUP($B188,#REF!,17,FALSE)</f>
        <v>#REF!</v>
      </c>
      <c r="F188" s="8" t="e">
        <f>VLOOKUP($B188,#REF!,7,FALSE)</f>
        <v>#REF!</v>
      </c>
      <c r="G188" s="8"/>
      <c r="H188" s="8"/>
      <c r="I188" s="9" t="e">
        <f>VLOOKUP($B188,#REF!,19,FALSE)</f>
        <v>#REF!</v>
      </c>
      <c r="J188" s="9" t="e">
        <f>VLOOKUP($B188,#REF!,6,FALSE)</f>
        <v>#REF!</v>
      </c>
      <c r="L188" s="1">
        <v>44652.631944443856</v>
      </c>
      <c r="M188" s="13"/>
    </row>
    <row r="189" spans="2:13">
      <c r="B189" s="5"/>
      <c r="C189" s="6" t="e">
        <f>VLOOKUP($B189,#REF!,5,FALSE)</f>
        <v>#REF!</v>
      </c>
      <c r="D189" s="6" t="e">
        <f>VLOOKUP($B189,#REF!,6,FALSE)</f>
        <v>#REF!</v>
      </c>
      <c r="E189" s="7" t="e">
        <f>VLOOKUP($B189,#REF!,17,FALSE)</f>
        <v>#REF!</v>
      </c>
      <c r="F189" s="8" t="e">
        <f>VLOOKUP($B189,#REF!,7,FALSE)</f>
        <v>#REF!</v>
      </c>
      <c r="G189" s="8"/>
      <c r="H189" s="8"/>
      <c r="I189" s="9" t="e">
        <f>VLOOKUP($B189,#REF!,19,FALSE)</f>
        <v>#REF!</v>
      </c>
      <c r="J189" s="9" t="e">
        <f>VLOOKUP($B189,#REF!,6,FALSE)</f>
        <v>#REF!</v>
      </c>
      <c r="L189" s="1">
        <v>44652.635416666075</v>
      </c>
      <c r="M189" s="13"/>
    </row>
    <row r="190" spans="2:13">
      <c r="B190" s="5"/>
      <c r="C190" s="6" t="e">
        <f>VLOOKUP($B190,#REF!,5,FALSE)</f>
        <v>#REF!</v>
      </c>
      <c r="D190" s="6" t="e">
        <f>VLOOKUP($B190,#REF!,6,FALSE)</f>
        <v>#REF!</v>
      </c>
      <c r="E190" s="7" t="e">
        <f>VLOOKUP($B190,#REF!,17,FALSE)</f>
        <v>#REF!</v>
      </c>
      <c r="F190" s="8" t="e">
        <f>VLOOKUP($B190,#REF!,7,FALSE)</f>
        <v>#REF!</v>
      </c>
      <c r="G190" s="8"/>
      <c r="H190" s="8"/>
      <c r="I190" s="9" t="e">
        <f>VLOOKUP($B190,#REF!,19,FALSE)</f>
        <v>#REF!</v>
      </c>
      <c r="J190" s="9" t="e">
        <f>VLOOKUP($B190,#REF!,6,FALSE)</f>
        <v>#REF!</v>
      </c>
      <c r="L190" s="1">
        <v>44652.638888888294</v>
      </c>
      <c r="M190" s="13"/>
    </row>
    <row r="191" spans="2:13">
      <c r="B191" s="5"/>
      <c r="C191" s="6" t="e">
        <f>VLOOKUP($B191,#REF!,5,FALSE)</f>
        <v>#REF!</v>
      </c>
      <c r="D191" s="6" t="e">
        <f>VLOOKUP($B191,#REF!,6,FALSE)</f>
        <v>#REF!</v>
      </c>
      <c r="E191" s="7" t="e">
        <f>VLOOKUP($B191,#REF!,17,FALSE)</f>
        <v>#REF!</v>
      </c>
      <c r="F191" s="8" t="e">
        <f>VLOOKUP($B191,#REF!,7,FALSE)</f>
        <v>#REF!</v>
      </c>
      <c r="G191" s="8"/>
      <c r="H191" s="8"/>
      <c r="I191" s="9" t="e">
        <f>VLOOKUP($B191,#REF!,19,FALSE)</f>
        <v>#REF!</v>
      </c>
      <c r="J191" s="9" t="e">
        <f>VLOOKUP($B191,#REF!,6,FALSE)</f>
        <v>#REF!</v>
      </c>
      <c r="L191" s="1">
        <v>44652.642361110513</v>
      </c>
      <c r="M191" s="13"/>
    </row>
    <row r="192" spans="2:13">
      <c r="B192" s="5"/>
      <c r="C192" s="6" t="e">
        <f>VLOOKUP($B192,#REF!,5,FALSE)</f>
        <v>#REF!</v>
      </c>
      <c r="D192" s="6" t="e">
        <f>VLOOKUP($B192,#REF!,6,FALSE)</f>
        <v>#REF!</v>
      </c>
      <c r="E192" s="7" t="e">
        <f>VLOOKUP($B192,#REF!,17,FALSE)</f>
        <v>#REF!</v>
      </c>
      <c r="F192" s="8" t="e">
        <f>VLOOKUP($B192,#REF!,7,FALSE)</f>
        <v>#REF!</v>
      </c>
      <c r="G192" s="8"/>
      <c r="H192" s="8"/>
      <c r="I192" s="9" t="e">
        <f>VLOOKUP($B192,#REF!,19,FALSE)</f>
        <v>#REF!</v>
      </c>
      <c r="J192" s="9" t="e">
        <f>VLOOKUP($B192,#REF!,6,FALSE)</f>
        <v>#REF!</v>
      </c>
      <c r="L192" s="1">
        <v>44652.645833332732</v>
      </c>
      <c r="M192" s="13"/>
    </row>
    <row r="193" spans="2:13">
      <c r="B193" s="5"/>
      <c r="C193" s="6" t="e">
        <f>VLOOKUP($B193,#REF!,5,FALSE)</f>
        <v>#REF!</v>
      </c>
      <c r="D193" s="6" t="e">
        <f>VLOOKUP($B193,#REF!,6,FALSE)</f>
        <v>#REF!</v>
      </c>
      <c r="E193" s="7" t="e">
        <f>VLOOKUP($B193,#REF!,17,FALSE)</f>
        <v>#REF!</v>
      </c>
      <c r="F193" s="8" t="e">
        <f>VLOOKUP($B193,#REF!,7,FALSE)</f>
        <v>#REF!</v>
      </c>
      <c r="G193" s="8"/>
      <c r="H193" s="8"/>
      <c r="I193" s="9" t="e">
        <f>VLOOKUP($B193,#REF!,19,FALSE)</f>
        <v>#REF!</v>
      </c>
      <c r="J193" s="9" t="e">
        <f>VLOOKUP($B193,#REF!,6,FALSE)</f>
        <v>#REF!</v>
      </c>
      <c r="L193" s="1">
        <v>44652.649305554951</v>
      </c>
      <c r="M193" s="13"/>
    </row>
    <row r="194" spans="2:13">
      <c r="B194" s="5"/>
      <c r="C194" s="6" t="e">
        <f>VLOOKUP($B194,#REF!,5,FALSE)</f>
        <v>#REF!</v>
      </c>
      <c r="D194" s="6" t="e">
        <f>VLOOKUP($B194,#REF!,6,FALSE)</f>
        <v>#REF!</v>
      </c>
      <c r="E194" s="7" t="e">
        <f>VLOOKUP($B194,#REF!,17,FALSE)</f>
        <v>#REF!</v>
      </c>
      <c r="F194" s="8" t="e">
        <f>VLOOKUP($B194,#REF!,7,FALSE)</f>
        <v>#REF!</v>
      </c>
      <c r="G194" s="8"/>
      <c r="H194" s="8"/>
      <c r="I194" s="9" t="e">
        <f>VLOOKUP($B194,#REF!,19,FALSE)</f>
        <v>#REF!</v>
      </c>
      <c r="J194" s="9" t="e">
        <f>VLOOKUP($B194,#REF!,6,FALSE)</f>
        <v>#REF!</v>
      </c>
      <c r="L194" s="1">
        <v>44652.65277777717</v>
      </c>
      <c r="M194" s="13"/>
    </row>
    <row r="195" spans="2:13">
      <c r="B195" s="5"/>
      <c r="C195" s="6" t="e">
        <f>VLOOKUP($B195,#REF!,5,FALSE)</f>
        <v>#REF!</v>
      </c>
      <c r="D195" s="6" t="e">
        <f>VLOOKUP($B195,#REF!,6,FALSE)</f>
        <v>#REF!</v>
      </c>
      <c r="E195" s="7" t="e">
        <f>VLOOKUP($B195,#REF!,17,FALSE)</f>
        <v>#REF!</v>
      </c>
      <c r="F195" s="8" t="e">
        <f>VLOOKUP($B195,#REF!,7,FALSE)</f>
        <v>#REF!</v>
      </c>
      <c r="G195" s="8"/>
      <c r="H195" s="8"/>
      <c r="I195" s="9" t="e">
        <f>VLOOKUP($B195,#REF!,19,FALSE)</f>
        <v>#REF!</v>
      </c>
      <c r="J195" s="9" t="e">
        <f>VLOOKUP($B195,#REF!,6,FALSE)</f>
        <v>#REF!</v>
      </c>
      <c r="L195" s="1">
        <v>44652.656249999389</v>
      </c>
      <c r="M195" s="13"/>
    </row>
    <row r="196" spans="2:13">
      <c r="B196" s="5"/>
      <c r="C196" s="6" t="e">
        <f>VLOOKUP($B196,#REF!,5,FALSE)</f>
        <v>#REF!</v>
      </c>
      <c r="D196" s="6" t="e">
        <f>VLOOKUP($B196,#REF!,6,FALSE)</f>
        <v>#REF!</v>
      </c>
      <c r="E196" s="7" t="e">
        <f>VLOOKUP($B196,#REF!,17,FALSE)</f>
        <v>#REF!</v>
      </c>
      <c r="F196" s="8" t="e">
        <f>VLOOKUP($B196,#REF!,7,FALSE)</f>
        <v>#REF!</v>
      </c>
      <c r="G196" s="8"/>
      <c r="H196" s="8"/>
      <c r="I196" s="9" t="e">
        <f>VLOOKUP($B196,#REF!,19,FALSE)</f>
        <v>#REF!</v>
      </c>
      <c r="J196" s="9" t="e">
        <f>VLOOKUP($B196,#REF!,6,FALSE)</f>
        <v>#REF!</v>
      </c>
      <c r="L196" s="1">
        <v>44652.659722221608</v>
      </c>
      <c r="M196" s="13"/>
    </row>
    <row r="197" spans="2:13">
      <c r="B197" s="5"/>
      <c r="C197" s="6" t="e">
        <f>VLOOKUP($B197,#REF!,5,FALSE)</f>
        <v>#REF!</v>
      </c>
      <c r="D197" s="6" t="e">
        <f>VLOOKUP($B197,#REF!,6,FALSE)</f>
        <v>#REF!</v>
      </c>
      <c r="E197" s="7" t="e">
        <f>VLOOKUP($B197,#REF!,17,FALSE)</f>
        <v>#REF!</v>
      </c>
      <c r="F197" s="8" t="e">
        <f>VLOOKUP($B197,#REF!,7,FALSE)</f>
        <v>#REF!</v>
      </c>
      <c r="G197" s="8"/>
      <c r="H197" s="8"/>
      <c r="I197" s="9" t="e">
        <f>VLOOKUP($B197,#REF!,19,FALSE)</f>
        <v>#REF!</v>
      </c>
      <c r="J197" s="9" t="e">
        <f>VLOOKUP($B197,#REF!,6,FALSE)</f>
        <v>#REF!</v>
      </c>
      <c r="L197" s="1">
        <v>44652.663194443827</v>
      </c>
      <c r="M197" s="13"/>
    </row>
    <row r="198" spans="2:13">
      <c r="B198" s="5"/>
      <c r="C198" s="6" t="e">
        <f>VLOOKUP($B198,#REF!,5,FALSE)</f>
        <v>#REF!</v>
      </c>
      <c r="D198" s="6" t="e">
        <f>VLOOKUP($B198,#REF!,6,FALSE)</f>
        <v>#REF!</v>
      </c>
      <c r="E198" s="7" t="e">
        <f>VLOOKUP($B198,#REF!,17,FALSE)</f>
        <v>#REF!</v>
      </c>
      <c r="F198" s="8" t="e">
        <f>VLOOKUP($B198,#REF!,7,FALSE)</f>
        <v>#REF!</v>
      </c>
      <c r="G198" s="8"/>
      <c r="H198" s="8"/>
      <c r="I198" s="9" t="e">
        <f>VLOOKUP($B198,#REF!,19,FALSE)</f>
        <v>#REF!</v>
      </c>
      <c r="J198" s="9" t="e">
        <f>VLOOKUP($B198,#REF!,6,FALSE)</f>
        <v>#REF!</v>
      </c>
      <c r="L198" s="1">
        <v>44652.666666666046</v>
      </c>
      <c r="M198" s="13"/>
    </row>
    <row r="199" spans="2:13">
      <c r="B199" s="5"/>
      <c r="C199" s="6" t="e">
        <f>VLOOKUP($B199,#REF!,5,FALSE)</f>
        <v>#REF!</v>
      </c>
      <c r="D199" s="6" t="e">
        <f>VLOOKUP($B199,#REF!,6,FALSE)</f>
        <v>#REF!</v>
      </c>
      <c r="E199" s="7" t="e">
        <f>VLOOKUP($B199,#REF!,17,FALSE)</f>
        <v>#REF!</v>
      </c>
      <c r="F199" s="8" t="e">
        <f>VLOOKUP($B199,#REF!,7,FALSE)</f>
        <v>#REF!</v>
      </c>
      <c r="G199" s="8"/>
      <c r="H199" s="8"/>
      <c r="I199" s="9" t="e">
        <f>VLOOKUP($B199,#REF!,19,FALSE)</f>
        <v>#REF!</v>
      </c>
      <c r="J199" s="9" t="e">
        <f>VLOOKUP($B199,#REF!,6,FALSE)</f>
        <v>#REF!</v>
      </c>
      <c r="L199" s="1">
        <v>44652.670138888265</v>
      </c>
      <c r="M199" s="13"/>
    </row>
    <row r="200" spans="2:13">
      <c r="B200" s="5"/>
      <c r="C200" s="6" t="e">
        <f>VLOOKUP($B200,#REF!,5,FALSE)</f>
        <v>#REF!</v>
      </c>
      <c r="D200" s="6" t="e">
        <f>VLOOKUP($B200,#REF!,6,FALSE)</f>
        <v>#REF!</v>
      </c>
      <c r="E200" s="7" t="e">
        <f>VLOOKUP($B200,#REF!,17,FALSE)</f>
        <v>#REF!</v>
      </c>
      <c r="F200" s="8" t="e">
        <f>VLOOKUP($B200,#REF!,7,FALSE)</f>
        <v>#REF!</v>
      </c>
      <c r="G200" s="8"/>
      <c r="H200" s="8"/>
      <c r="I200" s="9" t="e">
        <f>VLOOKUP($B200,#REF!,19,FALSE)</f>
        <v>#REF!</v>
      </c>
      <c r="J200" s="9" t="e">
        <f>VLOOKUP($B200,#REF!,6,FALSE)</f>
        <v>#REF!</v>
      </c>
      <c r="L200" s="1">
        <v>44652.673611110484</v>
      </c>
      <c r="M200" s="13"/>
    </row>
    <row r="201" spans="2:13">
      <c r="B201" s="5"/>
      <c r="C201" s="6" t="e">
        <f>VLOOKUP($B201,#REF!,5,FALSE)</f>
        <v>#REF!</v>
      </c>
      <c r="D201" s="6" t="e">
        <f>VLOOKUP($B201,#REF!,6,FALSE)</f>
        <v>#REF!</v>
      </c>
      <c r="E201" s="7" t="e">
        <f>VLOOKUP($B201,#REF!,17,FALSE)</f>
        <v>#REF!</v>
      </c>
      <c r="F201" s="8" t="e">
        <f>VLOOKUP($B201,#REF!,7,FALSE)</f>
        <v>#REF!</v>
      </c>
      <c r="G201" s="8"/>
      <c r="H201" s="8"/>
      <c r="I201" s="9" t="e">
        <f>VLOOKUP($B201,#REF!,19,FALSE)</f>
        <v>#REF!</v>
      </c>
      <c r="J201" s="9" t="e">
        <f>VLOOKUP($B201,#REF!,6,FALSE)</f>
        <v>#REF!</v>
      </c>
      <c r="L201" s="1">
        <v>44652.677083332703</v>
      </c>
      <c r="M201" s="13"/>
    </row>
    <row r="202" spans="2:13">
      <c r="B202" s="5"/>
      <c r="C202" s="6" t="e">
        <f>VLOOKUP($B202,#REF!,5,FALSE)</f>
        <v>#REF!</v>
      </c>
      <c r="D202" s="6" t="e">
        <f>VLOOKUP($B202,#REF!,6,FALSE)</f>
        <v>#REF!</v>
      </c>
      <c r="E202" s="7" t="e">
        <f>VLOOKUP($B202,#REF!,17,FALSE)</f>
        <v>#REF!</v>
      </c>
      <c r="F202" s="8" t="e">
        <f>VLOOKUP($B202,#REF!,7,FALSE)</f>
        <v>#REF!</v>
      </c>
      <c r="G202" s="8"/>
      <c r="H202" s="8"/>
      <c r="I202" s="9" t="e">
        <f>VLOOKUP($B202,#REF!,19,FALSE)</f>
        <v>#REF!</v>
      </c>
      <c r="J202" s="9" t="e">
        <f>VLOOKUP($B202,#REF!,6,FALSE)</f>
        <v>#REF!</v>
      </c>
      <c r="L202" s="1">
        <v>44652.680555554922</v>
      </c>
      <c r="M202" s="13"/>
    </row>
    <row r="203" spans="2:13">
      <c r="B203" s="5"/>
      <c r="C203" s="6" t="e">
        <f>VLOOKUP($B203,#REF!,5,FALSE)</f>
        <v>#REF!</v>
      </c>
      <c r="D203" s="6" t="e">
        <f>VLOOKUP($B203,#REF!,6,FALSE)</f>
        <v>#REF!</v>
      </c>
      <c r="E203" s="7" t="e">
        <f>VLOOKUP($B203,#REF!,17,FALSE)</f>
        <v>#REF!</v>
      </c>
      <c r="F203" s="8" t="e">
        <f>VLOOKUP($B203,#REF!,7,FALSE)</f>
        <v>#REF!</v>
      </c>
      <c r="G203" s="8"/>
      <c r="H203" s="8"/>
      <c r="I203" s="9" t="e">
        <f>VLOOKUP($B203,#REF!,19,FALSE)</f>
        <v>#REF!</v>
      </c>
      <c r="J203" s="9" t="e">
        <f>VLOOKUP($B203,#REF!,6,FALSE)</f>
        <v>#REF!</v>
      </c>
      <c r="L203" s="1">
        <v>44652.684027777141</v>
      </c>
      <c r="M203" s="13"/>
    </row>
    <row r="204" spans="2:13">
      <c r="B204" s="5"/>
      <c r="C204" s="6" t="e">
        <f>VLOOKUP($B204,#REF!,5,FALSE)</f>
        <v>#REF!</v>
      </c>
      <c r="D204" s="6" t="e">
        <f>VLOOKUP($B204,#REF!,6,FALSE)</f>
        <v>#REF!</v>
      </c>
      <c r="E204" s="7" t="e">
        <f>VLOOKUP($B204,#REF!,17,FALSE)</f>
        <v>#REF!</v>
      </c>
      <c r="F204" s="8" t="e">
        <f>VLOOKUP($B204,#REF!,7,FALSE)</f>
        <v>#REF!</v>
      </c>
      <c r="G204" s="8"/>
      <c r="H204" s="8"/>
      <c r="I204" s="9" t="e">
        <f>VLOOKUP($B204,#REF!,19,FALSE)</f>
        <v>#REF!</v>
      </c>
      <c r="J204" s="9" t="e">
        <f>VLOOKUP($B204,#REF!,6,FALSE)</f>
        <v>#REF!</v>
      </c>
      <c r="L204" s="1">
        <v>44652.68749999936</v>
      </c>
      <c r="M204" s="13"/>
    </row>
    <row r="205" spans="2:13">
      <c r="B205" s="5"/>
      <c r="C205" s="6" t="e">
        <f>VLOOKUP($B205,#REF!,5,FALSE)</f>
        <v>#REF!</v>
      </c>
      <c r="D205" s="6" t="e">
        <f>VLOOKUP($B205,#REF!,6,FALSE)</f>
        <v>#REF!</v>
      </c>
      <c r="E205" s="7" t="e">
        <f>VLOOKUP($B205,#REF!,17,FALSE)</f>
        <v>#REF!</v>
      </c>
      <c r="F205" s="8" t="e">
        <f>VLOOKUP($B205,#REF!,7,FALSE)</f>
        <v>#REF!</v>
      </c>
      <c r="G205" s="8"/>
      <c r="H205" s="8"/>
      <c r="I205" s="9" t="e">
        <f>VLOOKUP($B205,#REF!,19,FALSE)</f>
        <v>#REF!</v>
      </c>
      <c r="J205" s="9" t="e">
        <f>VLOOKUP($B205,#REF!,6,FALSE)</f>
        <v>#REF!</v>
      </c>
      <c r="L205" s="1">
        <v>44652.690972221579</v>
      </c>
      <c r="M205" s="13"/>
    </row>
    <row r="206" spans="2:13">
      <c r="B206" s="5"/>
      <c r="C206" s="6" t="e">
        <f>VLOOKUP($B206,#REF!,5,FALSE)</f>
        <v>#REF!</v>
      </c>
      <c r="D206" s="6" t="e">
        <f>VLOOKUP($B206,#REF!,6,FALSE)</f>
        <v>#REF!</v>
      </c>
      <c r="E206" s="7" t="e">
        <f>VLOOKUP($B206,#REF!,17,FALSE)</f>
        <v>#REF!</v>
      </c>
      <c r="F206" s="8" t="e">
        <f>VLOOKUP($B206,#REF!,7,FALSE)</f>
        <v>#REF!</v>
      </c>
      <c r="G206" s="8"/>
      <c r="H206" s="8"/>
      <c r="I206" s="9" t="e">
        <f>VLOOKUP($B206,#REF!,19,FALSE)</f>
        <v>#REF!</v>
      </c>
      <c r="J206" s="9" t="e">
        <f>VLOOKUP($B206,#REF!,6,FALSE)</f>
        <v>#REF!</v>
      </c>
      <c r="L206" s="1">
        <v>44652.694444443798</v>
      </c>
      <c r="M206" s="13"/>
    </row>
    <row r="207" spans="2:13">
      <c r="B207" s="5"/>
      <c r="C207" s="6" t="e">
        <f>VLOOKUP($B207,#REF!,5,FALSE)</f>
        <v>#REF!</v>
      </c>
      <c r="D207" s="6" t="e">
        <f>VLOOKUP($B207,#REF!,6,FALSE)</f>
        <v>#REF!</v>
      </c>
      <c r="E207" s="7" t="e">
        <f>VLOOKUP($B207,#REF!,17,FALSE)</f>
        <v>#REF!</v>
      </c>
      <c r="F207" s="8" t="e">
        <f>VLOOKUP($B207,#REF!,7,FALSE)</f>
        <v>#REF!</v>
      </c>
      <c r="G207" s="8"/>
      <c r="H207" s="8"/>
      <c r="I207" s="9" t="e">
        <f>VLOOKUP($B207,#REF!,19,FALSE)</f>
        <v>#REF!</v>
      </c>
      <c r="J207" s="9" t="e">
        <f>VLOOKUP($B207,#REF!,6,FALSE)</f>
        <v>#REF!</v>
      </c>
      <c r="L207" s="1">
        <v>44652.697916666017</v>
      </c>
      <c r="M207" s="13"/>
    </row>
    <row r="208" spans="2:13">
      <c r="B208" s="5"/>
      <c r="C208" s="6" t="e">
        <f>VLOOKUP($B208,#REF!,5,FALSE)</f>
        <v>#REF!</v>
      </c>
      <c r="D208" s="6" t="e">
        <f>VLOOKUP($B208,#REF!,6,FALSE)</f>
        <v>#REF!</v>
      </c>
      <c r="E208" s="7" t="e">
        <f>VLOOKUP($B208,#REF!,17,FALSE)</f>
        <v>#REF!</v>
      </c>
      <c r="F208" s="8" t="e">
        <f>VLOOKUP($B208,#REF!,7,FALSE)</f>
        <v>#REF!</v>
      </c>
      <c r="G208" s="8"/>
      <c r="H208" s="8"/>
      <c r="I208" s="9" t="e">
        <f>VLOOKUP($B208,#REF!,19,FALSE)</f>
        <v>#REF!</v>
      </c>
      <c r="J208" s="9" t="e">
        <f>VLOOKUP($B208,#REF!,6,FALSE)</f>
        <v>#REF!</v>
      </c>
      <c r="L208" s="1">
        <v>44652.701388888236</v>
      </c>
      <c r="M208" s="13"/>
    </row>
    <row r="209" spans="2:13">
      <c r="B209" s="5"/>
      <c r="C209" s="6" t="e">
        <f>VLOOKUP($B209,#REF!,5,FALSE)</f>
        <v>#REF!</v>
      </c>
      <c r="D209" s="6" t="e">
        <f>VLOOKUP($B209,#REF!,6,FALSE)</f>
        <v>#REF!</v>
      </c>
      <c r="E209" s="7" t="e">
        <f>VLOOKUP($B209,#REF!,17,FALSE)</f>
        <v>#REF!</v>
      </c>
      <c r="F209" s="8" t="e">
        <f>VLOOKUP($B209,#REF!,7,FALSE)</f>
        <v>#REF!</v>
      </c>
      <c r="G209" s="8"/>
      <c r="H209" s="8"/>
      <c r="I209" s="9" t="e">
        <f>VLOOKUP($B209,#REF!,19,FALSE)</f>
        <v>#REF!</v>
      </c>
      <c r="J209" s="9" t="e">
        <f>VLOOKUP($B209,#REF!,6,FALSE)</f>
        <v>#REF!</v>
      </c>
      <c r="L209" s="1">
        <v>44652.704861110455</v>
      </c>
      <c r="M209" s="13"/>
    </row>
    <row r="210" spans="2:13">
      <c r="B210" s="5"/>
      <c r="C210" s="6" t="e">
        <f>VLOOKUP($B210,#REF!,5,FALSE)</f>
        <v>#REF!</v>
      </c>
      <c r="D210" s="6" t="e">
        <f>VLOOKUP($B210,#REF!,6,FALSE)</f>
        <v>#REF!</v>
      </c>
      <c r="E210" s="7" t="e">
        <f>VLOOKUP($B210,#REF!,17,FALSE)</f>
        <v>#REF!</v>
      </c>
      <c r="F210" s="8" t="e">
        <f>VLOOKUP($B210,#REF!,7,FALSE)</f>
        <v>#REF!</v>
      </c>
      <c r="G210" s="8"/>
      <c r="H210" s="8"/>
      <c r="I210" s="9" t="e">
        <f>VLOOKUP($B210,#REF!,19,FALSE)</f>
        <v>#REF!</v>
      </c>
      <c r="J210" s="9" t="e">
        <f>VLOOKUP($B210,#REF!,6,FALSE)</f>
        <v>#REF!</v>
      </c>
      <c r="L210" s="1">
        <v>44652.708333332674</v>
      </c>
      <c r="M210" s="13"/>
    </row>
    <row r="211" spans="2:13">
      <c r="B211" s="5"/>
      <c r="C211" s="6" t="e">
        <f>VLOOKUP($B211,#REF!,5,FALSE)</f>
        <v>#REF!</v>
      </c>
      <c r="D211" s="6" t="e">
        <f>VLOOKUP($B211,#REF!,6,FALSE)</f>
        <v>#REF!</v>
      </c>
      <c r="E211" s="7" t="e">
        <f>VLOOKUP($B211,#REF!,17,FALSE)</f>
        <v>#REF!</v>
      </c>
      <c r="F211" s="8" t="e">
        <f>VLOOKUP($B211,#REF!,7,FALSE)</f>
        <v>#REF!</v>
      </c>
      <c r="G211" s="8"/>
      <c r="H211" s="8"/>
      <c r="I211" s="9" t="e">
        <f>VLOOKUP($B211,#REF!,19,FALSE)</f>
        <v>#REF!</v>
      </c>
      <c r="J211" s="9" t="e">
        <f>VLOOKUP($B211,#REF!,6,FALSE)</f>
        <v>#REF!</v>
      </c>
      <c r="L211" s="1">
        <v>44652.711805554893</v>
      </c>
      <c r="M211" s="13"/>
    </row>
    <row r="212" spans="2:13">
      <c r="B212" s="5"/>
      <c r="C212" s="6" t="e">
        <f>VLOOKUP($B212,#REF!,5,FALSE)</f>
        <v>#REF!</v>
      </c>
      <c r="D212" s="6" t="e">
        <f>VLOOKUP($B212,#REF!,6,FALSE)</f>
        <v>#REF!</v>
      </c>
      <c r="E212" s="7" t="e">
        <f>VLOOKUP($B212,#REF!,17,FALSE)</f>
        <v>#REF!</v>
      </c>
      <c r="F212" s="8" t="e">
        <f>VLOOKUP($B212,#REF!,7,FALSE)</f>
        <v>#REF!</v>
      </c>
      <c r="G212" s="8"/>
      <c r="H212" s="8"/>
      <c r="I212" s="9" t="e">
        <f>VLOOKUP($B212,#REF!,19,FALSE)</f>
        <v>#REF!</v>
      </c>
      <c r="J212" s="9" t="e">
        <f>VLOOKUP($B212,#REF!,6,FALSE)</f>
        <v>#REF!</v>
      </c>
      <c r="L212" s="1">
        <v>44652.715277777112</v>
      </c>
      <c r="M212" s="13"/>
    </row>
    <row r="213" spans="2:13">
      <c r="B213" s="5"/>
      <c r="C213" s="6" t="e">
        <f>VLOOKUP($B213,#REF!,5,FALSE)</f>
        <v>#REF!</v>
      </c>
      <c r="D213" s="6" t="e">
        <f>VLOOKUP($B213,#REF!,6,FALSE)</f>
        <v>#REF!</v>
      </c>
      <c r="E213" s="7" t="e">
        <f>VLOOKUP($B213,#REF!,17,FALSE)</f>
        <v>#REF!</v>
      </c>
      <c r="F213" s="8" t="e">
        <f>VLOOKUP($B213,#REF!,7,FALSE)</f>
        <v>#REF!</v>
      </c>
      <c r="G213" s="8"/>
      <c r="H213" s="8"/>
      <c r="I213" s="9" t="e">
        <f>VLOOKUP($B213,#REF!,19,FALSE)</f>
        <v>#REF!</v>
      </c>
      <c r="J213" s="9" t="e">
        <f>VLOOKUP($B213,#REF!,6,FALSE)</f>
        <v>#REF!</v>
      </c>
      <c r="L213" s="1">
        <v>44652.718749999331</v>
      </c>
      <c r="M213" s="13"/>
    </row>
    <row r="214" spans="2:13">
      <c r="B214" s="5"/>
      <c r="C214" s="6" t="e">
        <f>VLOOKUP($B214,#REF!,5,FALSE)</f>
        <v>#REF!</v>
      </c>
      <c r="D214" s="6" t="e">
        <f>VLOOKUP($B214,#REF!,6,FALSE)</f>
        <v>#REF!</v>
      </c>
      <c r="E214" s="7" t="e">
        <f>VLOOKUP($B214,#REF!,17,FALSE)</f>
        <v>#REF!</v>
      </c>
      <c r="F214" s="8" t="e">
        <f>VLOOKUP($B214,#REF!,7,FALSE)</f>
        <v>#REF!</v>
      </c>
      <c r="G214" s="8"/>
      <c r="H214" s="8"/>
      <c r="I214" s="9" t="e">
        <f>VLOOKUP($B214,#REF!,19,FALSE)</f>
        <v>#REF!</v>
      </c>
      <c r="J214" s="9" t="e">
        <f>VLOOKUP($B214,#REF!,6,FALSE)</f>
        <v>#REF!</v>
      </c>
      <c r="L214" s="1">
        <v>44652.72222222155</v>
      </c>
      <c r="M214" s="13"/>
    </row>
    <row r="215" spans="2:13">
      <c r="B215" s="5"/>
      <c r="C215" s="6" t="e">
        <f>VLOOKUP($B215,#REF!,5,FALSE)</f>
        <v>#REF!</v>
      </c>
      <c r="D215" s="6" t="e">
        <f>VLOOKUP($B215,#REF!,6,FALSE)</f>
        <v>#REF!</v>
      </c>
      <c r="E215" s="7" t="e">
        <f>VLOOKUP($B215,#REF!,17,FALSE)</f>
        <v>#REF!</v>
      </c>
      <c r="F215" s="8" t="e">
        <f>VLOOKUP($B215,#REF!,7,FALSE)</f>
        <v>#REF!</v>
      </c>
      <c r="G215" s="8"/>
      <c r="H215" s="8"/>
      <c r="I215" s="9" t="e">
        <f>VLOOKUP($B215,#REF!,19,FALSE)</f>
        <v>#REF!</v>
      </c>
      <c r="J215" s="9" t="e">
        <f>VLOOKUP($B215,#REF!,6,FALSE)</f>
        <v>#REF!</v>
      </c>
      <c r="L215" s="1">
        <v>44652.725694443769</v>
      </c>
      <c r="M215" s="13"/>
    </row>
    <row r="216" spans="2:13">
      <c r="B216" s="5"/>
      <c r="C216" s="6" t="e">
        <f>VLOOKUP($B216,#REF!,5,FALSE)</f>
        <v>#REF!</v>
      </c>
      <c r="D216" s="6" t="e">
        <f>VLOOKUP($B216,#REF!,6,FALSE)</f>
        <v>#REF!</v>
      </c>
      <c r="E216" s="7" t="e">
        <f>VLOOKUP($B216,#REF!,17,FALSE)</f>
        <v>#REF!</v>
      </c>
      <c r="F216" s="8" t="e">
        <f>VLOOKUP($B216,#REF!,7,FALSE)</f>
        <v>#REF!</v>
      </c>
      <c r="G216" s="8"/>
      <c r="H216" s="8"/>
      <c r="I216" s="9" t="e">
        <f>VLOOKUP($B216,#REF!,19,FALSE)</f>
        <v>#REF!</v>
      </c>
      <c r="J216" s="9" t="e">
        <f>VLOOKUP($B216,#REF!,6,FALSE)</f>
        <v>#REF!</v>
      </c>
      <c r="L216" s="1">
        <v>44652.729166665988</v>
      </c>
      <c r="M216" s="13"/>
    </row>
    <row r="217" spans="2:13">
      <c r="B217" s="5"/>
      <c r="C217" s="6" t="e">
        <f>VLOOKUP($B217,#REF!,5,FALSE)</f>
        <v>#REF!</v>
      </c>
      <c r="D217" s="6" t="e">
        <f>VLOOKUP($B217,#REF!,6,FALSE)</f>
        <v>#REF!</v>
      </c>
      <c r="E217" s="7" t="e">
        <f>VLOOKUP($B217,#REF!,17,FALSE)</f>
        <v>#REF!</v>
      </c>
      <c r="F217" s="8" t="e">
        <f>VLOOKUP($B217,#REF!,7,FALSE)</f>
        <v>#REF!</v>
      </c>
      <c r="G217" s="8"/>
      <c r="H217" s="8"/>
      <c r="I217" s="9" t="e">
        <f>VLOOKUP($B217,#REF!,19,FALSE)</f>
        <v>#REF!</v>
      </c>
      <c r="J217" s="9" t="e">
        <f>VLOOKUP($B217,#REF!,6,FALSE)</f>
        <v>#REF!</v>
      </c>
      <c r="L217" s="1">
        <v>44652.732638888207</v>
      </c>
      <c r="M217" s="13"/>
    </row>
    <row r="218" spans="2:13">
      <c r="B218" s="5"/>
      <c r="C218" s="6" t="e">
        <f>VLOOKUP($B218,#REF!,5,FALSE)</f>
        <v>#REF!</v>
      </c>
      <c r="D218" s="6" t="e">
        <f>VLOOKUP($B218,#REF!,6,FALSE)</f>
        <v>#REF!</v>
      </c>
      <c r="E218" s="7" t="e">
        <f>VLOOKUP($B218,#REF!,17,FALSE)</f>
        <v>#REF!</v>
      </c>
      <c r="F218" s="8" t="e">
        <f>VLOOKUP($B218,#REF!,7,FALSE)</f>
        <v>#REF!</v>
      </c>
      <c r="G218" s="8"/>
      <c r="H218" s="8"/>
      <c r="I218" s="9" t="e">
        <f>VLOOKUP($B218,#REF!,19,FALSE)</f>
        <v>#REF!</v>
      </c>
      <c r="J218" s="9" t="e">
        <f>VLOOKUP($B218,#REF!,6,FALSE)</f>
        <v>#REF!</v>
      </c>
      <c r="L218" s="1">
        <v>44652.736111110426</v>
      </c>
      <c r="M218" s="13"/>
    </row>
    <row r="219" spans="2:13">
      <c r="B219" s="5"/>
      <c r="C219" s="6" t="e">
        <f>VLOOKUP($B219,#REF!,5,FALSE)</f>
        <v>#REF!</v>
      </c>
      <c r="D219" s="6" t="e">
        <f>VLOOKUP($B219,#REF!,6,FALSE)</f>
        <v>#REF!</v>
      </c>
      <c r="E219" s="7" t="e">
        <f>VLOOKUP($B219,#REF!,17,FALSE)</f>
        <v>#REF!</v>
      </c>
      <c r="F219" s="8" t="e">
        <f>VLOOKUP($B219,#REF!,7,FALSE)</f>
        <v>#REF!</v>
      </c>
      <c r="G219" s="8"/>
      <c r="H219" s="8"/>
      <c r="I219" s="9" t="e">
        <f>VLOOKUP($B219,#REF!,19,FALSE)</f>
        <v>#REF!</v>
      </c>
      <c r="J219" s="9" t="e">
        <f>VLOOKUP($B219,#REF!,6,FALSE)</f>
        <v>#REF!</v>
      </c>
      <c r="L219" s="1">
        <v>44652.739583332645</v>
      </c>
      <c r="M219" s="13"/>
    </row>
    <row r="220" spans="2:13">
      <c r="B220" s="5"/>
      <c r="C220" s="6" t="e">
        <f>VLOOKUP($B220,#REF!,5,FALSE)</f>
        <v>#REF!</v>
      </c>
      <c r="D220" s="6" t="e">
        <f>VLOOKUP($B220,#REF!,6,FALSE)</f>
        <v>#REF!</v>
      </c>
      <c r="E220" s="7" t="e">
        <f>VLOOKUP($B220,#REF!,17,FALSE)</f>
        <v>#REF!</v>
      </c>
      <c r="F220" s="8" t="e">
        <f>VLOOKUP($B220,#REF!,7,FALSE)</f>
        <v>#REF!</v>
      </c>
      <c r="G220" s="8"/>
      <c r="H220" s="8"/>
      <c r="I220" s="9" t="e">
        <f>VLOOKUP($B220,#REF!,19,FALSE)</f>
        <v>#REF!</v>
      </c>
      <c r="J220" s="9" t="e">
        <f>VLOOKUP($B220,#REF!,6,FALSE)</f>
        <v>#REF!</v>
      </c>
      <c r="L220" s="1">
        <v>44652.743055554864</v>
      </c>
      <c r="M220" s="13"/>
    </row>
    <row r="221" spans="2:13">
      <c r="B221" s="5"/>
      <c r="C221" s="6" t="e">
        <f>VLOOKUP($B221,#REF!,5,FALSE)</f>
        <v>#REF!</v>
      </c>
      <c r="D221" s="6" t="e">
        <f>VLOOKUP($B221,#REF!,6,FALSE)</f>
        <v>#REF!</v>
      </c>
      <c r="E221" s="7" t="e">
        <f>VLOOKUP($B221,#REF!,17,FALSE)</f>
        <v>#REF!</v>
      </c>
      <c r="F221" s="8" t="e">
        <f>VLOOKUP($B221,#REF!,7,FALSE)</f>
        <v>#REF!</v>
      </c>
      <c r="G221" s="8"/>
      <c r="H221" s="8"/>
      <c r="I221" s="9" t="e">
        <f>VLOOKUP($B221,#REF!,19,FALSE)</f>
        <v>#REF!</v>
      </c>
      <c r="J221" s="9" t="e">
        <f>VLOOKUP($B221,#REF!,6,FALSE)</f>
        <v>#REF!</v>
      </c>
      <c r="L221" s="1">
        <v>44652.746527777083</v>
      </c>
      <c r="M221" s="13"/>
    </row>
    <row r="222" spans="2:13">
      <c r="B222" s="5"/>
      <c r="C222" s="6" t="e">
        <f>VLOOKUP($B222,#REF!,5,FALSE)</f>
        <v>#REF!</v>
      </c>
      <c r="D222" s="6" t="e">
        <f>VLOOKUP($B222,#REF!,6,FALSE)</f>
        <v>#REF!</v>
      </c>
      <c r="E222" s="7" t="e">
        <f>VLOOKUP($B222,#REF!,17,FALSE)</f>
        <v>#REF!</v>
      </c>
      <c r="F222" s="8" t="e">
        <f>VLOOKUP($B222,#REF!,7,FALSE)</f>
        <v>#REF!</v>
      </c>
      <c r="G222" s="8"/>
      <c r="H222" s="8"/>
      <c r="I222" s="9" t="e">
        <f>VLOOKUP($B222,#REF!,19,FALSE)</f>
        <v>#REF!</v>
      </c>
      <c r="J222" s="9" t="e">
        <f>VLOOKUP($B222,#REF!,6,FALSE)</f>
        <v>#REF!</v>
      </c>
      <c r="L222" s="1">
        <v>44652.749999999302</v>
      </c>
      <c r="M222" s="13"/>
    </row>
    <row r="223" spans="2:13">
      <c r="B223" s="5"/>
      <c r="C223" s="6" t="e">
        <f>VLOOKUP($B223,#REF!,5,FALSE)</f>
        <v>#REF!</v>
      </c>
      <c r="D223" s="6" t="e">
        <f>VLOOKUP($B223,#REF!,6,FALSE)</f>
        <v>#REF!</v>
      </c>
      <c r="E223" s="7" t="e">
        <f>VLOOKUP($B223,#REF!,17,FALSE)</f>
        <v>#REF!</v>
      </c>
      <c r="F223" s="8" t="e">
        <f>VLOOKUP($B223,#REF!,7,FALSE)</f>
        <v>#REF!</v>
      </c>
      <c r="G223" s="8"/>
      <c r="H223" s="8"/>
      <c r="I223" s="9" t="e">
        <f>VLOOKUP($B223,#REF!,19,FALSE)</f>
        <v>#REF!</v>
      </c>
      <c r="J223" s="9" t="e">
        <f>VLOOKUP($B223,#REF!,6,FALSE)</f>
        <v>#REF!</v>
      </c>
      <c r="L223" s="1">
        <v>44652.75347222152</v>
      </c>
      <c r="M223" s="13"/>
    </row>
    <row r="224" spans="2:13">
      <c r="B224" s="5"/>
      <c r="C224" s="6" t="e">
        <f>VLOOKUP($B224,#REF!,5,FALSE)</f>
        <v>#REF!</v>
      </c>
      <c r="D224" s="6" t="e">
        <f>VLOOKUP($B224,#REF!,6,FALSE)</f>
        <v>#REF!</v>
      </c>
      <c r="E224" s="7" t="e">
        <f>VLOOKUP($B224,#REF!,17,FALSE)</f>
        <v>#REF!</v>
      </c>
      <c r="F224" s="8" t="e">
        <f>VLOOKUP($B224,#REF!,7,FALSE)</f>
        <v>#REF!</v>
      </c>
      <c r="G224" s="8"/>
      <c r="H224" s="8"/>
      <c r="I224" s="9" t="e">
        <f>VLOOKUP($B224,#REF!,19,FALSE)</f>
        <v>#REF!</v>
      </c>
      <c r="J224" s="9" t="e">
        <f>VLOOKUP($B224,#REF!,6,FALSE)</f>
        <v>#REF!</v>
      </c>
      <c r="L224" s="1">
        <v>44652.756944443739</v>
      </c>
      <c r="M224" s="13"/>
    </row>
    <row r="225" spans="2:13">
      <c r="B225" s="5"/>
      <c r="C225" s="6" t="e">
        <f>VLOOKUP($B225,#REF!,5,FALSE)</f>
        <v>#REF!</v>
      </c>
      <c r="D225" s="6" t="e">
        <f>VLOOKUP($B225,#REF!,6,FALSE)</f>
        <v>#REF!</v>
      </c>
      <c r="E225" s="7" t="e">
        <f>VLOOKUP($B225,#REF!,17,FALSE)</f>
        <v>#REF!</v>
      </c>
      <c r="F225" s="8" t="e">
        <f>VLOOKUP($B225,#REF!,7,FALSE)</f>
        <v>#REF!</v>
      </c>
      <c r="G225" s="8"/>
      <c r="H225" s="8"/>
      <c r="I225" s="9" t="e">
        <f>VLOOKUP($B225,#REF!,19,FALSE)</f>
        <v>#REF!</v>
      </c>
      <c r="J225" s="9" t="e">
        <f>VLOOKUP($B225,#REF!,6,FALSE)</f>
        <v>#REF!</v>
      </c>
      <c r="L225" s="1">
        <v>44652.760416665958</v>
      </c>
      <c r="M225" s="13"/>
    </row>
    <row r="226" spans="2:13">
      <c r="B226" s="5"/>
      <c r="C226" s="6" t="e">
        <f>VLOOKUP($B226,#REF!,5,FALSE)</f>
        <v>#REF!</v>
      </c>
      <c r="D226" s="6" t="e">
        <f>VLOOKUP($B226,#REF!,6,FALSE)</f>
        <v>#REF!</v>
      </c>
      <c r="E226" s="7" t="e">
        <f>VLOOKUP($B226,#REF!,17,FALSE)</f>
        <v>#REF!</v>
      </c>
      <c r="F226" s="8" t="e">
        <f>VLOOKUP($B226,#REF!,7,FALSE)</f>
        <v>#REF!</v>
      </c>
      <c r="G226" s="8"/>
      <c r="H226" s="8"/>
      <c r="I226" s="9" t="e">
        <f>VLOOKUP($B226,#REF!,19,FALSE)</f>
        <v>#REF!</v>
      </c>
      <c r="J226" s="9" t="e">
        <f>VLOOKUP($B226,#REF!,6,FALSE)</f>
        <v>#REF!</v>
      </c>
      <c r="L226" s="1">
        <v>44652.763888888177</v>
      </c>
      <c r="M226" s="13"/>
    </row>
    <row r="227" spans="2:13">
      <c r="B227" s="5"/>
      <c r="C227" s="6" t="e">
        <f>VLOOKUP($B227,#REF!,5,FALSE)</f>
        <v>#REF!</v>
      </c>
      <c r="D227" s="6" t="e">
        <f>VLOOKUP($B227,#REF!,6,FALSE)</f>
        <v>#REF!</v>
      </c>
      <c r="E227" s="7" t="e">
        <f>VLOOKUP($B227,#REF!,17,FALSE)</f>
        <v>#REF!</v>
      </c>
      <c r="F227" s="8" t="e">
        <f>VLOOKUP($B227,#REF!,7,FALSE)</f>
        <v>#REF!</v>
      </c>
      <c r="G227" s="8"/>
      <c r="H227" s="8"/>
      <c r="I227" s="9" t="e">
        <f>VLOOKUP($B227,#REF!,19,FALSE)</f>
        <v>#REF!</v>
      </c>
      <c r="J227" s="9" t="e">
        <f>VLOOKUP($B227,#REF!,6,FALSE)</f>
        <v>#REF!</v>
      </c>
      <c r="L227" s="1">
        <v>44652.767361110396</v>
      </c>
      <c r="M227" s="13"/>
    </row>
    <row r="228" spans="2:13">
      <c r="B228" s="5"/>
      <c r="C228" s="6" t="e">
        <f>VLOOKUP($B228,#REF!,5,FALSE)</f>
        <v>#REF!</v>
      </c>
      <c r="D228" s="6" t="e">
        <f>VLOOKUP($B228,#REF!,6,FALSE)</f>
        <v>#REF!</v>
      </c>
      <c r="E228" s="7" t="e">
        <f>VLOOKUP($B228,#REF!,17,FALSE)</f>
        <v>#REF!</v>
      </c>
      <c r="F228" s="8" t="e">
        <f>VLOOKUP($B228,#REF!,7,FALSE)</f>
        <v>#REF!</v>
      </c>
      <c r="G228" s="8"/>
      <c r="H228" s="8"/>
      <c r="I228" s="9" t="e">
        <f>VLOOKUP($B228,#REF!,19,FALSE)</f>
        <v>#REF!</v>
      </c>
      <c r="J228" s="9" t="e">
        <f>VLOOKUP($B228,#REF!,6,FALSE)</f>
        <v>#REF!</v>
      </c>
      <c r="L228" s="1">
        <v>44652.770833332615</v>
      </c>
      <c r="M228" s="13"/>
    </row>
    <row r="229" spans="2:13">
      <c r="B229" s="5"/>
      <c r="C229" s="6" t="e">
        <f>VLOOKUP($B229,#REF!,5,FALSE)</f>
        <v>#REF!</v>
      </c>
      <c r="D229" s="6" t="e">
        <f>VLOOKUP($B229,#REF!,6,FALSE)</f>
        <v>#REF!</v>
      </c>
      <c r="E229" s="7" t="e">
        <f>VLOOKUP($B229,#REF!,17,FALSE)</f>
        <v>#REF!</v>
      </c>
      <c r="F229" s="8" t="e">
        <f>VLOOKUP($B229,#REF!,7,FALSE)</f>
        <v>#REF!</v>
      </c>
      <c r="G229" s="8"/>
      <c r="H229" s="8"/>
      <c r="I229" s="9" t="e">
        <f>VLOOKUP($B229,#REF!,19,FALSE)</f>
        <v>#REF!</v>
      </c>
      <c r="J229" s="9" t="e">
        <f>VLOOKUP($B229,#REF!,6,FALSE)</f>
        <v>#REF!</v>
      </c>
      <c r="L229" s="1">
        <v>44652.774305554834</v>
      </c>
      <c r="M229" s="13"/>
    </row>
    <row r="230" spans="2:13">
      <c r="B230" s="5"/>
      <c r="C230" s="6" t="e">
        <f>VLOOKUP($B230,#REF!,5,FALSE)</f>
        <v>#REF!</v>
      </c>
      <c r="D230" s="6" t="e">
        <f>VLOOKUP($B230,#REF!,6,FALSE)</f>
        <v>#REF!</v>
      </c>
      <c r="E230" s="7" t="e">
        <f>VLOOKUP($B230,#REF!,17,FALSE)</f>
        <v>#REF!</v>
      </c>
      <c r="F230" s="8" t="e">
        <f>VLOOKUP($B230,#REF!,7,FALSE)</f>
        <v>#REF!</v>
      </c>
      <c r="G230" s="8"/>
      <c r="H230" s="8"/>
      <c r="I230" s="9" t="e">
        <f>VLOOKUP($B230,#REF!,19,FALSE)</f>
        <v>#REF!</v>
      </c>
      <c r="J230" s="9" t="e">
        <f>VLOOKUP($B230,#REF!,6,FALSE)</f>
        <v>#REF!</v>
      </c>
      <c r="L230" s="1">
        <v>44652.777777777053</v>
      </c>
      <c r="M230" s="13"/>
    </row>
    <row r="231" spans="2:13">
      <c r="B231" s="5"/>
      <c r="C231" s="6" t="e">
        <f>VLOOKUP($B231,#REF!,5,FALSE)</f>
        <v>#REF!</v>
      </c>
      <c r="D231" s="6" t="e">
        <f>VLOOKUP($B231,#REF!,6,FALSE)</f>
        <v>#REF!</v>
      </c>
      <c r="E231" s="7" t="e">
        <f>VLOOKUP($B231,#REF!,17,FALSE)</f>
        <v>#REF!</v>
      </c>
      <c r="F231" s="8" t="e">
        <f>VLOOKUP($B231,#REF!,7,FALSE)</f>
        <v>#REF!</v>
      </c>
      <c r="G231" s="8"/>
      <c r="H231" s="8"/>
      <c r="I231" s="9" t="e">
        <f>VLOOKUP($B231,#REF!,19,FALSE)</f>
        <v>#REF!</v>
      </c>
      <c r="J231" s="9" t="e">
        <f>VLOOKUP($B231,#REF!,6,FALSE)</f>
        <v>#REF!</v>
      </c>
      <c r="L231" s="1">
        <v>44652.781249999272</v>
      </c>
      <c r="M231" s="13"/>
    </row>
    <row r="232" spans="2:13">
      <c r="B232" s="5"/>
      <c r="C232" s="6" t="e">
        <f>VLOOKUP($B232,#REF!,5,FALSE)</f>
        <v>#REF!</v>
      </c>
      <c r="D232" s="6" t="e">
        <f>VLOOKUP($B232,#REF!,6,FALSE)</f>
        <v>#REF!</v>
      </c>
      <c r="E232" s="7" t="e">
        <f>VLOOKUP($B232,#REF!,17,FALSE)</f>
        <v>#REF!</v>
      </c>
      <c r="F232" s="8" t="e">
        <f>VLOOKUP($B232,#REF!,7,FALSE)</f>
        <v>#REF!</v>
      </c>
      <c r="G232" s="8"/>
      <c r="H232" s="8"/>
      <c r="I232" s="9" t="e">
        <f>VLOOKUP($B232,#REF!,19,FALSE)</f>
        <v>#REF!</v>
      </c>
      <c r="J232" s="9" t="e">
        <f>VLOOKUP($B232,#REF!,6,FALSE)</f>
        <v>#REF!</v>
      </c>
      <c r="L232" s="1">
        <v>44652.784722221491</v>
      </c>
      <c r="M232" s="13"/>
    </row>
    <row r="233" spans="2:13">
      <c r="B233" s="5"/>
      <c r="C233" s="6" t="e">
        <f>VLOOKUP($B233,#REF!,5,FALSE)</f>
        <v>#REF!</v>
      </c>
      <c r="D233" s="6" t="e">
        <f>VLOOKUP($B233,#REF!,6,FALSE)</f>
        <v>#REF!</v>
      </c>
      <c r="E233" s="7" t="e">
        <f>VLOOKUP($B233,#REF!,17,FALSE)</f>
        <v>#REF!</v>
      </c>
      <c r="F233" s="8" t="e">
        <f>VLOOKUP($B233,#REF!,7,FALSE)</f>
        <v>#REF!</v>
      </c>
      <c r="G233" s="8"/>
      <c r="H233" s="8"/>
      <c r="I233" s="9" t="e">
        <f>VLOOKUP($B233,#REF!,19,FALSE)</f>
        <v>#REF!</v>
      </c>
      <c r="J233" s="9" t="e">
        <f>VLOOKUP($B233,#REF!,6,FALSE)</f>
        <v>#REF!</v>
      </c>
      <c r="L233" s="1">
        <v>44652.78819444371</v>
      </c>
      <c r="M233" s="13"/>
    </row>
    <row r="234" spans="2:13">
      <c r="B234" s="5"/>
      <c r="C234" s="6" t="e">
        <f>VLOOKUP($B234,#REF!,5,FALSE)</f>
        <v>#REF!</v>
      </c>
      <c r="D234" s="6" t="e">
        <f>VLOOKUP($B234,#REF!,6,FALSE)</f>
        <v>#REF!</v>
      </c>
      <c r="E234" s="7" t="e">
        <f>VLOOKUP($B234,#REF!,17,FALSE)</f>
        <v>#REF!</v>
      </c>
      <c r="F234" s="8" t="e">
        <f>VLOOKUP($B234,#REF!,7,FALSE)</f>
        <v>#REF!</v>
      </c>
      <c r="G234" s="8"/>
      <c r="H234" s="8"/>
      <c r="I234" s="9" t="e">
        <f>VLOOKUP($B234,#REF!,19,FALSE)</f>
        <v>#REF!</v>
      </c>
      <c r="J234" s="9" t="e">
        <f>VLOOKUP($B234,#REF!,6,FALSE)</f>
        <v>#REF!</v>
      </c>
      <c r="L234" s="1">
        <v>44652.791666665929</v>
      </c>
      <c r="M234" s="13"/>
    </row>
    <row r="235" spans="2:13">
      <c r="B235" s="5"/>
      <c r="C235" s="6" t="e">
        <f>VLOOKUP($B235,#REF!,5,FALSE)</f>
        <v>#REF!</v>
      </c>
      <c r="D235" s="6" t="e">
        <f>VLOOKUP($B235,#REF!,6,FALSE)</f>
        <v>#REF!</v>
      </c>
      <c r="E235" s="7" t="e">
        <f>VLOOKUP($B235,#REF!,17,FALSE)</f>
        <v>#REF!</v>
      </c>
      <c r="F235" s="8" t="e">
        <f>VLOOKUP($B235,#REF!,7,FALSE)</f>
        <v>#REF!</v>
      </c>
      <c r="G235" s="8"/>
      <c r="H235" s="8"/>
      <c r="I235" s="9" t="e">
        <f>VLOOKUP($B235,#REF!,19,FALSE)</f>
        <v>#REF!</v>
      </c>
      <c r="J235" s="9" t="e">
        <f>VLOOKUP($B235,#REF!,6,FALSE)</f>
        <v>#REF!</v>
      </c>
      <c r="L235" s="1">
        <v>44652.795138888148</v>
      </c>
      <c r="M235" s="13"/>
    </row>
    <row r="236" spans="2:13">
      <c r="B236" s="5"/>
      <c r="C236" s="6" t="e">
        <f>VLOOKUP($B236,#REF!,5,FALSE)</f>
        <v>#REF!</v>
      </c>
      <c r="D236" s="6" t="e">
        <f>VLOOKUP($B236,#REF!,6,FALSE)</f>
        <v>#REF!</v>
      </c>
      <c r="E236" s="7" t="e">
        <f>VLOOKUP($B236,#REF!,17,FALSE)</f>
        <v>#REF!</v>
      </c>
      <c r="F236" s="8" t="e">
        <f>VLOOKUP($B236,#REF!,7,FALSE)</f>
        <v>#REF!</v>
      </c>
      <c r="G236" s="8"/>
      <c r="H236" s="8"/>
      <c r="I236" s="9" t="e">
        <f>VLOOKUP($B236,#REF!,19,FALSE)</f>
        <v>#REF!</v>
      </c>
      <c r="J236" s="9" t="e">
        <f>VLOOKUP($B236,#REF!,6,FALSE)</f>
        <v>#REF!</v>
      </c>
      <c r="L236" s="1">
        <v>44652.798611110367</v>
      </c>
      <c r="M236" s="13"/>
    </row>
    <row r="237" spans="2:13">
      <c r="B237" s="5"/>
      <c r="C237" s="6" t="e">
        <f>VLOOKUP($B237,#REF!,5,FALSE)</f>
        <v>#REF!</v>
      </c>
      <c r="D237" s="6" t="e">
        <f>VLOOKUP($B237,#REF!,6,FALSE)</f>
        <v>#REF!</v>
      </c>
      <c r="E237" s="7" t="e">
        <f>VLOOKUP($B237,#REF!,17,FALSE)</f>
        <v>#REF!</v>
      </c>
      <c r="F237" s="8" t="e">
        <f>VLOOKUP($B237,#REF!,7,FALSE)</f>
        <v>#REF!</v>
      </c>
      <c r="G237" s="8"/>
      <c r="H237" s="8"/>
      <c r="I237" s="9" t="e">
        <f>VLOOKUP($B237,#REF!,19,FALSE)</f>
        <v>#REF!</v>
      </c>
      <c r="J237" s="9" t="e">
        <f>VLOOKUP($B237,#REF!,6,FALSE)</f>
        <v>#REF!</v>
      </c>
      <c r="L237" s="1">
        <v>44652.802083332586</v>
      </c>
      <c r="M237" s="13"/>
    </row>
    <row r="238" spans="2:13">
      <c r="B238" s="5"/>
      <c r="C238" s="6" t="e">
        <f>VLOOKUP($B238,#REF!,5,FALSE)</f>
        <v>#REF!</v>
      </c>
      <c r="D238" s="6" t="e">
        <f>VLOOKUP($B238,#REF!,6,FALSE)</f>
        <v>#REF!</v>
      </c>
      <c r="E238" s="7" t="e">
        <f>VLOOKUP($B238,#REF!,17,FALSE)</f>
        <v>#REF!</v>
      </c>
      <c r="F238" s="8" t="e">
        <f>VLOOKUP($B238,#REF!,7,FALSE)</f>
        <v>#REF!</v>
      </c>
      <c r="G238" s="8"/>
      <c r="H238" s="8"/>
      <c r="I238" s="9" t="e">
        <f>VLOOKUP($B238,#REF!,19,FALSE)</f>
        <v>#REF!</v>
      </c>
      <c r="J238" s="9" t="e">
        <f>VLOOKUP($B238,#REF!,6,FALSE)</f>
        <v>#REF!</v>
      </c>
      <c r="L238" s="1">
        <v>44652.805555554805</v>
      </c>
      <c r="M238" s="13"/>
    </row>
    <row r="239" spans="2:13">
      <c r="B239" s="5"/>
      <c r="C239" s="6" t="e">
        <f>VLOOKUP($B239,#REF!,5,FALSE)</f>
        <v>#REF!</v>
      </c>
      <c r="D239" s="6" t="e">
        <f>VLOOKUP($B239,#REF!,6,FALSE)</f>
        <v>#REF!</v>
      </c>
      <c r="E239" s="7" t="e">
        <f>VLOOKUP($B239,#REF!,17,FALSE)</f>
        <v>#REF!</v>
      </c>
      <c r="F239" s="8" t="e">
        <f>VLOOKUP($B239,#REF!,7,FALSE)</f>
        <v>#REF!</v>
      </c>
      <c r="G239" s="8"/>
      <c r="H239" s="8"/>
      <c r="I239" s="9" t="e">
        <f>VLOOKUP($B239,#REF!,19,FALSE)</f>
        <v>#REF!</v>
      </c>
      <c r="J239" s="9" t="e">
        <f>VLOOKUP($B239,#REF!,6,FALSE)</f>
        <v>#REF!</v>
      </c>
      <c r="L239" s="1">
        <v>44652.809027777024</v>
      </c>
      <c r="M239" s="13"/>
    </row>
    <row r="240" spans="2:13">
      <c r="B240" s="5"/>
      <c r="C240" s="6" t="e">
        <f>VLOOKUP($B240,#REF!,5,FALSE)</f>
        <v>#REF!</v>
      </c>
      <c r="D240" s="6" t="e">
        <f>VLOOKUP($B240,#REF!,6,FALSE)</f>
        <v>#REF!</v>
      </c>
      <c r="E240" s="7" t="e">
        <f>VLOOKUP($B240,#REF!,17,FALSE)</f>
        <v>#REF!</v>
      </c>
      <c r="F240" s="8" t="e">
        <f>VLOOKUP($B240,#REF!,7,FALSE)</f>
        <v>#REF!</v>
      </c>
      <c r="G240" s="8"/>
      <c r="H240" s="8"/>
      <c r="I240" s="9" t="e">
        <f>VLOOKUP($B240,#REF!,19,FALSE)</f>
        <v>#REF!</v>
      </c>
      <c r="J240" s="9" t="e">
        <f>VLOOKUP($B240,#REF!,6,FALSE)</f>
        <v>#REF!</v>
      </c>
      <c r="L240" s="1">
        <v>44652.812499999243</v>
      </c>
      <c r="M240" s="13"/>
    </row>
    <row r="241" spans="2:13">
      <c r="B241" s="5"/>
      <c r="C241" s="6" t="e">
        <f>VLOOKUP($B241,#REF!,5,FALSE)</f>
        <v>#REF!</v>
      </c>
      <c r="D241" s="6" t="e">
        <f>VLOOKUP($B241,#REF!,6,FALSE)</f>
        <v>#REF!</v>
      </c>
      <c r="E241" s="7" t="e">
        <f>VLOOKUP($B241,#REF!,17,FALSE)</f>
        <v>#REF!</v>
      </c>
      <c r="F241" s="8" t="e">
        <f>VLOOKUP($B241,#REF!,7,FALSE)</f>
        <v>#REF!</v>
      </c>
      <c r="G241" s="8"/>
      <c r="H241" s="8"/>
      <c r="I241" s="9" t="e">
        <f>VLOOKUP($B241,#REF!,19,FALSE)</f>
        <v>#REF!</v>
      </c>
      <c r="J241" s="9" t="e">
        <f>VLOOKUP($B241,#REF!,6,FALSE)</f>
        <v>#REF!</v>
      </c>
      <c r="L241" s="1">
        <v>44652.815972221462</v>
      </c>
      <c r="M241" s="13"/>
    </row>
    <row r="242" spans="2:13">
      <c r="B242" s="5"/>
      <c r="C242" s="6" t="e">
        <f>VLOOKUP($B242,#REF!,5,FALSE)</f>
        <v>#REF!</v>
      </c>
      <c r="D242" s="6" t="e">
        <f>VLOOKUP($B242,#REF!,6,FALSE)</f>
        <v>#REF!</v>
      </c>
      <c r="E242" s="7" t="e">
        <f>VLOOKUP($B242,#REF!,17,FALSE)</f>
        <v>#REF!</v>
      </c>
      <c r="F242" s="8" t="e">
        <f>VLOOKUP($B242,#REF!,7,FALSE)</f>
        <v>#REF!</v>
      </c>
      <c r="G242" s="8"/>
      <c r="H242" s="8"/>
      <c r="I242" s="9" t="e">
        <f>VLOOKUP($B242,#REF!,19,FALSE)</f>
        <v>#REF!</v>
      </c>
      <c r="J242" s="9" t="e">
        <f>VLOOKUP($B242,#REF!,6,FALSE)</f>
        <v>#REF!</v>
      </c>
      <c r="L242" s="1">
        <v>44652.819444443681</v>
      </c>
      <c r="M242" s="13"/>
    </row>
    <row r="243" spans="2:13">
      <c r="B243" s="5"/>
      <c r="C243" s="6" t="e">
        <f>VLOOKUP($B243,#REF!,5,FALSE)</f>
        <v>#REF!</v>
      </c>
      <c r="D243" s="6" t="e">
        <f>VLOOKUP($B243,#REF!,6,FALSE)</f>
        <v>#REF!</v>
      </c>
      <c r="E243" s="7" t="e">
        <f>VLOOKUP($B243,#REF!,17,FALSE)</f>
        <v>#REF!</v>
      </c>
      <c r="F243" s="8" t="e">
        <f>VLOOKUP($B243,#REF!,7,FALSE)</f>
        <v>#REF!</v>
      </c>
      <c r="G243" s="8"/>
      <c r="H243" s="8"/>
      <c r="I243" s="9" t="e">
        <f>VLOOKUP($B243,#REF!,19,FALSE)</f>
        <v>#REF!</v>
      </c>
      <c r="J243" s="9" t="e">
        <f>VLOOKUP($B243,#REF!,6,FALSE)</f>
        <v>#REF!</v>
      </c>
      <c r="L243" s="1">
        <v>44652.8229166659</v>
      </c>
      <c r="M243" s="13"/>
    </row>
    <row r="244" spans="2:13">
      <c r="B244" s="5"/>
      <c r="C244" s="6" t="e">
        <f>VLOOKUP($B244,#REF!,5,FALSE)</f>
        <v>#REF!</v>
      </c>
      <c r="D244" s="6" t="e">
        <f>VLOOKUP($B244,#REF!,6,FALSE)</f>
        <v>#REF!</v>
      </c>
      <c r="E244" s="7" t="e">
        <f>VLOOKUP($B244,#REF!,17,FALSE)</f>
        <v>#REF!</v>
      </c>
      <c r="F244" s="8" t="e">
        <f>VLOOKUP($B244,#REF!,7,FALSE)</f>
        <v>#REF!</v>
      </c>
      <c r="G244" s="8"/>
      <c r="H244" s="8"/>
      <c r="I244" s="9" t="e">
        <f>VLOOKUP($B244,#REF!,19,FALSE)</f>
        <v>#REF!</v>
      </c>
      <c r="J244" s="9" t="e">
        <f>VLOOKUP($B244,#REF!,6,FALSE)</f>
        <v>#REF!</v>
      </c>
      <c r="L244" s="1">
        <v>44652.826388888119</v>
      </c>
      <c r="M244" s="13"/>
    </row>
    <row r="245" spans="2:13">
      <c r="B245" s="5"/>
      <c r="C245" s="6" t="e">
        <f>VLOOKUP($B245,#REF!,5,FALSE)</f>
        <v>#REF!</v>
      </c>
      <c r="D245" s="6" t="e">
        <f>VLOOKUP($B245,#REF!,6,FALSE)</f>
        <v>#REF!</v>
      </c>
      <c r="E245" s="7" t="e">
        <f>VLOOKUP($B245,#REF!,17,FALSE)</f>
        <v>#REF!</v>
      </c>
      <c r="F245" s="8" t="e">
        <f>VLOOKUP($B245,#REF!,7,FALSE)</f>
        <v>#REF!</v>
      </c>
      <c r="G245" s="8"/>
      <c r="H245" s="8"/>
      <c r="I245" s="9" t="e">
        <f>VLOOKUP($B245,#REF!,19,FALSE)</f>
        <v>#REF!</v>
      </c>
      <c r="J245" s="9" t="e">
        <f>VLOOKUP($B245,#REF!,6,FALSE)</f>
        <v>#REF!</v>
      </c>
      <c r="L245" s="1">
        <v>44652.829861110338</v>
      </c>
      <c r="M245" s="13"/>
    </row>
    <row r="246" spans="2:13">
      <c r="B246" s="5"/>
      <c r="C246" s="6" t="e">
        <f>VLOOKUP($B246,#REF!,5,FALSE)</f>
        <v>#REF!</v>
      </c>
      <c r="D246" s="6" t="e">
        <f>VLOOKUP($B246,#REF!,6,FALSE)</f>
        <v>#REF!</v>
      </c>
      <c r="E246" s="7" t="e">
        <f>VLOOKUP($B246,#REF!,17,FALSE)</f>
        <v>#REF!</v>
      </c>
      <c r="F246" s="8" t="e">
        <f>VLOOKUP($B246,#REF!,7,FALSE)</f>
        <v>#REF!</v>
      </c>
      <c r="G246" s="8"/>
      <c r="H246" s="8"/>
      <c r="I246" s="9" t="e">
        <f>VLOOKUP($B246,#REF!,19,FALSE)</f>
        <v>#REF!</v>
      </c>
      <c r="J246" s="9" t="e">
        <f>VLOOKUP($B246,#REF!,6,FALSE)</f>
        <v>#REF!</v>
      </c>
      <c r="L246" s="1">
        <v>44652.833333332557</v>
      </c>
      <c r="M246" s="13"/>
    </row>
    <row r="247" spans="2:13">
      <c r="B247" s="5"/>
      <c r="C247" s="6" t="e">
        <f>VLOOKUP($B247,#REF!,5,FALSE)</f>
        <v>#REF!</v>
      </c>
      <c r="D247" s="6" t="e">
        <f>VLOOKUP($B247,#REF!,6,FALSE)</f>
        <v>#REF!</v>
      </c>
      <c r="E247" s="7" t="e">
        <f>VLOOKUP($B247,#REF!,17,FALSE)</f>
        <v>#REF!</v>
      </c>
      <c r="F247" s="8" t="e">
        <f>VLOOKUP($B247,#REF!,7,FALSE)</f>
        <v>#REF!</v>
      </c>
      <c r="G247" s="8"/>
      <c r="H247" s="8"/>
      <c r="I247" s="9" t="e">
        <f>VLOOKUP($B247,#REF!,19,FALSE)</f>
        <v>#REF!</v>
      </c>
      <c r="J247" s="9" t="e">
        <f>VLOOKUP($B247,#REF!,6,FALSE)</f>
        <v>#REF!</v>
      </c>
      <c r="L247" s="1">
        <v>44652.836805554776</v>
      </c>
      <c r="M247" s="13"/>
    </row>
    <row r="248" spans="2:13">
      <c r="B248" s="5"/>
      <c r="C248" s="6" t="e">
        <f>VLOOKUP($B248,#REF!,5,FALSE)</f>
        <v>#REF!</v>
      </c>
      <c r="D248" s="6" t="e">
        <f>VLOOKUP($B248,#REF!,6,FALSE)</f>
        <v>#REF!</v>
      </c>
      <c r="E248" s="7" t="e">
        <f>VLOOKUP($B248,#REF!,17,FALSE)</f>
        <v>#REF!</v>
      </c>
      <c r="F248" s="8" t="e">
        <f>VLOOKUP($B248,#REF!,7,FALSE)</f>
        <v>#REF!</v>
      </c>
      <c r="G248" s="8"/>
      <c r="H248" s="8"/>
      <c r="I248" s="9" t="e">
        <f>VLOOKUP($B248,#REF!,19,FALSE)</f>
        <v>#REF!</v>
      </c>
      <c r="J248" s="9" t="e">
        <f>VLOOKUP($B248,#REF!,6,FALSE)</f>
        <v>#REF!</v>
      </c>
      <c r="L248" s="1">
        <v>44652.840277776995</v>
      </c>
      <c r="M248" s="13"/>
    </row>
    <row r="249" spans="2:13">
      <c r="B249" s="5"/>
      <c r="C249" s="6" t="e">
        <f>VLOOKUP($B249,#REF!,5,FALSE)</f>
        <v>#REF!</v>
      </c>
      <c r="D249" s="6" t="e">
        <f>VLOOKUP($B249,#REF!,6,FALSE)</f>
        <v>#REF!</v>
      </c>
      <c r="E249" s="7" t="e">
        <f>VLOOKUP($B249,#REF!,17,FALSE)</f>
        <v>#REF!</v>
      </c>
      <c r="F249" s="8" t="e">
        <f>VLOOKUP($B249,#REF!,7,FALSE)</f>
        <v>#REF!</v>
      </c>
      <c r="G249" s="8"/>
      <c r="H249" s="8"/>
      <c r="I249" s="9" t="e">
        <f>VLOOKUP($B249,#REF!,19,FALSE)</f>
        <v>#REF!</v>
      </c>
      <c r="J249" s="9" t="e">
        <f>VLOOKUP($B249,#REF!,6,FALSE)</f>
        <v>#REF!</v>
      </c>
      <c r="L249" s="1">
        <v>44652.843749999214</v>
      </c>
      <c r="M249" s="13"/>
    </row>
    <row r="250" spans="2:13">
      <c r="B250" s="5"/>
      <c r="C250" s="6" t="e">
        <f>VLOOKUP($B250,#REF!,5,FALSE)</f>
        <v>#REF!</v>
      </c>
      <c r="D250" s="6" t="e">
        <f>VLOOKUP($B250,#REF!,6,FALSE)</f>
        <v>#REF!</v>
      </c>
      <c r="E250" s="7" t="e">
        <f>VLOOKUP($B250,#REF!,17,FALSE)</f>
        <v>#REF!</v>
      </c>
      <c r="F250" s="8" t="e">
        <f>VLOOKUP($B250,#REF!,7,FALSE)</f>
        <v>#REF!</v>
      </c>
      <c r="G250" s="8"/>
      <c r="H250" s="8"/>
      <c r="I250" s="9" t="e">
        <f>VLOOKUP($B250,#REF!,19,FALSE)</f>
        <v>#REF!</v>
      </c>
      <c r="J250" s="9" t="e">
        <f>VLOOKUP($B250,#REF!,6,FALSE)</f>
        <v>#REF!</v>
      </c>
      <c r="L250" s="1">
        <v>44652.847222221433</v>
      </c>
      <c r="M250" s="13"/>
    </row>
    <row r="251" spans="2:13">
      <c r="B251" s="5"/>
      <c r="C251" s="6" t="e">
        <f>VLOOKUP($B251,#REF!,5,FALSE)</f>
        <v>#REF!</v>
      </c>
      <c r="D251" s="6" t="e">
        <f>VLOOKUP($B251,#REF!,6,FALSE)</f>
        <v>#REF!</v>
      </c>
      <c r="E251" s="7" t="e">
        <f>VLOOKUP($B251,#REF!,17,FALSE)</f>
        <v>#REF!</v>
      </c>
      <c r="F251" s="8" t="e">
        <f>VLOOKUP($B251,#REF!,7,FALSE)</f>
        <v>#REF!</v>
      </c>
      <c r="G251" s="8"/>
      <c r="H251" s="8"/>
      <c r="I251" s="9" t="e">
        <f>VLOOKUP($B251,#REF!,19,FALSE)</f>
        <v>#REF!</v>
      </c>
      <c r="J251" s="9" t="e">
        <f>VLOOKUP($B251,#REF!,6,FALSE)</f>
        <v>#REF!</v>
      </c>
      <c r="L251" s="1">
        <v>44652.850694443652</v>
      </c>
      <c r="M251" s="13"/>
    </row>
    <row r="252" spans="2:13">
      <c r="B252" s="5"/>
      <c r="C252" s="6" t="e">
        <f>VLOOKUP($B252,#REF!,5,FALSE)</f>
        <v>#REF!</v>
      </c>
      <c r="D252" s="6" t="e">
        <f>VLOOKUP($B252,#REF!,6,FALSE)</f>
        <v>#REF!</v>
      </c>
      <c r="E252" s="7" t="e">
        <f>VLOOKUP($B252,#REF!,17,FALSE)</f>
        <v>#REF!</v>
      </c>
      <c r="F252" s="8" t="e">
        <f>VLOOKUP($B252,#REF!,7,FALSE)</f>
        <v>#REF!</v>
      </c>
      <c r="G252" s="8"/>
      <c r="H252" s="8"/>
      <c r="I252" s="9" t="e">
        <f>VLOOKUP($B252,#REF!,19,FALSE)</f>
        <v>#REF!</v>
      </c>
      <c r="J252" s="9" t="e">
        <f>VLOOKUP($B252,#REF!,6,FALSE)</f>
        <v>#REF!</v>
      </c>
      <c r="L252" s="1">
        <v>44652.854166665871</v>
      </c>
      <c r="M252" s="13"/>
    </row>
    <row r="253" spans="2:13">
      <c r="B253" s="5"/>
      <c r="C253" s="6" t="e">
        <f>VLOOKUP($B253,#REF!,5,FALSE)</f>
        <v>#REF!</v>
      </c>
      <c r="D253" s="6" t="e">
        <f>VLOOKUP($B253,#REF!,6,FALSE)</f>
        <v>#REF!</v>
      </c>
      <c r="E253" s="7" t="e">
        <f>VLOOKUP($B253,#REF!,17,FALSE)</f>
        <v>#REF!</v>
      </c>
      <c r="F253" s="8" t="e">
        <f>VLOOKUP($B253,#REF!,7,FALSE)</f>
        <v>#REF!</v>
      </c>
      <c r="G253" s="8"/>
      <c r="H253" s="8"/>
      <c r="I253" s="9" t="e">
        <f>VLOOKUP($B253,#REF!,19,FALSE)</f>
        <v>#REF!</v>
      </c>
      <c r="J253" s="9" t="e">
        <f>VLOOKUP($B253,#REF!,6,FALSE)</f>
        <v>#REF!</v>
      </c>
      <c r="L253" s="1">
        <v>44652.85763888809</v>
      </c>
      <c r="M253" s="13"/>
    </row>
    <row r="254" spans="2:13">
      <c r="B254" s="5"/>
      <c r="C254" s="6" t="e">
        <f>VLOOKUP($B254,#REF!,5,FALSE)</f>
        <v>#REF!</v>
      </c>
      <c r="D254" s="6" t="e">
        <f>VLOOKUP($B254,#REF!,6,FALSE)</f>
        <v>#REF!</v>
      </c>
      <c r="E254" s="7" t="e">
        <f>VLOOKUP($B254,#REF!,17,FALSE)</f>
        <v>#REF!</v>
      </c>
      <c r="F254" s="8" t="e">
        <f>VLOOKUP($B254,#REF!,7,FALSE)</f>
        <v>#REF!</v>
      </c>
      <c r="G254" s="8"/>
      <c r="H254" s="8"/>
      <c r="I254" s="9" t="e">
        <f>VLOOKUP($B254,#REF!,19,FALSE)</f>
        <v>#REF!</v>
      </c>
      <c r="J254" s="9" t="e">
        <f>VLOOKUP($B254,#REF!,6,FALSE)</f>
        <v>#REF!</v>
      </c>
      <c r="L254" s="1">
        <v>44652.861111110309</v>
      </c>
      <c r="M254" s="13"/>
    </row>
    <row r="255" spans="2:13">
      <c r="B255" s="5"/>
      <c r="C255" s="6" t="e">
        <f>VLOOKUP($B255,#REF!,5,FALSE)</f>
        <v>#REF!</v>
      </c>
      <c r="D255" s="6" t="e">
        <f>VLOOKUP($B255,#REF!,6,FALSE)</f>
        <v>#REF!</v>
      </c>
      <c r="E255" s="7" t="e">
        <f>VLOOKUP($B255,#REF!,17,FALSE)</f>
        <v>#REF!</v>
      </c>
      <c r="F255" s="8" t="e">
        <f>VLOOKUP($B255,#REF!,7,FALSE)</f>
        <v>#REF!</v>
      </c>
      <c r="G255" s="8"/>
      <c r="H255" s="8"/>
      <c r="I255" s="9" t="e">
        <f>VLOOKUP($B255,#REF!,19,FALSE)</f>
        <v>#REF!</v>
      </c>
      <c r="J255" s="9" t="e">
        <f>VLOOKUP($B255,#REF!,6,FALSE)</f>
        <v>#REF!</v>
      </c>
      <c r="L255" s="1">
        <v>44652.864583332528</v>
      </c>
      <c r="M255" s="13"/>
    </row>
    <row r="256" spans="2:13">
      <c r="B256" s="5"/>
      <c r="C256" s="6" t="e">
        <f>VLOOKUP($B256,#REF!,5,FALSE)</f>
        <v>#REF!</v>
      </c>
      <c r="D256" s="6" t="e">
        <f>VLOOKUP($B256,#REF!,6,FALSE)</f>
        <v>#REF!</v>
      </c>
      <c r="E256" s="7" t="e">
        <f>VLOOKUP($B256,#REF!,17,FALSE)</f>
        <v>#REF!</v>
      </c>
      <c r="F256" s="8" t="e">
        <f>VLOOKUP($B256,#REF!,7,FALSE)</f>
        <v>#REF!</v>
      </c>
      <c r="G256" s="8"/>
      <c r="H256" s="8"/>
      <c r="I256" s="9" t="e">
        <f>VLOOKUP($B256,#REF!,19,FALSE)</f>
        <v>#REF!</v>
      </c>
      <c r="J256" s="9" t="e">
        <f>VLOOKUP($B256,#REF!,6,FALSE)</f>
        <v>#REF!</v>
      </c>
      <c r="L256" s="1">
        <v>44652.868055554747</v>
      </c>
      <c r="M256" s="13"/>
    </row>
    <row r="257" spans="2:13">
      <c r="B257" s="5"/>
      <c r="C257" s="6" t="e">
        <f>VLOOKUP($B257,#REF!,5,FALSE)</f>
        <v>#REF!</v>
      </c>
      <c r="D257" s="6" t="e">
        <f>VLOOKUP($B257,#REF!,6,FALSE)</f>
        <v>#REF!</v>
      </c>
      <c r="E257" s="7" t="e">
        <f>VLOOKUP($B257,#REF!,17,FALSE)</f>
        <v>#REF!</v>
      </c>
      <c r="F257" s="8" t="e">
        <f>VLOOKUP($B257,#REF!,7,FALSE)</f>
        <v>#REF!</v>
      </c>
      <c r="G257" s="8"/>
      <c r="H257" s="8"/>
      <c r="I257" s="9" t="e">
        <f>VLOOKUP($B257,#REF!,19,FALSE)</f>
        <v>#REF!</v>
      </c>
      <c r="J257" s="9" t="e">
        <f>VLOOKUP($B257,#REF!,6,FALSE)</f>
        <v>#REF!</v>
      </c>
      <c r="L257" s="1">
        <v>44652.871527776966</v>
      </c>
      <c r="M257" s="13"/>
    </row>
    <row r="258" spans="2:13">
      <c r="B258" s="5"/>
      <c r="C258" s="6" t="e">
        <f>VLOOKUP($B258,#REF!,5,FALSE)</f>
        <v>#REF!</v>
      </c>
      <c r="D258" s="6" t="e">
        <f>VLOOKUP($B258,#REF!,6,FALSE)</f>
        <v>#REF!</v>
      </c>
      <c r="E258" s="7" t="e">
        <f>VLOOKUP($B258,#REF!,17,FALSE)</f>
        <v>#REF!</v>
      </c>
      <c r="F258" s="8" t="e">
        <f>VLOOKUP($B258,#REF!,7,FALSE)</f>
        <v>#REF!</v>
      </c>
      <c r="G258" s="8"/>
      <c r="H258" s="8"/>
      <c r="I258" s="9" t="e">
        <f>VLOOKUP($B258,#REF!,19,FALSE)</f>
        <v>#REF!</v>
      </c>
      <c r="J258" s="9" t="e">
        <f>VLOOKUP($B258,#REF!,6,FALSE)</f>
        <v>#REF!</v>
      </c>
      <c r="L258" s="1">
        <v>44652.874999999185</v>
      </c>
      <c r="M258" s="13"/>
    </row>
    <row r="259" spans="2:13">
      <c r="B259" s="5"/>
      <c r="C259" s="6" t="e">
        <f>VLOOKUP($B259,#REF!,5,FALSE)</f>
        <v>#REF!</v>
      </c>
      <c r="D259" s="6" t="e">
        <f>VLOOKUP($B259,#REF!,6,FALSE)</f>
        <v>#REF!</v>
      </c>
      <c r="E259" s="7" t="e">
        <f>VLOOKUP($B259,#REF!,17,FALSE)</f>
        <v>#REF!</v>
      </c>
      <c r="F259" s="8" t="e">
        <f>VLOOKUP($B259,#REF!,7,FALSE)</f>
        <v>#REF!</v>
      </c>
      <c r="G259" s="8"/>
      <c r="H259" s="8"/>
      <c r="I259" s="9" t="e">
        <f>VLOOKUP($B259,#REF!,19,FALSE)</f>
        <v>#REF!</v>
      </c>
      <c r="J259" s="9" t="e">
        <f>VLOOKUP($B259,#REF!,6,FALSE)</f>
        <v>#REF!</v>
      </c>
      <c r="L259" s="1">
        <v>44652.878472221404</v>
      </c>
      <c r="M259" s="13"/>
    </row>
    <row r="260" spans="2:13">
      <c r="B260" s="5"/>
      <c r="C260" s="6" t="e">
        <f>VLOOKUP($B260,#REF!,5,FALSE)</f>
        <v>#REF!</v>
      </c>
      <c r="D260" s="6" t="e">
        <f>VLOOKUP($B260,#REF!,6,FALSE)</f>
        <v>#REF!</v>
      </c>
      <c r="E260" s="7" t="e">
        <f>VLOOKUP($B260,#REF!,17,FALSE)</f>
        <v>#REF!</v>
      </c>
      <c r="F260" s="8" t="e">
        <f>VLOOKUP($B260,#REF!,7,FALSE)</f>
        <v>#REF!</v>
      </c>
      <c r="G260" s="8"/>
      <c r="H260" s="8"/>
      <c r="I260" s="9" t="e">
        <f>VLOOKUP($B260,#REF!,19,FALSE)</f>
        <v>#REF!</v>
      </c>
      <c r="J260" s="9" t="e">
        <f>VLOOKUP($B260,#REF!,6,FALSE)</f>
        <v>#REF!</v>
      </c>
      <c r="L260" s="1">
        <v>44652.881944443623</v>
      </c>
      <c r="M260" s="13"/>
    </row>
    <row r="261" spans="2:13">
      <c r="B261" s="5"/>
      <c r="C261" s="6" t="e">
        <f>VLOOKUP($B261,#REF!,5,FALSE)</f>
        <v>#REF!</v>
      </c>
      <c r="D261" s="6" t="e">
        <f>VLOOKUP($B261,#REF!,6,FALSE)</f>
        <v>#REF!</v>
      </c>
      <c r="E261" s="7" t="e">
        <f>VLOOKUP($B261,#REF!,17,FALSE)</f>
        <v>#REF!</v>
      </c>
      <c r="F261" s="8" t="e">
        <f>VLOOKUP($B261,#REF!,7,FALSE)</f>
        <v>#REF!</v>
      </c>
      <c r="G261" s="8"/>
      <c r="H261" s="8"/>
      <c r="I261" s="9" t="e">
        <f>VLOOKUP($B261,#REF!,19,FALSE)</f>
        <v>#REF!</v>
      </c>
      <c r="J261" s="9" t="e">
        <f>VLOOKUP($B261,#REF!,6,FALSE)</f>
        <v>#REF!</v>
      </c>
      <c r="L261" s="1">
        <v>44652.885416665842</v>
      </c>
      <c r="M261" s="13"/>
    </row>
    <row r="262" spans="2:13">
      <c r="B262" s="5"/>
      <c r="C262" s="6" t="e">
        <f>VLOOKUP($B262,#REF!,5,FALSE)</f>
        <v>#REF!</v>
      </c>
      <c r="D262" s="6" t="e">
        <f>VLOOKUP($B262,#REF!,6,FALSE)</f>
        <v>#REF!</v>
      </c>
      <c r="E262" s="7" t="e">
        <f>VLOOKUP($B262,#REF!,17,FALSE)</f>
        <v>#REF!</v>
      </c>
      <c r="F262" s="8" t="e">
        <f>VLOOKUP($B262,#REF!,7,FALSE)</f>
        <v>#REF!</v>
      </c>
      <c r="G262" s="8"/>
      <c r="H262" s="8"/>
      <c r="I262" s="9" t="e">
        <f>VLOOKUP($B262,#REF!,19,FALSE)</f>
        <v>#REF!</v>
      </c>
      <c r="J262" s="9" t="e">
        <f>VLOOKUP($B262,#REF!,6,FALSE)</f>
        <v>#REF!</v>
      </c>
      <c r="L262" s="1">
        <v>44652.888888888061</v>
      </c>
      <c r="M262" s="13"/>
    </row>
    <row r="263" spans="2:13">
      <c r="B263" s="5"/>
      <c r="C263" s="6" t="e">
        <f>VLOOKUP($B263,#REF!,5,FALSE)</f>
        <v>#REF!</v>
      </c>
      <c r="D263" s="6" t="e">
        <f>VLOOKUP($B263,#REF!,6,FALSE)</f>
        <v>#REF!</v>
      </c>
      <c r="E263" s="7" t="e">
        <f>VLOOKUP($B263,#REF!,17,FALSE)</f>
        <v>#REF!</v>
      </c>
      <c r="F263" s="8" t="e">
        <f>VLOOKUP($B263,#REF!,7,FALSE)</f>
        <v>#REF!</v>
      </c>
      <c r="G263" s="8"/>
      <c r="H263" s="8"/>
      <c r="I263" s="9" t="e">
        <f>VLOOKUP($B263,#REF!,19,FALSE)</f>
        <v>#REF!</v>
      </c>
      <c r="J263" s="9" t="e">
        <f>VLOOKUP($B263,#REF!,6,FALSE)</f>
        <v>#REF!</v>
      </c>
      <c r="L263" s="1">
        <v>44652.89236111028</v>
      </c>
      <c r="M263" s="13"/>
    </row>
    <row r="264" spans="2:13">
      <c r="B264" s="5"/>
      <c r="C264" s="6" t="e">
        <f>VLOOKUP($B264,#REF!,5,FALSE)</f>
        <v>#REF!</v>
      </c>
      <c r="D264" s="6" t="e">
        <f>VLOOKUP($B264,#REF!,6,FALSE)</f>
        <v>#REF!</v>
      </c>
      <c r="E264" s="7" t="e">
        <f>VLOOKUP($B264,#REF!,17,FALSE)</f>
        <v>#REF!</v>
      </c>
      <c r="F264" s="8" t="e">
        <f>VLOOKUP($B264,#REF!,7,FALSE)</f>
        <v>#REF!</v>
      </c>
      <c r="G264" s="8"/>
      <c r="H264" s="8"/>
      <c r="I264" s="9" t="e">
        <f>VLOOKUP($B264,#REF!,19,FALSE)</f>
        <v>#REF!</v>
      </c>
      <c r="J264" s="9" t="e">
        <f>VLOOKUP($B264,#REF!,6,FALSE)</f>
        <v>#REF!</v>
      </c>
      <c r="L264" s="1">
        <v>44652.895833332499</v>
      </c>
      <c r="M264" s="13"/>
    </row>
    <row r="265" spans="2:13">
      <c r="B265" s="5"/>
      <c r="C265" s="6" t="e">
        <f>VLOOKUP($B265,#REF!,5,FALSE)</f>
        <v>#REF!</v>
      </c>
      <c r="D265" s="6" t="e">
        <f>VLOOKUP($B265,#REF!,6,FALSE)</f>
        <v>#REF!</v>
      </c>
      <c r="E265" s="7" t="e">
        <f>VLOOKUP($B265,#REF!,17,FALSE)</f>
        <v>#REF!</v>
      </c>
      <c r="F265" s="8" t="e">
        <f>VLOOKUP($B265,#REF!,7,FALSE)</f>
        <v>#REF!</v>
      </c>
      <c r="G265" s="8"/>
      <c r="H265" s="8"/>
      <c r="I265" s="9" t="e">
        <f>VLOOKUP($B265,#REF!,19,FALSE)</f>
        <v>#REF!</v>
      </c>
      <c r="J265" s="9" t="e">
        <f>VLOOKUP($B265,#REF!,6,FALSE)</f>
        <v>#REF!</v>
      </c>
      <c r="L265" s="1">
        <v>44652.899305554718</v>
      </c>
      <c r="M265" s="13"/>
    </row>
    <row r="266" spans="2:13">
      <c r="B266" s="5"/>
      <c r="C266" s="6" t="e">
        <f>VLOOKUP($B266,#REF!,5,FALSE)</f>
        <v>#REF!</v>
      </c>
      <c r="D266" s="6" t="e">
        <f>VLOOKUP($B266,#REF!,6,FALSE)</f>
        <v>#REF!</v>
      </c>
      <c r="E266" s="7" t="e">
        <f>VLOOKUP($B266,#REF!,17,FALSE)</f>
        <v>#REF!</v>
      </c>
      <c r="F266" s="8" t="e">
        <f>VLOOKUP($B266,#REF!,7,FALSE)</f>
        <v>#REF!</v>
      </c>
      <c r="G266" s="8"/>
      <c r="H266" s="8"/>
      <c r="I266" s="9" t="e">
        <f>VLOOKUP($B266,#REF!,19,FALSE)</f>
        <v>#REF!</v>
      </c>
      <c r="J266" s="9" t="e">
        <f>VLOOKUP($B266,#REF!,6,FALSE)</f>
        <v>#REF!</v>
      </c>
      <c r="L266" s="1">
        <v>44652.902777776937</v>
      </c>
      <c r="M266" s="13"/>
    </row>
    <row r="267" spans="2:13">
      <c r="B267" s="5"/>
      <c r="C267" s="6" t="e">
        <f>VLOOKUP($B267,#REF!,5,FALSE)</f>
        <v>#REF!</v>
      </c>
      <c r="D267" s="6" t="e">
        <f>VLOOKUP($B267,#REF!,6,FALSE)</f>
        <v>#REF!</v>
      </c>
      <c r="E267" s="7" t="e">
        <f>VLOOKUP($B267,#REF!,17,FALSE)</f>
        <v>#REF!</v>
      </c>
      <c r="F267" s="8" t="e">
        <f>VLOOKUP($B267,#REF!,7,FALSE)</f>
        <v>#REF!</v>
      </c>
      <c r="G267" s="8"/>
      <c r="H267" s="8"/>
      <c r="I267" s="9" t="e">
        <f>VLOOKUP($B267,#REF!,19,FALSE)</f>
        <v>#REF!</v>
      </c>
      <c r="J267" s="9" t="e">
        <f>VLOOKUP($B267,#REF!,6,FALSE)</f>
        <v>#REF!</v>
      </c>
      <c r="L267" s="1">
        <v>44652.906249999156</v>
      </c>
      <c r="M267" s="13"/>
    </row>
    <row r="268" spans="2:13">
      <c r="B268" s="5"/>
      <c r="C268" s="6" t="e">
        <f>VLOOKUP($B268,#REF!,5,FALSE)</f>
        <v>#REF!</v>
      </c>
      <c r="D268" s="6" t="e">
        <f>VLOOKUP($B268,#REF!,6,FALSE)</f>
        <v>#REF!</v>
      </c>
      <c r="E268" s="7" t="e">
        <f>VLOOKUP($B268,#REF!,17,FALSE)</f>
        <v>#REF!</v>
      </c>
      <c r="F268" s="8" t="e">
        <f>VLOOKUP($B268,#REF!,7,FALSE)</f>
        <v>#REF!</v>
      </c>
      <c r="G268" s="8"/>
      <c r="H268" s="8"/>
      <c r="I268" s="9" t="e">
        <f>VLOOKUP($B268,#REF!,19,FALSE)</f>
        <v>#REF!</v>
      </c>
      <c r="J268" s="9" t="e">
        <f>VLOOKUP($B268,#REF!,6,FALSE)</f>
        <v>#REF!</v>
      </c>
      <c r="L268" s="1">
        <v>44652.909722221375</v>
      </c>
      <c r="M268" s="13"/>
    </row>
    <row r="269" spans="2:13">
      <c r="B269" s="5"/>
      <c r="C269" s="6" t="e">
        <f>VLOOKUP($B269,#REF!,5,FALSE)</f>
        <v>#REF!</v>
      </c>
      <c r="D269" s="6" t="e">
        <f>VLOOKUP($B269,#REF!,6,FALSE)</f>
        <v>#REF!</v>
      </c>
      <c r="E269" s="7" t="e">
        <f>VLOOKUP($B269,#REF!,17,FALSE)</f>
        <v>#REF!</v>
      </c>
      <c r="F269" s="8" t="e">
        <f>VLOOKUP($B269,#REF!,7,FALSE)</f>
        <v>#REF!</v>
      </c>
      <c r="G269" s="8"/>
      <c r="H269" s="8"/>
      <c r="I269" s="9" t="e">
        <f>VLOOKUP($B269,#REF!,19,FALSE)</f>
        <v>#REF!</v>
      </c>
      <c r="J269" s="9" t="e">
        <f>VLOOKUP($B269,#REF!,6,FALSE)</f>
        <v>#REF!</v>
      </c>
      <c r="L269" s="1">
        <v>44652.913194443594</v>
      </c>
      <c r="M269" s="13"/>
    </row>
    <row r="270" spans="2:13">
      <c r="B270" s="5"/>
      <c r="C270" s="6" t="e">
        <f>VLOOKUP($B270,#REF!,5,FALSE)</f>
        <v>#REF!</v>
      </c>
      <c r="D270" s="6" t="e">
        <f>VLOOKUP($B270,#REF!,6,FALSE)</f>
        <v>#REF!</v>
      </c>
      <c r="E270" s="7" t="e">
        <f>VLOOKUP($B270,#REF!,17,FALSE)</f>
        <v>#REF!</v>
      </c>
      <c r="F270" s="8" t="e">
        <f>VLOOKUP($B270,#REF!,7,FALSE)</f>
        <v>#REF!</v>
      </c>
      <c r="G270" s="8"/>
      <c r="H270" s="8"/>
      <c r="I270" s="9" t="e">
        <f>VLOOKUP($B270,#REF!,19,FALSE)</f>
        <v>#REF!</v>
      </c>
      <c r="J270" s="9" t="e">
        <f>VLOOKUP($B270,#REF!,6,FALSE)</f>
        <v>#REF!</v>
      </c>
      <c r="L270" s="1">
        <v>44652.916666665813</v>
      </c>
      <c r="M270" s="13"/>
    </row>
    <row r="271" spans="2:13">
      <c r="B271" s="5"/>
      <c r="C271" s="6" t="e">
        <f>VLOOKUP($B271,#REF!,5,FALSE)</f>
        <v>#REF!</v>
      </c>
      <c r="D271" s="6" t="e">
        <f>VLOOKUP($B271,#REF!,6,FALSE)</f>
        <v>#REF!</v>
      </c>
      <c r="E271" s="7" t="e">
        <f>VLOOKUP($B271,#REF!,17,FALSE)</f>
        <v>#REF!</v>
      </c>
      <c r="F271" s="8" t="e">
        <f>VLOOKUP($B271,#REF!,7,FALSE)</f>
        <v>#REF!</v>
      </c>
      <c r="G271" s="8"/>
      <c r="H271" s="8"/>
      <c r="I271" s="9" t="e">
        <f>VLOOKUP($B271,#REF!,19,FALSE)</f>
        <v>#REF!</v>
      </c>
      <c r="J271" s="9" t="e">
        <f>VLOOKUP($B271,#REF!,6,FALSE)</f>
        <v>#REF!</v>
      </c>
      <c r="L271" s="1">
        <v>44652.920138888032</v>
      </c>
      <c r="M271" s="13"/>
    </row>
    <row r="272" spans="2:13">
      <c r="B272" s="5"/>
      <c r="C272" s="6" t="e">
        <f>VLOOKUP($B272,#REF!,5,FALSE)</f>
        <v>#REF!</v>
      </c>
      <c r="D272" s="6" t="e">
        <f>VLOOKUP($B272,#REF!,6,FALSE)</f>
        <v>#REF!</v>
      </c>
      <c r="E272" s="7" t="e">
        <f>VLOOKUP($B272,#REF!,17,FALSE)</f>
        <v>#REF!</v>
      </c>
      <c r="F272" s="8" t="e">
        <f>VLOOKUP($B272,#REF!,7,FALSE)</f>
        <v>#REF!</v>
      </c>
      <c r="G272" s="8"/>
      <c r="H272" s="8"/>
      <c r="I272" s="9" t="e">
        <f>VLOOKUP($B272,#REF!,19,FALSE)</f>
        <v>#REF!</v>
      </c>
      <c r="J272" s="9" t="e">
        <f>VLOOKUP($B272,#REF!,6,FALSE)</f>
        <v>#REF!</v>
      </c>
      <c r="L272" s="1">
        <v>44652.923611110251</v>
      </c>
      <c r="M272" s="13"/>
    </row>
    <row r="273" spans="2:13">
      <c r="B273" s="5"/>
      <c r="C273" s="6" t="e">
        <f>VLOOKUP($B273,#REF!,5,FALSE)</f>
        <v>#REF!</v>
      </c>
      <c r="D273" s="6" t="e">
        <f>VLOOKUP($B273,#REF!,6,FALSE)</f>
        <v>#REF!</v>
      </c>
      <c r="E273" s="7" t="e">
        <f>VLOOKUP($B273,#REF!,17,FALSE)</f>
        <v>#REF!</v>
      </c>
      <c r="F273" s="8" t="e">
        <f>VLOOKUP($B273,#REF!,7,FALSE)</f>
        <v>#REF!</v>
      </c>
      <c r="G273" s="8"/>
      <c r="H273" s="8"/>
      <c r="I273" s="9" t="e">
        <f>VLOOKUP($B273,#REF!,19,FALSE)</f>
        <v>#REF!</v>
      </c>
      <c r="J273" s="9" t="e">
        <f>VLOOKUP($B273,#REF!,6,FALSE)</f>
        <v>#REF!</v>
      </c>
      <c r="L273" s="1">
        <v>44652.92708333247</v>
      </c>
      <c r="M273" s="13"/>
    </row>
    <row r="274" spans="2:13">
      <c r="B274" s="5"/>
      <c r="C274" s="6" t="e">
        <f>VLOOKUP($B274,#REF!,5,FALSE)</f>
        <v>#REF!</v>
      </c>
      <c r="D274" s="6" t="e">
        <f>VLOOKUP($B274,#REF!,6,FALSE)</f>
        <v>#REF!</v>
      </c>
      <c r="E274" s="7" t="e">
        <f>VLOOKUP($B274,#REF!,17,FALSE)</f>
        <v>#REF!</v>
      </c>
      <c r="F274" s="8" t="e">
        <f>VLOOKUP($B274,#REF!,7,FALSE)</f>
        <v>#REF!</v>
      </c>
      <c r="G274" s="8"/>
      <c r="H274" s="8"/>
      <c r="I274" s="9" t="e">
        <f>VLOOKUP($B274,#REF!,19,FALSE)</f>
        <v>#REF!</v>
      </c>
      <c r="J274" s="9" t="e">
        <f>VLOOKUP($B274,#REF!,6,FALSE)</f>
        <v>#REF!</v>
      </c>
      <c r="L274" s="1">
        <v>44652.930555554689</v>
      </c>
      <c r="M274" s="13"/>
    </row>
    <row r="275" spans="2:13">
      <c r="B275" s="5"/>
      <c r="C275" s="6" t="e">
        <f>VLOOKUP($B275,#REF!,5,FALSE)</f>
        <v>#REF!</v>
      </c>
      <c r="D275" s="6" t="e">
        <f>VLOOKUP($B275,#REF!,6,FALSE)</f>
        <v>#REF!</v>
      </c>
      <c r="E275" s="7" t="e">
        <f>VLOOKUP($B275,#REF!,17,FALSE)</f>
        <v>#REF!</v>
      </c>
      <c r="F275" s="8" t="e">
        <f>VLOOKUP($B275,#REF!,7,FALSE)</f>
        <v>#REF!</v>
      </c>
      <c r="G275" s="8"/>
      <c r="H275" s="8"/>
      <c r="I275" s="9" t="e">
        <f>VLOOKUP($B275,#REF!,19,FALSE)</f>
        <v>#REF!</v>
      </c>
      <c r="J275" s="9" t="e">
        <f>VLOOKUP($B275,#REF!,6,FALSE)</f>
        <v>#REF!</v>
      </c>
      <c r="L275" s="1">
        <v>44652.934027776908</v>
      </c>
      <c r="M275" s="13"/>
    </row>
    <row r="276" spans="2:13">
      <c r="B276" s="5"/>
      <c r="C276" s="6" t="e">
        <f>VLOOKUP($B276,#REF!,5,FALSE)</f>
        <v>#REF!</v>
      </c>
      <c r="D276" s="6" t="e">
        <f>VLOOKUP($B276,#REF!,6,FALSE)</f>
        <v>#REF!</v>
      </c>
      <c r="E276" s="7" t="e">
        <f>VLOOKUP($B276,#REF!,17,FALSE)</f>
        <v>#REF!</v>
      </c>
      <c r="F276" s="8" t="e">
        <f>VLOOKUP($B276,#REF!,7,FALSE)</f>
        <v>#REF!</v>
      </c>
      <c r="G276" s="8"/>
      <c r="H276" s="8"/>
      <c r="I276" s="9" t="e">
        <f>VLOOKUP($B276,#REF!,19,FALSE)</f>
        <v>#REF!</v>
      </c>
      <c r="J276" s="9" t="e">
        <f>VLOOKUP($B276,#REF!,6,FALSE)</f>
        <v>#REF!</v>
      </c>
      <c r="L276" s="1">
        <v>44652.937499999127</v>
      </c>
      <c r="M276" s="13"/>
    </row>
    <row r="277" spans="2:13">
      <c r="B277" s="5"/>
      <c r="C277" s="6" t="e">
        <f>VLOOKUP($B277,#REF!,5,FALSE)</f>
        <v>#REF!</v>
      </c>
      <c r="D277" s="6" t="e">
        <f>VLOOKUP($B277,#REF!,6,FALSE)</f>
        <v>#REF!</v>
      </c>
      <c r="E277" s="7" t="e">
        <f>VLOOKUP($B277,#REF!,17,FALSE)</f>
        <v>#REF!</v>
      </c>
      <c r="F277" s="8" t="e">
        <f>VLOOKUP($B277,#REF!,7,FALSE)</f>
        <v>#REF!</v>
      </c>
      <c r="G277" s="8"/>
      <c r="H277" s="8"/>
      <c r="I277" s="9" t="e">
        <f>VLOOKUP($B277,#REF!,19,FALSE)</f>
        <v>#REF!</v>
      </c>
      <c r="J277" s="9" t="e">
        <f>VLOOKUP($B277,#REF!,6,FALSE)</f>
        <v>#REF!</v>
      </c>
      <c r="L277" s="1">
        <v>44652.940972221346</v>
      </c>
      <c r="M277" s="13"/>
    </row>
    <row r="278" spans="2:13">
      <c r="B278" s="5"/>
      <c r="C278" s="6" t="e">
        <f>VLOOKUP($B278,#REF!,5,FALSE)</f>
        <v>#REF!</v>
      </c>
      <c r="D278" s="6" t="e">
        <f>VLOOKUP($B278,#REF!,6,FALSE)</f>
        <v>#REF!</v>
      </c>
      <c r="E278" s="7" t="e">
        <f>VLOOKUP($B278,#REF!,17,FALSE)</f>
        <v>#REF!</v>
      </c>
      <c r="F278" s="8" t="e">
        <f>VLOOKUP($B278,#REF!,7,FALSE)</f>
        <v>#REF!</v>
      </c>
      <c r="G278" s="8"/>
      <c r="H278" s="8"/>
      <c r="I278" s="9" t="e">
        <f>VLOOKUP($B278,#REF!,19,FALSE)</f>
        <v>#REF!</v>
      </c>
      <c r="J278" s="9" t="e">
        <f>VLOOKUP($B278,#REF!,6,FALSE)</f>
        <v>#REF!</v>
      </c>
      <c r="L278" s="1">
        <v>44652.944444443565</v>
      </c>
      <c r="M278" s="13"/>
    </row>
    <row r="279" spans="2:13">
      <c r="B279" s="5"/>
      <c r="C279" s="6" t="e">
        <f>VLOOKUP($B279,#REF!,5,FALSE)</f>
        <v>#REF!</v>
      </c>
      <c r="D279" s="6" t="e">
        <f>VLOOKUP($B279,#REF!,6,FALSE)</f>
        <v>#REF!</v>
      </c>
      <c r="E279" s="7" t="e">
        <f>VLOOKUP($B279,#REF!,17,FALSE)</f>
        <v>#REF!</v>
      </c>
      <c r="F279" s="8" t="e">
        <f>VLOOKUP($B279,#REF!,7,FALSE)</f>
        <v>#REF!</v>
      </c>
      <c r="G279" s="8"/>
      <c r="H279" s="8"/>
      <c r="I279" s="9" t="e">
        <f>VLOOKUP($B279,#REF!,19,FALSE)</f>
        <v>#REF!</v>
      </c>
      <c r="J279" s="9" t="e">
        <f>VLOOKUP($B279,#REF!,6,FALSE)</f>
        <v>#REF!</v>
      </c>
      <c r="L279" s="1">
        <v>44652.947916665784</v>
      </c>
      <c r="M279" s="13"/>
    </row>
    <row r="280" spans="2:13">
      <c r="B280" s="5"/>
      <c r="C280" s="6" t="e">
        <f>VLOOKUP($B280,#REF!,5,FALSE)</f>
        <v>#REF!</v>
      </c>
      <c r="D280" s="6" t="e">
        <f>VLOOKUP($B280,#REF!,6,FALSE)</f>
        <v>#REF!</v>
      </c>
      <c r="E280" s="7" t="e">
        <f>VLOOKUP($B280,#REF!,17,FALSE)</f>
        <v>#REF!</v>
      </c>
      <c r="F280" s="8" t="e">
        <f>VLOOKUP($B280,#REF!,7,FALSE)</f>
        <v>#REF!</v>
      </c>
      <c r="G280" s="8"/>
      <c r="H280" s="8"/>
      <c r="I280" s="9" t="e">
        <f>VLOOKUP($B280,#REF!,19,FALSE)</f>
        <v>#REF!</v>
      </c>
      <c r="J280" s="9" t="e">
        <f>VLOOKUP($B280,#REF!,6,FALSE)</f>
        <v>#REF!</v>
      </c>
      <c r="L280" s="1">
        <v>44652.951388888003</v>
      </c>
      <c r="M280" s="13"/>
    </row>
    <row r="281" spans="2:13">
      <c r="B281" s="5"/>
      <c r="C281" s="6" t="e">
        <f>VLOOKUP($B281,#REF!,5,FALSE)</f>
        <v>#REF!</v>
      </c>
      <c r="D281" s="6" t="e">
        <f>VLOOKUP($B281,#REF!,6,FALSE)</f>
        <v>#REF!</v>
      </c>
      <c r="E281" s="7" t="e">
        <f>VLOOKUP($B281,#REF!,17,FALSE)</f>
        <v>#REF!</v>
      </c>
      <c r="F281" s="8" t="e">
        <f>VLOOKUP($B281,#REF!,7,FALSE)</f>
        <v>#REF!</v>
      </c>
      <c r="G281" s="8"/>
      <c r="H281" s="8"/>
      <c r="I281" s="9" t="e">
        <f>VLOOKUP($B281,#REF!,19,FALSE)</f>
        <v>#REF!</v>
      </c>
      <c r="J281" s="9" t="e">
        <f>VLOOKUP($B281,#REF!,6,FALSE)</f>
        <v>#REF!</v>
      </c>
      <c r="L281" s="1">
        <v>44652.954861110222</v>
      </c>
      <c r="M281" s="13"/>
    </row>
    <row r="282" spans="2:13">
      <c r="B282" s="5"/>
      <c r="C282" s="6" t="e">
        <f>VLOOKUP($B282,#REF!,5,FALSE)</f>
        <v>#REF!</v>
      </c>
      <c r="D282" s="6" t="e">
        <f>VLOOKUP($B282,#REF!,6,FALSE)</f>
        <v>#REF!</v>
      </c>
      <c r="E282" s="7" t="e">
        <f>VLOOKUP($B282,#REF!,17,FALSE)</f>
        <v>#REF!</v>
      </c>
      <c r="F282" s="8" t="e">
        <f>VLOOKUP($B282,#REF!,7,FALSE)</f>
        <v>#REF!</v>
      </c>
      <c r="G282" s="8"/>
      <c r="H282" s="8"/>
      <c r="I282" s="9" t="e">
        <f>VLOOKUP($B282,#REF!,19,FALSE)</f>
        <v>#REF!</v>
      </c>
      <c r="J282" s="9" t="e">
        <f>VLOOKUP($B282,#REF!,6,FALSE)</f>
        <v>#REF!</v>
      </c>
      <c r="L282" s="1">
        <v>44652.958333332441</v>
      </c>
      <c r="M282" s="13"/>
    </row>
    <row r="283" spans="2:13">
      <c r="B283" s="5"/>
      <c r="C283" s="6" t="e">
        <f>VLOOKUP($B283,#REF!,5,FALSE)</f>
        <v>#REF!</v>
      </c>
      <c r="D283" s="6" t="e">
        <f>VLOOKUP($B283,#REF!,6,FALSE)</f>
        <v>#REF!</v>
      </c>
      <c r="E283" s="7" t="e">
        <f>VLOOKUP($B283,#REF!,17,FALSE)</f>
        <v>#REF!</v>
      </c>
      <c r="F283" s="8" t="e">
        <f>VLOOKUP($B283,#REF!,7,FALSE)</f>
        <v>#REF!</v>
      </c>
      <c r="G283" s="8"/>
      <c r="H283" s="8"/>
      <c r="I283" s="9" t="e">
        <f>VLOOKUP($B283,#REF!,19,FALSE)</f>
        <v>#REF!</v>
      </c>
      <c r="J283" s="9" t="e">
        <f>VLOOKUP($B283,#REF!,6,FALSE)</f>
        <v>#REF!</v>
      </c>
      <c r="L283" s="1">
        <v>44652.96180555466</v>
      </c>
      <c r="M283" s="13"/>
    </row>
    <row r="284" spans="2:13">
      <c r="B284" s="5"/>
      <c r="C284" s="6" t="e">
        <f>VLOOKUP($B284,#REF!,5,FALSE)</f>
        <v>#REF!</v>
      </c>
      <c r="D284" s="6" t="e">
        <f>VLOOKUP($B284,#REF!,6,FALSE)</f>
        <v>#REF!</v>
      </c>
      <c r="E284" s="7" t="e">
        <f>VLOOKUP($B284,#REF!,17,FALSE)</f>
        <v>#REF!</v>
      </c>
      <c r="F284" s="8" t="e">
        <f>VLOOKUP($B284,#REF!,7,FALSE)</f>
        <v>#REF!</v>
      </c>
      <c r="G284" s="8"/>
      <c r="H284" s="8"/>
      <c r="I284" s="9" t="e">
        <f>VLOOKUP($B284,#REF!,19,FALSE)</f>
        <v>#REF!</v>
      </c>
      <c r="J284" s="9" t="e">
        <f>VLOOKUP($B284,#REF!,6,FALSE)</f>
        <v>#REF!</v>
      </c>
      <c r="L284" s="1">
        <v>44652.965277776879</v>
      </c>
      <c r="M284" s="13"/>
    </row>
    <row r="285" spans="2:13">
      <c r="B285" s="5"/>
      <c r="C285" s="6" t="e">
        <f>VLOOKUP($B285,#REF!,5,FALSE)</f>
        <v>#REF!</v>
      </c>
      <c r="D285" s="6" t="e">
        <f>VLOOKUP($B285,#REF!,6,FALSE)</f>
        <v>#REF!</v>
      </c>
      <c r="E285" s="7" t="e">
        <f>VLOOKUP($B285,#REF!,17,FALSE)</f>
        <v>#REF!</v>
      </c>
      <c r="F285" s="8" t="e">
        <f>VLOOKUP($B285,#REF!,7,FALSE)</f>
        <v>#REF!</v>
      </c>
      <c r="G285" s="8"/>
      <c r="H285" s="8"/>
      <c r="I285" s="9" t="e">
        <f>VLOOKUP($B285,#REF!,19,FALSE)</f>
        <v>#REF!</v>
      </c>
      <c r="J285" s="9" t="e">
        <f>VLOOKUP($B285,#REF!,6,FALSE)</f>
        <v>#REF!</v>
      </c>
      <c r="L285" s="1">
        <v>44652.968749999098</v>
      </c>
      <c r="M285" s="13"/>
    </row>
    <row r="286" spans="2:13">
      <c r="B286" s="5"/>
      <c r="C286" s="6" t="e">
        <f>VLOOKUP($B286,#REF!,5,FALSE)</f>
        <v>#REF!</v>
      </c>
      <c r="D286" s="6" t="e">
        <f>VLOOKUP($B286,#REF!,6,FALSE)</f>
        <v>#REF!</v>
      </c>
      <c r="E286" s="7" t="e">
        <f>VLOOKUP($B286,#REF!,17,FALSE)</f>
        <v>#REF!</v>
      </c>
      <c r="F286" s="8" t="e">
        <f>VLOOKUP($B286,#REF!,7,FALSE)</f>
        <v>#REF!</v>
      </c>
      <c r="G286" s="8"/>
      <c r="H286" s="8"/>
      <c r="I286" s="9" t="e">
        <f>VLOOKUP($B286,#REF!,19,FALSE)</f>
        <v>#REF!</v>
      </c>
      <c r="J286" s="9" t="e">
        <f>VLOOKUP($B286,#REF!,6,FALSE)</f>
        <v>#REF!</v>
      </c>
      <c r="L286" s="1">
        <v>44652.972222221317</v>
      </c>
      <c r="M286" s="13"/>
    </row>
    <row r="287" spans="2:13">
      <c r="B287" s="5"/>
      <c r="C287" s="6" t="e">
        <f>VLOOKUP($B287,#REF!,5,FALSE)</f>
        <v>#REF!</v>
      </c>
      <c r="D287" s="6" t="e">
        <f>VLOOKUP($B287,#REF!,6,FALSE)</f>
        <v>#REF!</v>
      </c>
      <c r="E287" s="7" t="e">
        <f>VLOOKUP($B287,#REF!,17,FALSE)</f>
        <v>#REF!</v>
      </c>
      <c r="F287" s="8" t="e">
        <f>VLOOKUP($B287,#REF!,7,FALSE)</f>
        <v>#REF!</v>
      </c>
      <c r="G287" s="8"/>
      <c r="H287" s="8"/>
      <c r="I287" s="9" t="e">
        <f>VLOOKUP($B287,#REF!,19,FALSE)</f>
        <v>#REF!</v>
      </c>
      <c r="J287" s="9" t="e">
        <f>VLOOKUP($B287,#REF!,6,FALSE)</f>
        <v>#REF!</v>
      </c>
      <c r="L287" s="1">
        <v>44652.975694443536</v>
      </c>
      <c r="M287" s="13"/>
    </row>
    <row r="288" spans="2:13">
      <c r="B288" s="5"/>
      <c r="C288" s="6" t="e">
        <f>VLOOKUP($B288,#REF!,5,FALSE)</f>
        <v>#REF!</v>
      </c>
      <c r="D288" s="6" t="e">
        <f>VLOOKUP($B288,#REF!,6,FALSE)</f>
        <v>#REF!</v>
      </c>
      <c r="E288" s="7" t="e">
        <f>VLOOKUP($B288,#REF!,17,FALSE)</f>
        <v>#REF!</v>
      </c>
      <c r="F288" s="8" t="e">
        <f>VLOOKUP($B288,#REF!,7,FALSE)</f>
        <v>#REF!</v>
      </c>
      <c r="G288" s="8"/>
      <c r="H288" s="8"/>
      <c r="I288" s="9" t="e">
        <f>VLOOKUP($B288,#REF!,19,FALSE)</f>
        <v>#REF!</v>
      </c>
      <c r="J288" s="9" t="e">
        <f>VLOOKUP($B288,#REF!,6,FALSE)</f>
        <v>#REF!</v>
      </c>
      <c r="L288" s="1">
        <v>44652.979166665755</v>
      </c>
      <c r="M288" s="13"/>
    </row>
    <row r="289" spans="2:13">
      <c r="B289" s="5"/>
      <c r="C289" s="6" t="e">
        <f>VLOOKUP($B289,#REF!,5,FALSE)</f>
        <v>#REF!</v>
      </c>
      <c r="D289" s="6" t="e">
        <f>VLOOKUP($B289,#REF!,6,FALSE)</f>
        <v>#REF!</v>
      </c>
      <c r="E289" s="7" t="e">
        <f>VLOOKUP($B289,#REF!,17,FALSE)</f>
        <v>#REF!</v>
      </c>
      <c r="F289" s="8" t="e">
        <f>VLOOKUP($B289,#REF!,7,FALSE)</f>
        <v>#REF!</v>
      </c>
      <c r="G289" s="8"/>
      <c r="H289" s="8"/>
      <c r="I289" s="9" t="e">
        <f>VLOOKUP($B289,#REF!,19,FALSE)</f>
        <v>#REF!</v>
      </c>
      <c r="J289" s="9" t="e">
        <f>VLOOKUP($B289,#REF!,6,FALSE)</f>
        <v>#REF!</v>
      </c>
      <c r="L289" s="1">
        <v>44652.982638887974</v>
      </c>
      <c r="M289" s="13"/>
    </row>
    <row r="290" spans="2:13">
      <c r="B290" s="5"/>
      <c r="C290" s="6" t="e">
        <f>VLOOKUP($B290,#REF!,5,FALSE)</f>
        <v>#REF!</v>
      </c>
      <c r="D290" s="6" t="e">
        <f>VLOOKUP($B290,#REF!,6,FALSE)</f>
        <v>#REF!</v>
      </c>
      <c r="E290" s="7" t="e">
        <f>VLOOKUP($B290,#REF!,17,FALSE)</f>
        <v>#REF!</v>
      </c>
      <c r="F290" s="8" t="e">
        <f>VLOOKUP($B290,#REF!,7,FALSE)</f>
        <v>#REF!</v>
      </c>
      <c r="G290" s="8"/>
      <c r="H290" s="8"/>
      <c r="I290" s="9" t="e">
        <f>VLOOKUP($B290,#REF!,19,FALSE)</f>
        <v>#REF!</v>
      </c>
      <c r="J290" s="9" t="e">
        <f>VLOOKUP($B290,#REF!,6,FALSE)</f>
        <v>#REF!</v>
      </c>
      <c r="L290" s="1">
        <v>44652.986111110193</v>
      </c>
      <c r="M290" s="13"/>
    </row>
    <row r="291" spans="2:13">
      <c r="B291" s="5"/>
      <c r="C291" s="6" t="e">
        <f>VLOOKUP($B291,#REF!,5,FALSE)</f>
        <v>#REF!</v>
      </c>
      <c r="D291" s="6" t="e">
        <f>VLOOKUP($B291,#REF!,6,FALSE)</f>
        <v>#REF!</v>
      </c>
      <c r="E291" s="7" t="e">
        <f>VLOOKUP($B291,#REF!,17,FALSE)</f>
        <v>#REF!</v>
      </c>
      <c r="F291" s="8" t="e">
        <f>VLOOKUP($B291,#REF!,7,FALSE)</f>
        <v>#REF!</v>
      </c>
      <c r="G291" s="8"/>
      <c r="H291" s="8"/>
      <c r="I291" s="9" t="e">
        <f>VLOOKUP($B291,#REF!,19,FALSE)</f>
        <v>#REF!</v>
      </c>
      <c r="J291" s="9" t="e">
        <f>VLOOKUP($B291,#REF!,6,FALSE)</f>
        <v>#REF!</v>
      </c>
      <c r="L291" s="1">
        <v>44652.989583332412</v>
      </c>
      <c r="M291" s="13"/>
    </row>
    <row r="292" spans="2:13">
      <c r="B292" s="5"/>
      <c r="C292" s="6" t="e">
        <f>VLOOKUP($B292,#REF!,5,FALSE)</f>
        <v>#REF!</v>
      </c>
      <c r="D292" s="6" t="e">
        <f>VLOOKUP($B292,#REF!,6,FALSE)</f>
        <v>#REF!</v>
      </c>
      <c r="E292" s="7" t="e">
        <f>VLOOKUP($B292,#REF!,17,FALSE)</f>
        <v>#REF!</v>
      </c>
      <c r="F292" s="8" t="e">
        <f>VLOOKUP($B292,#REF!,7,FALSE)</f>
        <v>#REF!</v>
      </c>
      <c r="G292" s="8"/>
      <c r="H292" s="8"/>
      <c r="I292" s="9" t="e">
        <f>VLOOKUP($B292,#REF!,19,FALSE)</f>
        <v>#REF!</v>
      </c>
      <c r="J292" s="9" t="e">
        <f>VLOOKUP($B292,#REF!,6,FALSE)</f>
        <v>#REF!</v>
      </c>
      <c r="L292" s="1">
        <v>44652.993055554631</v>
      </c>
      <c r="M292" s="13"/>
    </row>
    <row r="293" spans="2:13">
      <c r="B293" s="5"/>
      <c r="C293" s="6" t="e">
        <f>VLOOKUP($B293,#REF!,5,FALSE)</f>
        <v>#REF!</v>
      </c>
      <c r="D293" s="6" t="e">
        <f>VLOOKUP($B293,#REF!,6,FALSE)</f>
        <v>#REF!</v>
      </c>
      <c r="E293" s="7" t="e">
        <f>VLOOKUP($B293,#REF!,17,FALSE)</f>
        <v>#REF!</v>
      </c>
      <c r="F293" s="8" t="e">
        <f>VLOOKUP($B293,#REF!,7,FALSE)</f>
        <v>#REF!</v>
      </c>
      <c r="G293" s="8"/>
      <c r="H293" s="8"/>
      <c r="I293" s="9" t="e">
        <f>VLOOKUP($B293,#REF!,19,FALSE)</f>
        <v>#REF!</v>
      </c>
      <c r="J293" s="9" t="e">
        <f>VLOOKUP($B293,#REF!,6,FALSE)</f>
        <v>#REF!</v>
      </c>
      <c r="L293" s="1">
        <v>44652.99652777685</v>
      </c>
      <c r="M293" s="13"/>
    </row>
    <row r="294" spans="2:13">
      <c r="B294" s="5"/>
      <c r="C294" s="6" t="e">
        <f>VLOOKUP($B294,#REF!,5,FALSE)</f>
        <v>#REF!</v>
      </c>
      <c r="D294" s="6" t="e">
        <f>VLOOKUP($B294,#REF!,6,FALSE)</f>
        <v>#REF!</v>
      </c>
      <c r="E294" s="7" t="e">
        <f>VLOOKUP($B294,#REF!,17,FALSE)</f>
        <v>#REF!</v>
      </c>
      <c r="F294" s="8" t="e">
        <f>VLOOKUP($B294,#REF!,7,FALSE)</f>
        <v>#REF!</v>
      </c>
      <c r="G294" s="8"/>
      <c r="H294" s="8"/>
      <c r="I294" s="9" t="e">
        <f>VLOOKUP($B294,#REF!,19,FALSE)</f>
        <v>#REF!</v>
      </c>
      <c r="J294" s="9" t="e">
        <f>VLOOKUP($B294,#REF!,6,FALSE)</f>
        <v>#REF!</v>
      </c>
      <c r="L294" s="1">
        <v>44652.999999999069</v>
      </c>
      <c r="M294" s="13"/>
    </row>
    <row r="295" spans="2:13">
      <c r="B295" s="5"/>
      <c r="C295" s="6" t="e">
        <f>VLOOKUP($B295,#REF!,5,FALSE)</f>
        <v>#REF!</v>
      </c>
      <c r="D295" s="6" t="e">
        <f>VLOOKUP($B295,#REF!,6,FALSE)</f>
        <v>#REF!</v>
      </c>
      <c r="E295" s="7" t="e">
        <f>VLOOKUP($B295,#REF!,17,FALSE)</f>
        <v>#REF!</v>
      </c>
      <c r="F295" s="8" t="e">
        <f>VLOOKUP($B295,#REF!,7,FALSE)</f>
        <v>#REF!</v>
      </c>
      <c r="G295" s="8"/>
      <c r="H295" s="8"/>
      <c r="I295" s="9" t="e">
        <f>VLOOKUP($B295,#REF!,19,FALSE)</f>
        <v>#REF!</v>
      </c>
      <c r="J295" s="9" t="e">
        <f>VLOOKUP($B295,#REF!,6,FALSE)</f>
        <v>#REF!</v>
      </c>
      <c r="L295" s="1">
        <v>44653.003472221288</v>
      </c>
      <c r="M295" s="13"/>
    </row>
    <row r="296" spans="2:13">
      <c r="B296" s="5"/>
      <c r="C296" s="6" t="e">
        <f>VLOOKUP($B296,#REF!,5,FALSE)</f>
        <v>#REF!</v>
      </c>
      <c r="D296" s="6" t="e">
        <f>VLOOKUP($B296,#REF!,6,FALSE)</f>
        <v>#REF!</v>
      </c>
      <c r="E296" s="7" t="e">
        <f>VLOOKUP($B296,#REF!,17,FALSE)</f>
        <v>#REF!</v>
      </c>
      <c r="F296" s="8" t="e">
        <f>VLOOKUP($B296,#REF!,7,FALSE)</f>
        <v>#REF!</v>
      </c>
      <c r="G296" s="8"/>
      <c r="H296" s="8"/>
      <c r="I296" s="9" t="e">
        <f>VLOOKUP($B296,#REF!,19,FALSE)</f>
        <v>#REF!</v>
      </c>
      <c r="J296" s="9" t="e">
        <f>VLOOKUP($B296,#REF!,6,FALSE)</f>
        <v>#REF!</v>
      </c>
      <c r="L296" s="1">
        <v>44653.006944443507</v>
      </c>
      <c r="M296" s="13"/>
    </row>
    <row r="297" spans="2:13">
      <c r="B297" s="5"/>
      <c r="C297" s="6" t="e">
        <f>VLOOKUP($B297,#REF!,5,FALSE)</f>
        <v>#REF!</v>
      </c>
      <c r="D297" s="6" t="e">
        <f>VLOOKUP($B297,#REF!,6,FALSE)</f>
        <v>#REF!</v>
      </c>
      <c r="E297" s="7" t="e">
        <f>VLOOKUP($B297,#REF!,17,FALSE)</f>
        <v>#REF!</v>
      </c>
      <c r="F297" s="8" t="e">
        <f>VLOOKUP($B297,#REF!,7,FALSE)</f>
        <v>#REF!</v>
      </c>
      <c r="G297" s="8"/>
      <c r="H297" s="8"/>
      <c r="I297" s="9" t="e">
        <f>VLOOKUP($B297,#REF!,19,FALSE)</f>
        <v>#REF!</v>
      </c>
      <c r="J297" s="9" t="e">
        <f>VLOOKUP($B297,#REF!,6,FALSE)</f>
        <v>#REF!</v>
      </c>
      <c r="L297" s="1">
        <v>44653.010416665726</v>
      </c>
      <c r="M297" s="13"/>
    </row>
    <row r="298" spans="2:13">
      <c r="B298" s="5"/>
      <c r="C298" s="6" t="e">
        <f>VLOOKUP($B298,#REF!,5,FALSE)</f>
        <v>#REF!</v>
      </c>
      <c r="D298" s="6" t="e">
        <f>VLOOKUP($B298,#REF!,6,FALSE)</f>
        <v>#REF!</v>
      </c>
      <c r="E298" s="7" t="e">
        <f>VLOOKUP($B298,#REF!,17,FALSE)</f>
        <v>#REF!</v>
      </c>
      <c r="F298" s="8" t="e">
        <f>VLOOKUP($B298,#REF!,7,FALSE)</f>
        <v>#REF!</v>
      </c>
      <c r="G298" s="8"/>
      <c r="H298" s="8"/>
      <c r="I298" s="9" t="e">
        <f>VLOOKUP($B298,#REF!,19,FALSE)</f>
        <v>#REF!</v>
      </c>
      <c r="J298" s="9" t="e">
        <f>VLOOKUP($B298,#REF!,6,FALSE)</f>
        <v>#REF!</v>
      </c>
      <c r="L298" s="1">
        <v>44653.013888887945</v>
      </c>
      <c r="M298" s="13"/>
    </row>
    <row r="299" spans="2:13">
      <c r="B299" s="5"/>
      <c r="C299" s="6" t="e">
        <f>VLOOKUP($B299,#REF!,5,FALSE)</f>
        <v>#REF!</v>
      </c>
      <c r="D299" s="6" t="e">
        <f>VLOOKUP($B299,#REF!,6,FALSE)</f>
        <v>#REF!</v>
      </c>
      <c r="E299" s="7" t="e">
        <f>VLOOKUP($B299,#REF!,17,FALSE)</f>
        <v>#REF!</v>
      </c>
      <c r="F299" s="8" t="e">
        <f>VLOOKUP($B299,#REF!,7,FALSE)</f>
        <v>#REF!</v>
      </c>
      <c r="G299" s="8"/>
      <c r="H299" s="8"/>
      <c r="I299" s="9" t="e">
        <f>VLOOKUP($B299,#REF!,19,FALSE)</f>
        <v>#REF!</v>
      </c>
      <c r="J299" s="9" t="e">
        <f>VLOOKUP($B299,#REF!,6,FALSE)</f>
        <v>#REF!</v>
      </c>
      <c r="L299" s="1">
        <v>44653.017361110164</v>
      </c>
      <c r="M299" s="13"/>
    </row>
    <row r="300" spans="2:13">
      <c r="B300" s="5"/>
      <c r="C300" s="6" t="e">
        <f>VLOOKUP($B300,#REF!,5,FALSE)</f>
        <v>#REF!</v>
      </c>
      <c r="D300" s="6" t="e">
        <f>VLOOKUP($B300,#REF!,6,FALSE)</f>
        <v>#REF!</v>
      </c>
      <c r="E300" s="7" t="e">
        <f>VLOOKUP($B300,#REF!,17,FALSE)</f>
        <v>#REF!</v>
      </c>
      <c r="F300" s="8" t="e">
        <f>VLOOKUP($B300,#REF!,7,FALSE)</f>
        <v>#REF!</v>
      </c>
      <c r="G300" s="8"/>
      <c r="H300" s="8"/>
      <c r="I300" s="9" t="e">
        <f>VLOOKUP($B300,#REF!,19,FALSE)</f>
        <v>#REF!</v>
      </c>
      <c r="J300" s="9" t="e">
        <f>VLOOKUP($B300,#REF!,6,FALSE)</f>
        <v>#REF!</v>
      </c>
      <c r="L300" s="1">
        <v>44653.020833332383</v>
      </c>
      <c r="M300" s="13"/>
    </row>
    <row r="301" spans="2:13">
      <c r="B301" s="5"/>
      <c r="C301" s="6" t="e">
        <f>VLOOKUP($B301,#REF!,5,FALSE)</f>
        <v>#REF!</v>
      </c>
      <c r="D301" s="6" t="e">
        <f>VLOOKUP($B301,#REF!,6,FALSE)</f>
        <v>#REF!</v>
      </c>
      <c r="E301" s="7" t="e">
        <f>VLOOKUP($B301,#REF!,17,FALSE)</f>
        <v>#REF!</v>
      </c>
      <c r="F301" s="8" t="e">
        <f>VLOOKUP($B301,#REF!,7,FALSE)</f>
        <v>#REF!</v>
      </c>
      <c r="G301" s="8"/>
      <c r="H301" s="8"/>
      <c r="I301" s="9" t="e">
        <f>VLOOKUP($B301,#REF!,19,FALSE)</f>
        <v>#REF!</v>
      </c>
      <c r="J301" s="9" t="e">
        <f>VLOOKUP($B301,#REF!,6,FALSE)</f>
        <v>#REF!</v>
      </c>
      <c r="L301" s="1">
        <v>44653.024305554602</v>
      </c>
      <c r="M301" s="13"/>
    </row>
    <row r="302" spans="2:13">
      <c r="B302" s="5"/>
      <c r="C302" s="6" t="e">
        <f>VLOOKUP($B302,#REF!,5,FALSE)</f>
        <v>#REF!</v>
      </c>
      <c r="D302" s="6" t="e">
        <f>VLOOKUP($B302,#REF!,6,FALSE)</f>
        <v>#REF!</v>
      </c>
      <c r="E302" s="7" t="e">
        <f>VLOOKUP($B302,#REF!,17,FALSE)</f>
        <v>#REF!</v>
      </c>
      <c r="F302" s="8" t="e">
        <f>VLOOKUP($B302,#REF!,7,FALSE)</f>
        <v>#REF!</v>
      </c>
      <c r="G302" s="8"/>
      <c r="H302" s="8"/>
      <c r="I302" s="9" t="e">
        <f>VLOOKUP($B302,#REF!,19,FALSE)</f>
        <v>#REF!</v>
      </c>
      <c r="J302" s="9" t="e">
        <f>VLOOKUP($B302,#REF!,6,FALSE)</f>
        <v>#REF!</v>
      </c>
      <c r="L302" s="1">
        <v>44653.027777776821</v>
      </c>
      <c r="M302" s="13"/>
    </row>
    <row r="303" spans="2:13">
      <c r="B303" s="5"/>
      <c r="C303" s="6" t="e">
        <f>VLOOKUP($B303,#REF!,5,FALSE)</f>
        <v>#REF!</v>
      </c>
      <c r="D303" s="6" t="e">
        <f>VLOOKUP($B303,#REF!,6,FALSE)</f>
        <v>#REF!</v>
      </c>
      <c r="E303" s="7" t="e">
        <f>VLOOKUP($B303,#REF!,17,FALSE)</f>
        <v>#REF!</v>
      </c>
      <c r="F303" s="8" t="e">
        <f>VLOOKUP($B303,#REF!,7,FALSE)</f>
        <v>#REF!</v>
      </c>
      <c r="G303" s="8"/>
      <c r="H303" s="8"/>
      <c r="I303" s="9" t="e">
        <f>VLOOKUP($B303,#REF!,19,FALSE)</f>
        <v>#REF!</v>
      </c>
      <c r="J303" s="9" t="e">
        <f>VLOOKUP($B303,#REF!,6,FALSE)</f>
        <v>#REF!</v>
      </c>
      <c r="L303" s="1">
        <v>44653.03124999904</v>
      </c>
      <c r="M303" s="13"/>
    </row>
    <row r="304" spans="2:13">
      <c r="B304" s="5"/>
      <c r="C304" s="6" t="e">
        <f>VLOOKUP($B304,#REF!,5,FALSE)</f>
        <v>#REF!</v>
      </c>
      <c r="D304" s="6" t="e">
        <f>VLOOKUP($B304,#REF!,6,FALSE)</f>
        <v>#REF!</v>
      </c>
      <c r="E304" s="7" t="e">
        <f>VLOOKUP($B304,#REF!,17,FALSE)</f>
        <v>#REF!</v>
      </c>
      <c r="F304" s="8" t="e">
        <f>VLOOKUP($B304,#REF!,7,FALSE)</f>
        <v>#REF!</v>
      </c>
      <c r="G304" s="8"/>
      <c r="H304" s="8"/>
      <c r="I304" s="9" t="e">
        <f>VLOOKUP($B304,#REF!,19,FALSE)</f>
        <v>#REF!</v>
      </c>
      <c r="J304" s="9" t="e">
        <f>VLOOKUP($B304,#REF!,6,FALSE)</f>
        <v>#REF!</v>
      </c>
      <c r="L304" s="1">
        <v>44653.034722221259</v>
      </c>
      <c r="M304" s="13"/>
    </row>
    <row r="305" spans="2:13">
      <c r="B305" s="5"/>
      <c r="C305" s="6" t="e">
        <f>VLOOKUP($B305,#REF!,5,FALSE)</f>
        <v>#REF!</v>
      </c>
      <c r="D305" s="6" t="e">
        <f>VLOOKUP($B305,#REF!,6,FALSE)</f>
        <v>#REF!</v>
      </c>
      <c r="E305" s="7" t="e">
        <f>VLOOKUP($B305,#REF!,17,FALSE)</f>
        <v>#REF!</v>
      </c>
      <c r="F305" s="8" t="e">
        <f>VLOOKUP($B305,#REF!,7,FALSE)</f>
        <v>#REF!</v>
      </c>
      <c r="G305" s="8"/>
      <c r="H305" s="8"/>
      <c r="I305" s="9" t="e">
        <f>VLOOKUP($B305,#REF!,19,FALSE)</f>
        <v>#REF!</v>
      </c>
      <c r="J305" s="9" t="e">
        <f>VLOOKUP($B305,#REF!,6,FALSE)</f>
        <v>#REF!</v>
      </c>
      <c r="L305" s="1">
        <v>44653.038194443478</v>
      </c>
      <c r="M305" s="13"/>
    </row>
    <row r="306" spans="2:13">
      <c r="B306" s="5"/>
      <c r="C306" s="6" t="e">
        <f>VLOOKUP($B306,#REF!,5,FALSE)</f>
        <v>#REF!</v>
      </c>
      <c r="D306" s="6" t="e">
        <f>VLOOKUP($B306,#REF!,6,FALSE)</f>
        <v>#REF!</v>
      </c>
      <c r="E306" s="7" t="e">
        <f>VLOOKUP($B306,#REF!,17,FALSE)</f>
        <v>#REF!</v>
      </c>
      <c r="F306" s="8" t="e">
        <f>VLOOKUP($B306,#REF!,7,FALSE)</f>
        <v>#REF!</v>
      </c>
      <c r="G306" s="8"/>
      <c r="H306" s="8"/>
      <c r="I306" s="9" t="e">
        <f>VLOOKUP($B306,#REF!,19,FALSE)</f>
        <v>#REF!</v>
      </c>
      <c r="J306" s="9" t="e">
        <f>VLOOKUP($B306,#REF!,6,FALSE)</f>
        <v>#REF!</v>
      </c>
      <c r="L306" s="1">
        <v>44653.041666665697</v>
      </c>
      <c r="M306" s="13"/>
    </row>
    <row r="307" spans="2:13">
      <c r="B307" s="5"/>
      <c r="C307" s="6" t="e">
        <f>VLOOKUP($B307,#REF!,5,FALSE)</f>
        <v>#REF!</v>
      </c>
      <c r="D307" s="6" t="e">
        <f>VLOOKUP($B307,#REF!,6,FALSE)</f>
        <v>#REF!</v>
      </c>
      <c r="E307" s="7" t="e">
        <f>VLOOKUP($B307,#REF!,17,FALSE)</f>
        <v>#REF!</v>
      </c>
      <c r="F307" s="8" t="e">
        <f>VLOOKUP($B307,#REF!,7,FALSE)</f>
        <v>#REF!</v>
      </c>
      <c r="G307" s="8"/>
      <c r="H307" s="8"/>
      <c r="I307" s="9" t="e">
        <f>VLOOKUP($B307,#REF!,19,FALSE)</f>
        <v>#REF!</v>
      </c>
      <c r="J307" s="9" t="e">
        <f>VLOOKUP($B307,#REF!,6,FALSE)</f>
        <v>#REF!</v>
      </c>
      <c r="L307" s="1">
        <v>44653.045138887916</v>
      </c>
      <c r="M307" s="13"/>
    </row>
    <row r="308" spans="2:13">
      <c r="B308" s="5"/>
      <c r="C308" s="6" t="e">
        <f>VLOOKUP($B308,#REF!,5,FALSE)</f>
        <v>#REF!</v>
      </c>
      <c r="D308" s="6" t="e">
        <f>VLOOKUP($B308,#REF!,6,FALSE)</f>
        <v>#REF!</v>
      </c>
      <c r="E308" s="7" t="e">
        <f>VLOOKUP($B308,#REF!,17,FALSE)</f>
        <v>#REF!</v>
      </c>
      <c r="F308" s="8" t="e">
        <f>VLOOKUP($B308,#REF!,7,FALSE)</f>
        <v>#REF!</v>
      </c>
      <c r="G308" s="8"/>
      <c r="H308" s="8"/>
      <c r="I308" s="9" t="e">
        <f>VLOOKUP($B308,#REF!,19,FALSE)</f>
        <v>#REF!</v>
      </c>
      <c r="J308" s="9" t="e">
        <f>VLOOKUP($B308,#REF!,6,FALSE)</f>
        <v>#REF!</v>
      </c>
      <c r="L308" s="1">
        <v>44653.048611110135</v>
      </c>
      <c r="M308" s="13"/>
    </row>
    <row r="309" spans="2:13">
      <c r="B309" s="5"/>
      <c r="C309" s="6" t="e">
        <f>VLOOKUP($B309,#REF!,5,FALSE)</f>
        <v>#REF!</v>
      </c>
      <c r="D309" s="6" t="e">
        <f>VLOOKUP($B309,#REF!,6,FALSE)</f>
        <v>#REF!</v>
      </c>
      <c r="E309" s="7" t="e">
        <f>VLOOKUP($B309,#REF!,17,FALSE)</f>
        <v>#REF!</v>
      </c>
      <c r="F309" s="8" t="e">
        <f>VLOOKUP($B309,#REF!,7,FALSE)</f>
        <v>#REF!</v>
      </c>
      <c r="G309" s="8"/>
      <c r="H309" s="8"/>
      <c r="I309" s="9" t="e">
        <f>VLOOKUP($B309,#REF!,19,FALSE)</f>
        <v>#REF!</v>
      </c>
      <c r="J309" s="9" t="e">
        <f>VLOOKUP($B309,#REF!,6,FALSE)</f>
        <v>#REF!</v>
      </c>
      <c r="L309" s="1">
        <v>44653.052083332354</v>
      </c>
      <c r="M309" s="13"/>
    </row>
    <row r="310" spans="2:13">
      <c r="B310" s="5"/>
      <c r="C310" s="6" t="e">
        <f>VLOOKUP($B310,#REF!,5,FALSE)</f>
        <v>#REF!</v>
      </c>
      <c r="D310" s="6" t="e">
        <f>VLOOKUP($B310,#REF!,6,FALSE)</f>
        <v>#REF!</v>
      </c>
      <c r="E310" s="7" t="e">
        <f>VLOOKUP($B310,#REF!,17,FALSE)</f>
        <v>#REF!</v>
      </c>
      <c r="F310" s="8" t="e">
        <f>VLOOKUP($B310,#REF!,7,FALSE)</f>
        <v>#REF!</v>
      </c>
      <c r="G310" s="8"/>
      <c r="H310" s="8"/>
      <c r="I310" s="9" t="e">
        <f>VLOOKUP($B310,#REF!,19,FALSE)</f>
        <v>#REF!</v>
      </c>
      <c r="J310" s="9" t="e">
        <f>VLOOKUP($B310,#REF!,6,FALSE)</f>
        <v>#REF!</v>
      </c>
      <c r="L310" s="1">
        <v>44653.055555554572</v>
      </c>
      <c r="M310" s="13"/>
    </row>
    <row r="311" spans="2:13">
      <c r="B311" s="5"/>
      <c r="C311" s="6" t="e">
        <f>VLOOKUP($B311,#REF!,5,FALSE)</f>
        <v>#REF!</v>
      </c>
      <c r="D311" s="6" t="e">
        <f>VLOOKUP($B311,#REF!,6,FALSE)</f>
        <v>#REF!</v>
      </c>
      <c r="E311" s="7" t="e">
        <f>VLOOKUP($B311,#REF!,17,FALSE)</f>
        <v>#REF!</v>
      </c>
      <c r="F311" s="8" t="e">
        <f>VLOOKUP($B311,#REF!,7,FALSE)</f>
        <v>#REF!</v>
      </c>
      <c r="G311" s="8"/>
      <c r="H311" s="8"/>
      <c r="I311" s="9" t="e">
        <f>VLOOKUP($B311,#REF!,19,FALSE)</f>
        <v>#REF!</v>
      </c>
      <c r="J311" s="9" t="e">
        <f>VLOOKUP($B311,#REF!,6,FALSE)</f>
        <v>#REF!</v>
      </c>
      <c r="L311" s="1">
        <v>44653.059027776791</v>
      </c>
      <c r="M311" s="13"/>
    </row>
    <row r="312" spans="2:13">
      <c r="B312" s="5"/>
      <c r="C312" s="6" t="e">
        <f>VLOOKUP($B312,#REF!,5,FALSE)</f>
        <v>#REF!</v>
      </c>
      <c r="D312" s="6" t="e">
        <f>VLOOKUP($B312,#REF!,6,FALSE)</f>
        <v>#REF!</v>
      </c>
      <c r="E312" s="7" t="e">
        <f>VLOOKUP($B312,#REF!,17,FALSE)</f>
        <v>#REF!</v>
      </c>
      <c r="F312" s="8" t="e">
        <f>VLOOKUP($B312,#REF!,7,FALSE)</f>
        <v>#REF!</v>
      </c>
      <c r="G312" s="8"/>
      <c r="H312" s="8"/>
      <c r="I312" s="9" t="e">
        <f>VLOOKUP($B312,#REF!,19,FALSE)</f>
        <v>#REF!</v>
      </c>
      <c r="J312" s="9" t="e">
        <f>VLOOKUP($B312,#REF!,6,FALSE)</f>
        <v>#REF!</v>
      </c>
      <c r="L312" s="1">
        <v>44653.06249999901</v>
      </c>
      <c r="M312" s="13"/>
    </row>
    <row r="313" spans="2:13">
      <c r="B313" s="5"/>
      <c r="C313" s="6" t="e">
        <f>VLOOKUP($B313,#REF!,5,FALSE)</f>
        <v>#REF!</v>
      </c>
      <c r="D313" s="6" t="e">
        <f>VLOOKUP($B313,#REF!,6,FALSE)</f>
        <v>#REF!</v>
      </c>
      <c r="E313" s="7" t="e">
        <f>VLOOKUP($B313,#REF!,17,FALSE)</f>
        <v>#REF!</v>
      </c>
      <c r="F313" s="8" t="e">
        <f>VLOOKUP($B313,#REF!,7,FALSE)</f>
        <v>#REF!</v>
      </c>
      <c r="G313" s="8"/>
      <c r="H313" s="8"/>
      <c r="I313" s="9" t="e">
        <f>VLOOKUP($B313,#REF!,19,FALSE)</f>
        <v>#REF!</v>
      </c>
      <c r="J313" s="9" t="e">
        <f>VLOOKUP($B313,#REF!,6,FALSE)</f>
        <v>#REF!</v>
      </c>
      <c r="L313" s="1">
        <v>44653.065972221229</v>
      </c>
      <c r="M313" s="13"/>
    </row>
    <row r="314" spans="2:13">
      <c r="B314" s="5"/>
      <c r="C314" s="6" t="e">
        <f>VLOOKUP($B314,#REF!,5,FALSE)</f>
        <v>#REF!</v>
      </c>
      <c r="D314" s="6" t="e">
        <f>VLOOKUP($B314,#REF!,6,FALSE)</f>
        <v>#REF!</v>
      </c>
      <c r="E314" s="7" t="e">
        <f>VLOOKUP($B314,#REF!,17,FALSE)</f>
        <v>#REF!</v>
      </c>
      <c r="F314" s="8" t="e">
        <f>VLOOKUP($B314,#REF!,7,FALSE)</f>
        <v>#REF!</v>
      </c>
      <c r="G314" s="8"/>
      <c r="H314" s="8"/>
      <c r="I314" s="9" t="e">
        <f>VLOOKUP($B314,#REF!,19,FALSE)</f>
        <v>#REF!</v>
      </c>
      <c r="J314" s="9" t="e">
        <f>VLOOKUP($B314,#REF!,6,FALSE)</f>
        <v>#REF!</v>
      </c>
      <c r="L314" s="1">
        <v>44653.069444443448</v>
      </c>
      <c r="M314" s="13"/>
    </row>
    <row r="315" spans="2:13">
      <c r="B315" s="5"/>
      <c r="C315" s="6" t="e">
        <f>VLOOKUP($B315,#REF!,5,FALSE)</f>
        <v>#REF!</v>
      </c>
      <c r="D315" s="6" t="e">
        <f>VLOOKUP($B315,#REF!,6,FALSE)</f>
        <v>#REF!</v>
      </c>
      <c r="E315" s="7" t="e">
        <f>VLOOKUP($B315,#REF!,17,FALSE)</f>
        <v>#REF!</v>
      </c>
      <c r="F315" s="8" t="e">
        <f>VLOOKUP($B315,#REF!,7,FALSE)</f>
        <v>#REF!</v>
      </c>
      <c r="G315" s="8"/>
      <c r="H315" s="8"/>
      <c r="I315" s="9" t="e">
        <f>VLOOKUP($B315,#REF!,19,FALSE)</f>
        <v>#REF!</v>
      </c>
      <c r="J315" s="9" t="e">
        <f>VLOOKUP($B315,#REF!,6,FALSE)</f>
        <v>#REF!</v>
      </c>
      <c r="L315" s="1">
        <v>44653.072916665667</v>
      </c>
      <c r="M315" s="13"/>
    </row>
    <row r="316" spans="2:13">
      <c r="B316" s="5"/>
      <c r="C316" s="6" t="e">
        <f>VLOOKUP($B316,#REF!,5,FALSE)</f>
        <v>#REF!</v>
      </c>
      <c r="D316" s="6" t="e">
        <f>VLOOKUP($B316,#REF!,6,FALSE)</f>
        <v>#REF!</v>
      </c>
      <c r="E316" s="7" t="e">
        <f>VLOOKUP($B316,#REF!,17,FALSE)</f>
        <v>#REF!</v>
      </c>
      <c r="F316" s="8" t="e">
        <f>VLOOKUP($B316,#REF!,7,FALSE)</f>
        <v>#REF!</v>
      </c>
      <c r="G316" s="8"/>
      <c r="H316" s="8"/>
      <c r="I316" s="9" t="e">
        <f>VLOOKUP($B316,#REF!,19,FALSE)</f>
        <v>#REF!</v>
      </c>
      <c r="J316" s="9" t="e">
        <f>VLOOKUP($B316,#REF!,6,FALSE)</f>
        <v>#REF!</v>
      </c>
      <c r="L316" s="1">
        <v>44653.076388887886</v>
      </c>
      <c r="M316" s="13"/>
    </row>
    <row r="317" spans="2:13">
      <c r="B317" s="5"/>
      <c r="C317" s="6" t="e">
        <f>VLOOKUP($B317,#REF!,5,FALSE)</f>
        <v>#REF!</v>
      </c>
      <c r="D317" s="6" t="e">
        <f>VLOOKUP($B317,#REF!,6,FALSE)</f>
        <v>#REF!</v>
      </c>
      <c r="E317" s="7" t="e">
        <f>VLOOKUP($B317,#REF!,17,FALSE)</f>
        <v>#REF!</v>
      </c>
      <c r="F317" s="8" t="e">
        <f>VLOOKUP($B317,#REF!,7,FALSE)</f>
        <v>#REF!</v>
      </c>
      <c r="G317" s="8"/>
      <c r="H317" s="8"/>
      <c r="I317" s="9" t="e">
        <f>VLOOKUP($B317,#REF!,19,FALSE)</f>
        <v>#REF!</v>
      </c>
      <c r="J317" s="9" t="e">
        <f>VLOOKUP($B317,#REF!,6,FALSE)</f>
        <v>#REF!</v>
      </c>
      <c r="L317" s="1">
        <v>44653.079861110105</v>
      </c>
      <c r="M317" s="13"/>
    </row>
    <row r="318" spans="2:13">
      <c r="B318" s="5"/>
      <c r="C318" s="6" t="e">
        <f>VLOOKUP($B318,#REF!,5,FALSE)</f>
        <v>#REF!</v>
      </c>
      <c r="D318" s="6" t="e">
        <f>VLOOKUP($B318,#REF!,6,FALSE)</f>
        <v>#REF!</v>
      </c>
      <c r="E318" s="7" t="e">
        <f>VLOOKUP($B318,#REF!,17,FALSE)</f>
        <v>#REF!</v>
      </c>
      <c r="F318" s="8" t="e">
        <f>VLOOKUP($B318,#REF!,7,FALSE)</f>
        <v>#REF!</v>
      </c>
      <c r="G318" s="8"/>
      <c r="H318" s="8"/>
      <c r="I318" s="9" t="e">
        <f>VLOOKUP($B318,#REF!,19,FALSE)</f>
        <v>#REF!</v>
      </c>
      <c r="J318" s="9" t="e">
        <f>VLOOKUP($B318,#REF!,6,FALSE)</f>
        <v>#REF!</v>
      </c>
      <c r="L318" s="1">
        <v>44653.083333332324</v>
      </c>
      <c r="M318" s="13"/>
    </row>
    <row r="319" spans="2:13">
      <c r="B319" s="5"/>
      <c r="C319" s="6" t="e">
        <f>VLOOKUP($B319,#REF!,5,FALSE)</f>
        <v>#REF!</v>
      </c>
      <c r="D319" s="6" t="e">
        <f>VLOOKUP($B319,#REF!,6,FALSE)</f>
        <v>#REF!</v>
      </c>
      <c r="E319" s="7" t="e">
        <f>VLOOKUP($B319,#REF!,17,FALSE)</f>
        <v>#REF!</v>
      </c>
      <c r="F319" s="8" t="e">
        <f>VLOOKUP($B319,#REF!,7,FALSE)</f>
        <v>#REF!</v>
      </c>
      <c r="G319" s="8"/>
      <c r="H319" s="8"/>
      <c r="I319" s="9" t="e">
        <f>VLOOKUP($B319,#REF!,19,FALSE)</f>
        <v>#REF!</v>
      </c>
      <c r="J319" s="9" t="e">
        <f>VLOOKUP($B319,#REF!,6,FALSE)</f>
        <v>#REF!</v>
      </c>
      <c r="L319" s="1">
        <v>44653.086805554543</v>
      </c>
      <c r="M319" s="13"/>
    </row>
    <row r="320" spans="2:13">
      <c r="B320" s="5"/>
      <c r="C320" s="6" t="e">
        <f>VLOOKUP($B320,#REF!,5,FALSE)</f>
        <v>#REF!</v>
      </c>
      <c r="D320" s="6" t="e">
        <f>VLOOKUP($B320,#REF!,6,FALSE)</f>
        <v>#REF!</v>
      </c>
      <c r="E320" s="7" t="e">
        <f>VLOOKUP($B320,#REF!,17,FALSE)</f>
        <v>#REF!</v>
      </c>
      <c r="F320" s="8" t="e">
        <f>VLOOKUP($B320,#REF!,7,FALSE)</f>
        <v>#REF!</v>
      </c>
      <c r="G320" s="8"/>
      <c r="H320" s="8"/>
      <c r="I320" s="9" t="e">
        <f>VLOOKUP($B320,#REF!,19,FALSE)</f>
        <v>#REF!</v>
      </c>
      <c r="J320" s="9" t="e">
        <f>VLOOKUP($B320,#REF!,6,FALSE)</f>
        <v>#REF!</v>
      </c>
      <c r="L320" s="1">
        <v>44653.090277776762</v>
      </c>
      <c r="M320" s="13"/>
    </row>
    <row r="321" spans="2:13">
      <c r="B321" s="5"/>
      <c r="C321" s="6" t="e">
        <f>VLOOKUP($B321,#REF!,5,FALSE)</f>
        <v>#REF!</v>
      </c>
      <c r="D321" s="6" t="e">
        <f>VLOOKUP($B321,#REF!,6,FALSE)</f>
        <v>#REF!</v>
      </c>
      <c r="E321" s="7" t="e">
        <f>VLOOKUP($B321,#REF!,17,FALSE)</f>
        <v>#REF!</v>
      </c>
      <c r="F321" s="8" t="e">
        <f>VLOOKUP($B321,#REF!,7,FALSE)</f>
        <v>#REF!</v>
      </c>
      <c r="G321" s="8"/>
      <c r="H321" s="8"/>
      <c r="I321" s="9" t="e">
        <f>VLOOKUP($B321,#REF!,19,FALSE)</f>
        <v>#REF!</v>
      </c>
      <c r="J321" s="9" t="e">
        <f>VLOOKUP($B321,#REF!,6,FALSE)</f>
        <v>#REF!</v>
      </c>
      <c r="L321" s="1">
        <v>44653.093749998981</v>
      </c>
      <c r="M321" s="13"/>
    </row>
    <row r="322" spans="2:13">
      <c r="B322" s="5"/>
      <c r="C322" s="6" t="e">
        <f>VLOOKUP($B322,#REF!,5,FALSE)</f>
        <v>#REF!</v>
      </c>
      <c r="D322" s="6" t="e">
        <f>VLOOKUP($B322,#REF!,6,FALSE)</f>
        <v>#REF!</v>
      </c>
      <c r="E322" s="7" t="e">
        <f>VLOOKUP($B322,#REF!,17,FALSE)</f>
        <v>#REF!</v>
      </c>
      <c r="F322" s="8" t="e">
        <f>VLOOKUP($B322,#REF!,7,FALSE)</f>
        <v>#REF!</v>
      </c>
      <c r="G322" s="8"/>
      <c r="H322" s="8"/>
      <c r="I322" s="9" t="e">
        <f>VLOOKUP($B322,#REF!,19,FALSE)</f>
        <v>#REF!</v>
      </c>
      <c r="J322" s="9" t="e">
        <f>VLOOKUP($B322,#REF!,6,FALSE)</f>
        <v>#REF!</v>
      </c>
      <c r="L322" s="1">
        <v>44653.0972222212</v>
      </c>
      <c r="M322" s="13"/>
    </row>
    <row r="323" spans="2:13">
      <c r="B323" s="5"/>
      <c r="C323" s="6" t="e">
        <f>VLOOKUP($B323,#REF!,5,FALSE)</f>
        <v>#REF!</v>
      </c>
      <c r="D323" s="6" t="e">
        <f>VLOOKUP($B323,#REF!,6,FALSE)</f>
        <v>#REF!</v>
      </c>
      <c r="E323" s="7" t="e">
        <f>VLOOKUP($B323,#REF!,17,FALSE)</f>
        <v>#REF!</v>
      </c>
      <c r="F323" s="8" t="e">
        <f>VLOOKUP($B323,#REF!,7,FALSE)</f>
        <v>#REF!</v>
      </c>
      <c r="G323" s="8"/>
      <c r="H323" s="8"/>
      <c r="I323" s="9" t="e">
        <f>VLOOKUP($B323,#REF!,19,FALSE)</f>
        <v>#REF!</v>
      </c>
      <c r="J323" s="9" t="e">
        <f>VLOOKUP($B323,#REF!,6,FALSE)</f>
        <v>#REF!</v>
      </c>
      <c r="L323" s="1">
        <v>44653.100694443419</v>
      </c>
      <c r="M323" s="13"/>
    </row>
    <row r="324" spans="2:13">
      <c r="B324" s="5"/>
      <c r="C324" s="6" t="e">
        <f>VLOOKUP($B324,#REF!,5,FALSE)</f>
        <v>#REF!</v>
      </c>
      <c r="D324" s="6" t="e">
        <f>VLOOKUP($B324,#REF!,6,FALSE)</f>
        <v>#REF!</v>
      </c>
      <c r="E324" s="7" t="e">
        <f>VLOOKUP($B324,#REF!,17,FALSE)</f>
        <v>#REF!</v>
      </c>
      <c r="F324" s="8" t="e">
        <f>VLOOKUP($B324,#REF!,7,FALSE)</f>
        <v>#REF!</v>
      </c>
      <c r="G324" s="8"/>
      <c r="H324" s="8"/>
      <c r="I324" s="9" t="e">
        <f>VLOOKUP($B324,#REF!,19,FALSE)</f>
        <v>#REF!</v>
      </c>
      <c r="J324" s="9" t="e">
        <f>VLOOKUP($B324,#REF!,6,FALSE)</f>
        <v>#REF!</v>
      </c>
      <c r="L324" s="1">
        <v>44653.104166665638</v>
      </c>
      <c r="M324" s="13"/>
    </row>
    <row r="325" spans="2:13">
      <c r="B325" s="5"/>
      <c r="C325" s="6" t="e">
        <f>VLOOKUP($B325,#REF!,5,FALSE)</f>
        <v>#REF!</v>
      </c>
      <c r="D325" s="6" t="e">
        <f>VLOOKUP($B325,#REF!,6,FALSE)</f>
        <v>#REF!</v>
      </c>
      <c r="E325" s="7" t="e">
        <f>VLOOKUP($B325,#REF!,17,FALSE)</f>
        <v>#REF!</v>
      </c>
      <c r="F325" s="8" t="e">
        <f>VLOOKUP($B325,#REF!,7,FALSE)</f>
        <v>#REF!</v>
      </c>
      <c r="G325" s="8"/>
      <c r="H325" s="8"/>
      <c r="I325" s="9" t="e">
        <f>VLOOKUP($B325,#REF!,19,FALSE)</f>
        <v>#REF!</v>
      </c>
      <c r="J325" s="9" t="e">
        <f>VLOOKUP($B325,#REF!,6,FALSE)</f>
        <v>#REF!</v>
      </c>
      <c r="L325" s="1">
        <v>44653.107638887857</v>
      </c>
      <c r="M325" s="13"/>
    </row>
    <row r="326" spans="2:13">
      <c r="B326" s="5"/>
      <c r="C326" s="6" t="e">
        <f>VLOOKUP($B326,#REF!,5,FALSE)</f>
        <v>#REF!</v>
      </c>
      <c r="D326" s="6" t="e">
        <f>VLOOKUP($B326,#REF!,6,FALSE)</f>
        <v>#REF!</v>
      </c>
      <c r="E326" s="7" t="e">
        <f>VLOOKUP($B326,#REF!,17,FALSE)</f>
        <v>#REF!</v>
      </c>
      <c r="F326" s="8" t="e">
        <f>VLOOKUP($B326,#REF!,7,FALSE)</f>
        <v>#REF!</v>
      </c>
      <c r="G326" s="8"/>
      <c r="H326" s="8"/>
      <c r="I326" s="9" t="e">
        <f>VLOOKUP($B326,#REF!,19,FALSE)</f>
        <v>#REF!</v>
      </c>
      <c r="J326" s="9" t="e">
        <f>VLOOKUP($B326,#REF!,6,FALSE)</f>
        <v>#REF!</v>
      </c>
      <c r="L326" s="1">
        <v>44653.111111110076</v>
      </c>
      <c r="M326" s="13"/>
    </row>
    <row r="327" spans="2:13">
      <c r="B327" s="5"/>
      <c r="C327" s="6" t="e">
        <f>VLOOKUP($B327,#REF!,5,FALSE)</f>
        <v>#REF!</v>
      </c>
      <c r="D327" s="6" t="e">
        <f>VLOOKUP($B327,#REF!,6,FALSE)</f>
        <v>#REF!</v>
      </c>
      <c r="E327" s="7" t="e">
        <f>VLOOKUP($B327,#REF!,17,FALSE)</f>
        <v>#REF!</v>
      </c>
      <c r="F327" s="8" t="e">
        <f>VLOOKUP($B327,#REF!,7,FALSE)</f>
        <v>#REF!</v>
      </c>
      <c r="G327" s="8"/>
      <c r="H327" s="8"/>
      <c r="I327" s="9" t="e">
        <f>VLOOKUP($B327,#REF!,19,FALSE)</f>
        <v>#REF!</v>
      </c>
      <c r="J327" s="9" t="e">
        <f>VLOOKUP($B327,#REF!,6,FALSE)</f>
        <v>#REF!</v>
      </c>
      <c r="L327" s="1">
        <v>44653.114583332295</v>
      </c>
      <c r="M327" s="13"/>
    </row>
    <row r="328" spans="2:13">
      <c r="B328" s="5"/>
      <c r="C328" s="6" t="e">
        <f>VLOOKUP($B328,#REF!,5,FALSE)</f>
        <v>#REF!</v>
      </c>
      <c r="D328" s="6" t="e">
        <f>VLOOKUP($B328,#REF!,6,FALSE)</f>
        <v>#REF!</v>
      </c>
      <c r="E328" s="7" t="e">
        <f>VLOOKUP($B328,#REF!,17,FALSE)</f>
        <v>#REF!</v>
      </c>
      <c r="F328" s="8" t="e">
        <f>VLOOKUP($B328,#REF!,7,FALSE)</f>
        <v>#REF!</v>
      </c>
      <c r="G328" s="8"/>
      <c r="H328" s="8"/>
      <c r="I328" s="9" t="e">
        <f>VLOOKUP($B328,#REF!,19,FALSE)</f>
        <v>#REF!</v>
      </c>
      <c r="J328" s="9" t="e">
        <f>VLOOKUP($B328,#REF!,6,FALSE)</f>
        <v>#REF!</v>
      </c>
      <c r="L328" s="1">
        <v>44653.118055554514</v>
      </c>
      <c r="M328" s="13"/>
    </row>
    <row r="329" spans="2:13">
      <c r="B329" s="5"/>
      <c r="C329" s="6" t="e">
        <f>VLOOKUP($B329,#REF!,5,FALSE)</f>
        <v>#REF!</v>
      </c>
      <c r="D329" s="6" t="e">
        <f>VLOOKUP($B329,#REF!,6,FALSE)</f>
        <v>#REF!</v>
      </c>
      <c r="E329" s="7" t="e">
        <f>VLOOKUP($B329,#REF!,17,FALSE)</f>
        <v>#REF!</v>
      </c>
      <c r="F329" s="8" t="e">
        <f>VLOOKUP($B329,#REF!,7,FALSE)</f>
        <v>#REF!</v>
      </c>
      <c r="G329" s="8"/>
      <c r="H329" s="8"/>
      <c r="I329" s="9" t="e">
        <f>VLOOKUP($B329,#REF!,19,FALSE)</f>
        <v>#REF!</v>
      </c>
      <c r="J329" s="9" t="e">
        <f>VLOOKUP($B329,#REF!,6,FALSE)</f>
        <v>#REF!</v>
      </c>
      <c r="L329" s="1">
        <v>44653.121527776733</v>
      </c>
      <c r="M329" s="13"/>
    </row>
    <row r="330" spans="2:13">
      <c r="B330" s="5"/>
      <c r="C330" s="6" t="e">
        <f>VLOOKUP($B330,#REF!,5,FALSE)</f>
        <v>#REF!</v>
      </c>
      <c r="D330" s="6" t="e">
        <f>VLOOKUP($B330,#REF!,6,FALSE)</f>
        <v>#REF!</v>
      </c>
      <c r="E330" s="7" t="e">
        <f>VLOOKUP($B330,#REF!,17,FALSE)</f>
        <v>#REF!</v>
      </c>
      <c r="F330" s="8" t="e">
        <f>VLOOKUP($B330,#REF!,7,FALSE)</f>
        <v>#REF!</v>
      </c>
      <c r="G330" s="8"/>
      <c r="H330" s="8"/>
      <c r="I330" s="9" t="e">
        <f>VLOOKUP($B330,#REF!,19,FALSE)</f>
        <v>#REF!</v>
      </c>
      <c r="J330" s="9" t="e">
        <f>VLOOKUP($B330,#REF!,6,FALSE)</f>
        <v>#REF!</v>
      </c>
      <c r="L330" s="1">
        <v>44653.124999998952</v>
      </c>
      <c r="M330" s="13"/>
    </row>
    <row r="331" spans="2:13">
      <c r="B331" s="5"/>
      <c r="C331" s="6" t="e">
        <f>VLOOKUP($B331,#REF!,5,FALSE)</f>
        <v>#REF!</v>
      </c>
      <c r="D331" s="6" t="e">
        <f>VLOOKUP($B331,#REF!,6,FALSE)</f>
        <v>#REF!</v>
      </c>
      <c r="E331" s="7" t="e">
        <f>VLOOKUP($B331,#REF!,17,FALSE)</f>
        <v>#REF!</v>
      </c>
      <c r="F331" s="8" t="e">
        <f>VLOOKUP($B331,#REF!,7,FALSE)</f>
        <v>#REF!</v>
      </c>
      <c r="G331" s="8"/>
      <c r="H331" s="8"/>
      <c r="I331" s="9" t="e">
        <f>VLOOKUP($B331,#REF!,19,FALSE)</f>
        <v>#REF!</v>
      </c>
      <c r="J331" s="9" t="e">
        <f>VLOOKUP($B331,#REF!,6,FALSE)</f>
        <v>#REF!</v>
      </c>
      <c r="L331" s="1">
        <v>44653.128472221171</v>
      </c>
      <c r="M331" s="13"/>
    </row>
    <row r="332" spans="2:13">
      <c r="B332" s="5"/>
      <c r="C332" s="6" t="e">
        <f>VLOOKUP($B332,#REF!,5,FALSE)</f>
        <v>#REF!</v>
      </c>
      <c r="D332" s="6" t="e">
        <f>VLOOKUP($B332,#REF!,6,FALSE)</f>
        <v>#REF!</v>
      </c>
      <c r="E332" s="7" t="e">
        <f>VLOOKUP($B332,#REF!,17,FALSE)</f>
        <v>#REF!</v>
      </c>
      <c r="F332" s="8" t="e">
        <f>VLOOKUP($B332,#REF!,7,FALSE)</f>
        <v>#REF!</v>
      </c>
      <c r="G332" s="8"/>
      <c r="H332" s="8"/>
      <c r="I332" s="9" t="e">
        <f>VLOOKUP($B332,#REF!,19,FALSE)</f>
        <v>#REF!</v>
      </c>
      <c r="J332" s="9" t="e">
        <f>VLOOKUP($B332,#REF!,6,FALSE)</f>
        <v>#REF!</v>
      </c>
      <c r="L332" s="1">
        <v>44653.13194444339</v>
      </c>
      <c r="M332" s="13"/>
    </row>
    <row r="333" spans="2:13">
      <c r="B333" s="5"/>
      <c r="C333" s="6" t="e">
        <f>VLOOKUP($B333,#REF!,5,FALSE)</f>
        <v>#REF!</v>
      </c>
      <c r="D333" s="6" t="e">
        <f>VLOOKUP($B333,#REF!,6,FALSE)</f>
        <v>#REF!</v>
      </c>
      <c r="E333" s="7" t="e">
        <f>VLOOKUP($B333,#REF!,17,FALSE)</f>
        <v>#REF!</v>
      </c>
      <c r="F333" s="8" t="e">
        <f>VLOOKUP($B333,#REF!,7,FALSE)</f>
        <v>#REF!</v>
      </c>
      <c r="G333" s="8"/>
      <c r="H333" s="8"/>
      <c r="I333" s="9" t="e">
        <f>VLOOKUP($B333,#REF!,19,FALSE)</f>
        <v>#REF!</v>
      </c>
      <c r="J333" s="9" t="e">
        <f>VLOOKUP($B333,#REF!,6,FALSE)</f>
        <v>#REF!</v>
      </c>
      <c r="L333" s="1">
        <v>44653.135416665609</v>
      </c>
      <c r="M333" s="13"/>
    </row>
    <row r="334" spans="2:13">
      <c r="B334" s="5"/>
      <c r="C334" s="6" t="e">
        <f>VLOOKUP($B334,#REF!,5,FALSE)</f>
        <v>#REF!</v>
      </c>
      <c r="D334" s="6" t="e">
        <f>VLOOKUP($B334,#REF!,6,FALSE)</f>
        <v>#REF!</v>
      </c>
      <c r="E334" s="7" t="e">
        <f>VLOOKUP($B334,#REF!,17,FALSE)</f>
        <v>#REF!</v>
      </c>
      <c r="F334" s="8" t="e">
        <f>VLOOKUP($B334,#REF!,7,FALSE)</f>
        <v>#REF!</v>
      </c>
      <c r="G334" s="8"/>
      <c r="H334" s="8"/>
      <c r="I334" s="9" t="e">
        <f>VLOOKUP($B334,#REF!,19,FALSE)</f>
        <v>#REF!</v>
      </c>
      <c r="J334" s="9" t="e">
        <f>VLOOKUP($B334,#REF!,6,FALSE)</f>
        <v>#REF!</v>
      </c>
      <c r="L334" s="1">
        <v>44653.138888887828</v>
      </c>
      <c r="M334" s="13"/>
    </row>
    <row r="335" spans="2:13">
      <c r="B335" s="5"/>
      <c r="C335" s="6" t="e">
        <f>VLOOKUP($B335,#REF!,5,FALSE)</f>
        <v>#REF!</v>
      </c>
      <c r="D335" s="6" t="e">
        <f>VLOOKUP($B335,#REF!,6,FALSE)</f>
        <v>#REF!</v>
      </c>
      <c r="E335" s="7" t="e">
        <f>VLOOKUP($B335,#REF!,17,FALSE)</f>
        <v>#REF!</v>
      </c>
      <c r="F335" s="8" t="e">
        <f>VLOOKUP($B335,#REF!,7,FALSE)</f>
        <v>#REF!</v>
      </c>
      <c r="G335" s="8"/>
      <c r="H335" s="8"/>
      <c r="I335" s="9" t="e">
        <f>VLOOKUP($B335,#REF!,19,FALSE)</f>
        <v>#REF!</v>
      </c>
      <c r="J335" s="9" t="e">
        <f>VLOOKUP($B335,#REF!,6,FALSE)</f>
        <v>#REF!</v>
      </c>
      <c r="L335" s="1">
        <v>44653.142361110047</v>
      </c>
      <c r="M335" s="13"/>
    </row>
    <row r="336" spans="2:13">
      <c r="B336" s="5"/>
      <c r="C336" s="6" t="e">
        <f>VLOOKUP($B336,#REF!,5,FALSE)</f>
        <v>#REF!</v>
      </c>
      <c r="D336" s="6" t="e">
        <f>VLOOKUP($B336,#REF!,6,FALSE)</f>
        <v>#REF!</v>
      </c>
      <c r="E336" s="7" t="e">
        <f>VLOOKUP($B336,#REF!,17,FALSE)</f>
        <v>#REF!</v>
      </c>
      <c r="F336" s="8" t="e">
        <f>VLOOKUP($B336,#REF!,7,FALSE)</f>
        <v>#REF!</v>
      </c>
      <c r="G336" s="8"/>
      <c r="H336" s="8"/>
      <c r="I336" s="9" t="e">
        <f>VLOOKUP($B336,#REF!,19,FALSE)</f>
        <v>#REF!</v>
      </c>
      <c r="J336" s="9" t="e">
        <f>VLOOKUP($B336,#REF!,6,FALSE)</f>
        <v>#REF!</v>
      </c>
      <c r="L336" s="1">
        <v>44653.145833332266</v>
      </c>
      <c r="M336" s="13"/>
    </row>
    <row r="337" spans="2:13">
      <c r="B337" s="5"/>
      <c r="C337" s="6" t="e">
        <f>VLOOKUP($B337,#REF!,5,FALSE)</f>
        <v>#REF!</v>
      </c>
      <c r="D337" s="6" t="e">
        <f>VLOOKUP($B337,#REF!,6,FALSE)</f>
        <v>#REF!</v>
      </c>
      <c r="E337" s="7" t="e">
        <f>VLOOKUP($B337,#REF!,17,FALSE)</f>
        <v>#REF!</v>
      </c>
      <c r="F337" s="8" t="e">
        <f>VLOOKUP($B337,#REF!,7,FALSE)</f>
        <v>#REF!</v>
      </c>
      <c r="G337" s="8"/>
      <c r="H337" s="8"/>
      <c r="I337" s="9" t="e">
        <f>VLOOKUP($B337,#REF!,19,FALSE)</f>
        <v>#REF!</v>
      </c>
      <c r="J337" s="9" t="e">
        <f>VLOOKUP($B337,#REF!,6,FALSE)</f>
        <v>#REF!</v>
      </c>
      <c r="L337" s="1">
        <v>44653.149305554485</v>
      </c>
      <c r="M337" s="13"/>
    </row>
    <row r="338" spans="2:13">
      <c r="B338" s="5"/>
      <c r="C338" s="6" t="e">
        <f>VLOOKUP($B338,#REF!,5,FALSE)</f>
        <v>#REF!</v>
      </c>
      <c r="D338" s="6" t="e">
        <f>VLOOKUP($B338,#REF!,6,FALSE)</f>
        <v>#REF!</v>
      </c>
      <c r="E338" s="7" t="e">
        <f>VLOOKUP($B338,#REF!,17,FALSE)</f>
        <v>#REF!</v>
      </c>
      <c r="F338" s="8" t="e">
        <f>VLOOKUP($B338,#REF!,7,FALSE)</f>
        <v>#REF!</v>
      </c>
      <c r="G338" s="8"/>
      <c r="H338" s="8"/>
      <c r="I338" s="9" t="e">
        <f>VLOOKUP($B338,#REF!,19,FALSE)</f>
        <v>#REF!</v>
      </c>
      <c r="J338" s="9" t="e">
        <f>VLOOKUP($B338,#REF!,6,FALSE)</f>
        <v>#REF!</v>
      </c>
      <c r="L338" s="1">
        <v>44653.152777776704</v>
      </c>
      <c r="M338" s="13"/>
    </row>
    <row r="339" spans="2:13">
      <c r="B339" s="5"/>
      <c r="C339" s="6" t="e">
        <f>VLOOKUP($B339,#REF!,5,FALSE)</f>
        <v>#REF!</v>
      </c>
      <c r="D339" s="6" t="e">
        <f>VLOOKUP($B339,#REF!,6,FALSE)</f>
        <v>#REF!</v>
      </c>
      <c r="E339" s="7" t="e">
        <f>VLOOKUP($B339,#REF!,17,FALSE)</f>
        <v>#REF!</v>
      </c>
      <c r="F339" s="8" t="e">
        <f>VLOOKUP($B339,#REF!,7,FALSE)</f>
        <v>#REF!</v>
      </c>
      <c r="G339" s="8"/>
      <c r="H339" s="8"/>
      <c r="I339" s="9" t="e">
        <f>VLOOKUP($B339,#REF!,19,FALSE)</f>
        <v>#REF!</v>
      </c>
      <c r="J339" s="9" t="e">
        <f>VLOOKUP($B339,#REF!,6,FALSE)</f>
        <v>#REF!</v>
      </c>
      <c r="L339" s="1">
        <v>44653.156249998923</v>
      </c>
      <c r="M339" s="13"/>
    </row>
    <row r="340" spans="2:13">
      <c r="B340" s="5"/>
      <c r="C340" s="6" t="e">
        <f>VLOOKUP($B340,#REF!,5,FALSE)</f>
        <v>#REF!</v>
      </c>
      <c r="D340" s="6" t="e">
        <f>VLOOKUP($B340,#REF!,6,FALSE)</f>
        <v>#REF!</v>
      </c>
      <c r="E340" s="7" t="e">
        <f>VLOOKUP($B340,#REF!,17,FALSE)</f>
        <v>#REF!</v>
      </c>
      <c r="F340" s="8" t="e">
        <f>VLOOKUP($B340,#REF!,7,FALSE)</f>
        <v>#REF!</v>
      </c>
      <c r="G340" s="8"/>
      <c r="H340" s="8"/>
      <c r="I340" s="9" t="e">
        <f>VLOOKUP($B340,#REF!,19,FALSE)</f>
        <v>#REF!</v>
      </c>
      <c r="J340" s="9" t="e">
        <f>VLOOKUP($B340,#REF!,6,FALSE)</f>
        <v>#REF!</v>
      </c>
      <c r="L340" s="1">
        <v>44653.159722221142</v>
      </c>
      <c r="M340" s="13"/>
    </row>
    <row r="341" spans="2:13">
      <c r="B341" s="5"/>
      <c r="C341" s="6" t="e">
        <f>VLOOKUP($B341,#REF!,5,FALSE)</f>
        <v>#REF!</v>
      </c>
      <c r="D341" s="6" t="e">
        <f>VLOOKUP($B341,#REF!,6,FALSE)</f>
        <v>#REF!</v>
      </c>
      <c r="E341" s="7" t="e">
        <f>VLOOKUP($B341,#REF!,17,FALSE)</f>
        <v>#REF!</v>
      </c>
      <c r="F341" s="8" t="e">
        <f>VLOOKUP($B341,#REF!,7,FALSE)</f>
        <v>#REF!</v>
      </c>
      <c r="G341" s="8"/>
      <c r="H341" s="8"/>
      <c r="I341" s="9" t="e">
        <f>VLOOKUP($B341,#REF!,19,FALSE)</f>
        <v>#REF!</v>
      </c>
      <c r="J341" s="9" t="e">
        <f>VLOOKUP($B341,#REF!,6,FALSE)</f>
        <v>#REF!</v>
      </c>
      <c r="L341" s="1">
        <v>44653.163194443361</v>
      </c>
      <c r="M341" s="13"/>
    </row>
    <row r="342" spans="2:13">
      <c r="B342" s="5"/>
      <c r="C342" s="6" t="e">
        <f>VLOOKUP($B342,#REF!,5,FALSE)</f>
        <v>#REF!</v>
      </c>
      <c r="D342" s="6" t="e">
        <f>VLOOKUP($B342,#REF!,6,FALSE)</f>
        <v>#REF!</v>
      </c>
      <c r="E342" s="7" t="e">
        <f>VLOOKUP($B342,#REF!,17,FALSE)</f>
        <v>#REF!</v>
      </c>
      <c r="F342" s="8" t="e">
        <f>VLOOKUP($B342,#REF!,7,FALSE)</f>
        <v>#REF!</v>
      </c>
      <c r="G342" s="8"/>
      <c r="H342" s="8"/>
      <c r="I342" s="9" t="e">
        <f>VLOOKUP($B342,#REF!,19,FALSE)</f>
        <v>#REF!</v>
      </c>
      <c r="J342" s="9" t="e">
        <f>VLOOKUP($B342,#REF!,6,FALSE)</f>
        <v>#REF!</v>
      </c>
      <c r="L342" s="1">
        <v>44653.16666666558</v>
      </c>
      <c r="M342" s="13"/>
    </row>
    <row r="343" spans="2:13">
      <c r="B343" s="5"/>
      <c r="C343" s="6" t="e">
        <f>VLOOKUP($B343,#REF!,5,FALSE)</f>
        <v>#REF!</v>
      </c>
      <c r="D343" s="6" t="e">
        <f>VLOOKUP($B343,#REF!,6,FALSE)</f>
        <v>#REF!</v>
      </c>
      <c r="E343" s="7" t="e">
        <f>VLOOKUP($B343,#REF!,17,FALSE)</f>
        <v>#REF!</v>
      </c>
      <c r="F343" s="8" t="e">
        <f>VLOOKUP($B343,#REF!,7,FALSE)</f>
        <v>#REF!</v>
      </c>
      <c r="G343" s="8"/>
      <c r="H343" s="8"/>
      <c r="I343" s="9" t="e">
        <f>VLOOKUP($B343,#REF!,19,FALSE)</f>
        <v>#REF!</v>
      </c>
      <c r="J343" s="9" t="e">
        <f>VLOOKUP($B343,#REF!,6,FALSE)</f>
        <v>#REF!</v>
      </c>
      <c r="L343" s="1">
        <v>44653.170138887799</v>
      </c>
      <c r="M343" s="13"/>
    </row>
    <row r="344" spans="2:13">
      <c r="B344" s="5"/>
      <c r="C344" s="6" t="e">
        <f>VLOOKUP($B344,#REF!,5,FALSE)</f>
        <v>#REF!</v>
      </c>
      <c r="D344" s="6" t="e">
        <f>VLOOKUP($B344,#REF!,6,FALSE)</f>
        <v>#REF!</v>
      </c>
      <c r="E344" s="7" t="e">
        <f>VLOOKUP($B344,#REF!,17,FALSE)</f>
        <v>#REF!</v>
      </c>
      <c r="F344" s="8" t="e">
        <f>VLOOKUP($B344,#REF!,7,FALSE)</f>
        <v>#REF!</v>
      </c>
      <c r="G344" s="8"/>
      <c r="H344" s="8"/>
      <c r="I344" s="9" t="e">
        <f>VLOOKUP($B344,#REF!,19,FALSE)</f>
        <v>#REF!</v>
      </c>
      <c r="J344" s="9" t="e">
        <f>VLOOKUP($B344,#REF!,6,FALSE)</f>
        <v>#REF!</v>
      </c>
      <c r="L344" s="1">
        <v>44653.173611110018</v>
      </c>
      <c r="M344" s="13"/>
    </row>
    <row r="345" spans="2:13">
      <c r="B345" s="5"/>
      <c r="C345" s="6" t="e">
        <f>VLOOKUP($B345,#REF!,5,FALSE)</f>
        <v>#REF!</v>
      </c>
      <c r="D345" s="6" t="e">
        <f>VLOOKUP($B345,#REF!,6,FALSE)</f>
        <v>#REF!</v>
      </c>
      <c r="E345" s="7" t="e">
        <f>VLOOKUP($B345,#REF!,17,FALSE)</f>
        <v>#REF!</v>
      </c>
      <c r="F345" s="8" t="e">
        <f>VLOOKUP($B345,#REF!,7,FALSE)</f>
        <v>#REF!</v>
      </c>
      <c r="G345" s="8"/>
      <c r="H345" s="8"/>
      <c r="I345" s="9" t="e">
        <f>VLOOKUP($B345,#REF!,19,FALSE)</f>
        <v>#REF!</v>
      </c>
      <c r="J345" s="9" t="e">
        <f>VLOOKUP($B345,#REF!,6,FALSE)</f>
        <v>#REF!</v>
      </c>
      <c r="L345" s="1">
        <v>44653.177083332237</v>
      </c>
      <c r="M345" s="13"/>
    </row>
    <row r="346" spans="2:13">
      <c r="B346" s="5"/>
      <c r="C346" s="6" t="e">
        <f>VLOOKUP($B346,#REF!,5,FALSE)</f>
        <v>#REF!</v>
      </c>
      <c r="D346" s="6" t="e">
        <f>VLOOKUP($B346,#REF!,6,FALSE)</f>
        <v>#REF!</v>
      </c>
      <c r="E346" s="7" t="e">
        <f>VLOOKUP($B346,#REF!,17,FALSE)</f>
        <v>#REF!</v>
      </c>
      <c r="F346" s="8" t="e">
        <f>VLOOKUP($B346,#REF!,7,FALSE)</f>
        <v>#REF!</v>
      </c>
      <c r="G346" s="8"/>
      <c r="H346" s="8"/>
      <c r="I346" s="9" t="e">
        <f>VLOOKUP($B346,#REF!,19,FALSE)</f>
        <v>#REF!</v>
      </c>
      <c r="J346" s="9" t="e">
        <f>VLOOKUP($B346,#REF!,6,FALSE)</f>
        <v>#REF!</v>
      </c>
      <c r="L346" s="1">
        <v>44653.180555554456</v>
      </c>
      <c r="M346" s="13"/>
    </row>
    <row r="347" spans="2:13">
      <c r="B347" s="5"/>
      <c r="C347" s="6" t="e">
        <f>VLOOKUP($B347,#REF!,5,FALSE)</f>
        <v>#REF!</v>
      </c>
      <c r="D347" s="6" t="e">
        <f>VLOOKUP($B347,#REF!,6,FALSE)</f>
        <v>#REF!</v>
      </c>
      <c r="E347" s="7" t="e">
        <f>VLOOKUP($B347,#REF!,17,FALSE)</f>
        <v>#REF!</v>
      </c>
      <c r="F347" s="8" t="e">
        <f>VLOOKUP($B347,#REF!,7,FALSE)</f>
        <v>#REF!</v>
      </c>
      <c r="G347" s="8"/>
      <c r="H347" s="8"/>
      <c r="I347" s="9" t="e">
        <f>VLOOKUP($B347,#REF!,19,FALSE)</f>
        <v>#REF!</v>
      </c>
      <c r="J347" s="9" t="e">
        <f>VLOOKUP($B347,#REF!,6,FALSE)</f>
        <v>#REF!</v>
      </c>
      <c r="L347" s="1">
        <v>44653.184027776675</v>
      </c>
      <c r="M347" s="13"/>
    </row>
    <row r="348" spans="2:13">
      <c r="B348" s="5"/>
      <c r="C348" s="6" t="e">
        <f>VLOOKUP($B348,#REF!,5,FALSE)</f>
        <v>#REF!</v>
      </c>
      <c r="D348" s="6" t="e">
        <f>VLOOKUP($B348,#REF!,6,FALSE)</f>
        <v>#REF!</v>
      </c>
      <c r="E348" s="7" t="e">
        <f>VLOOKUP($B348,#REF!,17,FALSE)</f>
        <v>#REF!</v>
      </c>
      <c r="F348" s="8" t="e">
        <f>VLOOKUP($B348,#REF!,7,FALSE)</f>
        <v>#REF!</v>
      </c>
      <c r="G348" s="8"/>
      <c r="H348" s="8"/>
      <c r="I348" s="9" t="e">
        <f>VLOOKUP($B348,#REF!,19,FALSE)</f>
        <v>#REF!</v>
      </c>
      <c r="J348" s="9" t="e">
        <f>VLOOKUP($B348,#REF!,6,FALSE)</f>
        <v>#REF!</v>
      </c>
      <c r="L348" s="1">
        <v>44653.187499998894</v>
      </c>
      <c r="M348" s="13"/>
    </row>
    <row r="349" spans="2:13">
      <c r="B349" s="5"/>
      <c r="C349" s="6" t="e">
        <f>VLOOKUP($B349,#REF!,5,FALSE)</f>
        <v>#REF!</v>
      </c>
      <c r="D349" s="6" t="e">
        <f>VLOOKUP($B349,#REF!,6,FALSE)</f>
        <v>#REF!</v>
      </c>
      <c r="E349" s="7" t="e">
        <f>VLOOKUP($B349,#REF!,17,FALSE)</f>
        <v>#REF!</v>
      </c>
      <c r="F349" s="8" t="e">
        <f>VLOOKUP($B349,#REF!,7,FALSE)</f>
        <v>#REF!</v>
      </c>
      <c r="G349" s="8"/>
      <c r="H349" s="8"/>
      <c r="I349" s="9" t="e">
        <f>VLOOKUP($B349,#REF!,19,FALSE)</f>
        <v>#REF!</v>
      </c>
      <c r="J349" s="9" t="e">
        <f>VLOOKUP($B349,#REF!,6,FALSE)</f>
        <v>#REF!</v>
      </c>
      <c r="L349" s="1">
        <v>44653.190972221113</v>
      </c>
      <c r="M349" s="13"/>
    </row>
    <row r="350" spans="2:13">
      <c r="B350" s="5"/>
      <c r="C350" s="6" t="e">
        <f>VLOOKUP($B350,#REF!,5,FALSE)</f>
        <v>#REF!</v>
      </c>
      <c r="D350" s="6" t="e">
        <f>VLOOKUP($B350,#REF!,6,FALSE)</f>
        <v>#REF!</v>
      </c>
      <c r="E350" s="7" t="e">
        <f>VLOOKUP($B350,#REF!,17,FALSE)</f>
        <v>#REF!</v>
      </c>
      <c r="F350" s="8" t="e">
        <f>VLOOKUP($B350,#REF!,7,FALSE)</f>
        <v>#REF!</v>
      </c>
      <c r="G350" s="8"/>
      <c r="H350" s="8"/>
      <c r="I350" s="9" t="e">
        <f>VLOOKUP($B350,#REF!,19,FALSE)</f>
        <v>#REF!</v>
      </c>
      <c r="J350" s="9" t="e">
        <f>VLOOKUP($B350,#REF!,6,FALSE)</f>
        <v>#REF!</v>
      </c>
      <c r="L350" s="1">
        <v>44653.194444443332</v>
      </c>
      <c r="M350" s="13"/>
    </row>
    <row r="351" spans="2:13">
      <c r="B351" s="5"/>
      <c r="C351" s="6" t="e">
        <f>VLOOKUP($B351,#REF!,5,FALSE)</f>
        <v>#REF!</v>
      </c>
      <c r="D351" s="6" t="e">
        <f>VLOOKUP($B351,#REF!,6,FALSE)</f>
        <v>#REF!</v>
      </c>
      <c r="E351" s="7" t="e">
        <f>VLOOKUP($B351,#REF!,17,FALSE)</f>
        <v>#REF!</v>
      </c>
      <c r="F351" s="8" t="e">
        <f>VLOOKUP($B351,#REF!,7,FALSE)</f>
        <v>#REF!</v>
      </c>
      <c r="G351" s="8"/>
      <c r="H351" s="8"/>
      <c r="I351" s="9" t="e">
        <f>VLOOKUP($B351,#REF!,19,FALSE)</f>
        <v>#REF!</v>
      </c>
      <c r="J351" s="9" t="e">
        <f>VLOOKUP($B351,#REF!,6,FALSE)</f>
        <v>#REF!</v>
      </c>
      <c r="L351" s="1">
        <v>44653.197916665551</v>
      </c>
      <c r="M351" s="13"/>
    </row>
    <row r="352" spans="2:13">
      <c r="B352" s="5"/>
      <c r="C352" s="6" t="e">
        <f>VLOOKUP($B352,#REF!,5,FALSE)</f>
        <v>#REF!</v>
      </c>
      <c r="D352" s="6" t="e">
        <f>VLOOKUP($B352,#REF!,6,FALSE)</f>
        <v>#REF!</v>
      </c>
      <c r="E352" s="7" t="e">
        <f>VLOOKUP($B352,#REF!,17,FALSE)</f>
        <v>#REF!</v>
      </c>
      <c r="F352" s="8" t="e">
        <f>VLOOKUP($B352,#REF!,7,FALSE)</f>
        <v>#REF!</v>
      </c>
      <c r="G352" s="8"/>
      <c r="H352" s="8"/>
      <c r="I352" s="9" t="e">
        <f>VLOOKUP($B352,#REF!,19,FALSE)</f>
        <v>#REF!</v>
      </c>
      <c r="J352" s="9" t="e">
        <f>VLOOKUP($B352,#REF!,6,FALSE)</f>
        <v>#REF!</v>
      </c>
      <c r="L352" s="1">
        <v>44653.20138888777</v>
      </c>
      <c r="M352" s="13"/>
    </row>
    <row r="353" spans="2:13">
      <c r="B353" s="5"/>
      <c r="C353" s="6" t="e">
        <f>VLOOKUP($B353,#REF!,5,FALSE)</f>
        <v>#REF!</v>
      </c>
      <c r="D353" s="6" t="e">
        <f>VLOOKUP($B353,#REF!,6,FALSE)</f>
        <v>#REF!</v>
      </c>
      <c r="E353" s="7" t="e">
        <f>VLOOKUP($B353,#REF!,17,FALSE)</f>
        <v>#REF!</v>
      </c>
      <c r="F353" s="8" t="e">
        <f>VLOOKUP($B353,#REF!,7,FALSE)</f>
        <v>#REF!</v>
      </c>
      <c r="G353" s="8"/>
      <c r="H353" s="8"/>
      <c r="I353" s="9" t="e">
        <f>VLOOKUP($B353,#REF!,19,FALSE)</f>
        <v>#REF!</v>
      </c>
      <c r="J353" s="9" t="e">
        <f>VLOOKUP($B353,#REF!,6,FALSE)</f>
        <v>#REF!</v>
      </c>
      <c r="L353" s="1">
        <v>44653.204861109989</v>
      </c>
      <c r="M353" s="13"/>
    </row>
    <row r="354" spans="2:13">
      <c r="B354" s="5"/>
      <c r="C354" s="6" t="e">
        <f>VLOOKUP($B354,#REF!,5,FALSE)</f>
        <v>#REF!</v>
      </c>
      <c r="D354" s="6" t="e">
        <f>VLOOKUP($B354,#REF!,6,FALSE)</f>
        <v>#REF!</v>
      </c>
      <c r="E354" s="7" t="e">
        <f>VLOOKUP($B354,#REF!,17,FALSE)</f>
        <v>#REF!</v>
      </c>
      <c r="F354" s="8" t="e">
        <f>VLOOKUP($B354,#REF!,7,FALSE)</f>
        <v>#REF!</v>
      </c>
      <c r="G354" s="8"/>
      <c r="H354" s="8"/>
      <c r="I354" s="9" t="e">
        <f>VLOOKUP($B354,#REF!,19,FALSE)</f>
        <v>#REF!</v>
      </c>
      <c r="J354" s="9" t="e">
        <f>VLOOKUP($B354,#REF!,6,FALSE)</f>
        <v>#REF!</v>
      </c>
      <c r="L354" s="1">
        <v>44653.208333332208</v>
      </c>
      <c r="M354" s="13"/>
    </row>
    <row r="355" spans="2:13">
      <c r="B355" s="5"/>
      <c r="C355" s="6" t="e">
        <f>VLOOKUP($B355,#REF!,5,FALSE)</f>
        <v>#REF!</v>
      </c>
      <c r="D355" s="6" t="e">
        <f>VLOOKUP($B355,#REF!,6,FALSE)</f>
        <v>#REF!</v>
      </c>
      <c r="E355" s="7" t="e">
        <f>VLOOKUP($B355,#REF!,17,FALSE)</f>
        <v>#REF!</v>
      </c>
      <c r="F355" s="8" t="e">
        <f>VLOOKUP($B355,#REF!,7,FALSE)</f>
        <v>#REF!</v>
      </c>
      <c r="G355" s="8"/>
      <c r="H355" s="8"/>
      <c r="I355" s="9" t="e">
        <f>VLOOKUP($B355,#REF!,19,FALSE)</f>
        <v>#REF!</v>
      </c>
      <c r="J355" s="9" t="e">
        <f>VLOOKUP($B355,#REF!,6,FALSE)</f>
        <v>#REF!</v>
      </c>
      <c r="L355" s="1">
        <v>44653.211805554427</v>
      </c>
      <c r="M355" s="13"/>
    </row>
    <row r="356" spans="2:13">
      <c r="B356" s="5"/>
      <c r="C356" s="6" t="e">
        <f>VLOOKUP($B356,#REF!,5,FALSE)</f>
        <v>#REF!</v>
      </c>
      <c r="D356" s="6" t="e">
        <f>VLOOKUP($B356,#REF!,6,FALSE)</f>
        <v>#REF!</v>
      </c>
      <c r="E356" s="7" t="e">
        <f>VLOOKUP($B356,#REF!,17,FALSE)</f>
        <v>#REF!</v>
      </c>
      <c r="F356" s="8" t="e">
        <f>VLOOKUP($B356,#REF!,7,FALSE)</f>
        <v>#REF!</v>
      </c>
      <c r="G356" s="8"/>
      <c r="H356" s="8"/>
      <c r="I356" s="9" t="e">
        <f>VLOOKUP($B356,#REF!,19,FALSE)</f>
        <v>#REF!</v>
      </c>
      <c r="J356" s="9" t="e">
        <f>VLOOKUP($B356,#REF!,6,FALSE)</f>
        <v>#REF!</v>
      </c>
      <c r="L356" s="1">
        <v>44653.215277776646</v>
      </c>
      <c r="M356" s="13"/>
    </row>
    <row r="357" spans="2:13">
      <c r="B357" s="5"/>
      <c r="C357" s="6" t="e">
        <f>VLOOKUP($B357,#REF!,5,FALSE)</f>
        <v>#REF!</v>
      </c>
      <c r="D357" s="6" t="e">
        <f>VLOOKUP($B357,#REF!,6,FALSE)</f>
        <v>#REF!</v>
      </c>
      <c r="E357" s="7" t="e">
        <f>VLOOKUP($B357,#REF!,17,FALSE)</f>
        <v>#REF!</v>
      </c>
      <c r="F357" s="8" t="e">
        <f>VLOOKUP($B357,#REF!,7,FALSE)</f>
        <v>#REF!</v>
      </c>
      <c r="G357" s="8"/>
      <c r="H357" s="8"/>
      <c r="I357" s="9" t="e">
        <f>VLOOKUP($B357,#REF!,19,FALSE)</f>
        <v>#REF!</v>
      </c>
      <c r="J357" s="9" t="e">
        <f>VLOOKUP($B357,#REF!,6,FALSE)</f>
        <v>#REF!</v>
      </c>
      <c r="L357" s="1">
        <v>44653.218749998865</v>
      </c>
      <c r="M357" s="13"/>
    </row>
    <row r="358" spans="2:13">
      <c r="B358" s="5"/>
      <c r="C358" s="6" t="e">
        <f>VLOOKUP($B358,#REF!,5,FALSE)</f>
        <v>#REF!</v>
      </c>
      <c r="D358" s="6" t="e">
        <f>VLOOKUP($B358,#REF!,6,FALSE)</f>
        <v>#REF!</v>
      </c>
      <c r="E358" s="7" t="e">
        <f>VLOOKUP($B358,#REF!,17,FALSE)</f>
        <v>#REF!</v>
      </c>
      <c r="F358" s="8" t="e">
        <f>VLOOKUP($B358,#REF!,7,FALSE)</f>
        <v>#REF!</v>
      </c>
      <c r="G358" s="8"/>
      <c r="H358" s="8"/>
      <c r="I358" s="9" t="e">
        <f>VLOOKUP($B358,#REF!,19,FALSE)</f>
        <v>#REF!</v>
      </c>
      <c r="J358" s="9" t="e">
        <f>VLOOKUP($B358,#REF!,6,FALSE)</f>
        <v>#REF!</v>
      </c>
      <c r="L358" s="1">
        <v>44653.222222221084</v>
      </c>
      <c r="M358" s="13"/>
    </row>
    <row r="359" spans="2:13">
      <c r="B359" s="5"/>
      <c r="C359" s="6" t="e">
        <f>VLOOKUP($B359,#REF!,5,FALSE)</f>
        <v>#REF!</v>
      </c>
      <c r="D359" s="6" t="e">
        <f>VLOOKUP($B359,#REF!,6,FALSE)</f>
        <v>#REF!</v>
      </c>
      <c r="E359" s="7" t="e">
        <f>VLOOKUP($B359,#REF!,17,FALSE)</f>
        <v>#REF!</v>
      </c>
      <c r="F359" s="8" t="e">
        <f>VLOOKUP($B359,#REF!,7,FALSE)</f>
        <v>#REF!</v>
      </c>
      <c r="G359" s="8"/>
      <c r="H359" s="8"/>
      <c r="I359" s="9" t="e">
        <f>VLOOKUP($B359,#REF!,19,FALSE)</f>
        <v>#REF!</v>
      </c>
      <c r="J359" s="9" t="e">
        <f>VLOOKUP($B359,#REF!,6,FALSE)</f>
        <v>#REF!</v>
      </c>
      <c r="L359" s="1">
        <v>44653.225694443303</v>
      </c>
      <c r="M359" s="13"/>
    </row>
    <row r="360" spans="2:13">
      <c r="B360" s="5"/>
      <c r="C360" s="6" t="e">
        <f>VLOOKUP($B360,#REF!,5,FALSE)</f>
        <v>#REF!</v>
      </c>
      <c r="D360" s="6" t="e">
        <f>VLOOKUP($B360,#REF!,6,FALSE)</f>
        <v>#REF!</v>
      </c>
      <c r="E360" s="7" t="e">
        <f>VLOOKUP($B360,#REF!,17,FALSE)</f>
        <v>#REF!</v>
      </c>
      <c r="F360" s="8" t="e">
        <f>VLOOKUP($B360,#REF!,7,FALSE)</f>
        <v>#REF!</v>
      </c>
      <c r="G360" s="8"/>
      <c r="H360" s="8"/>
      <c r="I360" s="9" t="e">
        <f>VLOOKUP($B360,#REF!,19,FALSE)</f>
        <v>#REF!</v>
      </c>
      <c r="J360" s="9" t="e">
        <f>VLOOKUP($B360,#REF!,6,FALSE)</f>
        <v>#REF!</v>
      </c>
      <c r="L360" s="1">
        <v>44653.229166665522</v>
      </c>
      <c r="M360" s="13"/>
    </row>
    <row r="361" spans="2:13">
      <c r="B361" s="5"/>
      <c r="C361" s="6" t="e">
        <f>VLOOKUP($B361,#REF!,5,FALSE)</f>
        <v>#REF!</v>
      </c>
      <c r="D361" s="6" t="e">
        <f>VLOOKUP($B361,#REF!,6,FALSE)</f>
        <v>#REF!</v>
      </c>
      <c r="E361" s="7" t="e">
        <f>VLOOKUP($B361,#REF!,17,FALSE)</f>
        <v>#REF!</v>
      </c>
      <c r="F361" s="8" t="e">
        <f>VLOOKUP($B361,#REF!,7,FALSE)</f>
        <v>#REF!</v>
      </c>
      <c r="G361" s="8"/>
      <c r="H361" s="8"/>
      <c r="I361" s="9" t="e">
        <f>VLOOKUP($B361,#REF!,19,FALSE)</f>
        <v>#REF!</v>
      </c>
      <c r="J361" s="9" t="e">
        <f>VLOOKUP($B361,#REF!,6,FALSE)</f>
        <v>#REF!</v>
      </c>
      <c r="L361" s="1">
        <v>44653.232638887741</v>
      </c>
      <c r="M361" s="13"/>
    </row>
    <row r="362" spans="2:13">
      <c r="B362" s="5"/>
      <c r="C362" s="6" t="e">
        <f>VLOOKUP($B362,#REF!,5,FALSE)</f>
        <v>#REF!</v>
      </c>
      <c r="D362" s="6" t="e">
        <f>VLOOKUP($B362,#REF!,6,FALSE)</f>
        <v>#REF!</v>
      </c>
      <c r="E362" s="7" t="e">
        <f>VLOOKUP($B362,#REF!,17,FALSE)</f>
        <v>#REF!</v>
      </c>
      <c r="F362" s="8" t="e">
        <f>VLOOKUP($B362,#REF!,7,FALSE)</f>
        <v>#REF!</v>
      </c>
      <c r="G362" s="8"/>
      <c r="H362" s="8"/>
      <c r="I362" s="9" t="e">
        <f>VLOOKUP($B362,#REF!,19,FALSE)</f>
        <v>#REF!</v>
      </c>
      <c r="J362" s="9" t="e">
        <f>VLOOKUP($B362,#REF!,6,FALSE)</f>
        <v>#REF!</v>
      </c>
      <c r="L362" s="1">
        <v>44653.23611110996</v>
      </c>
      <c r="M362" s="13"/>
    </row>
    <row r="363" spans="2:13">
      <c r="B363" s="5"/>
      <c r="C363" s="6" t="e">
        <f>VLOOKUP($B363,#REF!,5,FALSE)</f>
        <v>#REF!</v>
      </c>
      <c r="D363" s="6" t="e">
        <f>VLOOKUP($B363,#REF!,6,FALSE)</f>
        <v>#REF!</v>
      </c>
      <c r="E363" s="7" t="e">
        <f>VLOOKUP($B363,#REF!,17,FALSE)</f>
        <v>#REF!</v>
      </c>
      <c r="F363" s="8" t="e">
        <f>VLOOKUP($B363,#REF!,7,FALSE)</f>
        <v>#REF!</v>
      </c>
      <c r="G363" s="8"/>
      <c r="H363" s="8"/>
      <c r="I363" s="9" t="e">
        <f>VLOOKUP($B363,#REF!,19,FALSE)</f>
        <v>#REF!</v>
      </c>
      <c r="J363" s="9" t="e">
        <f>VLOOKUP($B363,#REF!,6,FALSE)</f>
        <v>#REF!</v>
      </c>
      <c r="L363" s="1">
        <v>44653.239583332179</v>
      </c>
      <c r="M363" s="13"/>
    </row>
    <row r="364" spans="2:13">
      <c r="B364" s="5"/>
      <c r="C364" s="6" t="e">
        <f>VLOOKUP($B364,#REF!,5,FALSE)</f>
        <v>#REF!</v>
      </c>
      <c r="D364" s="6" t="e">
        <f>VLOOKUP($B364,#REF!,6,FALSE)</f>
        <v>#REF!</v>
      </c>
      <c r="E364" s="7" t="e">
        <f>VLOOKUP($B364,#REF!,17,FALSE)</f>
        <v>#REF!</v>
      </c>
      <c r="F364" s="8" t="e">
        <f>VLOOKUP($B364,#REF!,7,FALSE)</f>
        <v>#REF!</v>
      </c>
      <c r="G364" s="8"/>
      <c r="H364" s="8"/>
      <c r="I364" s="9" t="e">
        <f>VLOOKUP($B364,#REF!,19,FALSE)</f>
        <v>#REF!</v>
      </c>
      <c r="J364" s="9" t="e">
        <f>VLOOKUP($B364,#REF!,6,FALSE)</f>
        <v>#REF!</v>
      </c>
      <c r="L364" s="1">
        <v>44653.243055554398</v>
      </c>
      <c r="M364" s="13"/>
    </row>
    <row r="365" spans="2:13">
      <c r="B365" s="5"/>
      <c r="C365" s="6" t="e">
        <f>VLOOKUP($B365,#REF!,5,FALSE)</f>
        <v>#REF!</v>
      </c>
      <c r="D365" s="6" t="e">
        <f>VLOOKUP($B365,#REF!,6,FALSE)</f>
        <v>#REF!</v>
      </c>
      <c r="E365" s="7" t="e">
        <f>VLOOKUP($B365,#REF!,17,FALSE)</f>
        <v>#REF!</v>
      </c>
      <c r="F365" s="8" t="e">
        <f>VLOOKUP($B365,#REF!,7,FALSE)</f>
        <v>#REF!</v>
      </c>
      <c r="G365" s="8"/>
      <c r="H365" s="8"/>
      <c r="I365" s="9" t="e">
        <f>VLOOKUP($B365,#REF!,19,FALSE)</f>
        <v>#REF!</v>
      </c>
      <c r="J365" s="9" t="e">
        <f>VLOOKUP($B365,#REF!,6,FALSE)</f>
        <v>#REF!</v>
      </c>
      <c r="L365" s="1">
        <v>44653.246527776617</v>
      </c>
      <c r="M365" s="13"/>
    </row>
    <row r="366" spans="2:13">
      <c r="B366" s="5"/>
      <c r="C366" s="6" t="e">
        <f>VLOOKUP($B366,#REF!,5,FALSE)</f>
        <v>#REF!</v>
      </c>
      <c r="D366" s="6" t="e">
        <f>VLOOKUP($B366,#REF!,6,FALSE)</f>
        <v>#REF!</v>
      </c>
      <c r="E366" s="7" t="e">
        <f>VLOOKUP($B366,#REF!,17,FALSE)</f>
        <v>#REF!</v>
      </c>
      <c r="F366" s="8" t="e">
        <f>VLOOKUP($B366,#REF!,7,FALSE)</f>
        <v>#REF!</v>
      </c>
      <c r="G366" s="8"/>
      <c r="H366" s="8"/>
      <c r="I366" s="9" t="e">
        <f>VLOOKUP($B366,#REF!,19,FALSE)</f>
        <v>#REF!</v>
      </c>
      <c r="J366" s="9" t="e">
        <f>VLOOKUP($B366,#REF!,6,FALSE)</f>
        <v>#REF!</v>
      </c>
      <c r="L366" s="1">
        <v>44653.249999998836</v>
      </c>
      <c r="M366" s="13"/>
    </row>
    <row r="367" spans="2:13">
      <c r="B367" s="5"/>
      <c r="C367" s="6" t="e">
        <f>VLOOKUP($B367,#REF!,5,FALSE)</f>
        <v>#REF!</v>
      </c>
      <c r="D367" s="6" t="e">
        <f>VLOOKUP($B367,#REF!,6,FALSE)</f>
        <v>#REF!</v>
      </c>
      <c r="E367" s="7" t="e">
        <f>VLOOKUP($B367,#REF!,17,FALSE)</f>
        <v>#REF!</v>
      </c>
      <c r="F367" s="8" t="e">
        <f>VLOOKUP($B367,#REF!,7,FALSE)</f>
        <v>#REF!</v>
      </c>
      <c r="G367" s="8"/>
      <c r="H367" s="8"/>
      <c r="I367" s="9" t="e">
        <f>VLOOKUP($B367,#REF!,19,FALSE)</f>
        <v>#REF!</v>
      </c>
      <c r="J367" s="9" t="e">
        <f>VLOOKUP($B367,#REF!,6,FALSE)</f>
        <v>#REF!</v>
      </c>
      <c r="L367" s="1">
        <v>44653.253472221055</v>
      </c>
      <c r="M367" s="13"/>
    </row>
    <row r="368" spans="2:13">
      <c r="B368" s="5"/>
      <c r="C368" s="6" t="e">
        <f>VLOOKUP($B368,#REF!,5,FALSE)</f>
        <v>#REF!</v>
      </c>
      <c r="D368" s="6" t="e">
        <f>VLOOKUP($B368,#REF!,6,FALSE)</f>
        <v>#REF!</v>
      </c>
      <c r="E368" s="7" t="e">
        <f>VLOOKUP($B368,#REF!,17,FALSE)</f>
        <v>#REF!</v>
      </c>
      <c r="F368" s="8" t="e">
        <f>VLOOKUP($B368,#REF!,7,FALSE)</f>
        <v>#REF!</v>
      </c>
      <c r="G368" s="8"/>
      <c r="H368" s="8"/>
      <c r="I368" s="9" t="e">
        <f>VLOOKUP($B368,#REF!,19,FALSE)</f>
        <v>#REF!</v>
      </c>
      <c r="J368" s="9" t="e">
        <f>VLOOKUP($B368,#REF!,6,FALSE)</f>
        <v>#REF!</v>
      </c>
      <c r="L368" s="1">
        <v>44653.256944443274</v>
      </c>
      <c r="M368" s="13"/>
    </row>
    <row r="369" spans="2:13">
      <c r="B369" s="5"/>
      <c r="C369" s="6" t="e">
        <f>VLOOKUP($B369,#REF!,5,FALSE)</f>
        <v>#REF!</v>
      </c>
      <c r="D369" s="6" t="e">
        <f>VLOOKUP($B369,#REF!,6,FALSE)</f>
        <v>#REF!</v>
      </c>
      <c r="E369" s="7" t="e">
        <f>VLOOKUP($B369,#REF!,17,FALSE)</f>
        <v>#REF!</v>
      </c>
      <c r="F369" s="8" t="e">
        <f>VLOOKUP($B369,#REF!,7,FALSE)</f>
        <v>#REF!</v>
      </c>
      <c r="G369" s="8"/>
      <c r="H369" s="8"/>
      <c r="I369" s="9" t="e">
        <f>VLOOKUP($B369,#REF!,19,FALSE)</f>
        <v>#REF!</v>
      </c>
      <c r="J369" s="9" t="e">
        <f>VLOOKUP($B369,#REF!,6,FALSE)</f>
        <v>#REF!</v>
      </c>
      <c r="L369" s="1">
        <v>44653.260416665493</v>
      </c>
      <c r="M369" s="13"/>
    </row>
    <row r="370" spans="2:13">
      <c r="B370" s="5"/>
      <c r="C370" s="6" t="e">
        <f>VLOOKUP($B370,#REF!,5,FALSE)</f>
        <v>#REF!</v>
      </c>
      <c r="D370" s="6" t="e">
        <f>VLOOKUP($B370,#REF!,6,FALSE)</f>
        <v>#REF!</v>
      </c>
      <c r="E370" s="7" t="e">
        <f>VLOOKUP($B370,#REF!,17,FALSE)</f>
        <v>#REF!</v>
      </c>
      <c r="F370" s="8" t="e">
        <f>VLOOKUP($B370,#REF!,7,FALSE)</f>
        <v>#REF!</v>
      </c>
      <c r="G370" s="8"/>
      <c r="H370" s="8"/>
      <c r="I370" s="9" t="e">
        <f>VLOOKUP($B370,#REF!,19,FALSE)</f>
        <v>#REF!</v>
      </c>
      <c r="J370" s="9" t="e">
        <f>VLOOKUP($B370,#REF!,6,FALSE)</f>
        <v>#REF!</v>
      </c>
      <c r="L370" s="1">
        <v>44653.263888887712</v>
      </c>
      <c r="M370" s="13"/>
    </row>
    <row r="371" spans="2:13">
      <c r="B371" s="5"/>
      <c r="C371" s="6" t="e">
        <f>VLOOKUP($B371,#REF!,5,FALSE)</f>
        <v>#REF!</v>
      </c>
      <c r="D371" s="6" t="e">
        <f>VLOOKUP($B371,#REF!,6,FALSE)</f>
        <v>#REF!</v>
      </c>
      <c r="E371" s="7" t="e">
        <f>VLOOKUP($B371,#REF!,17,FALSE)</f>
        <v>#REF!</v>
      </c>
      <c r="F371" s="8" t="e">
        <f>VLOOKUP($B371,#REF!,7,FALSE)</f>
        <v>#REF!</v>
      </c>
      <c r="G371" s="8"/>
      <c r="H371" s="8"/>
      <c r="I371" s="9" t="e">
        <f>VLOOKUP($B371,#REF!,19,FALSE)</f>
        <v>#REF!</v>
      </c>
      <c r="J371" s="9" t="e">
        <f>VLOOKUP($B371,#REF!,6,FALSE)</f>
        <v>#REF!</v>
      </c>
      <c r="L371" s="1">
        <v>44653.267361109931</v>
      </c>
      <c r="M371" s="13"/>
    </row>
    <row r="372" spans="2:13">
      <c r="B372" s="5"/>
      <c r="C372" s="6" t="e">
        <f>VLOOKUP($B372,#REF!,5,FALSE)</f>
        <v>#REF!</v>
      </c>
      <c r="D372" s="6" t="e">
        <f>VLOOKUP($B372,#REF!,6,FALSE)</f>
        <v>#REF!</v>
      </c>
      <c r="E372" s="7" t="e">
        <f>VLOOKUP($B372,#REF!,17,FALSE)</f>
        <v>#REF!</v>
      </c>
      <c r="F372" s="8" t="e">
        <f>VLOOKUP($B372,#REF!,7,FALSE)</f>
        <v>#REF!</v>
      </c>
      <c r="G372" s="8"/>
      <c r="H372" s="8"/>
      <c r="I372" s="9" t="e">
        <f>VLOOKUP($B372,#REF!,19,FALSE)</f>
        <v>#REF!</v>
      </c>
      <c r="J372" s="9" t="e">
        <f>VLOOKUP($B372,#REF!,6,FALSE)</f>
        <v>#REF!</v>
      </c>
      <c r="L372" s="1">
        <v>44653.27083333215</v>
      </c>
      <c r="M372" s="13"/>
    </row>
    <row r="373" spans="2:13">
      <c r="B373" s="5"/>
      <c r="C373" s="6" t="e">
        <f>VLOOKUP($B373,#REF!,5,FALSE)</f>
        <v>#REF!</v>
      </c>
      <c r="D373" s="6" t="e">
        <f>VLOOKUP($B373,#REF!,6,FALSE)</f>
        <v>#REF!</v>
      </c>
      <c r="E373" s="7" t="e">
        <f>VLOOKUP($B373,#REF!,17,FALSE)</f>
        <v>#REF!</v>
      </c>
      <c r="F373" s="8" t="e">
        <f>VLOOKUP($B373,#REF!,7,FALSE)</f>
        <v>#REF!</v>
      </c>
      <c r="G373" s="8"/>
      <c r="H373" s="8"/>
      <c r="I373" s="9" t="e">
        <f>VLOOKUP($B373,#REF!,19,FALSE)</f>
        <v>#REF!</v>
      </c>
      <c r="J373" s="9" t="e">
        <f>VLOOKUP($B373,#REF!,6,FALSE)</f>
        <v>#REF!</v>
      </c>
      <c r="L373" s="1">
        <v>44653.274305554369</v>
      </c>
      <c r="M373" s="13"/>
    </row>
    <row r="374" spans="2:13">
      <c r="B374" s="5"/>
      <c r="C374" s="6" t="e">
        <f>VLOOKUP($B374,#REF!,5,FALSE)</f>
        <v>#REF!</v>
      </c>
      <c r="D374" s="6" t="e">
        <f>VLOOKUP($B374,#REF!,6,FALSE)</f>
        <v>#REF!</v>
      </c>
      <c r="E374" s="7" t="e">
        <f>VLOOKUP($B374,#REF!,17,FALSE)</f>
        <v>#REF!</v>
      </c>
      <c r="F374" s="8" t="e">
        <f>VLOOKUP($B374,#REF!,7,FALSE)</f>
        <v>#REF!</v>
      </c>
      <c r="G374" s="8"/>
      <c r="H374" s="8"/>
      <c r="I374" s="9" t="e">
        <f>VLOOKUP($B374,#REF!,19,FALSE)</f>
        <v>#REF!</v>
      </c>
      <c r="J374" s="9" t="e">
        <f>VLOOKUP($B374,#REF!,6,FALSE)</f>
        <v>#REF!</v>
      </c>
      <c r="L374" s="1">
        <v>44653.277777776588</v>
      </c>
      <c r="M374" s="13"/>
    </row>
    <row r="375" spans="2:13">
      <c r="B375" s="5"/>
      <c r="C375" s="6" t="e">
        <f>VLOOKUP($B375,#REF!,5,FALSE)</f>
        <v>#REF!</v>
      </c>
      <c r="D375" s="6" t="e">
        <f>VLOOKUP($B375,#REF!,6,FALSE)</f>
        <v>#REF!</v>
      </c>
      <c r="E375" s="7" t="e">
        <f>VLOOKUP($B375,#REF!,17,FALSE)</f>
        <v>#REF!</v>
      </c>
      <c r="F375" s="8" t="e">
        <f>VLOOKUP($B375,#REF!,7,FALSE)</f>
        <v>#REF!</v>
      </c>
      <c r="G375" s="8"/>
      <c r="H375" s="8"/>
      <c r="I375" s="9" t="e">
        <f>VLOOKUP($B375,#REF!,19,FALSE)</f>
        <v>#REF!</v>
      </c>
      <c r="J375" s="9" t="e">
        <f>VLOOKUP($B375,#REF!,6,FALSE)</f>
        <v>#REF!</v>
      </c>
      <c r="L375" s="1">
        <v>44653.281249998807</v>
      </c>
      <c r="M375" s="13"/>
    </row>
    <row r="376" spans="2:13">
      <c r="B376" s="5"/>
      <c r="C376" s="6" t="e">
        <f>VLOOKUP($B376,#REF!,5,FALSE)</f>
        <v>#REF!</v>
      </c>
      <c r="D376" s="6" t="e">
        <f>VLOOKUP($B376,#REF!,6,FALSE)</f>
        <v>#REF!</v>
      </c>
      <c r="E376" s="7" t="e">
        <f>VLOOKUP($B376,#REF!,17,FALSE)</f>
        <v>#REF!</v>
      </c>
      <c r="F376" s="8" t="e">
        <f>VLOOKUP($B376,#REF!,7,FALSE)</f>
        <v>#REF!</v>
      </c>
      <c r="G376" s="8"/>
      <c r="H376" s="8"/>
      <c r="I376" s="9" t="e">
        <f>VLOOKUP($B376,#REF!,19,FALSE)</f>
        <v>#REF!</v>
      </c>
      <c r="J376" s="9" t="e">
        <f>VLOOKUP($B376,#REF!,6,FALSE)</f>
        <v>#REF!</v>
      </c>
      <c r="L376" s="1">
        <v>44653.284722221026</v>
      </c>
      <c r="M376" s="13"/>
    </row>
    <row r="377" spans="2:13">
      <c r="B377" s="5"/>
      <c r="C377" s="6" t="e">
        <f>VLOOKUP($B377,#REF!,5,FALSE)</f>
        <v>#REF!</v>
      </c>
      <c r="D377" s="6" t="e">
        <f>VLOOKUP($B377,#REF!,6,FALSE)</f>
        <v>#REF!</v>
      </c>
      <c r="E377" s="7" t="e">
        <f>VLOOKUP($B377,#REF!,17,FALSE)</f>
        <v>#REF!</v>
      </c>
      <c r="F377" s="8" t="e">
        <f>VLOOKUP($B377,#REF!,7,FALSE)</f>
        <v>#REF!</v>
      </c>
      <c r="G377" s="8"/>
      <c r="H377" s="8"/>
      <c r="I377" s="9" t="e">
        <f>VLOOKUP($B377,#REF!,19,FALSE)</f>
        <v>#REF!</v>
      </c>
      <c r="J377" s="9" t="e">
        <f>VLOOKUP($B377,#REF!,6,FALSE)</f>
        <v>#REF!</v>
      </c>
      <c r="L377" s="1">
        <v>44653.288194443245</v>
      </c>
      <c r="M377" s="13"/>
    </row>
    <row r="378" spans="2:13">
      <c r="B378" s="5"/>
      <c r="C378" s="6" t="e">
        <f>VLOOKUP($B378,#REF!,5,FALSE)</f>
        <v>#REF!</v>
      </c>
      <c r="D378" s="6" t="e">
        <f>VLOOKUP($B378,#REF!,6,FALSE)</f>
        <v>#REF!</v>
      </c>
      <c r="E378" s="7" t="e">
        <f>VLOOKUP($B378,#REF!,17,FALSE)</f>
        <v>#REF!</v>
      </c>
      <c r="F378" s="8" t="e">
        <f>VLOOKUP($B378,#REF!,7,FALSE)</f>
        <v>#REF!</v>
      </c>
      <c r="G378" s="8"/>
      <c r="H378" s="8"/>
      <c r="I378" s="9" t="e">
        <f>VLOOKUP($B378,#REF!,19,FALSE)</f>
        <v>#REF!</v>
      </c>
      <c r="J378" s="9" t="e">
        <f>VLOOKUP($B378,#REF!,6,FALSE)</f>
        <v>#REF!</v>
      </c>
      <c r="L378" s="1">
        <v>44653.291666665464</v>
      </c>
      <c r="M378" s="13"/>
    </row>
    <row r="379" spans="2:13">
      <c r="B379" s="5"/>
      <c r="C379" s="6" t="e">
        <f>VLOOKUP($B379,#REF!,5,FALSE)</f>
        <v>#REF!</v>
      </c>
      <c r="D379" s="6" t="e">
        <f>VLOOKUP($B379,#REF!,6,FALSE)</f>
        <v>#REF!</v>
      </c>
      <c r="E379" s="7" t="e">
        <f>VLOOKUP($B379,#REF!,17,FALSE)</f>
        <v>#REF!</v>
      </c>
      <c r="F379" s="8" t="e">
        <f>VLOOKUP($B379,#REF!,7,FALSE)</f>
        <v>#REF!</v>
      </c>
      <c r="G379" s="8"/>
      <c r="H379" s="8"/>
      <c r="I379" s="9" t="e">
        <f>VLOOKUP($B379,#REF!,19,FALSE)</f>
        <v>#REF!</v>
      </c>
      <c r="J379" s="9" t="e">
        <f>VLOOKUP($B379,#REF!,6,FALSE)</f>
        <v>#REF!</v>
      </c>
      <c r="L379" s="1">
        <v>44653.295138887683</v>
      </c>
      <c r="M379" s="13"/>
    </row>
    <row r="380" spans="2:13">
      <c r="B380" s="5"/>
      <c r="C380" s="6" t="e">
        <f>VLOOKUP($B380,#REF!,5,FALSE)</f>
        <v>#REF!</v>
      </c>
      <c r="D380" s="6" t="e">
        <f>VLOOKUP($B380,#REF!,6,FALSE)</f>
        <v>#REF!</v>
      </c>
      <c r="E380" s="7" t="e">
        <f>VLOOKUP($B380,#REF!,17,FALSE)</f>
        <v>#REF!</v>
      </c>
      <c r="F380" s="8" t="e">
        <f>VLOOKUP($B380,#REF!,7,FALSE)</f>
        <v>#REF!</v>
      </c>
      <c r="G380" s="8"/>
      <c r="H380" s="8"/>
      <c r="I380" s="9" t="e">
        <f>VLOOKUP($B380,#REF!,19,FALSE)</f>
        <v>#REF!</v>
      </c>
      <c r="J380" s="9" t="e">
        <f>VLOOKUP($B380,#REF!,6,FALSE)</f>
        <v>#REF!</v>
      </c>
      <c r="L380" s="1">
        <v>44653.298611109902</v>
      </c>
      <c r="M380" s="13"/>
    </row>
    <row r="381" spans="2:13">
      <c r="B381" s="5"/>
      <c r="C381" s="6" t="e">
        <f>VLOOKUP($B381,#REF!,5,FALSE)</f>
        <v>#REF!</v>
      </c>
      <c r="D381" s="6" t="e">
        <f>VLOOKUP($B381,#REF!,6,FALSE)</f>
        <v>#REF!</v>
      </c>
      <c r="E381" s="7" t="e">
        <f>VLOOKUP($B381,#REF!,17,FALSE)</f>
        <v>#REF!</v>
      </c>
      <c r="F381" s="8" t="e">
        <f>VLOOKUP($B381,#REF!,7,FALSE)</f>
        <v>#REF!</v>
      </c>
      <c r="G381" s="8"/>
      <c r="H381" s="8"/>
      <c r="I381" s="9" t="e">
        <f>VLOOKUP($B381,#REF!,19,FALSE)</f>
        <v>#REF!</v>
      </c>
      <c r="J381" s="9" t="e">
        <f>VLOOKUP($B381,#REF!,6,FALSE)</f>
        <v>#REF!</v>
      </c>
      <c r="L381" s="1">
        <v>44653.302083332121</v>
      </c>
      <c r="M381" s="13"/>
    </row>
    <row r="382" spans="2:13">
      <c r="B382" s="5"/>
      <c r="C382" s="6" t="e">
        <f>VLOOKUP($B382,#REF!,5,FALSE)</f>
        <v>#REF!</v>
      </c>
      <c r="D382" s="6" t="e">
        <f>VLOOKUP($B382,#REF!,6,FALSE)</f>
        <v>#REF!</v>
      </c>
      <c r="E382" s="7" t="e">
        <f>VLOOKUP($B382,#REF!,17,FALSE)</f>
        <v>#REF!</v>
      </c>
      <c r="F382" s="8" t="e">
        <f>VLOOKUP($B382,#REF!,7,FALSE)</f>
        <v>#REF!</v>
      </c>
      <c r="G382" s="8"/>
      <c r="H382" s="8"/>
      <c r="I382" s="9" t="e">
        <f>VLOOKUP($B382,#REF!,19,FALSE)</f>
        <v>#REF!</v>
      </c>
      <c r="J382" s="9" t="e">
        <f>VLOOKUP($B382,#REF!,6,FALSE)</f>
        <v>#REF!</v>
      </c>
      <c r="L382" s="1">
        <v>44653.30555555434</v>
      </c>
      <c r="M382" s="13"/>
    </row>
    <row r="383" spans="2:13">
      <c r="B383" s="5"/>
      <c r="C383" s="6" t="e">
        <f>VLOOKUP($B383,#REF!,5,FALSE)</f>
        <v>#REF!</v>
      </c>
      <c r="D383" s="6" t="e">
        <f>VLOOKUP($B383,#REF!,6,FALSE)</f>
        <v>#REF!</v>
      </c>
      <c r="E383" s="7" t="e">
        <f>VLOOKUP($B383,#REF!,17,FALSE)</f>
        <v>#REF!</v>
      </c>
      <c r="F383" s="8" t="e">
        <f>VLOOKUP($B383,#REF!,7,FALSE)</f>
        <v>#REF!</v>
      </c>
      <c r="G383" s="8"/>
      <c r="H383" s="8"/>
      <c r="I383" s="9" t="e">
        <f>VLOOKUP($B383,#REF!,19,FALSE)</f>
        <v>#REF!</v>
      </c>
      <c r="J383" s="9" t="e">
        <f>VLOOKUP($B383,#REF!,6,FALSE)</f>
        <v>#REF!</v>
      </c>
      <c r="L383" s="1">
        <v>44653.309027776559</v>
      </c>
      <c r="M383" s="13"/>
    </row>
    <row r="384" spans="2:13">
      <c r="B384" s="5"/>
      <c r="C384" s="6" t="e">
        <f>VLOOKUP($B384,#REF!,5,FALSE)</f>
        <v>#REF!</v>
      </c>
      <c r="D384" s="6" t="e">
        <f>VLOOKUP($B384,#REF!,6,FALSE)</f>
        <v>#REF!</v>
      </c>
      <c r="E384" s="7" t="e">
        <f>VLOOKUP($B384,#REF!,17,FALSE)</f>
        <v>#REF!</v>
      </c>
      <c r="F384" s="8" t="e">
        <f>VLOOKUP($B384,#REF!,7,FALSE)</f>
        <v>#REF!</v>
      </c>
      <c r="G384" s="8"/>
      <c r="H384" s="8"/>
      <c r="I384" s="9" t="e">
        <f>VLOOKUP($B384,#REF!,19,FALSE)</f>
        <v>#REF!</v>
      </c>
      <c r="J384" s="9" t="e">
        <f>VLOOKUP($B384,#REF!,6,FALSE)</f>
        <v>#REF!</v>
      </c>
      <c r="L384" s="1">
        <v>44653.312499998778</v>
      </c>
      <c r="M384" s="13"/>
    </row>
    <row r="385" spans="2:13">
      <c r="B385" s="5"/>
      <c r="C385" s="6" t="e">
        <f>VLOOKUP($B385,#REF!,5,FALSE)</f>
        <v>#REF!</v>
      </c>
      <c r="D385" s="6" t="e">
        <f>VLOOKUP($B385,#REF!,6,FALSE)</f>
        <v>#REF!</v>
      </c>
      <c r="E385" s="7" t="e">
        <f>VLOOKUP($B385,#REF!,17,FALSE)</f>
        <v>#REF!</v>
      </c>
      <c r="F385" s="8" t="e">
        <f>VLOOKUP($B385,#REF!,7,FALSE)</f>
        <v>#REF!</v>
      </c>
      <c r="G385" s="8"/>
      <c r="H385" s="8"/>
      <c r="I385" s="9" t="e">
        <f>VLOOKUP($B385,#REF!,19,FALSE)</f>
        <v>#REF!</v>
      </c>
      <c r="J385" s="9" t="e">
        <f>VLOOKUP($B385,#REF!,6,FALSE)</f>
        <v>#REF!</v>
      </c>
      <c r="L385" s="1">
        <v>44653.315972220997</v>
      </c>
      <c r="M385" s="13"/>
    </row>
    <row r="386" spans="2:13">
      <c r="B386" s="5"/>
      <c r="C386" s="6" t="e">
        <f>VLOOKUP($B386,#REF!,5,FALSE)</f>
        <v>#REF!</v>
      </c>
      <c r="D386" s="6" t="e">
        <f>VLOOKUP($B386,#REF!,6,FALSE)</f>
        <v>#REF!</v>
      </c>
      <c r="E386" s="7" t="e">
        <f>VLOOKUP($B386,#REF!,17,FALSE)</f>
        <v>#REF!</v>
      </c>
      <c r="F386" s="8" t="e">
        <f>VLOOKUP($B386,#REF!,7,FALSE)</f>
        <v>#REF!</v>
      </c>
      <c r="G386" s="8"/>
      <c r="H386" s="8"/>
      <c r="I386" s="9" t="e">
        <f>VLOOKUP($B386,#REF!,19,FALSE)</f>
        <v>#REF!</v>
      </c>
      <c r="J386" s="9" t="e">
        <f>VLOOKUP($B386,#REF!,6,FALSE)</f>
        <v>#REF!</v>
      </c>
      <c r="L386" s="1">
        <v>44653.319444443216</v>
      </c>
      <c r="M386" s="13"/>
    </row>
    <row r="387" spans="2:13">
      <c r="B387" s="5"/>
      <c r="C387" s="6" t="e">
        <f>VLOOKUP($B387,#REF!,5,FALSE)</f>
        <v>#REF!</v>
      </c>
      <c r="D387" s="6" t="e">
        <f>VLOOKUP($B387,#REF!,6,FALSE)</f>
        <v>#REF!</v>
      </c>
      <c r="E387" s="7" t="e">
        <f>VLOOKUP($B387,#REF!,17,FALSE)</f>
        <v>#REF!</v>
      </c>
      <c r="F387" s="8" t="e">
        <f>VLOOKUP($B387,#REF!,7,FALSE)</f>
        <v>#REF!</v>
      </c>
      <c r="G387" s="8"/>
      <c r="H387" s="8"/>
      <c r="I387" s="9" t="e">
        <f>VLOOKUP($B387,#REF!,19,FALSE)</f>
        <v>#REF!</v>
      </c>
      <c r="J387" s="9" t="e">
        <f>VLOOKUP($B387,#REF!,6,FALSE)</f>
        <v>#REF!</v>
      </c>
      <c r="L387" s="1">
        <v>44653.322916665435</v>
      </c>
      <c r="M387" s="13"/>
    </row>
    <row r="388" spans="2:13">
      <c r="B388" s="5"/>
      <c r="C388" s="6" t="e">
        <f>VLOOKUP($B388,#REF!,5,FALSE)</f>
        <v>#REF!</v>
      </c>
      <c r="D388" s="6" t="e">
        <f>VLOOKUP($B388,#REF!,6,FALSE)</f>
        <v>#REF!</v>
      </c>
      <c r="E388" s="7" t="e">
        <f>VLOOKUP($B388,#REF!,17,FALSE)</f>
        <v>#REF!</v>
      </c>
      <c r="F388" s="8" t="e">
        <f>VLOOKUP($B388,#REF!,7,FALSE)</f>
        <v>#REF!</v>
      </c>
      <c r="G388" s="8"/>
      <c r="H388" s="8"/>
      <c r="I388" s="9" t="e">
        <f>VLOOKUP($B388,#REF!,19,FALSE)</f>
        <v>#REF!</v>
      </c>
      <c r="J388" s="9" t="e">
        <f>VLOOKUP($B388,#REF!,6,FALSE)</f>
        <v>#REF!</v>
      </c>
      <c r="L388" s="1">
        <v>44653.326388887654</v>
      </c>
      <c r="M388" s="13"/>
    </row>
    <row r="389" spans="2:13">
      <c r="B389" s="5"/>
      <c r="C389" s="6" t="e">
        <f>VLOOKUP($B389,#REF!,5,FALSE)</f>
        <v>#REF!</v>
      </c>
      <c r="D389" s="6" t="e">
        <f>VLOOKUP($B389,#REF!,6,FALSE)</f>
        <v>#REF!</v>
      </c>
      <c r="E389" s="7" t="e">
        <f>VLOOKUP($B389,#REF!,17,FALSE)</f>
        <v>#REF!</v>
      </c>
      <c r="F389" s="8" t="e">
        <f>VLOOKUP($B389,#REF!,7,FALSE)</f>
        <v>#REF!</v>
      </c>
      <c r="G389" s="8"/>
      <c r="H389" s="8"/>
      <c r="I389" s="9" t="e">
        <f>VLOOKUP($B389,#REF!,19,FALSE)</f>
        <v>#REF!</v>
      </c>
      <c r="J389" s="9" t="e">
        <f>VLOOKUP($B389,#REF!,6,FALSE)</f>
        <v>#REF!</v>
      </c>
      <c r="L389" s="1">
        <v>44653.329861109873</v>
      </c>
      <c r="M389" s="13"/>
    </row>
    <row r="390" spans="2:13">
      <c r="B390" s="5"/>
      <c r="C390" s="6" t="e">
        <f>VLOOKUP($B390,#REF!,5,FALSE)</f>
        <v>#REF!</v>
      </c>
      <c r="D390" s="6" t="e">
        <f>VLOOKUP($B390,#REF!,6,FALSE)</f>
        <v>#REF!</v>
      </c>
      <c r="E390" s="7" t="e">
        <f>VLOOKUP($B390,#REF!,17,FALSE)</f>
        <v>#REF!</v>
      </c>
      <c r="F390" s="8" t="e">
        <f>VLOOKUP($B390,#REF!,7,FALSE)</f>
        <v>#REF!</v>
      </c>
      <c r="G390" s="8"/>
      <c r="H390" s="8"/>
      <c r="I390" s="9" t="e">
        <f>VLOOKUP($B390,#REF!,19,FALSE)</f>
        <v>#REF!</v>
      </c>
      <c r="J390" s="9" t="e">
        <f>VLOOKUP($B390,#REF!,6,FALSE)</f>
        <v>#REF!</v>
      </c>
      <c r="L390" s="1">
        <v>44653.333333332092</v>
      </c>
      <c r="M390" s="13"/>
    </row>
    <row r="391" spans="2:13">
      <c r="B391" s="5"/>
      <c r="C391" s="6" t="e">
        <f>VLOOKUP($B391,#REF!,5,FALSE)</f>
        <v>#REF!</v>
      </c>
      <c r="D391" s="6" t="e">
        <f>VLOOKUP($B391,#REF!,6,FALSE)</f>
        <v>#REF!</v>
      </c>
      <c r="E391" s="7" t="e">
        <f>VLOOKUP($B391,#REF!,17,FALSE)</f>
        <v>#REF!</v>
      </c>
      <c r="F391" s="8" t="e">
        <f>VLOOKUP($B391,#REF!,7,FALSE)</f>
        <v>#REF!</v>
      </c>
      <c r="G391" s="8"/>
      <c r="H391" s="8"/>
      <c r="I391" s="9" t="e">
        <f>VLOOKUP($B391,#REF!,19,FALSE)</f>
        <v>#REF!</v>
      </c>
      <c r="J391" s="9" t="e">
        <f>VLOOKUP($B391,#REF!,6,FALSE)</f>
        <v>#REF!</v>
      </c>
      <c r="L391" s="1">
        <v>44653.336805554311</v>
      </c>
      <c r="M391" s="13"/>
    </row>
    <row r="392" spans="2:13">
      <c r="B392" s="5"/>
      <c r="C392" s="6" t="e">
        <f>VLOOKUP($B392,#REF!,5,FALSE)</f>
        <v>#REF!</v>
      </c>
      <c r="D392" s="6" t="e">
        <f>VLOOKUP($B392,#REF!,6,FALSE)</f>
        <v>#REF!</v>
      </c>
      <c r="E392" s="7" t="e">
        <f>VLOOKUP($B392,#REF!,17,FALSE)</f>
        <v>#REF!</v>
      </c>
      <c r="F392" s="8" t="e">
        <f>VLOOKUP($B392,#REF!,7,FALSE)</f>
        <v>#REF!</v>
      </c>
      <c r="G392" s="8"/>
      <c r="H392" s="8"/>
      <c r="I392" s="9" t="e">
        <f>VLOOKUP($B392,#REF!,19,FALSE)</f>
        <v>#REF!</v>
      </c>
      <c r="J392" s="9" t="e">
        <f>VLOOKUP($B392,#REF!,6,FALSE)</f>
        <v>#REF!</v>
      </c>
      <c r="L392" s="1">
        <v>44653.34027777653</v>
      </c>
      <c r="M392" s="13"/>
    </row>
    <row r="393" spans="2:13">
      <c r="B393" s="5"/>
      <c r="C393" s="6" t="e">
        <f>VLOOKUP($B393,#REF!,5,FALSE)</f>
        <v>#REF!</v>
      </c>
      <c r="D393" s="6" t="e">
        <f>VLOOKUP($B393,#REF!,6,FALSE)</f>
        <v>#REF!</v>
      </c>
      <c r="E393" s="7" t="e">
        <f>VLOOKUP($B393,#REF!,17,FALSE)</f>
        <v>#REF!</v>
      </c>
      <c r="F393" s="8" t="e">
        <f>VLOOKUP($B393,#REF!,7,FALSE)</f>
        <v>#REF!</v>
      </c>
      <c r="G393" s="8"/>
      <c r="H393" s="8"/>
      <c r="I393" s="9" t="e">
        <f>VLOOKUP($B393,#REF!,19,FALSE)</f>
        <v>#REF!</v>
      </c>
      <c r="J393" s="9" t="e">
        <f>VLOOKUP($B393,#REF!,6,FALSE)</f>
        <v>#REF!</v>
      </c>
      <c r="L393" s="1">
        <v>44653.343749998749</v>
      </c>
      <c r="M393" s="13"/>
    </row>
    <row r="394" spans="2:13">
      <c r="B394" s="5"/>
      <c r="C394" s="6" t="e">
        <f>VLOOKUP($B394,#REF!,5,FALSE)</f>
        <v>#REF!</v>
      </c>
      <c r="D394" s="6" t="e">
        <f>VLOOKUP($B394,#REF!,6,FALSE)</f>
        <v>#REF!</v>
      </c>
      <c r="E394" s="7" t="e">
        <f>VLOOKUP($B394,#REF!,17,FALSE)</f>
        <v>#REF!</v>
      </c>
      <c r="F394" s="8" t="e">
        <f>VLOOKUP($B394,#REF!,7,FALSE)</f>
        <v>#REF!</v>
      </c>
      <c r="G394" s="8"/>
      <c r="H394" s="8"/>
      <c r="I394" s="9" t="e">
        <f>VLOOKUP($B394,#REF!,19,FALSE)</f>
        <v>#REF!</v>
      </c>
      <c r="J394" s="9" t="e">
        <f>VLOOKUP($B394,#REF!,6,FALSE)</f>
        <v>#REF!</v>
      </c>
      <c r="L394" s="1">
        <v>44653.347222220968</v>
      </c>
      <c r="M394" s="13"/>
    </row>
    <row r="395" spans="2:13">
      <c r="B395" s="5"/>
      <c r="C395" s="6" t="e">
        <f>VLOOKUP($B395,#REF!,5,FALSE)</f>
        <v>#REF!</v>
      </c>
      <c r="D395" s="6" t="e">
        <f>VLOOKUP($B395,#REF!,6,FALSE)</f>
        <v>#REF!</v>
      </c>
      <c r="E395" s="7" t="e">
        <f>VLOOKUP($B395,#REF!,17,FALSE)</f>
        <v>#REF!</v>
      </c>
      <c r="F395" s="8" t="e">
        <f>VLOOKUP($B395,#REF!,7,FALSE)</f>
        <v>#REF!</v>
      </c>
      <c r="G395" s="8"/>
      <c r="H395" s="8"/>
      <c r="I395" s="9" t="e">
        <f>VLOOKUP($B395,#REF!,19,FALSE)</f>
        <v>#REF!</v>
      </c>
      <c r="J395" s="9" t="e">
        <f>VLOOKUP($B395,#REF!,6,FALSE)</f>
        <v>#REF!</v>
      </c>
      <c r="L395" s="1">
        <v>44653.350694443187</v>
      </c>
      <c r="M395" s="13"/>
    </row>
    <row r="396" spans="2:13">
      <c r="B396" s="5"/>
      <c r="C396" s="6" t="e">
        <f>VLOOKUP($B396,#REF!,5,FALSE)</f>
        <v>#REF!</v>
      </c>
      <c r="D396" s="6" t="e">
        <f>VLOOKUP($B396,#REF!,6,FALSE)</f>
        <v>#REF!</v>
      </c>
      <c r="E396" s="7" t="e">
        <f>VLOOKUP($B396,#REF!,17,FALSE)</f>
        <v>#REF!</v>
      </c>
      <c r="F396" s="8" t="e">
        <f>VLOOKUP($B396,#REF!,7,FALSE)</f>
        <v>#REF!</v>
      </c>
      <c r="G396" s="8"/>
      <c r="H396" s="8"/>
      <c r="I396" s="9" t="e">
        <f>VLOOKUP($B396,#REF!,19,FALSE)</f>
        <v>#REF!</v>
      </c>
      <c r="J396" s="9" t="e">
        <f>VLOOKUP($B396,#REF!,6,FALSE)</f>
        <v>#REF!</v>
      </c>
      <c r="L396" s="1">
        <v>44653.354166665406</v>
      </c>
      <c r="M396" s="13"/>
    </row>
    <row r="397" spans="2:13">
      <c r="B397" s="5"/>
      <c r="C397" s="6" t="e">
        <f>VLOOKUP($B397,#REF!,5,FALSE)</f>
        <v>#REF!</v>
      </c>
      <c r="D397" s="6" t="e">
        <f>VLOOKUP($B397,#REF!,6,FALSE)</f>
        <v>#REF!</v>
      </c>
      <c r="E397" s="7" t="e">
        <f>VLOOKUP($B397,#REF!,17,FALSE)</f>
        <v>#REF!</v>
      </c>
      <c r="F397" s="8" t="e">
        <f>VLOOKUP($B397,#REF!,7,FALSE)</f>
        <v>#REF!</v>
      </c>
      <c r="G397" s="8"/>
      <c r="H397" s="8"/>
      <c r="I397" s="9" t="e">
        <f>VLOOKUP($B397,#REF!,19,FALSE)</f>
        <v>#REF!</v>
      </c>
      <c r="J397" s="9" t="e">
        <f>VLOOKUP($B397,#REF!,6,FALSE)</f>
        <v>#REF!</v>
      </c>
      <c r="L397" s="1">
        <v>44653.357638887624</v>
      </c>
      <c r="M397" s="13"/>
    </row>
    <row r="398" spans="2:13">
      <c r="B398" s="5"/>
      <c r="C398" s="6" t="e">
        <f>VLOOKUP($B398,#REF!,5,FALSE)</f>
        <v>#REF!</v>
      </c>
      <c r="D398" s="6" t="e">
        <f>VLOOKUP($B398,#REF!,6,FALSE)</f>
        <v>#REF!</v>
      </c>
      <c r="E398" s="7" t="e">
        <f>VLOOKUP($B398,#REF!,17,FALSE)</f>
        <v>#REF!</v>
      </c>
      <c r="F398" s="8" t="e">
        <f>VLOOKUP($B398,#REF!,7,FALSE)</f>
        <v>#REF!</v>
      </c>
      <c r="G398" s="8"/>
      <c r="H398" s="8"/>
      <c r="I398" s="9" t="e">
        <f>VLOOKUP($B398,#REF!,19,FALSE)</f>
        <v>#REF!</v>
      </c>
      <c r="J398" s="9" t="e">
        <f>VLOOKUP($B398,#REF!,6,FALSE)</f>
        <v>#REF!</v>
      </c>
      <c r="L398" s="1">
        <v>44653.361111109843</v>
      </c>
      <c r="M398" s="13"/>
    </row>
    <row r="399" spans="2:13">
      <c r="B399" s="5"/>
      <c r="C399" s="6" t="e">
        <f>VLOOKUP($B399,#REF!,5,FALSE)</f>
        <v>#REF!</v>
      </c>
      <c r="D399" s="6" t="e">
        <f>VLOOKUP($B399,#REF!,6,FALSE)</f>
        <v>#REF!</v>
      </c>
      <c r="E399" s="7" t="e">
        <f>VLOOKUP($B399,#REF!,17,FALSE)</f>
        <v>#REF!</v>
      </c>
      <c r="F399" s="8" t="e">
        <f>VLOOKUP($B399,#REF!,7,FALSE)</f>
        <v>#REF!</v>
      </c>
      <c r="G399" s="8"/>
      <c r="H399" s="8"/>
      <c r="I399" s="9" t="e">
        <f>VLOOKUP($B399,#REF!,19,FALSE)</f>
        <v>#REF!</v>
      </c>
      <c r="J399" s="9" t="e">
        <f>VLOOKUP($B399,#REF!,6,FALSE)</f>
        <v>#REF!</v>
      </c>
      <c r="L399" s="1">
        <v>44653.364583332062</v>
      </c>
      <c r="M399" s="13"/>
    </row>
    <row r="400" spans="2:13">
      <c r="B400" s="5"/>
      <c r="C400" s="6" t="e">
        <f>VLOOKUP($B400,#REF!,5,FALSE)</f>
        <v>#REF!</v>
      </c>
      <c r="D400" s="6" t="e">
        <f>VLOOKUP($B400,#REF!,6,FALSE)</f>
        <v>#REF!</v>
      </c>
      <c r="E400" s="7" t="e">
        <f>VLOOKUP($B400,#REF!,17,FALSE)</f>
        <v>#REF!</v>
      </c>
      <c r="F400" s="8" t="e">
        <f>VLOOKUP($B400,#REF!,7,FALSE)</f>
        <v>#REF!</v>
      </c>
      <c r="G400" s="8"/>
      <c r="H400" s="8"/>
      <c r="I400" s="9" t="e">
        <f>VLOOKUP($B400,#REF!,19,FALSE)</f>
        <v>#REF!</v>
      </c>
      <c r="J400" s="9" t="e">
        <f>VLOOKUP($B400,#REF!,6,FALSE)</f>
        <v>#REF!</v>
      </c>
      <c r="L400" s="1">
        <v>44653.368055554281</v>
      </c>
      <c r="M400" s="13"/>
    </row>
    <row r="401" spans="2:13">
      <c r="B401" s="5"/>
      <c r="C401" s="6" t="e">
        <f>VLOOKUP($B401,#REF!,5,FALSE)</f>
        <v>#REF!</v>
      </c>
      <c r="D401" s="6" t="e">
        <f>VLOOKUP($B401,#REF!,6,FALSE)</f>
        <v>#REF!</v>
      </c>
      <c r="E401" s="7" t="e">
        <f>VLOOKUP($B401,#REF!,17,FALSE)</f>
        <v>#REF!</v>
      </c>
      <c r="F401" s="8" t="e">
        <f>VLOOKUP($B401,#REF!,7,FALSE)</f>
        <v>#REF!</v>
      </c>
      <c r="G401" s="8"/>
      <c r="H401" s="8"/>
      <c r="I401" s="9" t="e">
        <f>VLOOKUP($B401,#REF!,19,FALSE)</f>
        <v>#REF!</v>
      </c>
      <c r="J401" s="9" t="e">
        <f>VLOOKUP($B401,#REF!,6,FALSE)</f>
        <v>#REF!</v>
      </c>
      <c r="L401" s="1">
        <v>44653.3715277765</v>
      </c>
      <c r="M401" s="13"/>
    </row>
    <row r="402" spans="2:13">
      <c r="B402" s="5"/>
      <c r="C402" s="6" t="e">
        <f>VLOOKUP($B402,#REF!,5,FALSE)</f>
        <v>#REF!</v>
      </c>
      <c r="D402" s="6" t="e">
        <f>VLOOKUP($B402,#REF!,6,FALSE)</f>
        <v>#REF!</v>
      </c>
      <c r="E402" s="7" t="e">
        <f>VLOOKUP($B402,#REF!,17,FALSE)</f>
        <v>#REF!</v>
      </c>
      <c r="F402" s="8" t="e">
        <f>VLOOKUP($B402,#REF!,7,FALSE)</f>
        <v>#REF!</v>
      </c>
      <c r="G402" s="8"/>
      <c r="H402" s="8"/>
      <c r="I402" s="9" t="e">
        <f>VLOOKUP($B402,#REF!,19,FALSE)</f>
        <v>#REF!</v>
      </c>
      <c r="J402" s="9" t="e">
        <f>VLOOKUP($B402,#REF!,6,FALSE)</f>
        <v>#REF!</v>
      </c>
      <c r="L402" s="1">
        <v>44653.374999998719</v>
      </c>
      <c r="M402" s="13"/>
    </row>
    <row r="403" spans="2:13">
      <c r="B403" s="5"/>
      <c r="C403" s="6" t="e">
        <f>VLOOKUP($B403,#REF!,5,FALSE)</f>
        <v>#REF!</v>
      </c>
      <c r="D403" s="6" t="e">
        <f>VLOOKUP($B403,#REF!,6,FALSE)</f>
        <v>#REF!</v>
      </c>
      <c r="E403" s="7" t="e">
        <f>VLOOKUP($B403,#REF!,17,FALSE)</f>
        <v>#REF!</v>
      </c>
      <c r="F403" s="8" t="e">
        <f>VLOOKUP($B403,#REF!,7,FALSE)</f>
        <v>#REF!</v>
      </c>
      <c r="G403" s="8"/>
      <c r="H403" s="8"/>
      <c r="I403" s="9" t="e">
        <f>VLOOKUP($B403,#REF!,19,FALSE)</f>
        <v>#REF!</v>
      </c>
      <c r="J403" s="9" t="e">
        <f>VLOOKUP($B403,#REF!,6,FALSE)</f>
        <v>#REF!</v>
      </c>
      <c r="L403" s="1">
        <v>44653.378472220938</v>
      </c>
      <c r="M403" s="13"/>
    </row>
    <row r="404" spans="2:13">
      <c r="B404" s="5"/>
      <c r="C404" s="6" t="e">
        <f>VLOOKUP($B404,#REF!,5,FALSE)</f>
        <v>#REF!</v>
      </c>
      <c r="D404" s="6" t="e">
        <f>VLOOKUP($B404,#REF!,6,FALSE)</f>
        <v>#REF!</v>
      </c>
      <c r="E404" s="7" t="e">
        <f>VLOOKUP($B404,#REF!,17,FALSE)</f>
        <v>#REF!</v>
      </c>
      <c r="F404" s="8" t="e">
        <f>VLOOKUP($B404,#REF!,7,FALSE)</f>
        <v>#REF!</v>
      </c>
      <c r="G404" s="8"/>
      <c r="H404" s="8"/>
      <c r="I404" s="9" t="e">
        <f>VLOOKUP($B404,#REF!,19,FALSE)</f>
        <v>#REF!</v>
      </c>
      <c r="J404" s="9" t="e">
        <f>VLOOKUP($B404,#REF!,6,FALSE)</f>
        <v>#REF!</v>
      </c>
      <c r="L404" s="1">
        <v>44653.381944443157</v>
      </c>
      <c r="M404" s="13"/>
    </row>
    <row r="405" spans="2:13">
      <c r="B405" s="5"/>
      <c r="C405" s="6" t="e">
        <f>VLOOKUP($B405,#REF!,5,FALSE)</f>
        <v>#REF!</v>
      </c>
      <c r="D405" s="6" t="e">
        <f>VLOOKUP($B405,#REF!,6,FALSE)</f>
        <v>#REF!</v>
      </c>
      <c r="E405" s="7" t="e">
        <f>VLOOKUP($B405,#REF!,17,FALSE)</f>
        <v>#REF!</v>
      </c>
      <c r="F405" s="8" t="e">
        <f>VLOOKUP($B405,#REF!,7,FALSE)</f>
        <v>#REF!</v>
      </c>
      <c r="G405" s="8"/>
      <c r="H405" s="8"/>
      <c r="I405" s="9" t="e">
        <f>VLOOKUP($B405,#REF!,19,FALSE)</f>
        <v>#REF!</v>
      </c>
      <c r="J405" s="9" t="e">
        <f>VLOOKUP($B405,#REF!,6,FALSE)</f>
        <v>#REF!</v>
      </c>
      <c r="L405" s="1">
        <v>44653.385416665376</v>
      </c>
      <c r="M405" s="13"/>
    </row>
    <row r="406" spans="2:13">
      <c r="B406" s="5"/>
      <c r="C406" s="6" t="e">
        <f>VLOOKUP($B406,#REF!,5,FALSE)</f>
        <v>#REF!</v>
      </c>
      <c r="D406" s="6" t="e">
        <f>VLOOKUP($B406,#REF!,6,FALSE)</f>
        <v>#REF!</v>
      </c>
      <c r="E406" s="7" t="e">
        <f>VLOOKUP($B406,#REF!,17,FALSE)</f>
        <v>#REF!</v>
      </c>
      <c r="F406" s="8" t="e">
        <f>VLOOKUP($B406,#REF!,7,FALSE)</f>
        <v>#REF!</v>
      </c>
      <c r="G406" s="8"/>
      <c r="H406" s="8"/>
      <c r="I406" s="9" t="e">
        <f>VLOOKUP($B406,#REF!,19,FALSE)</f>
        <v>#REF!</v>
      </c>
      <c r="J406" s="9" t="e">
        <f>VLOOKUP($B406,#REF!,6,FALSE)</f>
        <v>#REF!</v>
      </c>
      <c r="L406" s="1">
        <v>44653.388888887595</v>
      </c>
      <c r="M406" s="13"/>
    </row>
    <row r="407" spans="2:13">
      <c r="B407" s="5"/>
      <c r="C407" s="6" t="e">
        <f>VLOOKUP($B407,#REF!,5,FALSE)</f>
        <v>#REF!</v>
      </c>
      <c r="D407" s="6" t="e">
        <f>VLOOKUP($B407,#REF!,6,FALSE)</f>
        <v>#REF!</v>
      </c>
      <c r="E407" s="7" t="e">
        <f>VLOOKUP($B407,#REF!,17,FALSE)</f>
        <v>#REF!</v>
      </c>
      <c r="F407" s="8" t="e">
        <f>VLOOKUP($B407,#REF!,7,FALSE)</f>
        <v>#REF!</v>
      </c>
      <c r="G407" s="8"/>
      <c r="H407" s="8"/>
      <c r="I407" s="9" t="e">
        <f>VLOOKUP($B407,#REF!,19,FALSE)</f>
        <v>#REF!</v>
      </c>
      <c r="J407" s="9" t="e">
        <f>VLOOKUP($B407,#REF!,6,FALSE)</f>
        <v>#REF!</v>
      </c>
      <c r="L407" s="1">
        <v>44653.392361109814</v>
      </c>
      <c r="M407" s="13"/>
    </row>
    <row r="408" spans="2:13">
      <c r="B408" s="5"/>
      <c r="C408" s="6" t="e">
        <f>VLOOKUP($B408,#REF!,5,FALSE)</f>
        <v>#REF!</v>
      </c>
      <c r="D408" s="6" t="e">
        <f>VLOOKUP($B408,#REF!,6,FALSE)</f>
        <v>#REF!</v>
      </c>
      <c r="E408" s="7" t="e">
        <f>VLOOKUP($B408,#REF!,17,FALSE)</f>
        <v>#REF!</v>
      </c>
      <c r="F408" s="8" t="e">
        <f>VLOOKUP($B408,#REF!,7,FALSE)</f>
        <v>#REF!</v>
      </c>
      <c r="G408" s="8"/>
      <c r="H408" s="8"/>
      <c r="I408" s="9" t="e">
        <f>VLOOKUP($B408,#REF!,19,FALSE)</f>
        <v>#REF!</v>
      </c>
      <c r="J408" s="9" t="e">
        <f>VLOOKUP($B408,#REF!,6,FALSE)</f>
        <v>#REF!</v>
      </c>
      <c r="L408" s="1">
        <v>44653.395833332033</v>
      </c>
      <c r="M408" s="13"/>
    </row>
    <row r="409" spans="2:13">
      <c r="B409" s="5"/>
      <c r="C409" s="6" t="e">
        <f>VLOOKUP($B409,#REF!,5,FALSE)</f>
        <v>#REF!</v>
      </c>
      <c r="D409" s="6" t="e">
        <f>VLOOKUP($B409,#REF!,6,FALSE)</f>
        <v>#REF!</v>
      </c>
      <c r="E409" s="7" t="e">
        <f>VLOOKUP($B409,#REF!,17,FALSE)</f>
        <v>#REF!</v>
      </c>
      <c r="F409" s="8" t="e">
        <f>VLOOKUP($B409,#REF!,7,FALSE)</f>
        <v>#REF!</v>
      </c>
      <c r="G409" s="8"/>
      <c r="H409" s="8"/>
      <c r="I409" s="9" t="e">
        <f>VLOOKUP($B409,#REF!,19,FALSE)</f>
        <v>#REF!</v>
      </c>
      <c r="J409" s="9" t="e">
        <f>VLOOKUP($B409,#REF!,6,FALSE)</f>
        <v>#REF!</v>
      </c>
      <c r="L409" s="1">
        <v>44653.399305554252</v>
      </c>
      <c r="M409" s="13"/>
    </row>
    <row r="410" spans="2:13">
      <c r="B410" s="5"/>
      <c r="C410" s="6" t="e">
        <f>VLOOKUP($B410,#REF!,5,FALSE)</f>
        <v>#REF!</v>
      </c>
      <c r="D410" s="6" t="e">
        <f>VLOOKUP($B410,#REF!,6,FALSE)</f>
        <v>#REF!</v>
      </c>
      <c r="E410" s="7" t="e">
        <f>VLOOKUP($B410,#REF!,17,FALSE)</f>
        <v>#REF!</v>
      </c>
      <c r="F410" s="8" t="e">
        <f>VLOOKUP($B410,#REF!,7,FALSE)</f>
        <v>#REF!</v>
      </c>
      <c r="G410" s="8"/>
      <c r="H410" s="8"/>
      <c r="I410" s="9" t="e">
        <f>VLOOKUP($B410,#REF!,19,FALSE)</f>
        <v>#REF!</v>
      </c>
      <c r="J410" s="9" t="e">
        <f>VLOOKUP($B410,#REF!,6,FALSE)</f>
        <v>#REF!</v>
      </c>
      <c r="L410" s="1">
        <v>44653.402777776471</v>
      </c>
      <c r="M410" s="13"/>
    </row>
    <row r="411" spans="2:13">
      <c r="B411" s="5"/>
      <c r="C411" s="6" t="e">
        <f>VLOOKUP($B411,#REF!,5,FALSE)</f>
        <v>#REF!</v>
      </c>
      <c r="D411" s="6" t="e">
        <f>VLOOKUP($B411,#REF!,6,FALSE)</f>
        <v>#REF!</v>
      </c>
      <c r="E411" s="7" t="e">
        <f>VLOOKUP($B411,#REF!,17,FALSE)</f>
        <v>#REF!</v>
      </c>
      <c r="F411" s="8" t="e">
        <f>VLOOKUP($B411,#REF!,7,FALSE)</f>
        <v>#REF!</v>
      </c>
      <c r="G411" s="8"/>
      <c r="H411" s="8"/>
      <c r="I411" s="9" t="e">
        <f>VLOOKUP($B411,#REF!,19,FALSE)</f>
        <v>#REF!</v>
      </c>
      <c r="J411" s="9" t="e">
        <f>VLOOKUP($B411,#REF!,6,FALSE)</f>
        <v>#REF!</v>
      </c>
      <c r="L411" s="1">
        <v>44653.40624999869</v>
      </c>
      <c r="M411" s="13"/>
    </row>
    <row r="412" spans="2:13">
      <c r="B412" s="5"/>
      <c r="C412" s="6" t="e">
        <f>VLOOKUP($B412,#REF!,5,FALSE)</f>
        <v>#REF!</v>
      </c>
      <c r="D412" s="6" t="e">
        <f>VLOOKUP($B412,#REF!,6,FALSE)</f>
        <v>#REF!</v>
      </c>
      <c r="E412" s="7" t="e">
        <f>VLOOKUP($B412,#REF!,17,FALSE)</f>
        <v>#REF!</v>
      </c>
      <c r="F412" s="8" t="e">
        <f>VLOOKUP($B412,#REF!,7,FALSE)</f>
        <v>#REF!</v>
      </c>
      <c r="G412" s="8"/>
      <c r="H412" s="8"/>
      <c r="I412" s="9" t="e">
        <f>VLOOKUP($B412,#REF!,19,FALSE)</f>
        <v>#REF!</v>
      </c>
      <c r="J412" s="9" t="e">
        <f>VLOOKUP($B412,#REF!,6,FALSE)</f>
        <v>#REF!</v>
      </c>
      <c r="L412" s="1">
        <v>44653.409722220909</v>
      </c>
      <c r="M412" s="13"/>
    </row>
    <row r="413" spans="2:13">
      <c r="B413" s="5"/>
      <c r="C413" s="6" t="e">
        <f>VLOOKUP($B413,#REF!,5,FALSE)</f>
        <v>#REF!</v>
      </c>
      <c r="D413" s="6" t="e">
        <f>VLOOKUP($B413,#REF!,6,FALSE)</f>
        <v>#REF!</v>
      </c>
      <c r="E413" s="7" t="e">
        <f>VLOOKUP($B413,#REF!,17,FALSE)</f>
        <v>#REF!</v>
      </c>
      <c r="F413" s="8" t="e">
        <f>VLOOKUP($B413,#REF!,7,FALSE)</f>
        <v>#REF!</v>
      </c>
      <c r="G413" s="8"/>
      <c r="H413" s="8"/>
      <c r="I413" s="9" t="e">
        <f>VLOOKUP($B413,#REF!,19,FALSE)</f>
        <v>#REF!</v>
      </c>
      <c r="J413" s="9" t="e">
        <f>VLOOKUP($B413,#REF!,6,FALSE)</f>
        <v>#REF!</v>
      </c>
      <c r="L413" s="1">
        <v>44653.413194443128</v>
      </c>
      <c r="M413" s="13"/>
    </row>
    <row r="414" spans="2:13">
      <c r="B414" s="5"/>
      <c r="C414" s="6" t="e">
        <f>VLOOKUP($B414,#REF!,5,FALSE)</f>
        <v>#REF!</v>
      </c>
      <c r="D414" s="6" t="e">
        <f>VLOOKUP($B414,#REF!,6,FALSE)</f>
        <v>#REF!</v>
      </c>
      <c r="E414" s="7" t="e">
        <f>VLOOKUP($B414,#REF!,17,FALSE)</f>
        <v>#REF!</v>
      </c>
      <c r="F414" s="8" t="e">
        <f>VLOOKUP($B414,#REF!,7,FALSE)</f>
        <v>#REF!</v>
      </c>
      <c r="G414" s="8"/>
      <c r="H414" s="8"/>
      <c r="I414" s="9" t="e">
        <f>VLOOKUP($B414,#REF!,19,FALSE)</f>
        <v>#REF!</v>
      </c>
      <c r="J414" s="9" t="e">
        <f>VLOOKUP($B414,#REF!,6,FALSE)</f>
        <v>#REF!</v>
      </c>
      <c r="L414" s="1">
        <v>44653.416666665347</v>
      </c>
      <c r="M414" s="13"/>
    </row>
    <row r="415" spans="2:13">
      <c r="B415" s="5"/>
      <c r="C415" s="6" t="e">
        <f>VLOOKUP($B415,#REF!,5,FALSE)</f>
        <v>#REF!</v>
      </c>
      <c r="D415" s="6" t="e">
        <f>VLOOKUP($B415,#REF!,6,FALSE)</f>
        <v>#REF!</v>
      </c>
      <c r="E415" s="7" t="e">
        <f>VLOOKUP($B415,#REF!,17,FALSE)</f>
        <v>#REF!</v>
      </c>
      <c r="F415" s="8" t="e">
        <f>VLOOKUP($B415,#REF!,7,FALSE)</f>
        <v>#REF!</v>
      </c>
      <c r="G415" s="8"/>
      <c r="H415" s="8"/>
      <c r="I415" s="9" t="e">
        <f>VLOOKUP($B415,#REF!,19,FALSE)</f>
        <v>#REF!</v>
      </c>
      <c r="J415" s="9" t="e">
        <f>VLOOKUP($B415,#REF!,6,FALSE)</f>
        <v>#REF!</v>
      </c>
      <c r="L415" s="1">
        <v>44653.420138887566</v>
      </c>
      <c r="M415" s="13"/>
    </row>
    <row r="416" spans="2:13">
      <c r="B416" s="5"/>
      <c r="C416" s="6" t="e">
        <f>VLOOKUP($B416,#REF!,5,FALSE)</f>
        <v>#REF!</v>
      </c>
      <c r="D416" s="6" t="e">
        <f>VLOOKUP($B416,#REF!,6,FALSE)</f>
        <v>#REF!</v>
      </c>
      <c r="E416" s="7" t="e">
        <f>VLOOKUP($B416,#REF!,17,FALSE)</f>
        <v>#REF!</v>
      </c>
      <c r="F416" s="8" t="e">
        <f>VLOOKUP($B416,#REF!,7,FALSE)</f>
        <v>#REF!</v>
      </c>
      <c r="G416" s="8"/>
      <c r="H416" s="8"/>
      <c r="I416" s="9" t="e">
        <f>VLOOKUP($B416,#REF!,19,FALSE)</f>
        <v>#REF!</v>
      </c>
      <c r="J416" s="9" t="e">
        <f>VLOOKUP($B416,#REF!,6,FALSE)</f>
        <v>#REF!</v>
      </c>
      <c r="L416" s="1">
        <v>44653.423611109785</v>
      </c>
      <c r="M416" s="13"/>
    </row>
    <row r="417" spans="2:13">
      <c r="B417" s="5"/>
      <c r="C417" s="6" t="e">
        <f>VLOOKUP($B417,#REF!,5,FALSE)</f>
        <v>#REF!</v>
      </c>
      <c r="D417" s="6" t="e">
        <f>VLOOKUP($B417,#REF!,6,FALSE)</f>
        <v>#REF!</v>
      </c>
      <c r="E417" s="7" t="e">
        <f>VLOOKUP($B417,#REF!,17,FALSE)</f>
        <v>#REF!</v>
      </c>
      <c r="F417" s="8" t="e">
        <f>VLOOKUP($B417,#REF!,7,FALSE)</f>
        <v>#REF!</v>
      </c>
      <c r="G417" s="8"/>
      <c r="H417" s="8"/>
      <c r="I417" s="9" t="e">
        <f>VLOOKUP($B417,#REF!,19,FALSE)</f>
        <v>#REF!</v>
      </c>
      <c r="J417" s="9" t="e">
        <f>VLOOKUP($B417,#REF!,6,FALSE)</f>
        <v>#REF!</v>
      </c>
      <c r="L417" s="1">
        <v>44653.427083332004</v>
      </c>
      <c r="M417" s="13"/>
    </row>
    <row r="418" spans="2:13">
      <c r="B418" s="5"/>
      <c r="C418" s="6" t="e">
        <f>VLOOKUP($B418,#REF!,5,FALSE)</f>
        <v>#REF!</v>
      </c>
      <c r="D418" s="6" t="e">
        <f>VLOOKUP($B418,#REF!,6,FALSE)</f>
        <v>#REF!</v>
      </c>
      <c r="E418" s="7" t="e">
        <f>VLOOKUP($B418,#REF!,17,FALSE)</f>
        <v>#REF!</v>
      </c>
      <c r="F418" s="8" t="e">
        <f>VLOOKUP($B418,#REF!,7,FALSE)</f>
        <v>#REF!</v>
      </c>
      <c r="G418" s="8"/>
      <c r="H418" s="8"/>
      <c r="I418" s="9" t="e">
        <f>VLOOKUP($B418,#REF!,19,FALSE)</f>
        <v>#REF!</v>
      </c>
      <c r="J418" s="9" t="e">
        <f>VLOOKUP($B418,#REF!,6,FALSE)</f>
        <v>#REF!</v>
      </c>
      <c r="L418" s="1">
        <v>44653.430555554223</v>
      </c>
      <c r="M418" s="13"/>
    </row>
    <row r="419" spans="2:13">
      <c r="B419" s="5"/>
      <c r="C419" s="6" t="e">
        <f>VLOOKUP($B419,#REF!,5,FALSE)</f>
        <v>#REF!</v>
      </c>
      <c r="D419" s="6" t="e">
        <f>VLOOKUP($B419,#REF!,6,FALSE)</f>
        <v>#REF!</v>
      </c>
      <c r="E419" s="7" t="e">
        <f>VLOOKUP($B419,#REF!,17,FALSE)</f>
        <v>#REF!</v>
      </c>
      <c r="F419" s="8" t="e">
        <f>VLOOKUP($B419,#REF!,7,FALSE)</f>
        <v>#REF!</v>
      </c>
      <c r="G419" s="8"/>
      <c r="H419" s="8"/>
      <c r="I419" s="9" t="e">
        <f>VLOOKUP($B419,#REF!,19,FALSE)</f>
        <v>#REF!</v>
      </c>
      <c r="J419" s="9" t="e">
        <f>VLOOKUP($B419,#REF!,6,FALSE)</f>
        <v>#REF!</v>
      </c>
      <c r="L419" s="1">
        <v>44653.434027776442</v>
      </c>
      <c r="M419" s="13"/>
    </row>
    <row r="420" spans="2:13">
      <c r="B420" s="5"/>
      <c r="C420" s="6" t="e">
        <f>VLOOKUP($B420,#REF!,5,FALSE)</f>
        <v>#REF!</v>
      </c>
      <c r="D420" s="6" t="e">
        <f>VLOOKUP($B420,#REF!,6,FALSE)</f>
        <v>#REF!</v>
      </c>
      <c r="E420" s="7" t="e">
        <f>VLOOKUP($B420,#REF!,17,FALSE)</f>
        <v>#REF!</v>
      </c>
      <c r="F420" s="8" t="e">
        <f>VLOOKUP($B420,#REF!,7,FALSE)</f>
        <v>#REF!</v>
      </c>
      <c r="G420" s="8"/>
      <c r="H420" s="8"/>
      <c r="I420" s="9" t="e">
        <f>VLOOKUP($B420,#REF!,19,FALSE)</f>
        <v>#REF!</v>
      </c>
      <c r="J420" s="9" t="e">
        <f>VLOOKUP($B420,#REF!,6,FALSE)</f>
        <v>#REF!</v>
      </c>
      <c r="L420" s="1">
        <v>44653.437499998661</v>
      </c>
      <c r="M420" s="13"/>
    </row>
    <row r="421" spans="2:13">
      <c r="B421" s="5"/>
      <c r="C421" s="6" t="e">
        <f>VLOOKUP($B421,#REF!,5,FALSE)</f>
        <v>#REF!</v>
      </c>
      <c r="D421" s="6" t="e">
        <f>VLOOKUP($B421,#REF!,6,FALSE)</f>
        <v>#REF!</v>
      </c>
      <c r="E421" s="7" t="e">
        <f>VLOOKUP($B421,#REF!,17,FALSE)</f>
        <v>#REF!</v>
      </c>
      <c r="F421" s="8" t="e">
        <f>VLOOKUP($B421,#REF!,7,FALSE)</f>
        <v>#REF!</v>
      </c>
      <c r="G421" s="8"/>
      <c r="H421" s="8"/>
      <c r="I421" s="9" t="e">
        <f>VLOOKUP($B421,#REF!,19,FALSE)</f>
        <v>#REF!</v>
      </c>
      <c r="J421" s="9" t="e">
        <f>VLOOKUP($B421,#REF!,6,FALSE)</f>
        <v>#REF!</v>
      </c>
      <c r="L421" s="1">
        <v>44653.44097222088</v>
      </c>
      <c r="M421" s="13"/>
    </row>
    <row r="422" spans="2:13">
      <c r="B422" s="5"/>
      <c r="C422" s="6" t="e">
        <f>VLOOKUP($B422,#REF!,5,FALSE)</f>
        <v>#REF!</v>
      </c>
      <c r="D422" s="6" t="e">
        <f>VLOOKUP($B422,#REF!,6,FALSE)</f>
        <v>#REF!</v>
      </c>
      <c r="E422" s="7" t="e">
        <f>VLOOKUP($B422,#REF!,17,FALSE)</f>
        <v>#REF!</v>
      </c>
      <c r="F422" s="8" t="e">
        <f>VLOOKUP($B422,#REF!,7,FALSE)</f>
        <v>#REF!</v>
      </c>
      <c r="G422" s="8"/>
      <c r="H422" s="8"/>
      <c r="I422" s="9" t="e">
        <f>VLOOKUP($B422,#REF!,19,FALSE)</f>
        <v>#REF!</v>
      </c>
      <c r="J422" s="9" t="e">
        <f>VLOOKUP($B422,#REF!,6,FALSE)</f>
        <v>#REF!</v>
      </c>
      <c r="L422" s="1">
        <v>44653.444444443099</v>
      </c>
      <c r="M422" s="13"/>
    </row>
    <row r="423" spans="2:13">
      <c r="B423" s="5"/>
      <c r="C423" s="6" t="e">
        <f>VLOOKUP($B423,#REF!,5,FALSE)</f>
        <v>#REF!</v>
      </c>
      <c r="D423" s="6" t="e">
        <f>VLOOKUP($B423,#REF!,6,FALSE)</f>
        <v>#REF!</v>
      </c>
      <c r="E423" s="7" t="e">
        <f>VLOOKUP($B423,#REF!,17,FALSE)</f>
        <v>#REF!</v>
      </c>
      <c r="F423" s="8" t="e">
        <f>VLOOKUP($B423,#REF!,7,FALSE)</f>
        <v>#REF!</v>
      </c>
      <c r="G423" s="8"/>
      <c r="H423" s="8"/>
      <c r="I423" s="9" t="e">
        <f>VLOOKUP($B423,#REF!,19,FALSE)</f>
        <v>#REF!</v>
      </c>
      <c r="J423" s="9" t="e">
        <f>VLOOKUP($B423,#REF!,6,FALSE)</f>
        <v>#REF!</v>
      </c>
      <c r="L423" s="1">
        <v>44653.447916665318</v>
      </c>
      <c r="M423" s="13"/>
    </row>
    <row r="424" spans="2:13">
      <c r="B424" s="5"/>
      <c r="C424" s="6" t="e">
        <f>VLOOKUP($B424,#REF!,5,FALSE)</f>
        <v>#REF!</v>
      </c>
      <c r="D424" s="6" t="e">
        <f>VLOOKUP($B424,#REF!,6,FALSE)</f>
        <v>#REF!</v>
      </c>
      <c r="E424" s="7" t="e">
        <f>VLOOKUP($B424,#REF!,17,FALSE)</f>
        <v>#REF!</v>
      </c>
      <c r="F424" s="8" t="e">
        <f>VLOOKUP($B424,#REF!,7,FALSE)</f>
        <v>#REF!</v>
      </c>
      <c r="G424" s="8"/>
      <c r="H424" s="8"/>
      <c r="I424" s="9" t="e">
        <f>VLOOKUP($B424,#REF!,19,FALSE)</f>
        <v>#REF!</v>
      </c>
      <c r="J424" s="9" t="e">
        <f>VLOOKUP($B424,#REF!,6,FALSE)</f>
        <v>#REF!</v>
      </c>
      <c r="L424" s="1">
        <v>44653.451388887537</v>
      </c>
      <c r="M424" s="13"/>
    </row>
    <row r="425" spans="2:13">
      <c r="B425" s="5"/>
      <c r="C425" s="6" t="e">
        <f>VLOOKUP($B425,#REF!,5,FALSE)</f>
        <v>#REF!</v>
      </c>
      <c r="D425" s="6" t="e">
        <f>VLOOKUP($B425,#REF!,6,FALSE)</f>
        <v>#REF!</v>
      </c>
      <c r="E425" s="7" t="e">
        <f>VLOOKUP($B425,#REF!,17,FALSE)</f>
        <v>#REF!</v>
      </c>
      <c r="F425" s="8" t="e">
        <f>VLOOKUP($B425,#REF!,7,FALSE)</f>
        <v>#REF!</v>
      </c>
      <c r="G425" s="8"/>
      <c r="H425" s="8"/>
      <c r="I425" s="9" t="e">
        <f>VLOOKUP($B425,#REF!,19,FALSE)</f>
        <v>#REF!</v>
      </c>
      <c r="J425" s="9" t="e">
        <f>VLOOKUP($B425,#REF!,6,FALSE)</f>
        <v>#REF!</v>
      </c>
      <c r="L425" s="1">
        <v>44653.454861109756</v>
      </c>
      <c r="M425" s="13"/>
    </row>
    <row r="426" spans="2:13">
      <c r="B426" s="5"/>
      <c r="C426" s="6" t="e">
        <f>VLOOKUP($B426,#REF!,5,FALSE)</f>
        <v>#REF!</v>
      </c>
      <c r="D426" s="6" t="e">
        <f>VLOOKUP($B426,#REF!,6,FALSE)</f>
        <v>#REF!</v>
      </c>
      <c r="E426" s="7" t="e">
        <f>VLOOKUP($B426,#REF!,17,FALSE)</f>
        <v>#REF!</v>
      </c>
      <c r="F426" s="8" t="e">
        <f>VLOOKUP($B426,#REF!,7,FALSE)</f>
        <v>#REF!</v>
      </c>
      <c r="G426" s="8"/>
      <c r="H426" s="8"/>
      <c r="I426" s="9" t="e">
        <f>VLOOKUP($B426,#REF!,19,FALSE)</f>
        <v>#REF!</v>
      </c>
      <c r="J426" s="9" t="e">
        <f>VLOOKUP($B426,#REF!,6,FALSE)</f>
        <v>#REF!</v>
      </c>
      <c r="L426" s="1">
        <v>44653.458333331975</v>
      </c>
      <c r="M426" s="13"/>
    </row>
    <row r="427" spans="2:13">
      <c r="B427" s="5"/>
      <c r="C427" s="6" t="e">
        <f>VLOOKUP($B427,#REF!,5,FALSE)</f>
        <v>#REF!</v>
      </c>
      <c r="D427" s="6" t="e">
        <f>VLOOKUP($B427,#REF!,6,FALSE)</f>
        <v>#REF!</v>
      </c>
      <c r="E427" s="7" t="e">
        <f>VLOOKUP($B427,#REF!,17,FALSE)</f>
        <v>#REF!</v>
      </c>
      <c r="F427" s="8" t="e">
        <f>VLOOKUP($B427,#REF!,7,FALSE)</f>
        <v>#REF!</v>
      </c>
      <c r="G427" s="8"/>
      <c r="H427" s="8"/>
      <c r="I427" s="9" t="e">
        <f>VLOOKUP($B427,#REF!,19,FALSE)</f>
        <v>#REF!</v>
      </c>
      <c r="J427" s="9" t="e">
        <f>VLOOKUP($B427,#REF!,6,FALSE)</f>
        <v>#REF!</v>
      </c>
      <c r="L427" s="1">
        <v>44653.461805554194</v>
      </c>
      <c r="M427" s="13"/>
    </row>
    <row r="428" spans="2:13">
      <c r="B428" s="5"/>
      <c r="C428" s="6" t="e">
        <f>VLOOKUP($B428,#REF!,5,FALSE)</f>
        <v>#REF!</v>
      </c>
      <c r="D428" s="6" t="e">
        <f>VLOOKUP($B428,#REF!,6,FALSE)</f>
        <v>#REF!</v>
      </c>
      <c r="E428" s="7" t="e">
        <f>VLOOKUP($B428,#REF!,17,FALSE)</f>
        <v>#REF!</v>
      </c>
      <c r="F428" s="8" t="e">
        <f>VLOOKUP($B428,#REF!,7,FALSE)</f>
        <v>#REF!</v>
      </c>
      <c r="G428" s="8"/>
      <c r="H428" s="8"/>
      <c r="I428" s="9" t="e">
        <f>VLOOKUP($B428,#REF!,19,FALSE)</f>
        <v>#REF!</v>
      </c>
      <c r="J428" s="9" t="e">
        <f>VLOOKUP($B428,#REF!,6,FALSE)</f>
        <v>#REF!</v>
      </c>
      <c r="L428" s="1">
        <v>44653.465277776413</v>
      </c>
      <c r="M428" s="13"/>
    </row>
    <row r="429" spans="2:13">
      <c r="B429" s="5"/>
      <c r="C429" s="6" t="e">
        <f>VLOOKUP($B429,#REF!,5,FALSE)</f>
        <v>#REF!</v>
      </c>
      <c r="D429" s="6" t="e">
        <f>VLOOKUP($B429,#REF!,6,FALSE)</f>
        <v>#REF!</v>
      </c>
      <c r="E429" s="7" t="e">
        <f>VLOOKUP($B429,#REF!,17,FALSE)</f>
        <v>#REF!</v>
      </c>
      <c r="F429" s="8" t="e">
        <f>VLOOKUP($B429,#REF!,7,FALSE)</f>
        <v>#REF!</v>
      </c>
      <c r="G429" s="8"/>
      <c r="H429" s="8"/>
      <c r="I429" s="9" t="e">
        <f>VLOOKUP($B429,#REF!,19,FALSE)</f>
        <v>#REF!</v>
      </c>
      <c r="J429" s="9" t="e">
        <f>VLOOKUP($B429,#REF!,6,FALSE)</f>
        <v>#REF!</v>
      </c>
      <c r="L429" s="1">
        <v>44653.468749998632</v>
      </c>
      <c r="M429" s="13"/>
    </row>
    <row r="430" spans="2:13">
      <c r="B430" s="5"/>
      <c r="C430" s="6" t="e">
        <f>VLOOKUP($B430,#REF!,5,FALSE)</f>
        <v>#REF!</v>
      </c>
      <c r="D430" s="6" t="e">
        <f>VLOOKUP($B430,#REF!,6,FALSE)</f>
        <v>#REF!</v>
      </c>
      <c r="E430" s="7" t="e">
        <f>VLOOKUP($B430,#REF!,17,FALSE)</f>
        <v>#REF!</v>
      </c>
      <c r="F430" s="8" t="e">
        <f>VLOOKUP($B430,#REF!,7,FALSE)</f>
        <v>#REF!</v>
      </c>
      <c r="G430" s="8"/>
      <c r="H430" s="8"/>
      <c r="I430" s="9" t="e">
        <f>VLOOKUP($B430,#REF!,19,FALSE)</f>
        <v>#REF!</v>
      </c>
      <c r="J430" s="9" t="e">
        <f>VLOOKUP($B430,#REF!,6,FALSE)</f>
        <v>#REF!</v>
      </c>
      <c r="L430" s="1">
        <v>44653.472222220851</v>
      </c>
      <c r="M430" s="13"/>
    </row>
    <row r="431" spans="2:13">
      <c r="B431" s="5"/>
      <c r="C431" s="6" t="e">
        <f>VLOOKUP($B431,#REF!,5,FALSE)</f>
        <v>#REF!</v>
      </c>
      <c r="D431" s="6" t="e">
        <f>VLOOKUP($B431,#REF!,6,FALSE)</f>
        <v>#REF!</v>
      </c>
      <c r="E431" s="7" t="e">
        <f>VLOOKUP($B431,#REF!,17,FALSE)</f>
        <v>#REF!</v>
      </c>
      <c r="F431" s="8" t="e">
        <f>VLOOKUP($B431,#REF!,7,FALSE)</f>
        <v>#REF!</v>
      </c>
      <c r="G431" s="8"/>
      <c r="H431" s="8"/>
      <c r="I431" s="9" t="e">
        <f>VLOOKUP($B431,#REF!,19,FALSE)</f>
        <v>#REF!</v>
      </c>
      <c r="J431" s="9" t="e">
        <f>VLOOKUP($B431,#REF!,6,FALSE)</f>
        <v>#REF!</v>
      </c>
      <c r="L431" s="1">
        <v>44653.47569444307</v>
      </c>
      <c r="M431" s="13"/>
    </row>
    <row r="432" spans="2:13">
      <c r="B432" s="5"/>
      <c r="C432" s="6" t="e">
        <f>VLOOKUP($B432,#REF!,5,FALSE)</f>
        <v>#REF!</v>
      </c>
      <c r="D432" s="6" t="e">
        <f>VLOOKUP($B432,#REF!,6,FALSE)</f>
        <v>#REF!</v>
      </c>
      <c r="E432" s="7" t="e">
        <f>VLOOKUP($B432,#REF!,17,FALSE)</f>
        <v>#REF!</v>
      </c>
      <c r="F432" s="8" t="e">
        <f>VLOOKUP($B432,#REF!,7,FALSE)</f>
        <v>#REF!</v>
      </c>
      <c r="G432" s="8"/>
      <c r="H432" s="8"/>
      <c r="I432" s="9" t="e">
        <f>VLOOKUP($B432,#REF!,19,FALSE)</f>
        <v>#REF!</v>
      </c>
      <c r="J432" s="9" t="e">
        <f>VLOOKUP($B432,#REF!,6,FALSE)</f>
        <v>#REF!</v>
      </c>
      <c r="L432" s="1">
        <v>44653.479166665289</v>
      </c>
      <c r="M432" s="13"/>
    </row>
    <row r="433" spans="2:13">
      <c r="B433" s="5"/>
      <c r="C433" s="6" t="e">
        <f>VLOOKUP($B433,#REF!,5,FALSE)</f>
        <v>#REF!</v>
      </c>
      <c r="D433" s="6" t="e">
        <f>VLOOKUP($B433,#REF!,6,FALSE)</f>
        <v>#REF!</v>
      </c>
      <c r="E433" s="7" t="e">
        <f>VLOOKUP($B433,#REF!,17,FALSE)</f>
        <v>#REF!</v>
      </c>
      <c r="F433" s="8" t="e">
        <f>VLOOKUP($B433,#REF!,7,FALSE)</f>
        <v>#REF!</v>
      </c>
      <c r="G433" s="8"/>
      <c r="H433" s="8"/>
      <c r="I433" s="9" t="e">
        <f>VLOOKUP($B433,#REF!,19,FALSE)</f>
        <v>#REF!</v>
      </c>
      <c r="J433" s="9" t="e">
        <f>VLOOKUP($B433,#REF!,6,FALSE)</f>
        <v>#REF!</v>
      </c>
      <c r="L433" s="1">
        <v>44653.482638887508</v>
      </c>
      <c r="M433" s="13"/>
    </row>
    <row r="434" spans="2:13">
      <c r="B434" s="5"/>
      <c r="C434" s="6" t="e">
        <f>VLOOKUP($B434,#REF!,5,FALSE)</f>
        <v>#REF!</v>
      </c>
      <c r="D434" s="6" t="e">
        <f>VLOOKUP($B434,#REF!,6,FALSE)</f>
        <v>#REF!</v>
      </c>
      <c r="E434" s="7" t="e">
        <f>VLOOKUP($B434,#REF!,17,FALSE)</f>
        <v>#REF!</v>
      </c>
      <c r="F434" s="8" t="e">
        <f>VLOOKUP($B434,#REF!,7,FALSE)</f>
        <v>#REF!</v>
      </c>
      <c r="G434" s="8"/>
      <c r="H434" s="8"/>
      <c r="I434" s="9" t="e">
        <f>VLOOKUP($B434,#REF!,19,FALSE)</f>
        <v>#REF!</v>
      </c>
      <c r="J434" s="9" t="e">
        <f>VLOOKUP($B434,#REF!,6,FALSE)</f>
        <v>#REF!</v>
      </c>
      <c r="L434" s="1">
        <v>44653.486111109727</v>
      </c>
      <c r="M434" s="13"/>
    </row>
    <row r="435" spans="2:13">
      <c r="B435" s="5"/>
      <c r="C435" s="6" t="e">
        <f>VLOOKUP($B435,#REF!,5,FALSE)</f>
        <v>#REF!</v>
      </c>
      <c r="D435" s="6" t="e">
        <f>VLOOKUP($B435,#REF!,6,FALSE)</f>
        <v>#REF!</v>
      </c>
      <c r="E435" s="7" t="e">
        <f>VLOOKUP($B435,#REF!,17,FALSE)</f>
        <v>#REF!</v>
      </c>
      <c r="F435" s="8" t="e">
        <f>VLOOKUP($B435,#REF!,7,FALSE)</f>
        <v>#REF!</v>
      </c>
      <c r="G435" s="8"/>
      <c r="H435" s="8"/>
      <c r="I435" s="9" t="e">
        <f>VLOOKUP($B435,#REF!,19,FALSE)</f>
        <v>#REF!</v>
      </c>
      <c r="J435" s="9" t="e">
        <f>VLOOKUP($B435,#REF!,6,FALSE)</f>
        <v>#REF!</v>
      </c>
      <c r="L435" s="1">
        <v>44653.489583331946</v>
      </c>
      <c r="M435" s="13"/>
    </row>
    <row r="436" spans="2:13">
      <c r="B436" s="5"/>
      <c r="C436" s="6" t="e">
        <f>VLOOKUP($B436,#REF!,5,FALSE)</f>
        <v>#REF!</v>
      </c>
      <c r="D436" s="6" t="e">
        <f>VLOOKUP($B436,#REF!,6,FALSE)</f>
        <v>#REF!</v>
      </c>
      <c r="E436" s="7" t="e">
        <f>VLOOKUP($B436,#REF!,17,FALSE)</f>
        <v>#REF!</v>
      </c>
      <c r="F436" s="8" t="e">
        <f>VLOOKUP($B436,#REF!,7,FALSE)</f>
        <v>#REF!</v>
      </c>
      <c r="G436" s="8"/>
      <c r="H436" s="8"/>
      <c r="I436" s="9" t="e">
        <f>VLOOKUP($B436,#REF!,19,FALSE)</f>
        <v>#REF!</v>
      </c>
      <c r="J436" s="9" t="e">
        <f>VLOOKUP($B436,#REF!,6,FALSE)</f>
        <v>#REF!</v>
      </c>
      <c r="L436" s="1">
        <v>44653.493055554165</v>
      </c>
      <c r="M436" s="13"/>
    </row>
    <row r="437" spans="2:13">
      <c r="B437" s="5"/>
      <c r="C437" s="6" t="e">
        <f>VLOOKUP($B437,#REF!,5,FALSE)</f>
        <v>#REF!</v>
      </c>
      <c r="D437" s="6" t="e">
        <f>VLOOKUP($B437,#REF!,6,FALSE)</f>
        <v>#REF!</v>
      </c>
      <c r="E437" s="7" t="e">
        <f>VLOOKUP($B437,#REF!,17,FALSE)</f>
        <v>#REF!</v>
      </c>
      <c r="F437" s="8" t="e">
        <f>VLOOKUP($B437,#REF!,7,FALSE)</f>
        <v>#REF!</v>
      </c>
      <c r="G437" s="8"/>
      <c r="H437" s="8"/>
      <c r="I437" s="9" t="e">
        <f>VLOOKUP($B437,#REF!,19,FALSE)</f>
        <v>#REF!</v>
      </c>
      <c r="J437" s="9" t="e">
        <f>VLOOKUP($B437,#REF!,6,FALSE)</f>
        <v>#REF!</v>
      </c>
      <c r="L437" s="1">
        <v>44653.496527776384</v>
      </c>
      <c r="M437" s="13"/>
    </row>
    <row r="438" spans="2:13">
      <c r="B438" s="5"/>
      <c r="C438" s="6" t="e">
        <f>VLOOKUP($B438,#REF!,5,FALSE)</f>
        <v>#REF!</v>
      </c>
      <c r="D438" s="6" t="e">
        <f>VLOOKUP($B438,#REF!,6,FALSE)</f>
        <v>#REF!</v>
      </c>
      <c r="E438" s="7" t="e">
        <f>VLOOKUP($B438,#REF!,17,FALSE)</f>
        <v>#REF!</v>
      </c>
      <c r="F438" s="8" t="e">
        <f>VLOOKUP($B438,#REF!,7,FALSE)</f>
        <v>#REF!</v>
      </c>
      <c r="G438" s="8"/>
      <c r="H438" s="8"/>
      <c r="I438" s="9" t="e">
        <f>VLOOKUP($B438,#REF!,19,FALSE)</f>
        <v>#REF!</v>
      </c>
      <c r="J438" s="9" t="e">
        <f>VLOOKUP($B438,#REF!,6,FALSE)</f>
        <v>#REF!</v>
      </c>
      <c r="L438" s="1">
        <v>44653.499999998603</v>
      </c>
      <c r="M438" s="13"/>
    </row>
    <row r="439" spans="2:13">
      <c r="B439" s="5"/>
      <c r="C439" s="6" t="e">
        <f>VLOOKUP($B439,#REF!,5,FALSE)</f>
        <v>#REF!</v>
      </c>
      <c r="D439" s="6" t="e">
        <f>VLOOKUP($B439,#REF!,6,FALSE)</f>
        <v>#REF!</v>
      </c>
      <c r="E439" s="7" t="e">
        <f>VLOOKUP($B439,#REF!,17,FALSE)</f>
        <v>#REF!</v>
      </c>
      <c r="F439" s="8" t="e">
        <f>VLOOKUP($B439,#REF!,7,FALSE)</f>
        <v>#REF!</v>
      </c>
      <c r="G439" s="8"/>
      <c r="H439" s="8"/>
      <c r="I439" s="9" t="e">
        <f>VLOOKUP($B439,#REF!,19,FALSE)</f>
        <v>#REF!</v>
      </c>
      <c r="J439" s="9" t="e">
        <f>VLOOKUP($B439,#REF!,6,FALSE)</f>
        <v>#REF!</v>
      </c>
      <c r="L439" s="1">
        <v>44653.503472220822</v>
      </c>
      <c r="M439" s="13"/>
    </row>
    <row r="440" spans="2:13">
      <c r="B440" s="5"/>
      <c r="C440" s="6" t="e">
        <f>VLOOKUP($B440,#REF!,5,FALSE)</f>
        <v>#REF!</v>
      </c>
      <c r="D440" s="6" t="e">
        <f>VLOOKUP($B440,#REF!,6,FALSE)</f>
        <v>#REF!</v>
      </c>
      <c r="E440" s="7" t="e">
        <f>VLOOKUP($B440,#REF!,17,FALSE)</f>
        <v>#REF!</v>
      </c>
      <c r="F440" s="8" t="e">
        <f>VLOOKUP($B440,#REF!,7,FALSE)</f>
        <v>#REF!</v>
      </c>
      <c r="G440" s="8"/>
      <c r="H440" s="8"/>
      <c r="I440" s="9" t="e">
        <f>VLOOKUP($B440,#REF!,19,FALSE)</f>
        <v>#REF!</v>
      </c>
      <c r="J440" s="9" t="e">
        <f>VLOOKUP($B440,#REF!,6,FALSE)</f>
        <v>#REF!</v>
      </c>
      <c r="L440" s="1">
        <v>44653.506944443041</v>
      </c>
      <c r="M440" s="13"/>
    </row>
    <row r="441" spans="2:13">
      <c r="B441" s="5"/>
      <c r="C441" s="6" t="e">
        <f>VLOOKUP($B441,#REF!,5,FALSE)</f>
        <v>#REF!</v>
      </c>
      <c r="D441" s="6" t="e">
        <f>VLOOKUP($B441,#REF!,6,FALSE)</f>
        <v>#REF!</v>
      </c>
      <c r="E441" s="7" t="e">
        <f>VLOOKUP($B441,#REF!,17,FALSE)</f>
        <v>#REF!</v>
      </c>
      <c r="F441" s="8" t="e">
        <f>VLOOKUP($B441,#REF!,7,FALSE)</f>
        <v>#REF!</v>
      </c>
      <c r="G441" s="8"/>
      <c r="H441" s="8"/>
      <c r="I441" s="9" t="e">
        <f>VLOOKUP($B441,#REF!,19,FALSE)</f>
        <v>#REF!</v>
      </c>
      <c r="J441" s="9" t="e">
        <f>VLOOKUP($B441,#REF!,6,FALSE)</f>
        <v>#REF!</v>
      </c>
      <c r="L441" s="1">
        <v>44653.51041666526</v>
      </c>
      <c r="M441" s="13"/>
    </row>
    <row r="442" spans="2:13">
      <c r="B442" s="5"/>
      <c r="C442" s="6" t="e">
        <f>VLOOKUP($B442,#REF!,5,FALSE)</f>
        <v>#REF!</v>
      </c>
      <c r="D442" s="6" t="e">
        <f>VLOOKUP($B442,#REF!,6,FALSE)</f>
        <v>#REF!</v>
      </c>
      <c r="E442" s="7" t="e">
        <f>VLOOKUP($B442,#REF!,17,FALSE)</f>
        <v>#REF!</v>
      </c>
      <c r="F442" s="8" t="e">
        <f>VLOOKUP($B442,#REF!,7,FALSE)</f>
        <v>#REF!</v>
      </c>
      <c r="G442" s="8"/>
      <c r="H442" s="8"/>
      <c r="I442" s="9" t="e">
        <f>VLOOKUP($B442,#REF!,19,FALSE)</f>
        <v>#REF!</v>
      </c>
      <c r="J442" s="9" t="e">
        <f>VLOOKUP($B442,#REF!,6,FALSE)</f>
        <v>#REF!</v>
      </c>
      <c r="L442" s="1">
        <v>44653.513888887479</v>
      </c>
      <c r="M442" s="13"/>
    </row>
    <row r="443" spans="2:13">
      <c r="B443" s="5"/>
      <c r="C443" s="6" t="e">
        <f>VLOOKUP($B443,#REF!,5,FALSE)</f>
        <v>#REF!</v>
      </c>
      <c r="D443" s="6" t="e">
        <f>VLOOKUP($B443,#REF!,6,FALSE)</f>
        <v>#REF!</v>
      </c>
      <c r="E443" s="7" t="e">
        <f>VLOOKUP($B443,#REF!,17,FALSE)</f>
        <v>#REF!</v>
      </c>
      <c r="F443" s="8" t="e">
        <f>VLOOKUP($B443,#REF!,7,FALSE)</f>
        <v>#REF!</v>
      </c>
      <c r="G443" s="8"/>
      <c r="H443" s="8"/>
      <c r="I443" s="9" t="e">
        <f>VLOOKUP($B443,#REF!,19,FALSE)</f>
        <v>#REF!</v>
      </c>
      <c r="J443" s="9" t="e">
        <f>VLOOKUP($B443,#REF!,6,FALSE)</f>
        <v>#REF!</v>
      </c>
      <c r="L443" s="1">
        <v>44653.517361109698</v>
      </c>
      <c r="M443" s="13"/>
    </row>
    <row r="444" spans="2:13">
      <c r="B444" s="5"/>
      <c r="C444" s="6" t="e">
        <f>VLOOKUP($B444,#REF!,5,FALSE)</f>
        <v>#REF!</v>
      </c>
      <c r="D444" s="6" t="e">
        <f>VLOOKUP($B444,#REF!,6,FALSE)</f>
        <v>#REF!</v>
      </c>
      <c r="E444" s="7" t="e">
        <f>VLOOKUP($B444,#REF!,17,FALSE)</f>
        <v>#REF!</v>
      </c>
      <c r="F444" s="8" t="e">
        <f>VLOOKUP($B444,#REF!,7,FALSE)</f>
        <v>#REF!</v>
      </c>
      <c r="G444" s="8"/>
      <c r="H444" s="8"/>
      <c r="I444" s="9" t="e">
        <f>VLOOKUP($B444,#REF!,19,FALSE)</f>
        <v>#REF!</v>
      </c>
      <c r="J444" s="9" t="e">
        <f>VLOOKUP($B444,#REF!,6,FALSE)</f>
        <v>#REF!</v>
      </c>
      <c r="L444" s="1">
        <v>44653.520833331917</v>
      </c>
      <c r="M444" s="13"/>
    </row>
    <row r="445" spans="2:13">
      <c r="B445" s="5"/>
      <c r="C445" s="6" t="e">
        <f>VLOOKUP($B445,#REF!,5,FALSE)</f>
        <v>#REF!</v>
      </c>
      <c r="D445" s="6" t="e">
        <f>VLOOKUP($B445,#REF!,6,FALSE)</f>
        <v>#REF!</v>
      </c>
      <c r="E445" s="7" t="e">
        <f>VLOOKUP($B445,#REF!,17,FALSE)</f>
        <v>#REF!</v>
      </c>
      <c r="F445" s="8" t="e">
        <f>VLOOKUP($B445,#REF!,7,FALSE)</f>
        <v>#REF!</v>
      </c>
      <c r="G445" s="8"/>
      <c r="H445" s="8"/>
      <c r="I445" s="9" t="e">
        <f>VLOOKUP($B445,#REF!,19,FALSE)</f>
        <v>#REF!</v>
      </c>
      <c r="J445" s="9" t="e">
        <f>VLOOKUP($B445,#REF!,6,FALSE)</f>
        <v>#REF!</v>
      </c>
      <c r="L445" s="1">
        <v>44653.524305554136</v>
      </c>
      <c r="M445" s="13"/>
    </row>
    <row r="446" spans="2:13">
      <c r="B446" s="5"/>
      <c r="C446" s="6" t="e">
        <f>VLOOKUP($B446,#REF!,5,FALSE)</f>
        <v>#REF!</v>
      </c>
      <c r="D446" s="6" t="e">
        <f>VLOOKUP($B446,#REF!,6,FALSE)</f>
        <v>#REF!</v>
      </c>
      <c r="E446" s="7" t="e">
        <f>VLOOKUP($B446,#REF!,17,FALSE)</f>
        <v>#REF!</v>
      </c>
      <c r="F446" s="8" t="e">
        <f>VLOOKUP($B446,#REF!,7,FALSE)</f>
        <v>#REF!</v>
      </c>
      <c r="G446" s="8"/>
      <c r="H446" s="8"/>
      <c r="I446" s="9" t="e">
        <f>VLOOKUP($B446,#REF!,19,FALSE)</f>
        <v>#REF!</v>
      </c>
      <c r="J446" s="9" t="e">
        <f>VLOOKUP($B446,#REF!,6,FALSE)</f>
        <v>#REF!</v>
      </c>
      <c r="L446" s="1">
        <v>44653.527777776355</v>
      </c>
      <c r="M446" s="13"/>
    </row>
    <row r="447" spans="2:13">
      <c r="B447" s="5"/>
      <c r="C447" s="6" t="e">
        <f>VLOOKUP($B447,#REF!,5,FALSE)</f>
        <v>#REF!</v>
      </c>
      <c r="D447" s="6" t="e">
        <f>VLOOKUP($B447,#REF!,6,FALSE)</f>
        <v>#REF!</v>
      </c>
      <c r="E447" s="7" t="e">
        <f>VLOOKUP($B447,#REF!,17,FALSE)</f>
        <v>#REF!</v>
      </c>
      <c r="F447" s="8" t="e">
        <f>VLOOKUP($B447,#REF!,7,FALSE)</f>
        <v>#REF!</v>
      </c>
      <c r="G447" s="8"/>
      <c r="H447" s="8"/>
      <c r="I447" s="9" t="e">
        <f>VLOOKUP($B447,#REF!,19,FALSE)</f>
        <v>#REF!</v>
      </c>
      <c r="J447" s="9" t="e">
        <f>VLOOKUP($B447,#REF!,6,FALSE)</f>
        <v>#REF!</v>
      </c>
      <c r="L447" s="1">
        <v>44653.531249998574</v>
      </c>
      <c r="M447" s="13"/>
    </row>
    <row r="448" spans="2:13">
      <c r="B448" s="5"/>
      <c r="C448" s="6" t="e">
        <f>VLOOKUP($B448,#REF!,5,FALSE)</f>
        <v>#REF!</v>
      </c>
      <c r="D448" s="6" t="e">
        <f>VLOOKUP($B448,#REF!,6,FALSE)</f>
        <v>#REF!</v>
      </c>
      <c r="E448" s="7" t="e">
        <f>VLOOKUP($B448,#REF!,17,FALSE)</f>
        <v>#REF!</v>
      </c>
      <c r="F448" s="8" t="e">
        <f>VLOOKUP($B448,#REF!,7,FALSE)</f>
        <v>#REF!</v>
      </c>
      <c r="G448" s="8"/>
      <c r="H448" s="8"/>
      <c r="I448" s="9" t="e">
        <f>VLOOKUP($B448,#REF!,19,FALSE)</f>
        <v>#REF!</v>
      </c>
      <c r="J448" s="9" t="e">
        <f>VLOOKUP($B448,#REF!,6,FALSE)</f>
        <v>#REF!</v>
      </c>
      <c r="L448" s="1">
        <v>44653.534722220793</v>
      </c>
      <c r="M448" s="13"/>
    </row>
    <row r="449" spans="2:13">
      <c r="B449" s="5"/>
      <c r="C449" s="6" t="e">
        <f>VLOOKUP($B449,#REF!,5,FALSE)</f>
        <v>#REF!</v>
      </c>
      <c r="D449" s="6" t="e">
        <f>VLOOKUP($B449,#REF!,6,FALSE)</f>
        <v>#REF!</v>
      </c>
      <c r="E449" s="7" t="e">
        <f>VLOOKUP($B449,#REF!,17,FALSE)</f>
        <v>#REF!</v>
      </c>
      <c r="F449" s="8" t="e">
        <f>VLOOKUP($B449,#REF!,7,FALSE)</f>
        <v>#REF!</v>
      </c>
      <c r="G449" s="8"/>
      <c r="H449" s="8"/>
      <c r="I449" s="9" t="e">
        <f>VLOOKUP($B449,#REF!,19,FALSE)</f>
        <v>#REF!</v>
      </c>
      <c r="J449" s="9" t="e">
        <f>VLOOKUP($B449,#REF!,6,FALSE)</f>
        <v>#REF!</v>
      </c>
      <c r="L449" s="1">
        <v>44653.538194443012</v>
      </c>
      <c r="M449" s="13"/>
    </row>
    <row r="450" spans="2:13">
      <c r="B450" s="5"/>
      <c r="C450" s="6" t="e">
        <f>VLOOKUP($B450,#REF!,5,FALSE)</f>
        <v>#REF!</v>
      </c>
      <c r="D450" s="6" t="e">
        <f>VLOOKUP($B450,#REF!,6,FALSE)</f>
        <v>#REF!</v>
      </c>
      <c r="E450" s="7" t="e">
        <f>VLOOKUP($B450,#REF!,17,FALSE)</f>
        <v>#REF!</v>
      </c>
      <c r="F450" s="8" t="e">
        <f>VLOOKUP($B450,#REF!,7,FALSE)</f>
        <v>#REF!</v>
      </c>
      <c r="G450" s="8"/>
      <c r="H450" s="8"/>
      <c r="I450" s="9" t="e">
        <f>VLOOKUP($B450,#REF!,19,FALSE)</f>
        <v>#REF!</v>
      </c>
      <c r="J450" s="9" t="e">
        <f>VLOOKUP($B450,#REF!,6,FALSE)</f>
        <v>#REF!</v>
      </c>
      <c r="L450" s="1">
        <v>44653.541666665231</v>
      </c>
      <c r="M450" s="13"/>
    </row>
    <row r="451" spans="2:13">
      <c r="B451" s="5"/>
      <c r="C451" s="6" t="e">
        <f>VLOOKUP($B451,#REF!,5,FALSE)</f>
        <v>#REF!</v>
      </c>
      <c r="D451" s="6" t="e">
        <f>VLOOKUP($B451,#REF!,6,FALSE)</f>
        <v>#REF!</v>
      </c>
      <c r="E451" s="7" t="e">
        <f>VLOOKUP($B451,#REF!,17,FALSE)</f>
        <v>#REF!</v>
      </c>
      <c r="F451" s="8" t="e">
        <f>VLOOKUP($B451,#REF!,7,FALSE)</f>
        <v>#REF!</v>
      </c>
      <c r="G451" s="8"/>
      <c r="H451" s="8"/>
      <c r="I451" s="9" t="e">
        <f>VLOOKUP($B451,#REF!,19,FALSE)</f>
        <v>#REF!</v>
      </c>
      <c r="J451" s="9" t="e">
        <f>VLOOKUP($B451,#REF!,6,FALSE)</f>
        <v>#REF!</v>
      </c>
      <c r="L451" s="1">
        <v>44653.54513888745</v>
      </c>
      <c r="M451" s="13"/>
    </row>
    <row r="452" spans="2:13">
      <c r="B452" s="5"/>
      <c r="C452" s="6" t="e">
        <f>VLOOKUP($B452,#REF!,5,FALSE)</f>
        <v>#REF!</v>
      </c>
      <c r="D452" s="6" t="e">
        <f>VLOOKUP($B452,#REF!,6,FALSE)</f>
        <v>#REF!</v>
      </c>
      <c r="E452" s="7" t="e">
        <f>VLOOKUP($B452,#REF!,17,FALSE)</f>
        <v>#REF!</v>
      </c>
      <c r="F452" s="8" t="e">
        <f>VLOOKUP($B452,#REF!,7,FALSE)</f>
        <v>#REF!</v>
      </c>
      <c r="G452" s="8"/>
      <c r="H452" s="8"/>
      <c r="I452" s="9" t="e">
        <f>VLOOKUP($B452,#REF!,19,FALSE)</f>
        <v>#REF!</v>
      </c>
      <c r="J452" s="9" t="e">
        <f>VLOOKUP($B452,#REF!,6,FALSE)</f>
        <v>#REF!</v>
      </c>
      <c r="L452" s="1">
        <v>44653.548611109669</v>
      </c>
      <c r="M452" s="13"/>
    </row>
    <row r="453" spans="2:13">
      <c r="B453" s="5"/>
      <c r="C453" s="6" t="e">
        <f>VLOOKUP($B453,#REF!,5,FALSE)</f>
        <v>#REF!</v>
      </c>
      <c r="D453" s="6" t="e">
        <f>VLOOKUP($B453,#REF!,6,FALSE)</f>
        <v>#REF!</v>
      </c>
      <c r="E453" s="7" t="e">
        <f>VLOOKUP($B453,#REF!,17,FALSE)</f>
        <v>#REF!</v>
      </c>
      <c r="F453" s="8" t="e">
        <f>VLOOKUP($B453,#REF!,7,FALSE)</f>
        <v>#REF!</v>
      </c>
      <c r="G453" s="8"/>
      <c r="H453" s="8"/>
      <c r="I453" s="9" t="e">
        <f>VLOOKUP($B453,#REF!,19,FALSE)</f>
        <v>#REF!</v>
      </c>
      <c r="J453" s="9" t="e">
        <f>VLOOKUP($B453,#REF!,6,FALSE)</f>
        <v>#REF!</v>
      </c>
      <c r="L453" s="1">
        <v>44653.552083331888</v>
      </c>
      <c r="M453" s="13"/>
    </row>
    <row r="454" spans="2:13">
      <c r="B454" s="5"/>
      <c r="C454" s="6" t="e">
        <f>VLOOKUP($B454,#REF!,5,FALSE)</f>
        <v>#REF!</v>
      </c>
      <c r="D454" s="6" t="e">
        <f>VLOOKUP($B454,#REF!,6,FALSE)</f>
        <v>#REF!</v>
      </c>
      <c r="E454" s="7" t="e">
        <f>VLOOKUP($B454,#REF!,17,FALSE)</f>
        <v>#REF!</v>
      </c>
      <c r="F454" s="8" t="e">
        <f>VLOOKUP($B454,#REF!,7,FALSE)</f>
        <v>#REF!</v>
      </c>
      <c r="G454" s="8"/>
      <c r="H454" s="8"/>
      <c r="I454" s="9" t="e">
        <f>VLOOKUP($B454,#REF!,19,FALSE)</f>
        <v>#REF!</v>
      </c>
      <c r="J454" s="9" t="e">
        <f>VLOOKUP($B454,#REF!,6,FALSE)</f>
        <v>#REF!</v>
      </c>
      <c r="L454" s="1">
        <v>44653.555555554107</v>
      </c>
      <c r="M454" s="13"/>
    </row>
    <row r="455" spans="2:13">
      <c r="B455" s="5"/>
      <c r="C455" s="6" t="e">
        <f>VLOOKUP($B455,#REF!,5,FALSE)</f>
        <v>#REF!</v>
      </c>
      <c r="D455" s="6" t="e">
        <f>VLOOKUP($B455,#REF!,6,FALSE)</f>
        <v>#REF!</v>
      </c>
      <c r="E455" s="7" t="e">
        <f>VLOOKUP($B455,#REF!,17,FALSE)</f>
        <v>#REF!</v>
      </c>
      <c r="F455" s="8" t="e">
        <f>VLOOKUP($B455,#REF!,7,FALSE)</f>
        <v>#REF!</v>
      </c>
      <c r="G455" s="8"/>
      <c r="H455" s="8"/>
      <c r="I455" s="9" t="e">
        <f>VLOOKUP($B455,#REF!,19,FALSE)</f>
        <v>#REF!</v>
      </c>
      <c r="J455" s="9" t="e">
        <f>VLOOKUP($B455,#REF!,6,FALSE)</f>
        <v>#REF!</v>
      </c>
      <c r="L455" s="1">
        <v>44653.559027776326</v>
      </c>
      <c r="M455" s="13"/>
    </row>
    <row r="456" spans="2:13">
      <c r="B456" s="5"/>
      <c r="C456" s="6" t="e">
        <f>VLOOKUP($B456,#REF!,5,FALSE)</f>
        <v>#REF!</v>
      </c>
      <c r="D456" s="6" t="e">
        <f>VLOOKUP($B456,#REF!,6,FALSE)</f>
        <v>#REF!</v>
      </c>
      <c r="E456" s="7" t="e">
        <f>VLOOKUP($B456,#REF!,17,FALSE)</f>
        <v>#REF!</v>
      </c>
      <c r="F456" s="8" t="e">
        <f>VLOOKUP($B456,#REF!,7,FALSE)</f>
        <v>#REF!</v>
      </c>
      <c r="G456" s="8"/>
      <c r="H456" s="8"/>
      <c r="I456" s="9" t="e">
        <f>VLOOKUP($B456,#REF!,19,FALSE)</f>
        <v>#REF!</v>
      </c>
      <c r="J456" s="9" t="e">
        <f>VLOOKUP($B456,#REF!,6,FALSE)</f>
        <v>#REF!</v>
      </c>
      <c r="L456" s="1">
        <v>44653.562499998545</v>
      </c>
      <c r="M456" s="13"/>
    </row>
    <row r="457" spans="2:13">
      <c r="B457" s="5"/>
      <c r="C457" s="6" t="e">
        <f>VLOOKUP($B457,#REF!,5,FALSE)</f>
        <v>#REF!</v>
      </c>
      <c r="D457" s="6" t="e">
        <f>VLOOKUP($B457,#REF!,6,FALSE)</f>
        <v>#REF!</v>
      </c>
      <c r="E457" s="7" t="e">
        <f>VLOOKUP($B457,#REF!,17,FALSE)</f>
        <v>#REF!</v>
      </c>
      <c r="F457" s="8" t="e">
        <f>VLOOKUP($B457,#REF!,7,FALSE)</f>
        <v>#REF!</v>
      </c>
      <c r="G457" s="8"/>
      <c r="H457" s="8"/>
      <c r="I457" s="9" t="e">
        <f>VLOOKUP($B457,#REF!,19,FALSE)</f>
        <v>#REF!</v>
      </c>
      <c r="J457" s="9" t="e">
        <f>VLOOKUP($B457,#REF!,6,FALSE)</f>
        <v>#REF!</v>
      </c>
      <c r="L457" s="1">
        <v>44653.565972220764</v>
      </c>
      <c r="M457" s="13"/>
    </row>
    <row r="458" spans="2:13">
      <c r="B458" s="5"/>
      <c r="C458" s="6" t="e">
        <f>VLOOKUP($B458,#REF!,5,FALSE)</f>
        <v>#REF!</v>
      </c>
      <c r="D458" s="6" t="e">
        <f>VLOOKUP($B458,#REF!,6,FALSE)</f>
        <v>#REF!</v>
      </c>
      <c r="E458" s="7" t="e">
        <f>VLOOKUP($B458,#REF!,17,FALSE)</f>
        <v>#REF!</v>
      </c>
      <c r="F458" s="8" t="e">
        <f>VLOOKUP($B458,#REF!,7,FALSE)</f>
        <v>#REF!</v>
      </c>
      <c r="G458" s="8"/>
      <c r="H458" s="8"/>
      <c r="I458" s="9" t="e">
        <f>VLOOKUP($B458,#REF!,19,FALSE)</f>
        <v>#REF!</v>
      </c>
      <c r="J458" s="9" t="e">
        <f>VLOOKUP($B458,#REF!,6,FALSE)</f>
        <v>#REF!</v>
      </c>
      <c r="L458" s="1">
        <v>44653.569444442983</v>
      </c>
      <c r="M458" s="13"/>
    </row>
    <row r="459" spans="2:13">
      <c r="B459" s="5"/>
      <c r="C459" s="6" t="e">
        <f>VLOOKUP($B459,#REF!,5,FALSE)</f>
        <v>#REF!</v>
      </c>
      <c r="D459" s="6" t="e">
        <f>VLOOKUP($B459,#REF!,6,FALSE)</f>
        <v>#REF!</v>
      </c>
      <c r="E459" s="7" t="e">
        <f>VLOOKUP($B459,#REF!,17,FALSE)</f>
        <v>#REF!</v>
      </c>
      <c r="F459" s="8" t="e">
        <f>VLOOKUP($B459,#REF!,7,FALSE)</f>
        <v>#REF!</v>
      </c>
      <c r="G459" s="8"/>
      <c r="H459" s="8"/>
      <c r="I459" s="9" t="e">
        <f>VLOOKUP($B459,#REF!,19,FALSE)</f>
        <v>#REF!</v>
      </c>
      <c r="J459" s="9" t="e">
        <f>VLOOKUP($B459,#REF!,6,FALSE)</f>
        <v>#REF!</v>
      </c>
      <c r="L459" s="1">
        <v>44653.572916665202</v>
      </c>
      <c r="M459" s="13"/>
    </row>
    <row r="460" spans="2:13">
      <c r="B460" s="5"/>
      <c r="C460" s="6" t="e">
        <f>VLOOKUP($B460,#REF!,5,FALSE)</f>
        <v>#REF!</v>
      </c>
      <c r="D460" s="6" t="e">
        <f>VLOOKUP($B460,#REF!,6,FALSE)</f>
        <v>#REF!</v>
      </c>
      <c r="E460" s="7" t="e">
        <f>VLOOKUP($B460,#REF!,17,FALSE)</f>
        <v>#REF!</v>
      </c>
      <c r="F460" s="8" t="e">
        <f>VLOOKUP($B460,#REF!,7,FALSE)</f>
        <v>#REF!</v>
      </c>
      <c r="G460" s="8"/>
      <c r="H460" s="8"/>
      <c r="I460" s="9" t="e">
        <f>VLOOKUP($B460,#REF!,19,FALSE)</f>
        <v>#REF!</v>
      </c>
      <c r="J460" s="9" t="e">
        <f>VLOOKUP($B460,#REF!,6,FALSE)</f>
        <v>#REF!</v>
      </c>
      <c r="L460" s="1">
        <v>44653.576388887421</v>
      </c>
      <c r="M460" s="13"/>
    </row>
    <row r="461" spans="2:13">
      <c r="B461" s="5"/>
      <c r="C461" s="6" t="e">
        <f>VLOOKUP($B461,#REF!,5,FALSE)</f>
        <v>#REF!</v>
      </c>
      <c r="D461" s="6" t="e">
        <f>VLOOKUP($B461,#REF!,6,FALSE)</f>
        <v>#REF!</v>
      </c>
      <c r="E461" s="7" t="e">
        <f>VLOOKUP($B461,#REF!,17,FALSE)</f>
        <v>#REF!</v>
      </c>
      <c r="F461" s="8" t="e">
        <f>VLOOKUP($B461,#REF!,7,FALSE)</f>
        <v>#REF!</v>
      </c>
      <c r="G461" s="8"/>
      <c r="H461" s="8"/>
      <c r="I461" s="9" t="e">
        <f>VLOOKUP($B461,#REF!,19,FALSE)</f>
        <v>#REF!</v>
      </c>
      <c r="J461" s="9" t="e">
        <f>VLOOKUP($B461,#REF!,6,FALSE)</f>
        <v>#REF!</v>
      </c>
      <c r="L461" s="1">
        <v>44653.57986110964</v>
      </c>
      <c r="M461" s="13"/>
    </row>
    <row r="462" spans="2:13">
      <c r="B462" s="5"/>
      <c r="C462" s="6" t="e">
        <f>VLOOKUP($B462,#REF!,5,FALSE)</f>
        <v>#REF!</v>
      </c>
      <c r="D462" s="6" t="e">
        <f>VLOOKUP($B462,#REF!,6,FALSE)</f>
        <v>#REF!</v>
      </c>
      <c r="E462" s="7" t="e">
        <f>VLOOKUP($B462,#REF!,17,FALSE)</f>
        <v>#REF!</v>
      </c>
      <c r="F462" s="8" t="e">
        <f>VLOOKUP($B462,#REF!,7,FALSE)</f>
        <v>#REF!</v>
      </c>
      <c r="G462" s="8"/>
      <c r="H462" s="8"/>
      <c r="I462" s="9" t="e">
        <f>VLOOKUP($B462,#REF!,19,FALSE)</f>
        <v>#REF!</v>
      </c>
      <c r="J462" s="9" t="e">
        <f>VLOOKUP($B462,#REF!,6,FALSE)</f>
        <v>#REF!</v>
      </c>
      <c r="L462" s="1">
        <v>44653.583333331859</v>
      </c>
      <c r="M462" s="13"/>
    </row>
    <row r="463" spans="2:13">
      <c r="B463" s="5"/>
      <c r="C463" s="6" t="e">
        <f>VLOOKUP($B463,#REF!,5,FALSE)</f>
        <v>#REF!</v>
      </c>
      <c r="D463" s="6" t="e">
        <f>VLOOKUP($B463,#REF!,6,FALSE)</f>
        <v>#REF!</v>
      </c>
      <c r="E463" s="7" t="e">
        <f>VLOOKUP($B463,#REF!,17,FALSE)</f>
        <v>#REF!</v>
      </c>
      <c r="F463" s="8" t="e">
        <f>VLOOKUP($B463,#REF!,7,FALSE)</f>
        <v>#REF!</v>
      </c>
      <c r="G463" s="8"/>
      <c r="H463" s="8"/>
      <c r="I463" s="9" t="e">
        <f>VLOOKUP($B463,#REF!,19,FALSE)</f>
        <v>#REF!</v>
      </c>
      <c r="J463" s="9" t="e">
        <f>VLOOKUP($B463,#REF!,6,FALSE)</f>
        <v>#REF!</v>
      </c>
      <c r="L463" s="1">
        <v>44653.586805554078</v>
      </c>
      <c r="M463" s="13"/>
    </row>
    <row r="464" spans="2:13">
      <c r="B464" s="5"/>
      <c r="C464" s="6" t="e">
        <f>VLOOKUP($B464,#REF!,5,FALSE)</f>
        <v>#REF!</v>
      </c>
      <c r="D464" s="6" t="e">
        <f>VLOOKUP($B464,#REF!,6,FALSE)</f>
        <v>#REF!</v>
      </c>
      <c r="E464" s="7" t="e">
        <f>VLOOKUP($B464,#REF!,17,FALSE)</f>
        <v>#REF!</v>
      </c>
      <c r="F464" s="8" t="e">
        <f>VLOOKUP($B464,#REF!,7,FALSE)</f>
        <v>#REF!</v>
      </c>
      <c r="G464" s="8"/>
      <c r="H464" s="8"/>
      <c r="I464" s="9" t="e">
        <f>VLOOKUP($B464,#REF!,19,FALSE)</f>
        <v>#REF!</v>
      </c>
      <c r="J464" s="9" t="e">
        <f>VLOOKUP($B464,#REF!,6,FALSE)</f>
        <v>#REF!</v>
      </c>
      <c r="L464" s="1">
        <v>44653.590277776297</v>
      </c>
      <c r="M464" s="13"/>
    </row>
    <row r="465" spans="2:13">
      <c r="B465" s="5"/>
      <c r="C465" s="6" t="e">
        <f>VLOOKUP($B465,#REF!,5,FALSE)</f>
        <v>#REF!</v>
      </c>
      <c r="D465" s="6" t="e">
        <f>VLOOKUP($B465,#REF!,6,FALSE)</f>
        <v>#REF!</v>
      </c>
      <c r="E465" s="7" t="e">
        <f>VLOOKUP($B465,#REF!,17,FALSE)</f>
        <v>#REF!</v>
      </c>
      <c r="F465" s="8" t="e">
        <f>VLOOKUP($B465,#REF!,7,FALSE)</f>
        <v>#REF!</v>
      </c>
      <c r="G465" s="8"/>
      <c r="H465" s="8"/>
      <c r="I465" s="9" t="e">
        <f>VLOOKUP($B465,#REF!,19,FALSE)</f>
        <v>#REF!</v>
      </c>
      <c r="J465" s="9" t="e">
        <f>VLOOKUP($B465,#REF!,6,FALSE)</f>
        <v>#REF!</v>
      </c>
      <c r="L465" s="1">
        <v>44653.593749998516</v>
      </c>
      <c r="M465" s="13"/>
    </row>
    <row r="466" spans="2:13">
      <c r="B466" s="5"/>
      <c r="C466" s="6" t="e">
        <f>VLOOKUP($B466,#REF!,5,FALSE)</f>
        <v>#REF!</v>
      </c>
      <c r="D466" s="6" t="e">
        <f>VLOOKUP($B466,#REF!,6,FALSE)</f>
        <v>#REF!</v>
      </c>
      <c r="E466" s="7" t="e">
        <f>VLOOKUP($B466,#REF!,17,FALSE)</f>
        <v>#REF!</v>
      </c>
      <c r="F466" s="8" t="e">
        <f>VLOOKUP($B466,#REF!,7,FALSE)</f>
        <v>#REF!</v>
      </c>
      <c r="G466" s="8"/>
      <c r="H466" s="8"/>
      <c r="I466" s="9" t="e">
        <f>VLOOKUP($B466,#REF!,19,FALSE)</f>
        <v>#REF!</v>
      </c>
      <c r="J466" s="9" t="e">
        <f>VLOOKUP($B466,#REF!,6,FALSE)</f>
        <v>#REF!</v>
      </c>
      <c r="L466" s="1">
        <v>44653.597222220735</v>
      </c>
      <c r="M466" s="13"/>
    </row>
    <row r="467" spans="2:13">
      <c r="B467" s="5"/>
      <c r="C467" s="6" t="e">
        <f>VLOOKUP($B467,#REF!,5,FALSE)</f>
        <v>#REF!</v>
      </c>
      <c r="D467" s="6" t="e">
        <f>VLOOKUP($B467,#REF!,6,FALSE)</f>
        <v>#REF!</v>
      </c>
      <c r="E467" s="7" t="e">
        <f>VLOOKUP($B467,#REF!,17,FALSE)</f>
        <v>#REF!</v>
      </c>
      <c r="F467" s="8" t="e">
        <f>VLOOKUP($B467,#REF!,7,FALSE)</f>
        <v>#REF!</v>
      </c>
      <c r="G467" s="8"/>
      <c r="H467" s="8"/>
      <c r="I467" s="9" t="e">
        <f>VLOOKUP($B467,#REF!,19,FALSE)</f>
        <v>#REF!</v>
      </c>
      <c r="J467" s="9" t="e">
        <f>VLOOKUP($B467,#REF!,6,FALSE)</f>
        <v>#REF!</v>
      </c>
      <c r="L467" s="1">
        <v>44653.600694442954</v>
      </c>
      <c r="M467" s="13"/>
    </row>
    <row r="468" spans="2:13">
      <c r="B468" s="5"/>
      <c r="C468" s="6" t="e">
        <f>VLOOKUP($B468,#REF!,5,FALSE)</f>
        <v>#REF!</v>
      </c>
      <c r="D468" s="6" t="e">
        <f>VLOOKUP($B468,#REF!,6,FALSE)</f>
        <v>#REF!</v>
      </c>
      <c r="E468" s="7" t="e">
        <f>VLOOKUP($B468,#REF!,17,FALSE)</f>
        <v>#REF!</v>
      </c>
      <c r="F468" s="8" t="e">
        <f>VLOOKUP($B468,#REF!,7,FALSE)</f>
        <v>#REF!</v>
      </c>
      <c r="G468" s="8"/>
      <c r="H468" s="8"/>
      <c r="I468" s="9" t="e">
        <f>VLOOKUP($B468,#REF!,19,FALSE)</f>
        <v>#REF!</v>
      </c>
      <c r="J468" s="9" t="e">
        <f>VLOOKUP($B468,#REF!,6,FALSE)</f>
        <v>#REF!</v>
      </c>
      <c r="L468" s="1">
        <v>44653.604166665173</v>
      </c>
      <c r="M468" s="13"/>
    </row>
    <row r="469" spans="2:13">
      <c r="B469" s="5"/>
      <c r="C469" s="6" t="e">
        <f>VLOOKUP($B469,#REF!,5,FALSE)</f>
        <v>#REF!</v>
      </c>
      <c r="D469" s="6" t="e">
        <f>VLOOKUP($B469,#REF!,6,FALSE)</f>
        <v>#REF!</v>
      </c>
      <c r="E469" s="7" t="e">
        <f>VLOOKUP($B469,#REF!,17,FALSE)</f>
        <v>#REF!</v>
      </c>
      <c r="F469" s="8" t="e">
        <f>VLOOKUP($B469,#REF!,7,FALSE)</f>
        <v>#REF!</v>
      </c>
      <c r="G469" s="8"/>
      <c r="H469" s="8"/>
      <c r="I469" s="9" t="e">
        <f>VLOOKUP($B469,#REF!,19,FALSE)</f>
        <v>#REF!</v>
      </c>
      <c r="J469" s="9" t="e">
        <f>VLOOKUP($B469,#REF!,6,FALSE)</f>
        <v>#REF!</v>
      </c>
      <c r="L469" s="1">
        <v>44653.607638887392</v>
      </c>
      <c r="M469" s="13"/>
    </row>
    <row r="470" spans="2:13">
      <c r="B470" s="5"/>
      <c r="C470" s="6" t="e">
        <f>VLOOKUP($B470,#REF!,5,FALSE)</f>
        <v>#REF!</v>
      </c>
      <c r="D470" s="6" t="e">
        <f>VLOOKUP($B470,#REF!,6,FALSE)</f>
        <v>#REF!</v>
      </c>
      <c r="E470" s="7" t="e">
        <f>VLOOKUP($B470,#REF!,17,FALSE)</f>
        <v>#REF!</v>
      </c>
      <c r="F470" s="8" t="e">
        <f>VLOOKUP($B470,#REF!,7,FALSE)</f>
        <v>#REF!</v>
      </c>
      <c r="G470" s="8"/>
      <c r="H470" s="8"/>
      <c r="I470" s="9" t="e">
        <f>VLOOKUP($B470,#REF!,19,FALSE)</f>
        <v>#REF!</v>
      </c>
      <c r="J470" s="9" t="e">
        <f>VLOOKUP($B470,#REF!,6,FALSE)</f>
        <v>#REF!</v>
      </c>
      <c r="L470" s="1">
        <v>44653.611111109611</v>
      </c>
      <c r="M470" s="13"/>
    </row>
    <row r="471" spans="2:13">
      <c r="B471" s="5"/>
      <c r="C471" s="6" t="e">
        <f>VLOOKUP($B471,#REF!,5,FALSE)</f>
        <v>#REF!</v>
      </c>
      <c r="D471" s="6" t="e">
        <f>VLOOKUP($B471,#REF!,6,FALSE)</f>
        <v>#REF!</v>
      </c>
      <c r="E471" s="7" t="e">
        <f>VLOOKUP($B471,#REF!,17,FALSE)</f>
        <v>#REF!</v>
      </c>
      <c r="F471" s="8" t="e">
        <f>VLOOKUP($B471,#REF!,7,FALSE)</f>
        <v>#REF!</v>
      </c>
      <c r="G471" s="8"/>
      <c r="H471" s="8"/>
      <c r="I471" s="9" t="e">
        <f>VLOOKUP($B471,#REF!,19,FALSE)</f>
        <v>#REF!</v>
      </c>
      <c r="J471" s="9" t="e">
        <f>VLOOKUP($B471,#REF!,6,FALSE)</f>
        <v>#REF!</v>
      </c>
      <c r="L471" s="1">
        <v>44653.61458333183</v>
      </c>
      <c r="M471" s="13"/>
    </row>
    <row r="472" spans="2:13">
      <c r="B472" s="5"/>
      <c r="C472" s="6" t="e">
        <f>VLOOKUP($B472,#REF!,5,FALSE)</f>
        <v>#REF!</v>
      </c>
      <c r="D472" s="6" t="e">
        <f>VLOOKUP($B472,#REF!,6,FALSE)</f>
        <v>#REF!</v>
      </c>
      <c r="E472" s="7" t="e">
        <f>VLOOKUP($B472,#REF!,17,FALSE)</f>
        <v>#REF!</v>
      </c>
      <c r="F472" s="8" t="e">
        <f>VLOOKUP($B472,#REF!,7,FALSE)</f>
        <v>#REF!</v>
      </c>
      <c r="G472" s="8"/>
      <c r="H472" s="8"/>
      <c r="I472" s="9" t="e">
        <f>VLOOKUP($B472,#REF!,19,FALSE)</f>
        <v>#REF!</v>
      </c>
      <c r="J472" s="9" t="e">
        <f>VLOOKUP($B472,#REF!,6,FALSE)</f>
        <v>#REF!</v>
      </c>
      <c r="L472" s="1">
        <v>44653.618055554049</v>
      </c>
      <c r="M472" s="13"/>
    </row>
    <row r="473" spans="2:13">
      <c r="B473" s="5"/>
      <c r="C473" s="6" t="e">
        <f>VLOOKUP($B473,#REF!,5,FALSE)</f>
        <v>#REF!</v>
      </c>
      <c r="D473" s="6" t="e">
        <f>VLOOKUP($B473,#REF!,6,FALSE)</f>
        <v>#REF!</v>
      </c>
      <c r="E473" s="7" t="e">
        <f>VLOOKUP($B473,#REF!,17,FALSE)</f>
        <v>#REF!</v>
      </c>
      <c r="F473" s="8" t="e">
        <f>VLOOKUP($B473,#REF!,7,FALSE)</f>
        <v>#REF!</v>
      </c>
      <c r="G473" s="8"/>
      <c r="H473" s="8"/>
      <c r="I473" s="9" t="e">
        <f>VLOOKUP($B473,#REF!,19,FALSE)</f>
        <v>#REF!</v>
      </c>
      <c r="J473" s="9" t="e">
        <f>VLOOKUP($B473,#REF!,6,FALSE)</f>
        <v>#REF!</v>
      </c>
      <c r="L473" s="1">
        <v>44653.621527776268</v>
      </c>
      <c r="M473" s="13"/>
    </row>
    <row r="474" spans="2:13">
      <c r="B474" s="5"/>
      <c r="C474" s="6" t="e">
        <f>VLOOKUP($B474,#REF!,5,FALSE)</f>
        <v>#REF!</v>
      </c>
      <c r="D474" s="6" t="e">
        <f>VLOOKUP($B474,#REF!,6,FALSE)</f>
        <v>#REF!</v>
      </c>
      <c r="E474" s="7" t="e">
        <f>VLOOKUP($B474,#REF!,17,FALSE)</f>
        <v>#REF!</v>
      </c>
      <c r="F474" s="8" t="e">
        <f>VLOOKUP($B474,#REF!,7,FALSE)</f>
        <v>#REF!</v>
      </c>
      <c r="G474" s="8"/>
      <c r="H474" s="8"/>
      <c r="I474" s="9" t="e">
        <f>VLOOKUP($B474,#REF!,19,FALSE)</f>
        <v>#REF!</v>
      </c>
      <c r="J474" s="9" t="e">
        <f>VLOOKUP($B474,#REF!,6,FALSE)</f>
        <v>#REF!</v>
      </c>
      <c r="L474" s="1">
        <v>44653.624999998487</v>
      </c>
      <c r="M474" s="13"/>
    </row>
    <row r="475" spans="2:13">
      <c r="B475" s="5"/>
      <c r="C475" s="6" t="e">
        <f>VLOOKUP($B475,#REF!,5,FALSE)</f>
        <v>#REF!</v>
      </c>
      <c r="D475" s="6" t="e">
        <f>VLOOKUP($B475,#REF!,6,FALSE)</f>
        <v>#REF!</v>
      </c>
      <c r="E475" s="7" t="e">
        <f>VLOOKUP($B475,#REF!,17,FALSE)</f>
        <v>#REF!</v>
      </c>
      <c r="F475" s="8" t="e">
        <f>VLOOKUP($B475,#REF!,7,FALSE)</f>
        <v>#REF!</v>
      </c>
      <c r="G475" s="8"/>
      <c r="H475" s="8"/>
      <c r="I475" s="9" t="e">
        <f>VLOOKUP($B475,#REF!,19,FALSE)</f>
        <v>#REF!</v>
      </c>
      <c r="J475" s="9" t="e">
        <f>VLOOKUP($B475,#REF!,6,FALSE)</f>
        <v>#REF!</v>
      </c>
      <c r="L475" s="1">
        <v>44653.628472220706</v>
      </c>
      <c r="M475" s="13"/>
    </row>
    <row r="476" spans="2:13">
      <c r="B476" s="5"/>
      <c r="C476" s="6" t="e">
        <f>VLOOKUP($B476,#REF!,5,FALSE)</f>
        <v>#REF!</v>
      </c>
      <c r="D476" s="6" t="e">
        <f>VLOOKUP($B476,#REF!,6,FALSE)</f>
        <v>#REF!</v>
      </c>
      <c r="E476" s="7" t="e">
        <f>VLOOKUP($B476,#REF!,17,FALSE)</f>
        <v>#REF!</v>
      </c>
      <c r="F476" s="8" t="e">
        <f>VLOOKUP($B476,#REF!,7,FALSE)</f>
        <v>#REF!</v>
      </c>
      <c r="G476" s="8"/>
      <c r="H476" s="8"/>
      <c r="I476" s="9" t="e">
        <f>VLOOKUP($B476,#REF!,19,FALSE)</f>
        <v>#REF!</v>
      </c>
      <c r="J476" s="9" t="e">
        <f>VLOOKUP($B476,#REF!,6,FALSE)</f>
        <v>#REF!</v>
      </c>
      <c r="L476" s="1">
        <v>44653.631944442925</v>
      </c>
      <c r="M476" s="13"/>
    </row>
    <row r="477" spans="2:13">
      <c r="B477" s="5"/>
      <c r="C477" s="6" t="e">
        <f>VLOOKUP($B477,#REF!,5,FALSE)</f>
        <v>#REF!</v>
      </c>
      <c r="D477" s="6" t="e">
        <f>VLOOKUP($B477,#REF!,6,FALSE)</f>
        <v>#REF!</v>
      </c>
      <c r="E477" s="7" t="e">
        <f>VLOOKUP($B477,#REF!,17,FALSE)</f>
        <v>#REF!</v>
      </c>
      <c r="F477" s="8" t="e">
        <f>VLOOKUP($B477,#REF!,7,FALSE)</f>
        <v>#REF!</v>
      </c>
      <c r="G477" s="8"/>
      <c r="H477" s="8"/>
      <c r="I477" s="9" t="e">
        <f>VLOOKUP($B477,#REF!,19,FALSE)</f>
        <v>#REF!</v>
      </c>
      <c r="J477" s="9" t="e">
        <f>VLOOKUP($B477,#REF!,6,FALSE)</f>
        <v>#REF!</v>
      </c>
      <c r="L477" s="1">
        <v>44653.635416665144</v>
      </c>
      <c r="M477" s="13"/>
    </row>
    <row r="478" spans="2:13">
      <c r="B478" s="5"/>
      <c r="C478" s="6" t="e">
        <f>VLOOKUP($B478,#REF!,5,FALSE)</f>
        <v>#REF!</v>
      </c>
      <c r="D478" s="6" t="e">
        <f>VLOOKUP($B478,#REF!,6,FALSE)</f>
        <v>#REF!</v>
      </c>
      <c r="E478" s="7" t="e">
        <f>VLOOKUP($B478,#REF!,17,FALSE)</f>
        <v>#REF!</v>
      </c>
      <c r="F478" s="8" t="e">
        <f>VLOOKUP($B478,#REF!,7,FALSE)</f>
        <v>#REF!</v>
      </c>
      <c r="G478" s="8"/>
      <c r="H478" s="8"/>
      <c r="I478" s="9" t="e">
        <f>VLOOKUP($B478,#REF!,19,FALSE)</f>
        <v>#REF!</v>
      </c>
      <c r="J478" s="9" t="e">
        <f>VLOOKUP($B478,#REF!,6,FALSE)</f>
        <v>#REF!</v>
      </c>
      <c r="L478" s="1">
        <v>44653.638888887363</v>
      </c>
      <c r="M478" s="13"/>
    </row>
    <row r="479" spans="2:13">
      <c r="B479" s="5"/>
      <c r="C479" s="6" t="e">
        <f>VLOOKUP($B479,#REF!,5,FALSE)</f>
        <v>#REF!</v>
      </c>
      <c r="D479" s="6" t="e">
        <f>VLOOKUP($B479,#REF!,6,FALSE)</f>
        <v>#REF!</v>
      </c>
      <c r="E479" s="7" t="e">
        <f>VLOOKUP($B479,#REF!,17,FALSE)</f>
        <v>#REF!</v>
      </c>
      <c r="F479" s="8" t="e">
        <f>VLOOKUP($B479,#REF!,7,FALSE)</f>
        <v>#REF!</v>
      </c>
      <c r="G479" s="8"/>
      <c r="H479" s="8"/>
      <c r="I479" s="9" t="e">
        <f>VLOOKUP($B479,#REF!,19,FALSE)</f>
        <v>#REF!</v>
      </c>
      <c r="J479" s="9" t="e">
        <f>VLOOKUP($B479,#REF!,6,FALSE)</f>
        <v>#REF!</v>
      </c>
      <c r="L479" s="1">
        <v>44653.642361109582</v>
      </c>
      <c r="M479" s="13"/>
    </row>
    <row r="480" spans="2:13">
      <c r="B480" s="5"/>
      <c r="C480" s="6" t="e">
        <f>VLOOKUP($B480,#REF!,5,FALSE)</f>
        <v>#REF!</v>
      </c>
      <c r="D480" s="6" t="e">
        <f>VLOOKUP($B480,#REF!,6,FALSE)</f>
        <v>#REF!</v>
      </c>
      <c r="E480" s="7" t="e">
        <f>VLOOKUP($B480,#REF!,17,FALSE)</f>
        <v>#REF!</v>
      </c>
      <c r="F480" s="8" t="e">
        <f>VLOOKUP($B480,#REF!,7,FALSE)</f>
        <v>#REF!</v>
      </c>
      <c r="G480" s="8"/>
      <c r="H480" s="8"/>
      <c r="I480" s="9" t="e">
        <f>VLOOKUP($B480,#REF!,19,FALSE)</f>
        <v>#REF!</v>
      </c>
      <c r="J480" s="9" t="e">
        <f>VLOOKUP($B480,#REF!,6,FALSE)</f>
        <v>#REF!</v>
      </c>
      <c r="L480" s="1">
        <v>44653.645833331801</v>
      </c>
      <c r="M480" s="13"/>
    </row>
    <row r="481" spans="2:13">
      <c r="B481" s="5"/>
      <c r="C481" s="6" t="e">
        <f>VLOOKUP($B481,#REF!,5,FALSE)</f>
        <v>#REF!</v>
      </c>
      <c r="D481" s="6" t="e">
        <f>VLOOKUP($B481,#REF!,6,FALSE)</f>
        <v>#REF!</v>
      </c>
      <c r="E481" s="7" t="e">
        <f>VLOOKUP($B481,#REF!,17,FALSE)</f>
        <v>#REF!</v>
      </c>
      <c r="F481" s="8" t="e">
        <f>VLOOKUP($B481,#REF!,7,FALSE)</f>
        <v>#REF!</v>
      </c>
      <c r="G481" s="8"/>
      <c r="H481" s="8"/>
      <c r="I481" s="9" t="e">
        <f>VLOOKUP($B481,#REF!,19,FALSE)</f>
        <v>#REF!</v>
      </c>
      <c r="J481" s="9" t="e">
        <f>VLOOKUP($B481,#REF!,6,FALSE)</f>
        <v>#REF!</v>
      </c>
      <c r="L481" s="1">
        <v>44653.64930555402</v>
      </c>
      <c r="M481" s="13"/>
    </row>
    <row r="482" spans="2:13">
      <c r="B482" s="5"/>
      <c r="C482" s="6" t="e">
        <f>VLOOKUP($B482,#REF!,5,FALSE)</f>
        <v>#REF!</v>
      </c>
      <c r="D482" s="6" t="e">
        <f>VLOOKUP($B482,#REF!,6,FALSE)</f>
        <v>#REF!</v>
      </c>
      <c r="E482" s="7" t="e">
        <f>VLOOKUP($B482,#REF!,17,FALSE)</f>
        <v>#REF!</v>
      </c>
      <c r="F482" s="8" t="e">
        <f>VLOOKUP($B482,#REF!,7,FALSE)</f>
        <v>#REF!</v>
      </c>
      <c r="G482" s="8"/>
      <c r="H482" s="8"/>
      <c r="I482" s="9" t="e">
        <f>VLOOKUP($B482,#REF!,19,FALSE)</f>
        <v>#REF!</v>
      </c>
      <c r="J482" s="9" t="e">
        <f>VLOOKUP($B482,#REF!,6,FALSE)</f>
        <v>#REF!</v>
      </c>
      <c r="L482" s="1">
        <v>44653.652777776239</v>
      </c>
      <c r="M482" s="13"/>
    </row>
    <row r="483" spans="2:13">
      <c r="B483" s="5"/>
      <c r="C483" s="6" t="e">
        <f>VLOOKUP($B483,#REF!,5,FALSE)</f>
        <v>#REF!</v>
      </c>
      <c r="D483" s="6" t="e">
        <f>VLOOKUP($B483,#REF!,6,FALSE)</f>
        <v>#REF!</v>
      </c>
      <c r="E483" s="7" t="e">
        <f>VLOOKUP($B483,#REF!,17,FALSE)</f>
        <v>#REF!</v>
      </c>
      <c r="F483" s="8" t="e">
        <f>VLOOKUP($B483,#REF!,7,FALSE)</f>
        <v>#REF!</v>
      </c>
      <c r="G483" s="8"/>
      <c r="H483" s="8"/>
      <c r="I483" s="9" t="e">
        <f>VLOOKUP($B483,#REF!,19,FALSE)</f>
        <v>#REF!</v>
      </c>
      <c r="J483" s="9" t="e">
        <f>VLOOKUP($B483,#REF!,6,FALSE)</f>
        <v>#REF!</v>
      </c>
      <c r="L483" s="1">
        <v>44653.656249998457</v>
      </c>
      <c r="M483" s="13"/>
    </row>
    <row r="484" spans="2:13">
      <c r="B484" s="5"/>
      <c r="C484" s="6" t="e">
        <f>VLOOKUP($B484,#REF!,5,FALSE)</f>
        <v>#REF!</v>
      </c>
      <c r="D484" s="6" t="e">
        <f>VLOOKUP($B484,#REF!,6,FALSE)</f>
        <v>#REF!</v>
      </c>
      <c r="E484" s="7" t="e">
        <f>VLOOKUP($B484,#REF!,17,FALSE)</f>
        <v>#REF!</v>
      </c>
      <c r="F484" s="8" t="e">
        <f>VLOOKUP($B484,#REF!,7,FALSE)</f>
        <v>#REF!</v>
      </c>
      <c r="G484" s="8"/>
      <c r="H484" s="8"/>
      <c r="I484" s="9" t="e">
        <f>VLOOKUP($B484,#REF!,19,FALSE)</f>
        <v>#REF!</v>
      </c>
      <c r="J484" s="9" t="e">
        <f>VLOOKUP($B484,#REF!,6,FALSE)</f>
        <v>#REF!</v>
      </c>
      <c r="L484" s="1">
        <v>44653.659722220676</v>
      </c>
      <c r="M484" s="13"/>
    </row>
    <row r="485" spans="2:13">
      <c r="B485" s="5"/>
      <c r="C485" s="6" t="e">
        <f>VLOOKUP($B485,#REF!,5,FALSE)</f>
        <v>#REF!</v>
      </c>
      <c r="D485" s="6" t="e">
        <f>VLOOKUP($B485,#REF!,6,FALSE)</f>
        <v>#REF!</v>
      </c>
      <c r="E485" s="7" t="e">
        <f>VLOOKUP($B485,#REF!,17,FALSE)</f>
        <v>#REF!</v>
      </c>
      <c r="F485" s="8" t="e">
        <f>VLOOKUP($B485,#REF!,7,FALSE)</f>
        <v>#REF!</v>
      </c>
      <c r="G485" s="8"/>
      <c r="H485" s="8"/>
      <c r="I485" s="9" t="e">
        <f>VLOOKUP($B485,#REF!,19,FALSE)</f>
        <v>#REF!</v>
      </c>
      <c r="J485" s="9" t="e">
        <f>VLOOKUP($B485,#REF!,6,FALSE)</f>
        <v>#REF!</v>
      </c>
      <c r="L485" s="1">
        <v>44653.663194442895</v>
      </c>
      <c r="M485" s="13"/>
    </row>
    <row r="486" spans="2:13">
      <c r="B486" s="5"/>
      <c r="C486" s="6" t="e">
        <f>VLOOKUP($B486,#REF!,5,FALSE)</f>
        <v>#REF!</v>
      </c>
      <c r="D486" s="6" t="e">
        <f>VLOOKUP($B486,#REF!,6,FALSE)</f>
        <v>#REF!</v>
      </c>
      <c r="E486" s="7" t="e">
        <f>VLOOKUP($B486,#REF!,17,FALSE)</f>
        <v>#REF!</v>
      </c>
      <c r="F486" s="8" t="e">
        <f>VLOOKUP($B486,#REF!,7,FALSE)</f>
        <v>#REF!</v>
      </c>
      <c r="G486" s="8"/>
      <c r="H486" s="8"/>
      <c r="I486" s="9" t="e">
        <f>VLOOKUP($B486,#REF!,19,FALSE)</f>
        <v>#REF!</v>
      </c>
      <c r="J486" s="9" t="e">
        <f>VLOOKUP($B486,#REF!,6,FALSE)</f>
        <v>#REF!</v>
      </c>
      <c r="L486" s="1">
        <v>44653.666666665114</v>
      </c>
      <c r="M486" s="13"/>
    </row>
    <row r="487" spans="2:13">
      <c r="B487" s="5"/>
      <c r="C487" s="6" t="e">
        <f>VLOOKUP($B487,#REF!,5,FALSE)</f>
        <v>#REF!</v>
      </c>
      <c r="D487" s="6" t="e">
        <f>VLOOKUP($B487,#REF!,6,FALSE)</f>
        <v>#REF!</v>
      </c>
      <c r="E487" s="7" t="e">
        <f>VLOOKUP($B487,#REF!,17,FALSE)</f>
        <v>#REF!</v>
      </c>
      <c r="F487" s="8" t="e">
        <f>VLOOKUP($B487,#REF!,7,FALSE)</f>
        <v>#REF!</v>
      </c>
      <c r="G487" s="8"/>
      <c r="H487" s="8"/>
      <c r="I487" s="9" t="e">
        <f>VLOOKUP($B487,#REF!,19,FALSE)</f>
        <v>#REF!</v>
      </c>
      <c r="J487" s="9" t="e">
        <f>VLOOKUP($B487,#REF!,6,FALSE)</f>
        <v>#REF!</v>
      </c>
      <c r="L487" s="1">
        <v>44653.670138887333</v>
      </c>
      <c r="M487" s="13"/>
    </row>
    <row r="488" spans="2:13">
      <c r="B488" s="5"/>
      <c r="C488" s="6" t="e">
        <f>VLOOKUP($B488,#REF!,5,FALSE)</f>
        <v>#REF!</v>
      </c>
      <c r="D488" s="6" t="e">
        <f>VLOOKUP($B488,#REF!,6,FALSE)</f>
        <v>#REF!</v>
      </c>
      <c r="E488" s="7" t="e">
        <f>VLOOKUP($B488,#REF!,17,FALSE)</f>
        <v>#REF!</v>
      </c>
      <c r="F488" s="8" t="e">
        <f>VLOOKUP($B488,#REF!,7,FALSE)</f>
        <v>#REF!</v>
      </c>
      <c r="G488" s="8"/>
      <c r="H488" s="8"/>
      <c r="I488" s="9" t="e">
        <f>VLOOKUP($B488,#REF!,19,FALSE)</f>
        <v>#REF!</v>
      </c>
      <c r="J488" s="9" t="e">
        <f>VLOOKUP($B488,#REF!,6,FALSE)</f>
        <v>#REF!</v>
      </c>
      <c r="L488" s="1">
        <v>44653.673611109552</v>
      </c>
      <c r="M488" s="13"/>
    </row>
    <row r="489" spans="2:13">
      <c r="B489" s="5"/>
      <c r="C489" s="6" t="e">
        <f>VLOOKUP($B489,#REF!,5,FALSE)</f>
        <v>#REF!</v>
      </c>
      <c r="D489" s="6" t="e">
        <f>VLOOKUP($B489,#REF!,6,FALSE)</f>
        <v>#REF!</v>
      </c>
      <c r="E489" s="7" t="e">
        <f>VLOOKUP($B489,#REF!,17,FALSE)</f>
        <v>#REF!</v>
      </c>
      <c r="F489" s="8" t="e">
        <f>VLOOKUP($B489,#REF!,7,FALSE)</f>
        <v>#REF!</v>
      </c>
      <c r="G489" s="8"/>
      <c r="H489" s="8"/>
      <c r="I489" s="9" t="e">
        <f>VLOOKUP($B489,#REF!,19,FALSE)</f>
        <v>#REF!</v>
      </c>
      <c r="J489" s="9" t="e">
        <f>VLOOKUP($B489,#REF!,6,FALSE)</f>
        <v>#REF!</v>
      </c>
      <c r="L489" s="1">
        <v>44653.677083331771</v>
      </c>
      <c r="M489" s="13"/>
    </row>
    <row r="490" spans="2:13">
      <c r="B490" s="5"/>
      <c r="C490" s="6" t="e">
        <f>VLOOKUP($B490,#REF!,5,FALSE)</f>
        <v>#REF!</v>
      </c>
      <c r="D490" s="6" t="e">
        <f>VLOOKUP($B490,#REF!,6,FALSE)</f>
        <v>#REF!</v>
      </c>
      <c r="E490" s="7" t="e">
        <f>VLOOKUP($B490,#REF!,17,FALSE)</f>
        <v>#REF!</v>
      </c>
      <c r="F490" s="8" t="e">
        <f>VLOOKUP($B490,#REF!,7,FALSE)</f>
        <v>#REF!</v>
      </c>
      <c r="G490" s="8"/>
      <c r="H490" s="8"/>
      <c r="I490" s="9" t="e">
        <f>VLOOKUP($B490,#REF!,19,FALSE)</f>
        <v>#REF!</v>
      </c>
      <c r="J490" s="9" t="e">
        <f>VLOOKUP($B490,#REF!,6,FALSE)</f>
        <v>#REF!</v>
      </c>
      <c r="L490" s="1">
        <v>44653.68055555399</v>
      </c>
      <c r="M490" s="13"/>
    </row>
    <row r="491" spans="2:13">
      <c r="B491" s="5"/>
      <c r="C491" s="6" t="e">
        <f>VLOOKUP($B491,#REF!,5,FALSE)</f>
        <v>#REF!</v>
      </c>
      <c r="D491" s="6" t="e">
        <f>VLOOKUP($B491,#REF!,6,FALSE)</f>
        <v>#REF!</v>
      </c>
      <c r="E491" s="7" t="e">
        <f>VLOOKUP($B491,#REF!,17,FALSE)</f>
        <v>#REF!</v>
      </c>
      <c r="F491" s="8" t="e">
        <f>VLOOKUP($B491,#REF!,7,FALSE)</f>
        <v>#REF!</v>
      </c>
      <c r="G491" s="8"/>
      <c r="H491" s="8"/>
      <c r="I491" s="9" t="e">
        <f>VLOOKUP($B491,#REF!,19,FALSE)</f>
        <v>#REF!</v>
      </c>
      <c r="J491" s="9" t="e">
        <f>VLOOKUP($B491,#REF!,6,FALSE)</f>
        <v>#REF!</v>
      </c>
      <c r="L491" s="1">
        <v>44653.684027776209</v>
      </c>
      <c r="M491" s="13"/>
    </row>
    <row r="492" spans="2:13">
      <c r="B492" s="5"/>
      <c r="C492" s="6" t="e">
        <f>VLOOKUP($B492,#REF!,5,FALSE)</f>
        <v>#REF!</v>
      </c>
      <c r="D492" s="6" t="e">
        <f>VLOOKUP($B492,#REF!,6,FALSE)</f>
        <v>#REF!</v>
      </c>
      <c r="E492" s="7" t="e">
        <f>VLOOKUP($B492,#REF!,17,FALSE)</f>
        <v>#REF!</v>
      </c>
      <c r="F492" s="8" t="e">
        <f>VLOOKUP($B492,#REF!,7,FALSE)</f>
        <v>#REF!</v>
      </c>
      <c r="G492" s="8"/>
      <c r="H492" s="8"/>
      <c r="I492" s="9" t="e">
        <f>VLOOKUP($B492,#REF!,19,FALSE)</f>
        <v>#REF!</v>
      </c>
      <c r="J492" s="9" t="e">
        <f>VLOOKUP($B492,#REF!,6,FALSE)</f>
        <v>#REF!</v>
      </c>
      <c r="L492" s="1">
        <v>44653.687499998428</v>
      </c>
      <c r="M492" s="13"/>
    </row>
    <row r="493" spans="2:13">
      <c r="B493" s="5"/>
      <c r="C493" s="6" t="e">
        <f>VLOOKUP($B493,#REF!,5,FALSE)</f>
        <v>#REF!</v>
      </c>
      <c r="D493" s="6" t="e">
        <f>VLOOKUP($B493,#REF!,6,FALSE)</f>
        <v>#REF!</v>
      </c>
      <c r="E493" s="7" t="e">
        <f>VLOOKUP($B493,#REF!,17,FALSE)</f>
        <v>#REF!</v>
      </c>
      <c r="F493" s="8" t="e">
        <f>VLOOKUP($B493,#REF!,7,FALSE)</f>
        <v>#REF!</v>
      </c>
      <c r="G493" s="8"/>
      <c r="H493" s="8"/>
      <c r="I493" s="9" t="e">
        <f>VLOOKUP($B493,#REF!,19,FALSE)</f>
        <v>#REF!</v>
      </c>
      <c r="J493" s="9" t="e">
        <f>VLOOKUP($B493,#REF!,6,FALSE)</f>
        <v>#REF!</v>
      </c>
      <c r="L493" s="1">
        <v>44653.690972220647</v>
      </c>
      <c r="M493" s="13"/>
    </row>
    <row r="494" spans="2:13">
      <c r="B494" s="5"/>
      <c r="C494" s="6" t="e">
        <f>VLOOKUP($B494,#REF!,5,FALSE)</f>
        <v>#REF!</v>
      </c>
      <c r="D494" s="6" t="e">
        <f>VLOOKUP($B494,#REF!,6,FALSE)</f>
        <v>#REF!</v>
      </c>
      <c r="E494" s="7" t="e">
        <f>VLOOKUP($B494,#REF!,17,FALSE)</f>
        <v>#REF!</v>
      </c>
      <c r="F494" s="8" t="e">
        <f>VLOOKUP($B494,#REF!,7,FALSE)</f>
        <v>#REF!</v>
      </c>
      <c r="G494" s="8"/>
      <c r="H494" s="8"/>
      <c r="I494" s="9" t="e">
        <f>VLOOKUP($B494,#REF!,19,FALSE)</f>
        <v>#REF!</v>
      </c>
      <c r="J494" s="9" t="e">
        <f>VLOOKUP($B494,#REF!,6,FALSE)</f>
        <v>#REF!</v>
      </c>
      <c r="L494" s="1">
        <v>44653.694444442866</v>
      </c>
      <c r="M494" s="13"/>
    </row>
    <row r="495" spans="2:13">
      <c r="B495" s="5"/>
      <c r="C495" s="6" t="e">
        <f>VLOOKUP($B495,#REF!,5,FALSE)</f>
        <v>#REF!</v>
      </c>
      <c r="D495" s="6" t="e">
        <f>VLOOKUP($B495,#REF!,6,FALSE)</f>
        <v>#REF!</v>
      </c>
      <c r="E495" s="7" t="e">
        <f>VLOOKUP($B495,#REF!,17,FALSE)</f>
        <v>#REF!</v>
      </c>
      <c r="F495" s="8" t="e">
        <f>VLOOKUP($B495,#REF!,7,FALSE)</f>
        <v>#REF!</v>
      </c>
      <c r="G495" s="8"/>
      <c r="H495" s="8"/>
      <c r="I495" s="9" t="e">
        <f>VLOOKUP($B495,#REF!,19,FALSE)</f>
        <v>#REF!</v>
      </c>
      <c r="J495" s="9" t="e">
        <f>VLOOKUP($B495,#REF!,6,FALSE)</f>
        <v>#REF!</v>
      </c>
      <c r="L495" s="1">
        <v>44653.697916665085</v>
      </c>
      <c r="M495" s="13"/>
    </row>
    <row r="496" spans="2:13">
      <c r="B496" s="5"/>
      <c r="C496" s="6" t="e">
        <f>VLOOKUP($B496,#REF!,5,FALSE)</f>
        <v>#REF!</v>
      </c>
      <c r="D496" s="6" t="e">
        <f>VLOOKUP($B496,#REF!,6,FALSE)</f>
        <v>#REF!</v>
      </c>
      <c r="E496" s="7" t="e">
        <f>VLOOKUP($B496,#REF!,17,FALSE)</f>
        <v>#REF!</v>
      </c>
      <c r="F496" s="8" t="e">
        <f>VLOOKUP($B496,#REF!,7,FALSE)</f>
        <v>#REF!</v>
      </c>
      <c r="G496" s="8"/>
      <c r="H496" s="8"/>
      <c r="I496" s="9" t="e">
        <f>VLOOKUP($B496,#REF!,19,FALSE)</f>
        <v>#REF!</v>
      </c>
      <c r="J496" s="9" t="e">
        <f>VLOOKUP($B496,#REF!,6,FALSE)</f>
        <v>#REF!</v>
      </c>
      <c r="L496" s="1">
        <v>44653.701388887304</v>
      </c>
      <c r="M496" s="13"/>
    </row>
    <row r="497" spans="2:13">
      <c r="B497" s="5"/>
      <c r="C497" s="6" t="e">
        <f>VLOOKUP($B497,#REF!,5,FALSE)</f>
        <v>#REF!</v>
      </c>
      <c r="D497" s="6" t="e">
        <f>VLOOKUP($B497,#REF!,6,FALSE)</f>
        <v>#REF!</v>
      </c>
      <c r="E497" s="7" t="e">
        <f>VLOOKUP($B497,#REF!,17,FALSE)</f>
        <v>#REF!</v>
      </c>
      <c r="F497" s="8" t="e">
        <f>VLOOKUP($B497,#REF!,7,FALSE)</f>
        <v>#REF!</v>
      </c>
      <c r="G497" s="8"/>
      <c r="H497" s="8"/>
      <c r="I497" s="9" t="e">
        <f>VLOOKUP($B497,#REF!,19,FALSE)</f>
        <v>#REF!</v>
      </c>
      <c r="J497" s="9" t="e">
        <f>VLOOKUP($B497,#REF!,6,FALSE)</f>
        <v>#REF!</v>
      </c>
      <c r="L497" s="1">
        <v>44653.704861109523</v>
      </c>
      <c r="M497" s="13"/>
    </row>
    <row r="498" spans="2:13">
      <c r="B498" s="5"/>
      <c r="C498" s="6" t="e">
        <f>VLOOKUP($B498,#REF!,5,FALSE)</f>
        <v>#REF!</v>
      </c>
      <c r="D498" s="6" t="e">
        <f>VLOOKUP($B498,#REF!,6,FALSE)</f>
        <v>#REF!</v>
      </c>
      <c r="E498" s="7" t="e">
        <f>VLOOKUP($B498,#REF!,17,FALSE)</f>
        <v>#REF!</v>
      </c>
      <c r="F498" s="8" t="e">
        <f>VLOOKUP($B498,#REF!,7,FALSE)</f>
        <v>#REF!</v>
      </c>
      <c r="G498" s="8"/>
      <c r="H498" s="8"/>
      <c r="I498" s="9" t="e">
        <f>VLOOKUP($B498,#REF!,19,FALSE)</f>
        <v>#REF!</v>
      </c>
      <c r="J498" s="9" t="e">
        <f>VLOOKUP($B498,#REF!,6,FALSE)</f>
        <v>#REF!</v>
      </c>
      <c r="L498" s="1">
        <v>44653.708333331742</v>
      </c>
      <c r="M498" s="13"/>
    </row>
    <row r="499" spans="2:13">
      <c r="B499" s="5"/>
      <c r="C499" s="6" t="e">
        <f>VLOOKUP($B499,#REF!,5,FALSE)</f>
        <v>#REF!</v>
      </c>
      <c r="D499" s="6" t="e">
        <f>VLOOKUP($B499,#REF!,6,FALSE)</f>
        <v>#REF!</v>
      </c>
      <c r="E499" s="7" t="e">
        <f>VLOOKUP($B499,#REF!,17,FALSE)</f>
        <v>#REF!</v>
      </c>
      <c r="F499" s="8" t="e">
        <f>VLOOKUP($B499,#REF!,7,FALSE)</f>
        <v>#REF!</v>
      </c>
      <c r="G499" s="8"/>
      <c r="H499" s="8"/>
      <c r="I499" s="9" t="e">
        <f>VLOOKUP($B499,#REF!,19,FALSE)</f>
        <v>#REF!</v>
      </c>
      <c r="J499" s="9" t="e">
        <f>VLOOKUP($B499,#REF!,6,FALSE)</f>
        <v>#REF!</v>
      </c>
      <c r="L499" s="1">
        <v>44653.711805553961</v>
      </c>
      <c r="M499" s="13"/>
    </row>
    <row r="500" spans="2:13">
      <c r="B500" s="5"/>
      <c r="C500" s="6" t="e">
        <f>VLOOKUP($B500,#REF!,5,FALSE)</f>
        <v>#REF!</v>
      </c>
      <c r="D500" s="6" t="e">
        <f>VLOOKUP($B500,#REF!,6,FALSE)</f>
        <v>#REF!</v>
      </c>
      <c r="E500" s="7" t="e">
        <f>VLOOKUP($B500,#REF!,17,FALSE)</f>
        <v>#REF!</v>
      </c>
      <c r="F500" s="8" t="e">
        <f>VLOOKUP($B500,#REF!,7,FALSE)</f>
        <v>#REF!</v>
      </c>
      <c r="G500" s="8"/>
      <c r="H500" s="8"/>
      <c r="I500" s="9" t="e">
        <f>VLOOKUP($B500,#REF!,19,FALSE)</f>
        <v>#REF!</v>
      </c>
      <c r="J500" s="9" t="e">
        <f>VLOOKUP($B500,#REF!,6,FALSE)</f>
        <v>#REF!</v>
      </c>
      <c r="L500" s="1">
        <v>44653.71527777618</v>
      </c>
      <c r="M500" s="13"/>
    </row>
    <row r="501" spans="2:13">
      <c r="B501" s="5"/>
      <c r="C501" s="6" t="e">
        <f>VLOOKUP($B501,#REF!,5,FALSE)</f>
        <v>#REF!</v>
      </c>
      <c r="D501" s="6" t="e">
        <f>VLOOKUP($B501,#REF!,6,FALSE)</f>
        <v>#REF!</v>
      </c>
      <c r="E501" s="7" t="e">
        <f>VLOOKUP($B501,#REF!,17,FALSE)</f>
        <v>#REF!</v>
      </c>
      <c r="F501" s="8" t="e">
        <f>VLOOKUP($B501,#REF!,7,FALSE)</f>
        <v>#REF!</v>
      </c>
      <c r="G501" s="8"/>
      <c r="H501" s="8"/>
      <c r="I501" s="9" t="e">
        <f>VLOOKUP($B501,#REF!,19,FALSE)</f>
        <v>#REF!</v>
      </c>
      <c r="J501" s="9" t="e">
        <f>VLOOKUP($B501,#REF!,6,FALSE)</f>
        <v>#REF!</v>
      </c>
      <c r="L501" s="1">
        <v>44653.718749998399</v>
      </c>
      <c r="M501" s="13"/>
    </row>
    <row r="502" spans="2:13">
      <c r="B502" s="5"/>
      <c r="C502" s="6" t="e">
        <f>VLOOKUP($B502,#REF!,5,FALSE)</f>
        <v>#REF!</v>
      </c>
      <c r="D502" s="6" t="e">
        <f>VLOOKUP($B502,#REF!,6,FALSE)</f>
        <v>#REF!</v>
      </c>
      <c r="E502" s="7" t="e">
        <f>VLOOKUP($B502,#REF!,17,FALSE)</f>
        <v>#REF!</v>
      </c>
      <c r="F502" s="8" t="e">
        <f>VLOOKUP($B502,#REF!,7,FALSE)</f>
        <v>#REF!</v>
      </c>
      <c r="G502" s="8"/>
      <c r="H502" s="8"/>
      <c r="I502" s="9" t="e">
        <f>VLOOKUP($B502,#REF!,19,FALSE)</f>
        <v>#REF!</v>
      </c>
      <c r="J502" s="9" t="e">
        <f>VLOOKUP($B502,#REF!,6,FALSE)</f>
        <v>#REF!</v>
      </c>
      <c r="L502" s="1">
        <v>44653.722222220618</v>
      </c>
      <c r="M502" s="13"/>
    </row>
    <row r="503" spans="2:13">
      <c r="B503" s="5"/>
      <c r="C503" s="6" t="e">
        <f>VLOOKUP($B503,#REF!,5,FALSE)</f>
        <v>#REF!</v>
      </c>
      <c r="D503" s="6" t="e">
        <f>VLOOKUP($B503,#REF!,6,FALSE)</f>
        <v>#REF!</v>
      </c>
      <c r="E503" s="7" t="e">
        <f>VLOOKUP($B503,#REF!,17,FALSE)</f>
        <v>#REF!</v>
      </c>
      <c r="F503" s="8" t="e">
        <f>VLOOKUP($B503,#REF!,7,FALSE)</f>
        <v>#REF!</v>
      </c>
      <c r="G503" s="8"/>
      <c r="H503" s="8"/>
      <c r="I503" s="9" t="e">
        <f>VLOOKUP($B503,#REF!,19,FALSE)</f>
        <v>#REF!</v>
      </c>
      <c r="J503" s="9" t="e">
        <f>VLOOKUP($B503,#REF!,6,FALSE)</f>
        <v>#REF!</v>
      </c>
      <c r="L503" s="1">
        <v>44653.725694442837</v>
      </c>
      <c r="M503" s="13"/>
    </row>
    <row r="504" spans="2:13">
      <c r="B504" s="5"/>
      <c r="C504" s="6" t="e">
        <f>VLOOKUP($B504,#REF!,5,FALSE)</f>
        <v>#REF!</v>
      </c>
      <c r="D504" s="6" t="e">
        <f>VLOOKUP($B504,#REF!,6,FALSE)</f>
        <v>#REF!</v>
      </c>
      <c r="E504" s="7" t="e">
        <f>VLOOKUP($B504,#REF!,17,FALSE)</f>
        <v>#REF!</v>
      </c>
      <c r="F504" s="8" t="e">
        <f>VLOOKUP($B504,#REF!,7,FALSE)</f>
        <v>#REF!</v>
      </c>
      <c r="G504" s="8"/>
      <c r="H504" s="8"/>
      <c r="I504" s="9" t="e">
        <f>VLOOKUP($B504,#REF!,19,FALSE)</f>
        <v>#REF!</v>
      </c>
      <c r="J504" s="9" t="e">
        <f>VLOOKUP($B504,#REF!,6,FALSE)</f>
        <v>#REF!</v>
      </c>
      <c r="L504" s="1">
        <v>44653.729166665056</v>
      </c>
      <c r="M504" s="13"/>
    </row>
    <row r="505" spans="2:13">
      <c r="B505" s="5"/>
      <c r="C505" s="6" t="e">
        <f>VLOOKUP($B505,#REF!,5,FALSE)</f>
        <v>#REF!</v>
      </c>
      <c r="D505" s="6" t="e">
        <f>VLOOKUP($B505,#REF!,6,FALSE)</f>
        <v>#REF!</v>
      </c>
      <c r="E505" s="7" t="e">
        <f>VLOOKUP($B505,#REF!,17,FALSE)</f>
        <v>#REF!</v>
      </c>
      <c r="F505" s="8" t="e">
        <f>VLOOKUP($B505,#REF!,7,FALSE)</f>
        <v>#REF!</v>
      </c>
      <c r="G505" s="8"/>
      <c r="H505" s="8"/>
      <c r="I505" s="9" t="e">
        <f>VLOOKUP($B505,#REF!,19,FALSE)</f>
        <v>#REF!</v>
      </c>
      <c r="J505" s="9" t="e">
        <f>VLOOKUP($B505,#REF!,6,FALSE)</f>
        <v>#REF!</v>
      </c>
      <c r="L505" s="1">
        <v>44653.732638887275</v>
      </c>
      <c r="M505" s="13"/>
    </row>
    <row r="506" spans="2:13">
      <c r="B506" s="5"/>
      <c r="C506" s="6" t="e">
        <f>VLOOKUP($B506,#REF!,5,FALSE)</f>
        <v>#REF!</v>
      </c>
      <c r="D506" s="6" t="e">
        <f>VLOOKUP($B506,#REF!,6,FALSE)</f>
        <v>#REF!</v>
      </c>
      <c r="E506" s="7" t="e">
        <f>VLOOKUP($B506,#REF!,17,FALSE)</f>
        <v>#REF!</v>
      </c>
      <c r="F506" s="8" t="e">
        <f>VLOOKUP($B506,#REF!,7,FALSE)</f>
        <v>#REF!</v>
      </c>
      <c r="G506" s="8"/>
      <c r="H506" s="8"/>
      <c r="I506" s="9" t="e">
        <f>VLOOKUP($B506,#REF!,19,FALSE)</f>
        <v>#REF!</v>
      </c>
      <c r="J506" s="9" t="e">
        <f>VLOOKUP($B506,#REF!,6,FALSE)</f>
        <v>#REF!</v>
      </c>
      <c r="L506" s="1">
        <v>44653.736111109494</v>
      </c>
      <c r="M506" s="13"/>
    </row>
    <row r="507" spans="2:13">
      <c r="B507" s="5"/>
      <c r="C507" s="6" t="e">
        <f>VLOOKUP($B507,#REF!,5,FALSE)</f>
        <v>#REF!</v>
      </c>
      <c r="D507" s="6" t="e">
        <f>VLOOKUP($B507,#REF!,6,FALSE)</f>
        <v>#REF!</v>
      </c>
      <c r="E507" s="7" t="e">
        <f>VLOOKUP($B507,#REF!,17,FALSE)</f>
        <v>#REF!</v>
      </c>
      <c r="F507" s="8" t="e">
        <f>VLOOKUP($B507,#REF!,7,FALSE)</f>
        <v>#REF!</v>
      </c>
      <c r="G507" s="8"/>
      <c r="H507" s="8"/>
      <c r="I507" s="9" t="e">
        <f>VLOOKUP($B507,#REF!,19,FALSE)</f>
        <v>#REF!</v>
      </c>
      <c r="J507" s="9" t="e">
        <f>VLOOKUP($B507,#REF!,6,FALSE)</f>
        <v>#REF!</v>
      </c>
      <c r="L507" s="1">
        <v>44653.739583331713</v>
      </c>
      <c r="M507" s="13"/>
    </row>
    <row r="508" spans="2:13">
      <c r="B508" s="5"/>
      <c r="C508" s="6" t="e">
        <f>VLOOKUP($B508,#REF!,5,FALSE)</f>
        <v>#REF!</v>
      </c>
      <c r="D508" s="6" t="e">
        <f>VLOOKUP($B508,#REF!,6,FALSE)</f>
        <v>#REF!</v>
      </c>
      <c r="E508" s="7" t="e">
        <f>VLOOKUP($B508,#REF!,17,FALSE)</f>
        <v>#REF!</v>
      </c>
      <c r="F508" s="8" t="e">
        <f>VLOOKUP($B508,#REF!,7,FALSE)</f>
        <v>#REF!</v>
      </c>
      <c r="G508" s="8"/>
      <c r="H508" s="8"/>
      <c r="I508" s="9" t="e">
        <f>VLOOKUP($B508,#REF!,19,FALSE)</f>
        <v>#REF!</v>
      </c>
      <c r="J508" s="9" t="e">
        <f>VLOOKUP($B508,#REF!,6,FALSE)</f>
        <v>#REF!</v>
      </c>
      <c r="L508" s="1">
        <v>44653.743055553932</v>
      </c>
      <c r="M508" s="13"/>
    </row>
    <row r="509" spans="2:13">
      <c r="B509" s="5"/>
      <c r="C509" s="6" t="e">
        <f>VLOOKUP($B509,#REF!,5,FALSE)</f>
        <v>#REF!</v>
      </c>
      <c r="D509" s="6" t="e">
        <f>VLOOKUP($B509,#REF!,6,FALSE)</f>
        <v>#REF!</v>
      </c>
      <c r="E509" s="7" t="e">
        <f>VLOOKUP($B509,#REF!,17,FALSE)</f>
        <v>#REF!</v>
      </c>
      <c r="F509" s="8" t="e">
        <f>VLOOKUP($B509,#REF!,7,FALSE)</f>
        <v>#REF!</v>
      </c>
      <c r="G509" s="8"/>
      <c r="H509" s="8"/>
      <c r="I509" s="9" t="e">
        <f>VLOOKUP($B509,#REF!,19,FALSE)</f>
        <v>#REF!</v>
      </c>
      <c r="J509" s="9" t="e">
        <f>VLOOKUP($B509,#REF!,6,FALSE)</f>
        <v>#REF!</v>
      </c>
      <c r="L509" s="1">
        <v>44653.746527776151</v>
      </c>
      <c r="M509" s="13"/>
    </row>
    <row r="510" spans="2:13">
      <c r="B510" s="5"/>
      <c r="C510" s="6" t="e">
        <f>VLOOKUP($B510,#REF!,5,FALSE)</f>
        <v>#REF!</v>
      </c>
      <c r="D510" s="6" t="e">
        <f>VLOOKUP($B510,#REF!,6,FALSE)</f>
        <v>#REF!</v>
      </c>
      <c r="E510" s="7" t="e">
        <f>VLOOKUP($B510,#REF!,17,FALSE)</f>
        <v>#REF!</v>
      </c>
      <c r="F510" s="8" t="e">
        <f>VLOOKUP($B510,#REF!,7,FALSE)</f>
        <v>#REF!</v>
      </c>
      <c r="G510" s="8"/>
      <c r="H510" s="8"/>
      <c r="I510" s="9" t="e">
        <f>VLOOKUP($B510,#REF!,19,FALSE)</f>
        <v>#REF!</v>
      </c>
      <c r="J510" s="9" t="e">
        <f>VLOOKUP($B510,#REF!,6,FALSE)</f>
        <v>#REF!</v>
      </c>
      <c r="L510" s="1">
        <v>44653.74999999837</v>
      </c>
      <c r="M510" s="13"/>
    </row>
    <row r="511" spans="2:13">
      <c r="B511" s="5"/>
      <c r="C511" s="6" t="e">
        <f>VLOOKUP($B511,#REF!,5,FALSE)</f>
        <v>#REF!</v>
      </c>
      <c r="D511" s="6" t="e">
        <f>VLOOKUP($B511,#REF!,6,FALSE)</f>
        <v>#REF!</v>
      </c>
      <c r="E511" s="7" t="e">
        <f>VLOOKUP($B511,#REF!,17,FALSE)</f>
        <v>#REF!</v>
      </c>
      <c r="F511" s="8" t="e">
        <f>VLOOKUP($B511,#REF!,7,FALSE)</f>
        <v>#REF!</v>
      </c>
      <c r="G511" s="8"/>
      <c r="H511" s="8"/>
      <c r="I511" s="9" t="e">
        <f>VLOOKUP($B511,#REF!,19,FALSE)</f>
        <v>#REF!</v>
      </c>
      <c r="J511" s="9" t="e">
        <f>VLOOKUP($B511,#REF!,6,FALSE)</f>
        <v>#REF!</v>
      </c>
      <c r="L511" s="1">
        <v>44653.753472220589</v>
      </c>
      <c r="M511" s="13"/>
    </row>
    <row r="512" spans="2:13">
      <c r="B512" s="5"/>
      <c r="C512" s="6" t="e">
        <f>VLOOKUP($B512,#REF!,5,FALSE)</f>
        <v>#REF!</v>
      </c>
      <c r="D512" s="6" t="e">
        <f>VLOOKUP($B512,#REF!,6,FALSE)</f>
        <v>#REF!</v>
      </c>
      <c r="E512" s="7" t="e">
        <f>VLOOKUP($B512,#REF!,17,FALSE)</f>
        <v>#REF!</v>
      </c>
      <c r="F512" s="8" t="e">
        <f>VLOOKUP($B512,#REF!,7,FALSE)</f>
        <v>#REF!</v>
      </c>
      <c r="G512" s="8"/>
      <c r="H512" s="8"/>
      <c r="I512" s="9" t="e">
        <f>VLOOKUP($B512,#REF!,19,FALSE)</f>
        <v>#REF!</v>
      </c>
      <c r="J512" s="9" t="e">
        <f>VLOOKUP($B512,#REF!,6,FALSE)</f>
        <v>#REF!</v>
      </c>
      <c r="L512" s="1">
        <v>44653.756944442808</v>
      </c>
      <c r="M512" s="13"/>
    </row>
    <row r="513" spans="2:13">
      <c r="B513" s="5"/>
      <c r="C513" s="6" t="e">
        <f>VLOOKUP($B513,#REF!,5,FALSE)</f>
        <v>#REF!</v>
      </c>
      <c r="D513" s="6" t="e">
        <f>VLOOKUP($B513,#REF!,6,FALSE)</f>
        <v>#REF!</v>
      </c>
      <c r="E513" s="7" t="e">
        <f>VLOOKUP($B513,#REF!,17,FALSE)</f>
        <v>#REF!</v>
      </c>
      <c r="F513" s="8" t="e">
        <f>VLOOKUP($B513,#REF!,7,FALSE)</f>
        <v>#REF!</v>
      </c>
      <c r="G513" s="8"/>
      <c r="H513" s="8"/>
      <c r="I513" s="9" t="e">
        <f>VLOOKUP($B513,#REF!,19,FALSE)</f>
        <v>#REF!</v>
      </c>
      <c r="J513" s="9" t="e">
        <f>VLOOKUP($B513,#REF!,6,FALSE)</f>
        <v>#REF!</v>
      </c>
      <c r="L513" s="1">
        <v>44653.760416665027</v>
      </c>
      <c r="M513" s="13"/>
    </row>
    <row r="514" spans="2:13">
      <c r="B514" s="5"/>
      <c r="C514" s="6" t="e">
        <f>VLOOKUP($B514,#REF!,5,FALSE)</f>
        <v>#REF!</v>
      </c>
      <c r="D514" s="6" t="e">
        <f>VLOOKUP($B514,#REF!,6,FALSE)</f>
        <v>#REF!</v>
      </c>
      <c r="E514" s="7" t="e">
        <f>VLOOKUP($B514,#REF!,17,FALSE)</f>
        <v>#REF!</v>
      </c>
      <c r="F514" s="8" t="e">
        <f>VLOOKUP($B514,#REF!,7,FALSE)</f>
        <v>#REF!</v>
      </c>
      <c r="G514" s="8"/>
      <c r="H514" s="8"/>
      <c r="I514" s="9" t="e">
        <f>VLOOKUP($B514,#REF!,19,FALSE)</f>
        <v>#REF!</v>
      </c>
      <c r="J514" s="9" t="e">
        <f>VLOOKUP($B514,#REF!,6,FALSE)</f>
        <v>#REF!</v>
      </c>
      <c r="L514" s="1">
        <v>44653.763888887246</v>
      </c>
      <c r="M514" s="13"/>
    </row>
    <row r="515" spans="2:13">
      <c r="B515" s="5"/>
      <c r="C515" s="6" t="e">
        <f>VLOOKUP($B515,#REF!,5,FALSE)</f>
        <v>#REF!</v>
      </c>
      <c r="D515" s="6" t="e">
        <f>VLOOKUP($B515,#REF!,6,FALSE)</f>
        <v>#REF!</v>
      </c>
      <c r="E515" s="7" t="e">
        <f>VLOOKUP($B515,#REF!,17,FALSE)</f>
        <v>#REF!</v>
      </c>
      <c r="F515" s="8" t="e">
        <f>VLOOKUP($B515,#REF!,7,FALSE)</f>
        <v>#REF!</v>
      </c>
      <c r="G515" s="8"/>
      <c r="H515" s="8"/>
      <c r="I515" s="9" t="e">
        <f>VLOOKUP($B515,#REF!,19,FALSE)</f>
        <v>#REF!</v>
      </c>
      <c r="J515" s="9" t="e">
        <f>VLOOKUP($B515,#REF!,6,FALSE)</f>
        <v>#REF!</v>
      </c>
      <c r="L515" s="1">
        <v>44653.767361109465</v>
      </c>
      <c r="M515" s="13"/>
    </row>
    <row r="516" spans="2:13">
      <c r="B516" s="5"/>
      <c r="C516" s="6" t="e">
        <f>VLOOKUP($B516,#REF!,5,FALSE)</f>
        <v>#REF!</v>
      </c>
      <c r="D516" s="6" t="e">
        <f>VLOOKUP($B516,#REF!,6,FALSE)</f>
        <v>#REF!</v>
      </c>
      <c r="E516" s="7" t="e">
        <f>VLOOKUP($B516,#REF!,17,FALSE)</f>
        <v>#REF!</v>
      </c>
      <c r="F516" s="8" t="e">
        <f>VLOOKUP($B516,#REF!,7,FALSE)</f>
        <v>#REF!</v>
      </c>
      <c r="G516" s="8"/>
      <c r="H516" s="8"/>
      <c r="I516" s="9" t="e">
        <f>VLOOKUP($B516,#REF!,19,FALSE)</f>
        <v>#REF!</v>
      </c>
      <c r="J516" s="9" t="e">
        <f>VLOOKUP($B516,#REF!,6,FALSE)</f>
        <v>#REF!</v>
      </c>
      <c r="L516" s="1">
        <v>44653.770833331684</v>
      </c>
      <c r="M516" s="13"/>
    </row>
    <row r="517" spans="2:13">
      <c r="B517" s="5"/>
      <c r="C517" s="6" t="e">
        <f>VLOOKUP($B517,#REF!,5,FALSE)</f>
        <v>#REF!</v>
      </c>
      <c r="D517" s="6" t="e">
        <f>VLOOKUP($B517,#REF!,6,FALSE)</f>
        <v>#REF!</v>
      </c>
      <c r="E517" s="7" t="e">
        <f>VLOOKUP($B517,#REF!,17,FALSE)</f>
        <v>#REF!</v>
      </c>
      <c r="F517" s="8" t="e">
        <f>VLOOKUP($B517,#REF!,7,FALSE)</f>
        <v>#REF!</v>
      </c>
      <c r="G517" s="8"/>
      <c r="H517" s="8"/>
      <c r="I517" s="9" t="e">
        <f>VLOOKUP($B517,#REF!,19,FALSE)</f>
        <v>#REF!</v>
      </c>
      <c r="J517" s="9" t="e">
        <f>VLOOKUP($B517,#REF!,6,FALSE)</f>
        <v>#REF!</v>
      </c>
      <c r="L517" s="1">
        <v>44653.774305553903</v>
      </c>
      <c r="M517" s="13"/>
    </row>
    <row r="518" spans="2:13">
      <c r="B518" s="5"/>
      <c r="C518" s="6" t="e">
        <f>VLOOKUP($B518,#REF!,5,FALSE)</f>
        <v>#REF!</v>
      </c>
      <c r="D518" s="6" t="e">
        <f>VLOOKUP($B518,#REF!,6,FALSE)</f>
        <v>#REF!</v>
      </c>
      <c r="E518" s="7" t="e">
        <f>VLOOKUP($B518,#REF!,17,FALSE)</f>
        <v>#REF!</v>
      </c>
      <c r="F518" s="8" t="e">
        <f>VLOOKUP($B518,#REF!,7,FALSE)</f>
        <v>#REF!</v>
      </c>
      <c r="G518" s="8"/>
      <c r="H518" s="8"/>
      <c r="I518" s="9" t="e">
        <f>VLOOKUP($B518,#REF!,19,FALSE)</f>
        <v>#REF!</v>
      </c>
      <c r="J518" s="9" t="e">
        <f>VLOOKUP($B518,#REF!,6,FALSE)</f>
        <v>#REF!</v>
      </c>
      <c r="L518" s="1">
        <v>44653.777777776122</v>
      </c>
      <c r="M518" s="13"/>
    </row>
    <row r="519" spans="2:13">
      <c r="B519" s="5"/>
      <c r="C519" s="6" t="e">
        <f>VLOOKUP($B519,#REF!,5,FALSE)</f>
        <v>#REF!</v>
      </c>
      <c r="D519" s="6" t="e">
        <f>VLOOKUP($B519,#REF!,6,FALSE)</f>
        <v>#REF!</v>
      </c>
      <c r="E519" s="7" t="e">
        <f>VLOOKUP($B519,#REF!,17,FALSE)</f>
        <v>#REF!</v>
      </c>
      <c r="F519" s="8" t="e">
        <f>VLOOKUP($B519,#REF!,7,FALSE)</f>
        <v>#REF!</v>
      </c>
      <c r="G519" s="8"/>
      <c r="H519" s="8"/>
      <c r="I519" s="9" t="e">
        <f>VLOOKUP($B519,#REF!,19,FALSE)</f>
        <v>#REF!</v>
      </c>
      <c r="J519" s="9" t="e">
        <f>VLOOKUP($B519,#REF!,6,FALSE)</f>
        <v>#REF!</v>
      </c>
      <c r="L519" s="1">
        <v>44653.781249998341</v>
      </c>
      <c r="M519" s="13"/>
    </row>
    <row r="520" spans="2:13">
      <c r="B520" s="5"/>
      <c r="C520" s="6" t="e">
        <f>VLOOKUP($B520,#REF!,5,FALSE)</f>
        <v>#REF!</v>
      </c>
      <c r="D520" s="6" t="e">
        <f>VLOOKUP($B520,#REF!,6,FALSE)</f>
        <v>#REF!</v>
      </c>
      <c r="E520" s="7" t="e">
        <f>VLOOKUP($B520,#REF!,17,FALSE)</f>
        <v>#REF!</v>
      </c>
      <c r="F520" s="8" t="e">
        <f>VLOOKUP($B520,#REF!,7,FALSE)</f>
        <v>#REF!</v>
      </c>
      <c r="G520" s="8"/>
      <c r="H520" s="8"/>
      <c r="I520" s="9" t="e">
        <f>VLOOKUP($B520,#REF!,19,FALSE)</f>
        <v>#REF!</v>
      </c>
      <c r="J520" s="9" t="e">
        <f>VLOOKUP($B520,#REF!,6,FALSE)</f>
        <v>#REF!</v>
      </c>
      <c r="L520" s="1">
        <v>44653.78472222056</v>
      </c>
      <c r="M520" s="13"/>
    </row>
    <row r="521" spans="2:13">
      <c r="B521" s="5"/>
      <c r="C521" s="6" t="e">
        <f>VLOOKUP($B521,#REF!,5,FALSE)</f>
        <v>#REF!</v>
      </c>
      <c r="D521" s="6" t="e">
        <f>VLOOKUP($B521,#REF!,6,FALSE)</f>
        <v>#REF!</v>
      </c>
      <c r="E521" s="7" t="e">
        <f>VLOOKUP($B521,#REF!,17,FALSE)</f>
        <v>#REF!</v>
      </c>
      <c r="F521" s="8" t="e">
        <f>VLOOKUP($B521,#REF!,7,FALSE)</f>
        <v>#REF!</v>
      </c>
      <c r="G521" s="8"/>
      <c r="H521" s="8"/>
      <c r="I521" s="9" t="e">
        <f>VLOOKUP($B521,#REF!,19,FALSE)</f>
        <v>#REF!</v>
      </c>
      <c r="J521" s="9" t="e">
        <f>VLOOKUP($B521,#REF!,6,FALSE)</f>
        <v>#REF!</v>
      </c>
      <c r="L521" s="1">
        <v>44653.788194442779</v>
      </c>
      <c r="M521" s="13"/>
    </row>
    <row r="522" spans="2:13">
      <c r="B522" s="5"/>
      <c r="C522" s="6" t="e">
        <f>VLOOKUP($B522,#REF!,5,FALSE)</f>
        <v>#REF!</v>
      </c>
      <c r="D522" s="6" t="e">
        <f>VLOOKUP($B522,#REF!,6,FALSE)</f>
        <v>#REF!</v>
      </c>
      <c r="E522" s="7" t="e">
        <f>VLOOKUP($B522,#REF!,17,FALSE)</f>
        <v>#REF!</v>
      </c>
      <c r="F522" s="8" t="e">
        <f>VLOOKUP($B522,#REF!,7,FALSE)</f>
        <v>#REF!</v>
      </c>
      <c r="G522" s="8"/>
      <c r="H522" s="8"/>
      <c r="I522" s="9" t="e">
        <f>VLOOKUP($B522,#REF!,19,FALSE)</f>
        <v>#REF!</v>
      </c>
      <c r="J522" s="9" t="e">
        <f>VLOOKUP($B522,#REF!,6,FALSE)</f>
        <v>#REF!</v>
      </c>
      <c r="L522" s="1">
        <v>44653.791666664998</v>
      </c>
      <c r="M522" s="13"/>
    </row>
    <row r="523" spans="2:13">
      <c r="B523" s="5"/>
      <c r="C523" s="6" t="e">
        <f>VLOOKUP($B523,#REF!,5,FALSE)</f>
        <v>#REF!</v>
      </c>
      <c r="D523" s="6" t="e">
        <f>VLOOKUP($B523,#REF!,6,FALSE)</f>
        <v>#REF!</v>
      </c>
      <c r="E523" s="7" t="e">
        <f>VLOOKUP($B523,#REF!,17,FALSE)</f>
        <v>#REF!</v>
      </c>
      <c r="F523" s="8" t="e">
        <f>VLOOKUP($B523,#REF!,7,FALSE)</f>
        <v>#REF!</v>
      </c>
      <c r="G523" s="8"/>
      <c r="H523" s="8"/>
      <c r="I523" s="9" t="e">
        <f>VLOOKUP($B523,#REF!,19,FALSE)</f>
        <v>#REF!</v>
      </c>
      <c r="J523" s="9" t="e">
        <f>VLOOKUP($B523,#REF!,6,FALSE)</f>
        <v>#REF!</v>
      </c>
      <c r="L523" s="1">
        <v>44653.795138887217</v>
      </c>
      <c r="M523" s="13"/>
    </row>
    <row r="524" spans="2:13">
      <c r="B524" s="5"/>
      <c r="C524" s="6" t="e">
        <f>VLOOKUP($B524,#REF!,5,FALSE)</f>
        <v>#REF!</v>
      </c>
      <c r="D524" s="6" t="e">
        <f>VLOOKUP($B524,#REF!,6,FALSE)</f>
        <v>#REF!</v>
      </c>
      <c r="E524" s="7" t="e">
        <f>VLOOKUP($B524,#REF!,17,FALSE)</f>
        <v>#REF!</v>
      </c>
      <c r="F524" s="8" t="e">
        <f>VLOOKUP($B524,#REF!,7,FALSE)</f>
        <v>#REF!</v>
      </c>
      <c r="G524" s="8"/>
      <c r="H524" s="8"/>
      <c r="I524" s="9" t="e">
        <f>VLOOKUP($B524,#REF!,19,FALSE)</f>
        <v>#REF!</v>
      </c>
      <c r="J524" s="9" t="e">
        <f>VLOOKUP($B524,#REF!,6,FALSE)</f>
        <v>#REF!</v>
      </c>
      <c r="L524" s="1">
        <v>44653.798611109436</v>
      </c>
      <c r="M524" s="13"/>
    </row>
    <row r="525" spans="2:13">
      <c r="B525" s="5"/>
      <c r="C525" s="6" t="e">
        <f>VLOOKUP($B525,#REF!,5,FALSE)</f>
        <v>#REF!</v>
      </c>
      <c r="D525" s="6" t="e">
        <f>VLOOKUP($B525,#REF!,6,FALSE)</f>
        <v>#REF!</v>
      </c>
      <c r="E525" s="7" t="e">
        <f>VLOOKUP($B525,#REF!,17,FALSE)</f>
        <v>#REF!</v>
      </c>
      <c r="F525" s="8" t="e">
        <f>VLOOKUP($B525,#REF!,7,FALSE)</f>
        <v>#REF!</v>
      </c>
      <c r="G525" s="8"/>
      <c r="H525" s="8"/>
      <c r="I525" s="9" t="e">
        <f>VLOOKUP($B525,#REF!,19,FALSE)</f>
        <v>#REF!</v>
      </c>
      <c r="J525" s="9" t="e">
        <f>VLOOKUP($B525,#REF!,6,FALSE)</f>
        <v>#REF!</v>
      </c>
      <c r="L525" s="1">
        <v>44653.802083331655</v>
      </c>
      <c r="M525" s="13"/>
    </row>
    <row r="526" spans="2:13">
      <c r="B526" s="5"/>
      <c r="C526" s="6" t="e">
        <f>VLOOKUP($B526,#REF!,5,FALSE)</f>
        <v>#REF!</v>
      </c>
      <c r="D526" s="6" t="e">
        <f>VLOOKUP($B526,#REF!,6,FALSE)</f>
        <v>#REF!</v>
      </c>
      <c r="E526" s="7" t="e">
        <f>VLOOKUP($B526,#REF!,17,FALSE)</f>
        <v>#REF!</v>
      </c>
      <c r="F526" s="8" t="e">
        <f>VLOOKUP($B526,#REF!,7,FALSE)</f>
        <v>#REF!</v>
      </c>
      <c r="G526" s="8"/>
      <c r="H526" s="8"/>
      <c r="I526" s="9" t="e">
        <f>VLOOKUP($B526,#REF!,19,FALSE)</f>
        <v>#REF!</v>
      </c>
      <c r="J526" s="9" t="e">
        <f>VLOOKUP($B526,#REF!,6,FALSE)</f>
        <v>#REF!</v>
      </c>
      <c r="L526" s="1">
        <v>44653.805555553874</v>
      </c>
      <c r="M526" s="13"/>
    </row>
    <row r="527" spans="2:13">
      <c r="B527" s="5"/>
      <c r="C527" s="6" t="e">
        <f>VLOOKUP($B527,#REF!,5,FALSE)</f>
        <v>#REF!</v>
      </c>
      <c r="D527" s="6" t="e">
        <f>VLOOKUP($B527,#REF!,6,FALSE)</f>
        <v>#REF!</v>
      </c>
      <c r="E527" s="7" t="e">
        <f>VLOOKUP($B527,#REF!,17,FALSE)</f>
        <v>#REF!</v>
      </c>
      <c r="F527" s="8" t="e">
        <f>VLOOKUP($B527,#REF!,7,FALSE)</f>
        <v>#REF!</v>
      </c>
      <c r="G527" s="8"/>
      <c r="H527" s="8"/>
      <c r="I527" s="9" t="e">
        <f>VLOOKUP($B527,#REF!,19,FALSE)</f>
        <v>#REF!</v>
      </c>
      <c r="J527" s="9" t="e">
        <f>VLOOKUP($B527,#REF!,6,FALSE)</f>
        <v>#REF!</v>
      </c>
      <c r="L527" s="1">
        <v>44653.809027776093</v>
      </c>
      <c r="M527" s="13"/>
    </row>
    <row r="528" spans="2:13">
      <c r="B528" s="5"/>
      <c r="C528" s="6" t="e">
        <f>VLOOKUP($B528,#REF!,5,FALSE)</f>
        <v>#REF!</v>
      </c>
      <c r="D528" s="6" t="e">
        <f>VLOOKUP($B528,#REF!,6,FALSE)</f>
        <v>#REF!</v>
      </c>
      <c r="E528" s="7" t="e">
        <f>VLOOKUP($B528,#REF!,17,FALSE)</f>
        <v>#REF!</v>
      </c>
      <c r="F528" s="8" t="e">
        <f>VLOOKUP($B528,#REF!,7,FALSE)</f>
        <v>#REF!</v>
      </c>
      <c r="G528" s="8"/>
      <c r="H528" s="8"/>
      <c r="I528" s="9" t="e">
        <f>VLOOKUP($B528,#REF!,19,FALSE)</f>
        <v>#REF!</v>
      </c>
      <c r="J528" s="9" t="e">
        <f>VLOOKUP($B528,#REF!,6,FALSE)</f>
        <v>#REF!</v>
      </c>
      <c r="L528" s="1">
        <v>44653.812499998312</v>
      </c>
      <c r="M528" s="13"/>
    </row>
    <row r="529" spans="2:13">
      <c r="B529" s="5"/>
      <c r="C529" s="6" t="e">
        <f>VLOOKUP($B529,#REF!,5,FALSE)</f>
        <v>#REF!</v>
      </c>
      <c r="D529" s="6" t="e">
        <f>VLOOKUP($B529,#REF!,6,FALSE)</f>
        <v>#REF!</v>
      </c>
      <c r="E529" s="7" t="e">
        <f>VLOOKUP($B529,#REF!,17,FALSE)</f>
        <v>#REF!</v>
      </c>
      <c r="F529" s="8" t="e">
        <f>VLOOKUP($B529,#REF!,7,FALSE)</f>
        <v>#REF!</v>
      </c>
      <c r="G529" s="8"/>
      <c r="H529" s="8"/>
      <c r="I529" s="9" t="e">
        <f>VLOOKUP($B529,#REF!,19,FALSE)</f>
        <v>#REF!</v>
      </c>
      <c r="J529" s="9" t="e">
        <f>VLOOKUP($B529,#REF!,6,FALSE)</f>
        <v>#REF!</v>
      </c>
      <c r="L529" s="1">
        <v>44653.815972220531</v>
      </c>
      <c r="M529" s="13"/>
    </row>
    <row r="530" spans="2:13">
      <c r="B530" s="5"/>
      <c r="C530" s="6" t="e">
        <f>VLOOKUP($B530,#REF!,5,FALSE)</f>
        <v>#REF!</v>
      </c>
      <c r="D530" s="6" t="e">
        <f>VLOOKUP($B530,#REF!,6,FALSE)</f>
        <v>#REF!</v>
      </c>
      <c r="E530" s="7" t="e">
        <f>VLOOKUP($B530,#REF!,17,FALSE)</f>
        <v>#REF!</v>
      </c>
      <c r="F530" s="8" t="e">
        <f>VLOOKUP($B530,#REF!,7,FALSE)</f>
        <v>#REF!</v>
      </c>
      <c r="G530" s="8"/>
      <c r="H530" s="8"/>
      <c r="I530" s="9" t="e">
        <f>VLOOKUP($B530,#REF!,19,FALSE)</f>
        <v>#REF!</v>
      </c>
      <c r="J530" s="9" t="e">
        <f>VLOOKUP($B530,#REF!,6,FALSE)</f>
        <v>#REF!</v>
      </c>
      <c r="L530" s="1">
        <v>44653.81944444275</v>
      </c>
      <c r="M530" s="13"/>
    </row>
    <row r="531" spans="2:13">
      <c r="B531" s="5"/>
      <c r="C531" s="6" t="e">
        <f>VLOOKUP($B531,#REF!,5,FALSE)</f>
        <v>#REF!</v>
      </c>
      <c r="D531" s="6" t="e">
        <f>VLOOKUP($B531,#REF!,6,FALSE)</f>
        <v>#REF!</v>
      </c>
      <c r="E531" s="7" t="e">
        <f>VLOOKUP($B531,#REF!,17,FALSE)</f>
        <v>#REF!</v>
      </c>
      <c r="F531" s="8" t="e">
        <f>VLOOKUP($B531,#REF!,7,FALSE)</f>
        <v>#REF!</v>
      </c>
      <c r="G531" s="8"/>
      <c r="H531" s="8"/>
      <c r="I531" s="9" t="e">
        <f>VLOOKUP($B531,#REF!,19,FALSE)</f>
        <v>#REF!</v>
      </c>
      <c r="J531" s="9" t="e">
        <f>VLOOKUP($B531,#REF!,6,FALSE)</f>
        <v>#REF!</v>
      </c>
      <c r="L531" s="1">
        <v>44653.822916664969</v>
      </c>
      <c r="M531" s="13"/>
    </row>
    <row r="532" spans="2:13">
      <c r="B532" s="5"/>
      <c r="C532" s="6" t="e">
        <f>VLOOKUP($B532,#REF!,5,FALSE)</f>
        <v>#REF!</v>
      </c>
      <c r="D532" s="6" t="e">
        <f>VLOOKUP($B532,#REF!,6,FALSE)</f>
        <v>#REF!</v>
      </c>
      <c r="E532" s="7" t="e">
        <f>VLOOKUP($B532,#REF!,17,FALSE)</f>
        <v>#REF!</v>
      </c>
      <c r="F532" s="8" t="e">
        <f>VLOOKUP($B532,#REF!,7,FALSE)</f>
        <v>#REF!</v>
      </c>
      <c r="G532" s="8"/>
      <c r="H532" s="8"/>
      <c r="I532" s="9" t="e">
        <f>VLOOKUP($B532,#REF!,19,FALSE)</f>
        <v>#REF!</v>
      </c>
      <c r="J532" s="9" t="e">
        <f>VLOOKUP($B532,#REF!,6,FALSE)</f>
        <v>#REF!</v>
      </c>
      <c r="L532" s="1">
        <v>44653.826388887188</v>
      </c>
      <c r="M532" s="13"/>
    </row>
    <row r="533" spans="2:13">
      <c r="B533" s="5"/>
      <c r="C533" s="6" t="e">
        <f>VLOOKUP($B533,#REF!,5,FALSE)</f>
        <v>#REF!</v>
      </c>
      <c r="D533" s="6" t="e">
        <f>VLOOKUP($B533,#REF!,6,FALSE)</f>
        <v>#REF!</v>
      </c>
      <c r="E533" s="7" t="e">
        <f>VLOOKUP($B533,#REF!,17,FALSE)</f>
        <v>#REF!</v>
      </c>
      <c r="F533" s="8" t="e">
        <f>VLOOKUP($B533,#REF!,7,FALSE)</f>
        <v>#REF!</v>
      </c>
      <c r="G533" s="8"/>
      <c r="H533" s="8"/>
      <c r="I533" s="9" t="e">
        <f>VLOOKUP($B533,#REF!,19,FALSE)</f>
        <v>#REF!</v>
      </c>
      <c r="J533" s="9" t="e">
        <f>VLOOKUP($B533,#REF!,6,FALSE)</f>
        <v>#REF!</v>
      </c>
      <c r="L533" s="1">
        <v>44653.829861109407</v>
      </c>
      <c r="M533" s="13"/>
    </row>
    <row r="534" spans="2:13">
      <c r="B534" s="5"/>
      <c r="C534" s="6" t="e">
        <f>VLOOKUP($B534,#REF!,5,FALSE)</f>
        <v>#REF!</v>
      </c>
      <c r="D534" s="6" t="e">
        <f>VLOOKUP($B534,#REF!,6,FALSE)</f>
        <v>#REF!</v>
      </c>
      <c r="E534" s="7" t="e">
        <f>VLOOKUP($B534,#REF!,17,FALSE)</f>
        <v>#REF!</v>
      </c>
      <c r="F534" s="8" t="e">
        <f>VLOOKUP($B534,#REF!,7,FALSE)</f>
        <v>#REF!</v>
      </c>
      <c r="G534" s="8"/>
      <c r="H534" s="8"/>
      <c r="I534" s="9" t="e">
        <f>VLOOKUP($B534,#REF!,19,FALSE)</f>
        <v>#REF!</v>
      </c>
      <c r="J534" s="9" t="e">
        <f>VLOOKUP($B534,#REF!,6,FALSE)</f>
        <v>#REF!</v>
      </c>
      <c r="L534" s="1">
        <v>44653.833333331626</v>
      </c>
      <c r="M534" s="13"/>
    </row>
    <row r="535" spans="2:13">
      <c r="B535" s="5"/>
      <c r="C535" s="6" t="e">
        <f>VLOOKUP($B535,#REF!,5,FALSE)</f>
        <v>#REF!</v>
      </c>
      <c r="D535" s="6" t="e">
        <f>VLOOKUP($B535,#REF!,6,FALSE)</f>
        <v>#REF!</v>
      </c>
      <c r="E535" s="7" t="e">
        <f>VLOOKUP($B535,#REF!,17,FALSE)</f>
        <v>#REF!</v>
      </c>
      <c r="F535" s="8" t="e">
        <f>VLOOKUP($B535,#REF!,7,FALSE)</f>
        <v>#REF!</v>
      </c>
      <c r="G535" s="8"/>
      <c r="H535" s="8"/>
      <c r="I535" s="9" t="e">
        <f>VLOOKUP($B535,#REF!,19,FALSE)</f>
        <v>#REF!</v>
      </c>
      <c r="J535" s="9" t="e">
        <f>VLOOKUP($B535,#REF!,6,FALSE)</f>
        <v>#REF!</v>
      </c>
      <c r="L535" s="1">
        <v>44653.836805553845</v>
      </c>
      <c r="M535" s="13"/>
    </row>
    <row r="536" spans="2:13">
      <c r="B536" s="5"/>
      <c r="C536" s="6" t="e">
        <f>VLOOKUP($B536,#REF!,5,FALSE)</f>
        <v>#REF!</v>
      </c>
      <c r="D536" s="6" t="e">
        <f>VLOOKUP($B536,#REF!,6,FALSE)</f>
        <v>#REF!</v>
      </c>
      <c r="E536" s="7" t="e">
        <f>VLOOKUP($B536,#REF!,17,FALSE)</f>
        <v>#REF!</v>
      </c>
      <c r="F536" s="8" t="e">
        <f>VLOOKUP($B536,#REF!,7,FALSE)</f>
        <v>#REF!</v>
      </c>
      <c r="G536" s="8"/>
      <c r="H536" s="8"/>
      <c r="I536" s="9" t="e">
        <f>VLOOKUP($B536,#REF!,19,FALSE)</f>
        <v>#REF!</v>
      </c>
      <c r="J536" s="9" t="e">
        <f>VLOOKUP($B536,#REF!,6,FALSE)</f>
        <v>#REF!</v>
      </c>
      <c r="L536" s="1">
        <v>44653.840277776064</v>
      </c>
      <c r="M536" s="13"/>
    </row>
    <row r="537" spans="2:13">
      <c r="B537" s="5"/>
      <c r="C537" s="6" t="e">
        <f>VLOOKUP($B537,#REF!,5,FALSE)</f>
        <v>#REF!</v>
      </c>
      <c r="D537" s="6" t="e">
        <f>VLOOKUP($B537,#REF!,6,FALSE)</f>
        <v>#REF!</v>
      </c>
      <c r="E537" s="7" t="e">
        <f>VLOOKUP($B537,#REF!,17,FALSE)</f>
        <v>#REF!</v>
      </c>
      <c r="F537" s="8" t="e">
        <f>VLOOKUP($B537,#REF!,7,FALSE)</f>
        <v>#REF!</v>
      </c>
      <c r="G537" s="8"/>
      <c r="H537" s="8"/>
      <c r="I537" s="9" t="e">
        <f>VLOOKUP($B537,#REF!,19,FALSE)</f>
        <v>#REF!</v>
      </c>
      <c r="J537" s="9" t="e">
        <f>VLOOKUP($B537,#REF!,6,FALSE)</f>
        <v>#REF!</v>
      </c>
      <c r="L537" s="1">
        <v>44653.843749998283</v>
      </c>
      <c r="M537" s="13"/>
    </row>
    <row r="538" spans="2:13">
      <c r="B538" s="5"/>
      <c r="C538" s="6" t="e">
        <f>VLOOKUP($B538,#REF!,5,FALSE)</f>
        <v>#REF!</v>
      </c>
      <c r="D538" s="6" t="e">
        <f>VLOOKUP($B538,#REF!,6,FALSE)</f>
        <v>#REF!</v>
      </c>
      <c r="E538" s="7" t="e">
        <f>VLOOKUP($B538,#REF!,17,FALSE)</f>
        <v>#REF!</v>
      </c>
      <c r="F538" s="8" t="e">
        <f>VLOOKUP($B538,#REF!,7,FALSE)</f>
        <v>#REF!</v>
      </c>
      <c r="G538" s="8"/>
      <c r="H538" s="8"/>
      <c r="I538" s="9" t="e">
        <f>VLOOKUP($B538,#REF!,19,FALSE)</f>
        <v>#REF!</v>
      </c>
      <c r="J538" s="9" t="e">
        <f>VLOOKUP($B538,#REF!,6,FALSE)</f>
        <v>#REF!</v>
      </c>
      <c r="L538" s="1">
        <v>44653.847222220502</v>
      </c>
      <c r="M538" s="13"/>
    </row>
    <row r="539" spans="2:13">
      <c r="B539" s="5"/>
      <c r="C539" s="6" t="e">
        <f>VLOOKUP($B539,#REF!,5,FALSE)</f>
        <v>#REF!</v>
      </c>
      <c r="D539" s="6" t="e">
        <f>VLOOKUP($B539,#REF!,6,FALSE)</f>
        <v>#REF!</v>
      </c>
      <c r="E539" s="7" t="e">
        <f>VLOOKUP($B539,#REF!,17,FALSE)</f>
        <v>#REF!</v>
      </c>
      <c r="F539" s="8" t="e">
        <f>VLOOKUP($B539,#REF!,7,FALSE)</f>
        <v>#REF!</v>
      </c>
      <c r="G539" s="8"/>
      <c r="H539" s="8"/>
      <c r="I539" s="9" t="e">
        <f>VLOOKUP($B539,#REF!,19,FALSE)</f>
        <v>#REF!</v>
      </c>
      <c r="J539" s="9" t="e">
        <f>VLOOKUP($B539,#REF!,6,FALSE)</f>
        <v>#REF!</v>
      </c>
      <c r="L539" s="1">
        <v>44653.850694442721</v>
      </c>
      <c r="M539" s="13"/>
    </row>
    <row r="540" spans="2:13">
      <c r="B540" s="5"/>
      <c r="C540" s="6" t="e">
        <f>VLOOKUP($B540,#REF!,5,FALSE)</f>
        <v>#REF!</v>
      </c>
      <c r="D540" s="6" t="e">
        <f>VLOOKUP($B540,#REF!,6,FALSE)</f>
        <v>#REF!</v>
      </c>
      <c r="E540" s="7" t="e">
        <f>VLOOKUP($B540,#REF!,17,FALSE)</f>
        <v>#REF!</v>
      </c>
      <c r="F540" s="8" t="e">
        <f>VLOOKUP($B540,#REF!,7,FALSE)</f>
        <v>#REF!</v>
      </c>
      <c r="G540" s="8"/>
      <c r="H540" s="8"/>
      <c r="I540" s="9" t="e">
        <f>VLOOKUP($B540,#REF!,19,FALSE)</f>
        <v>#REF!</v>
      </c>
      <c r="J540" s="9" t="e">
        <f>VLOOKUP($B540,#REF!,6,FALSE)</f>
        <v>#REF!</v>
      </c>
      <c r="L540" s="1">
        <v>44653.85416666494</v>
      </c>
      <c r="M540" s="13"/>
    </row>
    <row r="541" spans="2:13">
      <c r="B541" s="5"/>
      <c r="C541" s="6" t="e">
        <f>VLOOKUP($B541,#REF!,5,FALSE)</f>
        <v>#REF!</v>
      </c>
      <c r="D541" s="6" t="e">
        <f>VLOOKUP($B541,#REF!,6,FALSE)</f>
        <v>#REF!</v>
      </c>
      <c r="E541" s="7" t="e">
        <f>VLOOKUP($B541,#REF!,17,FALSE)</f>
        <v>#REF!</v>
      </c>
      <c r="F541" s="8" t="e">
        <f>VLOOKUP($B541,#REF!,7,FALSE)</f>
        <v>#REF!</v>
      </c>
      <c r="G541" s="8"/>
      <c r="H541" s="8"/>
      <c r="I541" s="9" t="e">
        <f>VLOOKUP($B541,#REF!,19,FALSE)</f>
        <v>#REF!</v>
      </c>
      <c r="J541" s="9" t="e">
        <f>VLOOKUP($B541,#REF!,6,FALSE)</f>
        <v>#REF!</v>
      </c>
      <c r="L541" s="1">
        <v>44653.857638887159</v>
      </c>
      <c r="M541" s="13"/>
    </row>
    <row r="542" spans="2:13">
      <c r="B542" s="5"/>
      <c r="C542" s="6" t="e">
        <f>VLOOKUP($B542,#REF!,5,FALSE)</f>
        <v>#REF!</v>
      </c>
      <c r="D542" s="6" t="e">
        <f>VLOOKUP($B542,#REF!,6,FALSE)</f>
        <v>#REF!</v>
      </c>
      <c r="E542" s="7" t="e">
        <f>VLOOKUP($B542,#REF!,17,FALSE)</f>
        <v>#REF!</v>
      </c>
      <c r="F542" s="8" t="e">
        <f>VLOOKUP($B542,#REF!,7,FALSE)</f>
        <v>#REF!</v>
      </c>
      <c r="G542" s="8"/>
      <c r="H542" s="8"/>
      <c r="I542" s="9" t="e">
        <f>VLOOKUP($B542,#REF!,19,FALSE)</f>
        <v>#REF!</v>
      </c>
      <c r="J542" s="9" t="e">
        <f>VLOOKUP($B542,#REF!,6,FALSE)</f>
        <v>#REF!</v>
      </c>
      <c r="L542" s="1">
        <v>44653.861111109378</v>
      </c>
      <c r="M542" s="13"/>
    </row>
    <row r="543" spans="2:13">
      <c r="B543" s="5"/>
      <c r="C543" s="6" t="e">
        <f>VLOOKUP($B543,#REF!,5,FALSE)</f>
        <v>#REF!</v>
      </c>
      <c r="D543" s="6" t="e">
        <f>VLOOKUP($B543,#REF!,6,FALSE)</f>
        <v>#REF!</v>
      </c>
      <c r="E543" s="7" t="e">
        <f>VLOOKUP($B543,#REF!,17,FALSE)</f>
        <v>#REF!</v>
      </c>
      <c r="F543" s="8" t="e">
        <f>VLOOKUP($B543,#REF!,7,FALSE)</f>
        <v>#REF!</v>
      </c>
      <c r="G543" s="8"/>
      <c r="H543" s="8"/>
      <c r="I543" s="9" t="e">
        <f>VLOOKUP($B543,#REF!,19,FALSE)</f>
        <v>#REF!</v>
      </c>
      <c r="J543" s="9" t="e">
        <f>VLOOKUP($B543,#REF!,6,FALSE)</f>
        <v>#REF!</v>
      </c>
      <c r="L543" s="1">
        <v>44653.864583331597</v>
      </c>
      <c r="M543" s="13"/>
    </row>
    <row r="544" spans="2:13">
      <c r="B544" s="5"/>
      <c r="C544" s="6" t="e">
        <f>VLOOKUP($B544,#REF!,5,FALSE)</f>
        <v>#REF!</v>
      </c>
      <c r="D544" s="6" t="e">
        <f>VLOOKUP($B544,#REF!,6,FALSE)</f>
        <v>#REF!</v>
      </c>
      <c r="E544" s="7" t="e">
        <f>VLOOKUP($B544,#REF!,17,FALSE)</f>
        <v>#REF!</v>
      </c>
      <c r="F544" s="8" t="e">
        <f>VLOOKUP($B544,#REF!,7,FALSE)</f>
        <v>#REF!</v>
      </c>
      <c r="G544" s="8"/>
      <c r="H544" s="8"/>
      <c r="I544" s="9" t="e">
        <f>VLOOKUP($B544,#REF!,19,FALSE)</f>
        <v>#REF!</v>
      </c>
      <c r="J544" s="9" t="e">
        <f>VLOOKUP($B544,#REF!,6,FALSE)</f>
        <v>#REF!</v>
      </c>
      <c r="L544" s="1">
        <v>44653.868055553816</v>
      </c>
      <c r="M544" s="13"/>
    </row>
    <row r="545" spans="2:13">
      <c r="B545" s="5"/>
      <c r="C545" s="6" t="e">
        <f>VLOOKUP($B545,#REF!,5,FALSE)</f>
        <v>#REF!</v>
      </c>
      <c r="D545" s="6" t="e">
        <f>VLOOKUP($B545,#REF!,6,FALSE)</f>
        <v>#REF!</v>
      </c>
      <c r="E545" s="7" t="e">
        <f>VLOOKUP($B545,#REF!,17,FALSE)</f>
        <v>#REF!</v>
      </c>
      <c r="F545" s="8" t="e">
        <f>VLOOKUP($B545,#REF!,7,FALSE)</f>
        <v>#REF!</v>
      </c>
      <c r="G545" s="8"/>
      <c r="H545" s="8"/>
      <c r="I545" s="9" t="e">
        <f>VLOOKUP($B545,#REF!,19,FALSE)</f>
        <v>#REF!</v>
      </c>
      <c r="J545" s="9" t="e">
        <f>VLOOKUP($B545,#REF!,6,FALSE)</f>
        <v>#REF!</v>
      </c>
      <c r="L545" s="1">
        <v>44653.871527776035</v>
      </c>
      <c r="M545" s="13"/>
    </row>
    <row r="546" spans="2:13">
      <c r="B546" s="5"/>
      <c r="C546" s="6" t="e">
        <f>VLOOKUP($B546,#REF!,5,FALSE)</f>
        <v>#REF!</v>
      </c>
      <c r="D546" s="6" t="e">
        <f>VLOOKUP($B546,#REF!,6,FALSE)</f>
        <v>#REF!</v>
      </c>
      <c r="E546" s="7" t="e">
        <f>VLOOKUP($B546,#REF!,17,FALSE)</f>
        <v>#REF!</v>
      </c>
      <c r="F546" s="8" t="e">
        <f>VLOOKUP($B546,#REF!,7,FALSE)</f>
        <v>#REF!</v>
      </c>
      <c r="G546" s="8"/>
      <c r="H546" s="8"/>
      <c r="I546" s="9" t="e">
        <f>VLOOKUP($B546,#REF!,19,FALSE)</f>
        <v>#REF!</v>
      </c>
      <c r="J546" s="9" t="e">
        <f>VLOOKUP($B546,#REF!,6,FALSE)</f>
        <v>#REF!</v>
      </c>
      <c r="L546" s="1">
        <v>44653.874999998254</v>
      </c>
      <c r="M546" s="13"/>
    </row>
    <row r="547" spans="2:13">
      <c r="B547" s="5"/>
      <c r="C547" s="6" t="e">
        <f>VLOOKUP($B547,#REF!,5,FALSE)</f>
        <v>#REF!</v>
      </c>
      <c r="D547" s="6" t="e">
        <f>VLOOKUP($B547,#REF!,6,FALSE)</f>
        <v>#REF!</v>
      </c>
      <c r="E547" s="7" t="e">
        <f>VLOOKUP($B547,#REF!,17,FALSE)</f>
        <v>#REF!</v>
      </c>
      <c r="F547" s="8" t="e">
        <f>VLOOKUP($B547,#REF!,7,FALSE)</f>
        <v>#REF!</v>
      </c>
      <c r="G547" s="8"/>
      <c r="H547" s="8"/>
      <c r="I547" s="9" t="e">
        <f>VLOOKUP($B547,#REF!,19,FALSE)</f>
        <v>#REF!</v>
      </c>
      <c r="J547" s="9" t="e">
        <f>VLOOKUP($B547,#REF!,6,FALSE)</f>
        <v>#REF!</v>
      </c>
      <c r="L547" s="1">
        <v>44653.878472220473</v>
      </c>
      <c r="M547" s="13"/>
    </row>
    <row r="548" spans="2:13">
      <c r="B548" s="5"/>
      <c r="C548" s="6" t="e">
        <f>VLOOKUP($B548,#REF!,5,FALSE)</f>
        <v>#REF!</v>
      </c>
      <c r="D548" s="6" t="e">
        <f>VLOOKUP($B548,#REF!,6,FALSE)</f>
        <v>#REF!</v>
      </c>
      <c r="E548" s="7" t="e">
        <f>VLOOKUP($B548,#REF!,17,FALSE)</f>
        <v>#REF!</v>
      </c>
      <c r="F548" s="8" t="e">
        <f>VLOOKUP($B548,#REF!,7,FALSE)</f>
        <v>#REF!</v>
      </c>
      <c r="G548" s="8"/>
      <c r="H548" s="8"/>
      <c r="I548" s="9" t="e">
        <f>VLOOKUP($B548,#REF!,19,FALSE)</f>
        <v>#REF!</v>
      </c>
      <c r="J548" s="9" t="e">
        <f>VLOOKUP($B548,#REF!,6,FALSE)</f>
        <v>#REF!</v>
      </c>
      <c r="L548" s="1">
        <v>44653.881944442692</v>
      </c>
      <c r="M548" s="13"/>
    </row>
    <row r="549" spans="2:13">
      <c r="B549" s="5"/>
      <c r="C549" s="6" t="e">
        <f>VLOOKUP($B549,#REF!,5,FALSE)</f>
        <v>#REF!</v>
      </c>
      <c r="D549" s="6" t="e">
        <f>VLOOKUP($B549,#REF!,6,FALSE)</f>
        <v>#REF!</v>
      </c>
      <c r="E549" s="7" t="e">
        <f>VLOOKUP($B549,#REF!,17,FALSE)</f>
        <v>#REF!</v>
      </c>
      <c r="F549" s="8" t="e">
        <f>VLOOKUP($B549,#REF!,7,FALSE)</f>
        <v>#REF!</v>
      </c>
      <c r="G549" s="8"/>
      <c r="H549" s="8"/>
      <c r="I549" s="9" t="e">
        <f>VLOOKUP($B549,#REF!,19,FALSE)</f>
        <v>#REF!</v>
      </c>
      <c r="J549" s="9" t="e">
        <f>VLOOKUP($B549,#REF!,6,FALSE)</f>
        <v>#REF!</v>
      </c>
      <c r="L549" s="1">
        <v>44653.885416664911</v>
      </c>
      <c r="M549" s="13"/>
    </row>
    <row r="550" spans="2:13">
      <c r="B550" s="5"/>
      <c r="C550" s="6" t="e">
        <f>VLOOKUP($B550,#REF!,5,FALSE)</f>
        <v>#REF!</v>
      </c>
      <c r="D550" s="6" t="e">
        <f>VLOOKUP($B550,#REF!,6,FALSE)</f>
        <v>#REF!</v>
      </c>
      <c r="E550" s="7" t="e">
        <f>VLOOKUP($B550,#REF!,17,FALSE)</f>
        <v>#REF!</v>
      </c>
      <c r="F550" s="8" t="e">
        <f>VLOOKUP($B550,#REF!,7,FALSE)</f>
        <v>#REF!</v>
      </c>
      <c r="G550" s="8"/>
      <c r="H550" s="8"/>
      <c r="I550" s="9" t="e">
        <f>VLOOKUP($B550,#REF!,19,FALSE)</f>
        <v>#REF!</v>
      </c>
      <c r="J550" s="9" t="e">
        <f>VLOOKUP($B550,#REF!,6,FALSE)</f>
        <v>#REF!</v>
      </c>
      <c r="L550" s="1">
        <v>44653.88888888713</v>
      </c>
      <c r="M550" s="13"/>
    </row>
    <row r="551" spans="2:13">
      <c r="B551" s="5"/>
      <c r="C551" s="6" t="e">
        <f>VLOOKUP($B551,#REF!,5,FALSE)</f>
        <v>#REF!</v>
      </c>
      <c r="D551" s="6" t="e">
        <f>VLOOKUP($B551,#REF!,6,FALSE)</f>
        <v>#REF!</v>
      </c>
      <c r="E551" s="7" t="e">
        <f>VLOOKUP($B551,#REF!,17,FALSE)</f>
        <v>#REF!</v>
      </c>
      <c r="F551" s="8" t="e">
        <f>VLOOKUP($B551,#REF!,7,FALSE)</f>
        <v>#REF!</v>
      </c>
      <c r="G551" s="8"/>
      <c r="H551" s="8"/>
      <c r="I551" s="9" t="e">
        <f>VLOOKUP($B551,#REF!,19,FALSE)</f>
        <v>#REF!</v>
      </c>
      <c r="J551" s="9" t="e">
        <f>VLOOKUP($B551,#REF!,6,FALSE)</f>
        <v>#REF!</v>
      </c>
      <c r="L551" s="1">
        <v>44653.892361109349</v>
      </c>
      <c r="M551" s="13"/>
    </row>
    <row r="552" spans="2:13">
      <c r="B552" s="5"/>
      <c r="C552" s="6" t="e">
        <f>VLOOKUP($B552,#REF!,5,FALSE)</f>
        <v>#REF!</v>
      </c>
      <c r="D552" s="6" t="e">
        <f>VLOOKUP($B552,#REF!,6,FALSE)</f>
        <v>#REF!</v>
      </c>
      <c r="E552" s="7" t="e">
        <f>VLOOKUP($B552,#REF!,17,FALSE)</f>
        <v>#REF!</v>
      </c>
      <c r="F552" s="8" t="e">
        <f>VLOOKUP($B552,#REF!,7,FALSE)</f>
        <v>#REF!</v>
      </c>
      <c r="G552" s="8"/>
      <c r="H552" s="8"/>
      <c r="I552" s="9" t="e">
        <f>VLOOKUP($B552,#REF!,19,FALSE)</f>
        <v>#REF!</v>
      </c>
      <c r="J552" s="9" t="e">
        <f>VLOOKUP($B552,#REF!,6,FALSE)</f>
        <v>#REF!</v>
      </c>
      <c r="L552" s="1">
        <v>44653.895833331568</v>
      </c>
      <c r="M552" s="13"/>
    </row>
    <row r="553" spans="2:13">
      <c r="B553" s="5"/>
      <c r="C553" s="6" t="e">
        <f>VLOOKUP($B553,#REF!,5,FALSE)</f>
        <v>#REF!</v>
      </c>
      <c r="D553" s="6" t="e">
        <f>VLOOKUP($B553,#REF!,6,FALSE)</f>
        <v>#REF!</v>
      </c>
      <c r="E553" s="7" t="e">
        <f>VLOOKUP($B553,#REF!,17,FALSE)</f>
        <v>#REF!</v>
      </c>
      <c r="F553" s="8" t="e">
        <f>VLOOKUP($B553,#REF!,7,FALSE)</f>
        <v>#REF!</v>
      </c>
      <c r="G553" s="8"/>
      <c r="H553" s="8"/>
      <c r="I553" s="9" t="e">
        <f>VLOOKUP($B553,#REF!,19,FALSE)</f>
        <v>#REF!</v>
      </c>
      <c r="J553" s="9" t="e">
        <f>VLOOKUP($B553,#REF!,6,FALSE)</f>
        <v>#REF!</v>
      </c>
      <c r="L553" s="1">
        <v>44653.899305553787</v>
      </c>
      <c r="M553" s="13"/>
    </row>
    <row r="554" spans="2:13">
      <c r="B554" s="5"/>
      <c r="C554" s="6" t="e">
        <f>VLOOKUP($B554,#REF!,5,FALSE)</f>
        <v>#REF!</v>
      </c>
      <c r="D554" s="6" t="e">
        <f>VLOOKUP($B554,#REF!,6,FALSE)</f>
        <v>#REF!</v>
      </c>
      <c r="E554" s="7" t="e">
        <f>VLOOKUP($B554,#REF!,17,FALSE)</f>
        <v>#REF!</v>
      </c>
      <c r="F554" s="8" t="e">
        <f>VLOOKUP($B554,#REF!,7,FALSE)</f>
        <v>#REF!</v>
      </c>
      <c r="G554" s="8"/>
      <c r="H554" s="8"/>
      <c r="I554" s="9" t="e">
        <f>VLOOKUP($B554,#REF!,19,FALSE)</f>
        <v>#REF!</v>
      </c>
      <c r="J554" s="9" t="e">
        <f>VLOOKUP($B554,#REF!,6,FALSE)</f>
        <v>#REF!</v>
      </c>
      <c r="L554" s="1">
        <v>44653.902777776006</v>
      </c>
      <c r="M554" s="13"/>
    </row>
    <row r="555" spans="2:13">
      <c r="B555" s="5"/>
      <c r="C555" s="6" t="e">
        <f>VLOOKUP($B555,#REF!,5,FALSE)</f>
        <v>#REF!</v>
      </c>
      <c r="D555" s="6" t="e">
        <f>VLOOKUP($B555,#REF!,6,FALSE)</f>
        <v>#REF!</v>
      </c>
      <c r="E555" s="7" t="e">
        <f>VLOOKUP($B555,#REF!,17,FALSE)</f>
        <v>#REF!</v>
      </c>
      <c r="F555" s="8" t="e">
        <f>VLOOKUP($B555,#REF!,7,FALSE)</f>
        <v>#REF!</v>
      </c>
      <c r="G555" s="8"/>
      <c r="H555" s="8"/>
      <c r="I555" s="9" t="e">
        <f>VLOOKUP($B555,#REF!,19,FALSE)</f>
        <v>#REF!</v>
      </c>
      <c r="J555" s="9" t="e">
        <f>VLOOKUP($B555,#REF!,6,FALSE)</f>
        <v>#REF!</v>
      </c>
      <c r="L555" s="1">
        <v>44653.906249998225</v>
      </c>
      <c r="M555" s="13"/>
    </row>
    <row r="556" spans="2:13">
      <c r="B556" s="5"/>
      <c r="C556" s="6" t="e">
        <f>VLOOKUP($B556,#REF!,5,FALSE)</f>
        <v>#REF!</v>
      </c>
      <c r="D556" s="6" t="e">
        <f>VLOOKUP($B556,#REF!,6,FALSE)</f>
        <v>#REF!</v>
      </c>
      <c r="E556" s="7" t="e">
        <f>VLOOKUP($B556,#REF!,17,FALSE)</f>
        <v>#REF!</v>
      </c>
      <c r="F556" s="8" t="e">
        <f>VLOOKUP($B556,#REF!,7,FALSE)</f>
        <v>#REF!</v>
      </c>
      <c r="G556" s="8"/>
      <c r="H556" s="8"/>
      <c r="I556" s="9" t="e">
        <f>VLOOKUP($B556,#REF!,19,FALSE)</f>
        <v>#REF!</v>
      </c>
      <c r="J556" s="9" t="e">
        <f>VLOOKUP($B556,#REF!,6,FALSE)</f>
        <v>#REF!</v>
      </c>
      <c r="L556" s="1">
        <v>44653.909722220444</v>
      </c>
      <c r="M556" s="13"/>
    </row>
    <row r="557" spans="2:13">
      <c r="B557" s="5"/>
      <c r="C557" s="6" t="e">
        <f>VLOOKUP($B557,#REF!,5,FALSE)</f>
        <v>#REF!</v>
      </c>
      <c r="D557" s="6" t="e">
        <f>VLOOKUP($B557,#REF!,6,FALSE)</f>
        <v>#REF!</v>
      </c>
      <c r="E557" s="7" t="e">
        <f>VLOOKUP($B557,#REF!,17,FALSE)</f>
        <v>#REF!</v>
      </c>
      <c r="F557" s="8" t="e">
        <f>VLOOKUP($B557,#REF!,7,FALSE)</f>
        <v>#REF!</v>
      </c>
      <c r="G557" s="8"/>
      <c r="H557" s="8"/>
      <c r="I557" s="9" t="e">
        <f>VLOOKUP($B557,#REF!,19,FALSE)</f>
        <v>#REF!</v>
      </c>
      <c r="J557" s="9" t="e">
        <f>VLOOKUP($B557,#REF!,6,FALSE)</f>
        <v>#REF!</v>
      </c>
      <c r="L557" s="1">
        <v>44653.913194442663</v>
      </c>
      <c r="M557" s="13"/>
    </row>
    <row r="558" spans="2:13">
      <c r="B558" s="5"/>
      <c r="C558" s="6" t="e">
        <f>VLOOKUP($B558,#REF!,5,FALSE)</f>
        <v>#REF!</v>
      </c>
      <c r="D558" s="6" t="e">
        <f>VLOOKUP($B558,#REF!,6,FALSE)</f>
        <v>#REF!</v>
      </c>
      <c r="E558" s="7" t="e">
        <f>VLOOKUP($B558,#REF!,17,FALSE)</f>
        <v>#REF!</v>
      </c>
      <c r="F558" s="8" t="e">
        <f>VLOOKUP($B558,#REF!,7,FALSE)</f>
        <v>#REF!</v>
      </c>
      <c r="G558" s="8"/>
      <c r="H558" s="8"/>
      <c r="I558" s="9" t="e">
        <f>VLOOKUP($B558,#REF!,19,FALSE)</f>
        <v>#REF!</v>
      </c>
      <c r="J558" s="9" t="e">
        <f>VLOOKUP($B558,#REF!,6,FALSE)</f>
        <v>#REF!</v>
      </c>
      <c r="L558" s="1">
        <v>44653.916666664882</v>
      </c>
      <c r="M558" s="13"/>
    </row>
    <row r="559" spans="2:13">
      <c r="B559" s="5"/>
      <c r="C559" s="6" t="e">
        <f>VLOOKUP($B559,#REF!,5,FALSE)</f>
        <v>#REF!</v>
      </c>
      <c r="D559" s="6" t="e">
        <f>VLOOKUP($B559,#REF!,6,FALSE)</f>
        <v>#REF!</v>
      </c>
      <c r="E559" s="7" t="e">
        <f>VLOOKUP($B559,#REF!,17,FALSE)</f>
        <v>#REF!</v>
      </c>
      <c r="F559" s="8" t="e">
        <f>VLOOKUP($B559,#REF!,7,FALSE)</f>
        <v>#REF!</v>
      </c>
      <c r="G559" s="8"/>
      <c r="H559" s="8"/>
      <c r="I559" s="9" t="e">
        <f>VLOOKUP($B559,#REF!,19,FALSE)</f>
        <v>#REF!</v>
      </c>
      <c r="J559" s="9" t="e">
        <f>VLOOKUP($B559,#REF!,6,FALSE)</f>
        <v>#REF!</v>
      </c>
      <c r="L559" s="1">
        <v>44653.920138887101</v>
      </c>
      <c r="M559" s="13"/>
    </row>
    <row r="560" spans="2:13">
      <c r="B560" s="5"/>
      <c r="C560" s="6" t="e">
        <f>VLOOKUP($B560,#REF!,5,FALSE)</f>
        <v>#REF!</v>
      </c>
      <c r="D560" s="6" t="e">
        <f>VLOOKUP($B560,#REF!,6,FALSE)</f>
        <v>#REF!</v>
      </c>
      <c r="E560" s="7" t="e">
        <f>VLOOKUP($B560,#REF!,17,FALSE)</f>
        <v>#REF!</v>
      </c>
      <c r="F560" s="8" t="e">
        <f>VLOOKUP($B560,#REF!,7,FALSE)</f>
        <v>#REF!</v>
      </c>
      <c r="G560" s="8"/>
      <c r="H560" s="8"/>
      <c r="I560" s="9" t="e">
        <f>VLOOKUP($B560,#REF!,19,FALSE)</f>
        <v>#REF!</v>
      </c>
      <c r="J560" s="9" t="e">
        <f>VLOOKUP($B560,#REF!,6,FALSE)</f>
        <v>#REF!</v>
      </c>
      <c r="L560" s="1">
        <v>44653.92361110932</v>
      </c>
      <c r="M560" s="13"/>
    </row>
    <row r="561" spans="2:13">
      <c r="B561" s="5"/>
      <c r="C561" s="6" t="e">
        <f>VLOOKUP($B561,#REF!,5,FALSE)</f>
        <v>#REF!</v>
      </c>
      <c r="D561" s="6" t="e">
        <f>VLOOKUP($B561,#REF!,6,FALSE)</f>
        <v>#REF!</v>
      </c>
      <c r="E561" s="7" t="e">
        <f>VLOOKUP($B561,#REF!,17,FALSE)</f>
        <v>#REF!</v>
      </c>
      <c r="F561" s="8" t="e">
        <f>VLOOKUP($B561,#REF!,7,FALSE)</f>
        <v>#REF!</v>
      </c>
      <c r="G561" s="8"/>
      <c r="H561" s="8"/>
      <c r="I561" s="9" t="e">
        <f>VLOOKUP($B561,#REF!,19,FALSE)</f>
        <v>#REF!</v>
      </c>
      <c r="J561" s="9" t="e">
        <f>VLOOKUP($B561,#REF!,6,FALSE)</f>
        <v>#REF!</v>
      </c>
      <c r="L561" s="1">
        <v>44653.927083331539</v>
      </c>
      <c r="M561" s="13"/>
    </row>
    <row r="562" spans="2:13">
      <c r="B562" s="5"/>
      <c r="C562" s="6" t="e">
        <f>VLOOKUP($B562,#REF!,5,FALSE)</f>
        <v>#REF!</v>
      </c>
      <c r="D562" s="6" t="e">
        <f>VLOOKUP($B562,#REF!,6,FALSE)</f>
        <v>#REF!</v>
      </c>
      <c r="E562" s="7" t="e">
        <f>VLOOKUP($B562,#REF!,17,FALSE)</f>
        <v>#REF!</v>
      </c>
      <c r="F562" s="8" t="e">
        <f>VLOOKUP($B562,#REF!,7,FALSE)</f>
        <v>#REF!</v>
      </c>
      <c r="G562" s="8"/>
      <c r="H562" s="8"/>
      <c r="I562" s="9" t="e">
        <f>VLOOKUP($B562,#REF!,19,FALSE)</f>
        <v>#REF!</v>
      </c>
      <c r="J562" s="9" t="e">
        <f>VLOOKUP($B562,#REF!,6,FALSE)</f>
        <v>#REF!</v>
      </c>
      <c r="L562" s="1">
        <v>44653.930555553758</v>
      </c>
      <c r="M562" s="13"/>
    </row>
    <row r="563" spans="2:13">
      <c r="B563" s="5"/>
      <c r="C563" s="6" t="e">
        <f>VLOOKUP($B563,#REF!,5,FALSE)</f>
        <v>#REF!</v>
      </c>
      <c r="D563" s="6" t="e">
        <f>VLOOKUP($B563,#REF!,6,FALSE)</f>
        <v>#REF!</v>
      </c>
      <c r="E563" s="7" t="e">
        <f>VLOOKUP($B563,#REF!,17,FALSE)</f>
        <v>#REF!</v>
      </c>
      <c r="F563" s="8" t="e">
        <f>VLOOKUP($B563,#REF!,7,FALSE)</f>
        <v>#REF!</v>
      </c>
      <c r="G563" s="8"/>
      <c r="H563" s="8"/>
      <c r="I563" s="9" t="e">
        <f>VLOOKUP($B563,#REF!,19,FALSE)</f>
        <v>#REF!</v>
      </c>
      <c r="J563" s="9" t="e">
        <f>VLOOKUP($B563,#REF!,6,FALSE)</f>
        <v>#REF!</v>
      </c>
      <c r="L563" s="1">
        <v>44653.934027775977</v>
      </c>
      <c r="M563" s="13"/>
    </row>
    <row r="564" spans="2:13">
      <c r="B564" s="5"/>
      <c r="C564" s="6" t="e">
        <f>VLOOKUP($B564,#REF!,5,FALSE)</f>
        <v>#REF!</v>
      </c>
      <c r="D564" s="6" t="e">
        <f>VLOOKUP($B564,#REF!,6,FALSE)</f>
        <v>#REF!</v>
      </c>
      <c r="E564" s="7" t="e">
        <f>VLOOKUP($B564,#REF!,17,FALSE)</f>
        <v>#REF!</v>
      </c>
      <c r="F564" s="8" t="e">
        <f>VLOOKUP($B564,#REF!,7,FALSE)</f>
        <v>#REF!</v>
      </c>
      <c r="G564" s="8"/>
      <c r="H564" s="8"/>
      <c r="I564" s="9" t="e">
        <f>VLOOKUP($B564,#REF!,19,FALSE)</f>
        <v>#REF!</v>
      </c>
      <c r="J564" s="9" t="e">
        <f>VLOOKUP($B564,#REF!,6,FALSE)</f>
        <v>#REF!</v>
      </c>
      <c r="L564" s="1">
        <v>44653.937499998196</v>
      </c>
      <c r="M564" s="13"/>
    </row>
    <row r="565" spans="2:13">
      <c r="B565" s="5"/>
      <c r="C565" s="6" t="e">
        <f>VLOOKUP($B565,#REF!,5,FALSE)</f>
        <v>#REF!</v>
      </c>
      <c r="D565" s="6" t="e">
        <f>VLOOKUP($B565,#REF!,6,FALSE)</f>
        <v>#REF!</v>
      </c>
      <c r="E565" s="7" t="e">
        <f>VLOOKUP($B565,#REF!,17,FALSE)</f>
        <v>#REF!</v>
      </c>
      <c r="F565" s="8" t="e">
        <f>VLOOKUP($B565,#REF!,7,FALSE)</f>
        <v>#REF!</v>
      </c>
      <c r="G565" s="8"/>
      <c r="H565" s="8"/>
      <c r="I565" s="9" t="e">
        <f>VLOOKUP($B565,#REF!,19,FALSE)</f>
        <v>#REF!</v>
      </c>
      <c r="J565" s="9" t="e">
        <f>VLOOKUP($B565,#REF!,6,FALSE)</f>
        <v>#REF!</v>
      </c>
      <c r="L565" s="1">
        <v>44653.940972220415</v>
      </c>
      <c r="M565" s="13"/>
    </row>
    <row r="566" spans="2:13">
      <c r="B566" s="5"/>
      <c r="C566" s="6" t="e">
        <f>VLOOKUP($B566,#REF!,5,FALSE)</f>
        <v>#REF!</v>
      </c>
      <c r="D566" s="6" t="e">
        <f>VLOOKUP($B566,#REF!,6,FALSE)</f>
        <v>#REF!</v>
      </c>
      <c r="E566" s="7" t="e">
        <f>VLOOKUP($B566,#REF!,17,FALSE)</f>
        <v>#REF!</v>
      </c>
      <c r="F566" s="8" t="e">
        <f>VLOOKUP($B566,#REF!,7,FALSE)</f>
        <v>#REF!</v>
      </c>
      <c r="G566" s="8"/>
      <c r="H566" s="8"/>
      <c r="I566" s="9" t="e">
        <f>VLOOKUP($B566,#REF!,19,FALSE)</f>
        <v>#REF!</v>
      </c>
      <c r="J566" s="9" t="e">
        <f>VLOOKUP($B566,#REF!,6,FALSE)</f>
        <v>#REF!</v>
      </c>
      <c r="L566" s="1">
        <v>44653.944444442634</v>
      </c>
      <c r="M566" s="13"/>
    </row>
    <row r="567" spans="2:13">
      <c r="B567" s="5"/>
      <c r="C567" s="6" t="e">
        <f>VLOOKUP($B567,#REF!,5,FALSE)</f>
        <v>#REF!</v>
      </c>
      <c r="D567" s="6" t="e">
        <f>VLOOKUP($B567,#REF!,6,FALSE)</f>
        <v>#REF!</v>
      </c>
      <c r="E567" s="7" t="e">
        <f>VLOOKUP($B567,#REF!,17,FALSE)</f>
        <v>#REF!</v>
      </c>
      <c r="F567" s="8" t="e">
        <f>VLOOKUP($B567,#REF!,7,FALSE)</f>
        <v>#REF!</v>
      </c>
      <c r="G567" s="8"/>
      <c r="H567" s="8"/>
      <c r="I567" s="9" t="e">
        <f>VLOOKUP($B567,#REF!,19,FALSE)</f>
        <v>#REF!</v>
      </c>
      <c r="J567" s="9" t="e">
        <f>VLOOKUP($B567,#REF!,6,FALSE)</f>
        <v>#REF!</v>
      </c>
      <c r="L567" s="1">
        <v>44653.947916664853</v>
      </c>
      <c r="M567" s="13"/>
    </row>
    <row r="568" spans="2:13">
      <c r="B568" s="5"/>
      <c r="C568" s="6" t="e">
        <f>VLOOKUP($B568,#REF!,5,FALSE)</f>
        <v>#REF!</v>
      </c>
      <c r="D568" s="6" t="e">
        <f>VLOOKUP($B568,#REF!,6,FALSE)</f>
        <v>#REF!</v>
      </c>
      <c r="E568" s="7" t="e">
        <f>VLOOKUP($B568,#REF!,17,FALSE)</f>
        <v>#REF!</v>
      </c>
      <c r="F568" s="8" t="e">
        <f>VLOOKUP($B568,#REF!,7,FALSE)</f>
        <v>#REF!</v>
      </c>
      <c r="G568" s="8"/>
      <c r="H568" s="8"/>
      <c r="I568" s="9" t="e">
        <f>VLOOKUP($B568,#REF!,19,FALSE)</f>
        <v>#REF!</v>
      </c>
      <c r="J568" s="9" t="e">
        <f>VLOOKUP($B568,#REF!,6,FALSE)</f>
        <v>#REF!</v>
      </c>
      <c r="L568" s="1">
        <v>44653.951388887072</v>
      </c>
      <c r="M568" s="13"/>
    </row>
    <row r="569" spans="2:13">
      <c r="B569" s="5"/>
      <c r="C569" s="6" t="e">
        <f>VLOOKUP($B569,#REF!,5,FALSE)</f>
        <v>#REF!</v>
      </c>
      <c r="D569" s="6" t="e">
        <f>VLOOKUP($B569,#REF!,6,FALSE)</f>
        <v>#REF!</v>
      </c>
      <c r="E569" s="7" t="e">
        <f>VLOOKUP($B569,#REF!,17,FALSE)</f>
        <v>#REF!</v>
      </c>
      <c r="F569" s="8" t="e">
        <f>VLOOKUP($B569,#REF!,7,FALSE)</f>
        <v>#REF!</v>
      </c>
      <c r="G569" s="8"/>
      <c r="H569" s="8"/>
      <c r="I569" s="9" t="e">
        <f>VLOOKUP($B569,#REF!,19,FALSE)</f>
        <v>#REF!</v>
      </c>
      <c r="J569" s="9" t="e">
        <f>VLOOKUP($B569,#REF!,6,FALSE)</f>
        <v>#REF!</v>
      </c>
      <c r="L569" s="1">
        <v>44653.954861109291</v>
      </c>
      <c r="M569" s="13"/>
    </row>
    <row r="570" spans="2:13">
      <c r="B570" s="5"/>
      <c r="C570" s="6" t="e">
        <f>VLOOKUP($B570,#REF!,5,FALSE)</f>
        <v>#REF!</v>
      </c>
      <c r="D570" s="6" t="e">
        <f>VLOOKUP($B570,#REF!,6,FALSE)</f>
        <v>#REF!</v>
      </c>
      <c r="E570" s="7" t="e">
        <f>VLOOKUP($B570,#REF!,17,FALSE)</f>
        <v>#REF!</v>
      </c>
      <c r="F570" s="8" t="e">
        <f>VLOOKUP($B570,#REF!,7,FALSE)</f>
        <v>#REF!</v>
      </c>
      <c r="G570" s="8"/>
      <c r="H570" s="8"/>
      <c r="I570" s="9" t="e">
        <f>VLOOKUP($B570,#REF!,19,FALSE)</f>
        <v>#REF!</v>
      </c>
      <c r="J570" s="9" t="e">
        <f>VLOOKUP($B570,#REF!,6,FALSE)</f>
        <v>#REF!</v>
      </c>
      <c r="L570" s="1">
        <v>44653.958333331509</v>
      </c>
      <c r="M570" s="13"/>
    </row>
    <row r="571" spans="2:13">
      <c r="B571" s="5"/>
      <c r="C571" s="6" t="e">
        <f>VLOOKUP($B571,#REF!,5,FALSE)</f>
        <v>#REF!</v>
      </c>
      <c r="D571" s="6" t="e">
        <f>VLOOKUP($B571,#REF!,6,FALSE)</f>
        <v>#REF!</v>
      </c>
      <c r="E571" s="7" t="e">
        <f>VLOOKUP($B571,#REF!,17,FALSE)</f>
        <v>#REF!</v>
      </c>
      <c r="F571" s="8" t="e">
        <f>VLOOKUP($B571,#REF!,7,FALSE)</f>
        <v>#REF!</v>
      </c>
      <c r="G571" s="8"/>
      <c r="H571" s="8"/>
      <c r="I571" s="9" t="e">
        <f>VLOOKUP($B571,#REF!,19,FALSE)</f>
        <v>#REF!</v>
      </c>
      <c r="J571" s="9" t="e">
        <f>VLOOKUP($B571,#REF!,6,FALSE)</f>
        <v>#REF!</v>
      </c>
      <c r="L571" s="1">
        <v>44653.961805553728</v>
      </c>
      <c r="M571" s="13"/>
    </row>
    <row r="572" spans="2:13">
      <c r="B572" s="5"/>
      <c r="C572" s="6" t="e">
        <f>VLOOKUP($B572,#REF!,5,FALSE)</f>
        <v>#REF!</v>
      </c>
      <c r="D572" s="6" t="e">
        <f>VLOOKUP($B572,#REF!,6,FALSE)</f>
        <v>#REF!</v>
      </c>
      <c r="E572" s="7" t="e">
        <f>VLOOKUP($B572,#REF!,17,FALSE)</f>
        <v>#REF!</v>
      </c>
      <c r="F572" s="8" t="e">
        <f>VLOOKUP($B572,#REF!,7,FALSE)</f>
        <v>#REF!</v>
      </c>
      <c r="G572" s="8"/>
      <c r="H572" s="8"/>
      <c r="I572" s="9" t="e">
        <f>VLOOKUP($B572,#REF!,19,FALSE)</f>
        <v>#REF!</v>
      </c>
      <c r="J572" s="9" t="e">
        <f>VLOOKUP($B572,#REF!,6,FALSE)</f>
        <v>#REF!</v>
      </c>
      <c r="L572" s="1">
        <v>44653.965277775947</v>
      </c>
      <c r="M572" s="13"/>
    </row>
    <row r="573" spans="2:13">
      <c r="B573" s="5"/>
      <c r="C573" s="6" t="e">
        <f>VLOOKUP($B573,#REF!,5,FALSE)</f>
        <v>#REF!</v>
      </c>
      <c r="D573" s="6" t="e">
        <f>VLOOKUP($B573,#REF!,6,FALSE)</f>
        <v>#REF!</v>
      </c>
      <c r="E573" s="7" t="e">
        <f>VLOOKUP($B573,#REF!,17,FALSE)</f>
        <v>#REF!</v>
      </c>
      <c r="F573" s="8" t="e">
        <f>VLOOKUP($B573,#REF!,7,FALSE)</f>
        <v>#REF!</v>
      </c>
      <c r="G573" s="8"/>
      <c r="H573" s="8"/>
      <c r="I573" s="9" t="e">
        <f>VLOOKUP($B573,#REF!,19,FALSE)</f>
        <v>#REF!</v>
      </c>
      <c r="J573" s="9" t="e">
        <f>VLOOKUP($B573,#REF!,6,FALSE)</f>
        <v>#REF!</v>
      </c>
      <c r="L573" s="1">
        <v>44653.968749998166</v>
      </c>
      <c r="M573" s="13"/>
    </row>
    <row r="574" spans="2:13">
      <c r="B574" s="5"/>
      <c r="C574" s="6" t="e">
        <f>VLOOKUP($B574,#REF!,5,FALSE)</f>
        <v>#REF!</v>
      </c>
      <c r="D574" s="6" t="e">
        <f>VLOOKUP($B574,#REF!,6,FALSE)</f>
        <v>#REF!</v>
      </c>
      <c r="E574" s="7" t="e">
        <f>VLOOKUP($B574,#REF!,17,FALSE)</f>
        <v>#REF!</v>
      </c>
      <c r="F574" s="8" t="e">
        <f>VLOOKUP($B574,#REF!,7,FALSE)</f>
        <v>#REF!</v>
      </c>
      <c r="G574" s="8"/>
      <c r="H574" s="8"/>
      <c r="I574" s="9" t="e">
        <f>VLOOKUP($B574,#REF!,19,FALSE)</f>
        <v>#REF!</v>
      </c>
      <c r="J574" s="9" t="e">
        <f>VLOOKUP($B574,#REF!,6,FALSE)</f>
        <v>#REF!</v>
      </c>
      <c r="L574" s="1">
        <v>44653.972222220385</v>
      </c>
      <c r="M574" s="13"/>
    </row>
    <row r="575" spans="2:13">
      <c r="B575" s="5"/>
      <c r="C575" s="6" t="e">
        <f>VLOOKUP($B575,#REF!,5,FALSE)</f>
        <v>#REF!</v>
      </c>
      <c r="D575" s="6" t="e">
        <f>VLOOKUP($B575,#REF!,6,FALSE)</f>
        <v>#REF!</v>
      </c>
      <c r="E575" s="7" t="e">
        <f>VLOOKUP($B575,#REF!,17,FALSE)</f>
        <v>#REF!</v>
      </c>
      <c r="F575" s="8" t="e">
        <f>VLOOKUP($B575,#REF!,7,FALSE)</f>
        <v>#REF!</v>
      </c>
      <c r="G575" s="8"/>
      <c r="H575" s="8"/>
      <c r="I575" s="9" t="e">
        <f>VLOOKUP($B575,#REF!,19,FALSE)</f>
        <v>#REF!</v>
      </c>
      <c r="J575" s="9" t="e">
        <f>VLOOKUP($B575,#REF!,6,FALSE)</f>
        <v>#REF!</v>
      </c>
      <c r="L575" s="1">
        <v>44653.975694442604</v>
      </c>
      <c r="M575" s="13"/>
    </row>
    <row r="576" spans="2:13">
      <c r="B576" s="5"/>
      <c r="C576" s="6" t="e">
        <f>VLOOKUP($B576,#REF!,5,FALSE)</f>
        <v>#REF!</v>
      </c>
      <c r="D576" s="6" t="e">
        <f>VLOOKUP($B576,#REF!,6,FALSE)</f>
        <v>#REF!</v>
      </c>
      <c r="E576" s="7" t="e">
        <f>VLOOKUP($B576,#REF!,17,FALSE)</f>
        <v>#REF!</v>
      </c>
      <c r="F576" s="8" t="e">
        <f>VLOOKUP($B576,#REF!,7,FALSE)</f>
        <v>#REF!</v>
      </c>
      <c r="G576" s="8"/>
      <c r="H576" s="8"/>
      <c r="I576" s="9" t="e">
        <f>VLOOKUP($B576,#REF!,19,FALSE)</f>
        <v>#REF!</v>
      </c>
      <c r="J576" s="9" t="e">
        <f>VLOOKUP($B576,#REF!,6,FALSE)</f>
        <v>#REF!</v>
      </c>
      <c r="L576" s="1">
        <v>44653.979166664823</v>
      </c>
      <c r="M576" s="13"/>
    </row>
    <row r="577" spans="2:13">
      <c r="B577" s="5"/>
      <c r="C577" s="6" t="e">
        <f>VLOOKUP($B577,#REF!,5,FALSE)</f>
        <v>#REF!</v>
      </c>
      <c r="D577" s="6" t="e">
        <f>VLOOKUP($B577,#REF!,6,FALSE)</f>
        <v>#REF!</v>
      </c>
      <c r="E577" s="7" t="e">
        <f>VLOOKUP($B577,#REF!,17,FALSE)</f>
        <v>#REF!</v>
      </c>
      <c r="F577" s="8" t="e">
        <f>VLOOKUP($B577,#REF!,7,FALSE)</f>
        <v>#REF!</v>
      </c>
      <c r="G577" s="8"/>
      <c r="H577" s="8"/>
      <c r="I577" s="9" t="e">
        <f>VLOOKUP($B577,#REF!,19,FALSE)</f>
        <v>#REF!</v>
      </c>
      <c r="J577" s="9" t="e">
        <f>VLOOKUP($B577,#REF!,6,FALSE)</f>
        <v>#REF!</v>
      </c>
      <c r="L577" s="1">
        <v>44653.982638887042</v>
      </c>
      <c r="M577" s="13"/>
    </row>
    <row r="578" spans="2:13">
      <c r="B578" s="5"/>
      <c r="C578" s="6" t="e">
        <f>VLOOKUP($B578,#REF!,5,FALSE)</f>
        <v>#REF!</v>
      </c>
      <c r="D578" s="6" t="e">
        <f>VLOOKUP($B578,#REF!,6,FALSE)</f>
        <v>#REF!</v>
      </c>
      <c r="E578" s="7" t="e">
        <f>VLOOKUP($B578,#REF!,17,FALSE)</f>
        <v>#REF!</v>
      </c>
      <c r="F578" s="8" t="e">
        <f>VLOOKUP($B578,#REF!,7,FALSE)</f>
        <v>#REF!</v>
      </c>
      <c r="G578" s="8"/>
      <c r="H578" s="8"/>
      <c r="I578" s="9" t="e">
        <f>VLOOKUP($B578,#REF!,19,FALSE)</f>
        <v>#REF!</v>
      </c>
      <c r="J578" s="9" t="e">
        <f>VLOOKUP($B578,#REF!,6,FALSE)</f>
        <v>#REF!</v>
      </c>
      <c r="L578" s="1">
        <v>44653.986111109261</v>
      </c>
      <c r="M578" s="13"/>
    </row>
    <row r="579" spans="2:13">
      <c r="B579" s="5"/>
      <c r="C579" s="6" t="e">
        <f>VLOOKUP($B579,#REF!,5,FALSE)</f>
        <v>#REF!</v>
      </c>
      <c r="D579" s="6" t="e">
        <f>VLOOKUP($B579,#REF!,6,FALSE)</f>
        <v>#REF!</v>
      </c>
      <c r="E579" s="7" t="e">
        <f>VLOOKUP($B579,#REF!,17,FALSE)</f>
        <v>#REF!</v>
      </c>
      <c r="F579" s="8" t="e">
        <f>VLOOKUP($B579,#REF!,7,FALSE)</f>
        <v>#REF!</v>
      </c>
      <c r="G579" s="8"/>
      <c r="H579" s="8"/>
      <c r="I579" s="9" t="e">
        <f>VLOOKUP($B579,#REF!,19,FALSE)</f>
        <v>#REF!</v>
      </c>
      <c r="J579" s="9" t="e">
        <f>VLOOKUP($B579,#REF!,6,FALSE)</f>
        <v>#REF!</v>
      </c>
      <c r="L579" s="1">
        <v>44653.98958333148</v>
      </c>
      <c r="M579" s="13"/>
    </row>
    <row r="580" spans="2:13">
      <c r="B580" s="5"/>
      <c r="C580" s="6" t="e">
        <f>VLOOKUP($B580,#REF!,5,FALSE)</f>
        <v>#REF!</v>
      </c>
      <c r="D580" s="6" t="e">
        <f>VLOOKUP($B580,#REF!,6,FALSE)</f>
        <v>#REF!</v>
      </c>
      <c r="E580" s="7" t="e">
        <f>VLOOKUP($B580,#REF!,17,FALSE)</f>
        <v>#REF!</v>
      </c>
      <c r="F580" s="8" t="e">
        <f>VLOOKUP($B580,#REF!,7,FALSE)</f>
        <v>#REF!</v>
      </c>
      <c r="G580" s="8"/>
      <c r="H580" s="8"/>
      <c r="I580" s="9" t="e">
        <f>VLOOKUP($B580,#REF!,19,FALSE)</f>
        <v>#REF!</v>
      </c>
      <c r="J580" s="9" t="e">
        <f>VLOOKUP($B580,#REF!,6,FALSE)</f>
        <v>#REF!</v>
      </c>
      <c r="L580" s="1">
        <v>44653.993055553699</v>
      </c>
      <c r="M580" s="13"/>
    </row>
    <row r="581" spans="2:13">
      <c r="B581" s="5"/>
      <c r="C581" s="6" t="e">
        <f>VLOOKUP($B581,#REF!,5,FALSE)</f>
        <v>#REF!</v>
      </c>
      <c r="D581" s="6" t="e">
        <f>VLOOKUP($B581,#REF!,6,FALSE)</f>
        <v>#REF!</v>
      </c>
      <c r="E581" s="7" t="e">
        <f>VLOOKUP($B581,#REF!,17,FALSE)</f>
        <v>#REF!</v>
      </c>
      <c r="F581" s="8" t="e">
        <f>VLOOKUP($B581,#REF!,7,FALSE)</f>
        <v>#REF!</v>
      </c>
      <c r="G581" s="8"/>
      <c r="H581" s="8"/>
      <c r="I581" s="9" t="e">
        <f>VLOOKUP($B581,#REF!,19,FALSE)</f>
        <v>#REF!</v>
      </c>
      <c r="J581" s="9" t="e">
        <f>VLOOKUP($B581,#REF!,6,FALSE)</f>
        <v>#REF!</v>
      </c>
      <c r="L581" s="1">
        <v>44653.996527775918</v>
      </c>
      <c r="M581" s="13"/>
    </row>
    <row r="582" spans="2:13">
      <c r="B582" s="5"/>
      <c r="C582" s="6" t="e">
        <f>VLOOKUP($B582,#REF!,5,FALSE)</f>
        <v>#REF!</v>
      </c>
      <c r="D582" s="6" t="e">
        <f>VLOOKUP($B582,#REF!,6,FALSE)</f>
        <v>#REF!</v>
      </c>
      <c r="E582" s="7" t="e">
        <f>VLOOKUP($B582,#REF!,17,FALSE)</f>
        <v>#REF!</v>
      </c>
      <c r="F582" s="8" t="e">
        <f>VLOOKUP($B582,#REF!,7,FALSE)</f>
        <v>#REF!</v>
      </c>
      <c r="G582" s="8"/>
      <c r="H582" s="8"/>
      <c r="I582" s="9" t="e">
        <f>VLOOKUP($B582,#REF!,19,FALSE)</f>
        <v>#REF!</v>
      </c>
      <c r="J582" s="9" t="e">
        <f>VLOOKUP($B582,#REF!,6,FALSE)</f>
        <v>#REF!</v>
      </c>
      <c r="L582" s="1">
        <v>44653.999999998137</v>
      </c>
      <c r="M582" s="13"/>
    </row>
    <row r="583" spans="2:13">
      <c r="B583" s="5"/>
      <c r="C583" s="6" t="e">
        <f>VLOOKUP($B583,#REF!,5,FALSE)</f>
        <v>#REF!</v>
      </c>
      <c r="D583" s="6" t="e">
        <f>VLOOKUP($B583,#REF!,6,FALSE)</f>
        <v>#REF!</v>
      </c>
      <c r="E583" s="7" t="e">
        <f>VLOOKUP($B583,#REF!,17,FALSE)</f>
        <v>#REF!</v>
      </c>
      <c r="F583" s="8" t="e">
        <f>VLOOKUP($B583,#REF!,7,FALSE)</f>
        <v>#REF!</v>
      </c>
      <c r="G583" s="8"/>
      <c r="H583" s="8"/>
      <c r="I583" s="9" t="e">
        <f>VLOOKUP($B583,#REF!,19,FALSE)</f>
        <v>#REF!</v>
      </c>
      <c r="J583" s="9" t="e">
        <f>VLOOKUP($B583,#REF!,6,FALSE)</f>
        <v>#REF!</v>
      </c>
      <c r="L583" s="1">
        <v>44654.003472220356</v>
      </c>
      <c r="M583" s="13"/>
    </row>
    <row r="584" spans="2:13">
      <c r="B584" s="5"/>
      <c r="C584" s="6" t="e">
        <f>VLOOKUP($B584,#REF!,5,FALSE)</f>
        <v>#REF!</v>
      </c>
      <c r="D584" s="6" t="e">
        <f>VLOOKUP($B584,#REF!,6,FALSE)</f>
        <v>#REF!</v>
      </c>
      <c r="E584" s="7" t="e">
        <f>VLOOKUP($B584,#REF!,17,FALSE)</f>
        <v>#REF!</v>
      </c>
      <c r="F584" s="8" t="e">
        <f>VLOOKUP($B584,#REF!,7,FALSE)</f>
        <v>#REF!</v>
      </c>
      <c r="G584" s="8"/>
      <c r="H584" s="8"/>
      <c r="I584" s="9" t="e">
        <f>VLOOKUP($B584,#REF!,19,FALSE)</f>
        <v>#REF!</v>
      </c>
      <c r="J584" s="9" t="e">
        <f>VLOOKUP($B584,#REF!,6,FALSE)</f>
        <v>#REF!</v>
      </c>
      <c r="L584" s="1">
        <v>44654.006944442575</v>
      </c>
      <c r="M584" s="13"/>
    </row>
    <row r="585" spans="2:13">
      <c r="B585" s="5"/>
      <c r="C585" s="6" t="e">
        <f>VLOOKUP($B585,#REF!,5,FALSE)</f>
        <v>#REF!</v>
      </c>
      <c r="D585" s="6" t="e">
        <f>VLOOKUP($B585,#REF!,6,FALSE)</f>
        <v>#REF!</v>
      </c>
      <c r="E585" s="7" t="e">
        <f>VLOOKUP($B585,#REF!,17,FALSE)</f>
        <v>#REF!</v>
      </c>
      <c r="F585" s="8" t="e">
        <f>VLOOKUP($B585,#REF!,7,FALSE)</f>
        <v>#REF!</v>
      </c>
      <c r="G585" s="8"/>
      <c r="H585" s="8"/>
      <c r="I585" s="9" t="e">
        <f>VLOOKUP($B585,#REF!,19,FALSE)</f>
        <v>#REF!</v>
      </c>
      <c r="J585" s="9" t="e">
        <f>VLOOKUP($B585,#REF!,6,FALSE)</f>
        <v>#REF!</v>
      </c>
      <c r="L585" s="1">
        <v>44654.010416664794</v>
      </c>
      <c r="M585" s="13"/>
    </row>
    <row r="586" spans="2:13">
      <c r="B586" s="5"/>
      <c r="C586" s="6" t="e">
        <f>VLOOKUP($B586,#REF!,5,FALSE)</f>
        <v>#REF!</v>
      </c>
      <c r="D586" s="6" t="e">
        <f>VLOOKUP($B586,#REF!,6,FALSE)</f>
        <v>#REF!</v>
      </c>
      <c r="E586" s="7" t="e">
        <f>VLOOKUP($B586,#REF!,17,FALSE)</f>
        <v>#REF!</v>
      </c>
      <c r="F586" s="8" t="e">
        <f>VLOOKUP($B586,#REF!,7,FALSE)</f>
        <v>#REF!</v>
      </c>
      <c r="G586" s="8"/>
      <c r="H586" s="8"/>
      <c r="I586" s="9" t="e">
        <f>VLOOKUP($B586,#REF!,19,FALSE)</f>
        <v>#REF!</v>
      </c>
      <c r="J586" s="9" t="e">
        <f>VLOOKUP($B586,#REF!,6,FALSE)</f>
        <v>#REF!</v>
      </c>
      <c r="L586" s="1">
        <v>44654.013888887013</v>
      </c>
      <c r="M586" s="13"/>
    </row>
    <row r="587" spans="2:13">
      <c r="B587" s="5"/>
      <c r="C587" s="6" t="e">
        <f>VLOOKUP($B587,#REF!,5,FALSE)</f>
        <v>#REF!</v>
      </c>
      <c r="D587" s="6" t="e">
        <f>VLOOKUP($B587,#REF!,6,FALSE)</f>
        <v>#REF!</v>
      </c>
      <c r="E587" s="7" t="e">
        <f>VLOOKUP($B587,#REF!,17,FALSE)</f>
        <v>#REF!</v>
      </c>
      <c r="F587" s="8" t="e">
        <f>VLOOKUP($B587,#REF!,7,FALSE)</f>
        <v>#REF!</v>
      </c>
      <c r="G587" s="8"/>
      <c r="H587" s="8"/>
      <c r="I587" s="9" t="e">
        <f>VLOOKUP($B587,#REF!,19,FALSE)</f>
        <v>#REF!</v>
      </c>
      <c r="J587" s="9" t="e">
        <f>VLOOKUP($B587,#REF!,6,FALSE)</f>
        <v>#REF!</v>
      </c>
      <c r="L587" s="1">
        <v>44654.017361109232</v>
      </c>
      <c r="M587" s="13"/>
    </row>
    <row r="588" spans="2:13">
      <c r="B588" s="5"/>
      <c r="C588" s="6" t="e">
        <f>VLOOKUP($B588,#REF!,5,FALSE)</f>
        <v>#REF!</v>
      </c>
      <c r="D588" s="6" t="e">
        <f>VLOOKUP($B588,#REF!,6,FALSE)</f>
        <v>#REF!</v>
      </c>
      <c r="E588" s="7" t="e">
        <f>VLOOKUP($B588,#REF!,17,FALSE)</f>
        <v>#REF!</v>
      </c>
      <c r="F588" s="8" t="e">
        <f>VLOOKUP($B588,#REF!,7,FALSE)</f>
        <v>#REF!</v>
      </c>
      <c r="G588" s="8"/>
      <c r="H588" s="8"/>
      <c r="I588" s="9" t="e">
        <f>VLOOKUP($B588,#REF!,19,FALSE)</f>
        <v>#REF!</v>
      </c>
      <c r="J588" s="9" t="e">
        <f>VLOOKUP($B588,#REF!,6,FALSE)</f>
        <v>#REF!</v>
      </c>
      <c r="L588" s="1">
        <v>44654.020833331451</v>
      </c>
      <c r="M588" s="13"/>
    </row>
    <row r="589" spans="2:13">
      <c r="B589" s="5"/>
      <c r="C589" s="6" t="e">
        <f>VLOOKUP($B589,#REF!,5,FALSE)</f>
        <v>#REF!</v>
      </c>
      <c r="D589" s="6" t="e">
        <f>VLOOKUP($B589,#REF!,6,FALSE)</f>
        <v>#REF!</v>
      </c>
      <c r="E589" s="7" t="e">
        <f>VLOOKUP($B589,#REF!,17,FALSE)</f>
        <v>#REF!</v>
      </c>
      <c r="F589" s="8" t="e">
        <f>VLOOKUP($B589,#REF!,7,FALSE)</f>
        <v>#REF!</v>
      </c>
      <c r="G589" s="8"/>
      <c r="H589" s="8"/>
      <c r="I589" s="9" t="e">
        <f>VLOOKUP($B589,#REF!,19,FALSE)</f>
        <v>#REF!</v>
      </c>
      <c r="J589" s="9" t="e">
        <f>VLOOKUP($B589,#REF!,6,FALSE)</f>
        <v>#REF!</v>
      </c>
      <c r="L589" s="1">
        <v>44654.02430555367</v>
      </c>
      <c r="M589" s="13"/>
    </row>
    <row r="590" spans="2:13">
      <c r="B590" s="5"/>
      <c r="C590" s="6" t="e">
        <f>VLOOKUP($B590,#REF!,5,FALSE)</f>
        <v>#REF!</v>
      </c>
      <c r="D590" s="6" t="e">
        <f>VLOOKUP($B590,#REF!,6,FALSE)</f>
        <v>#REF!</v>
      </c>
      <c r="E590" s="7" t="e">
        <f>VLOOKUP($B590,#REF!,17,FALSE)</f>
        <v>#REF!</v>
      </c>
      <c r="F590" s="8" t="e">
        <f>VLOOKUP($B590,#REF!,7,FALSE)</f>
        <v>#REF!</v>
      </c>
      <c r="G590" s="8"/>
      <c r="H590" s="8"/>
      <c r="I590" s="9" t="e">
        <f>VLOOKUP($B590,#REF!,19,FALSE)</f>
        <v>#REF!</v>
      </c>
      <c r="J590" s="9" t="e">
        <f>VLOOKUP($B590,#REF!,6,FALSE)</f>
        <v>#REF!</v>
      </c>
      <c r="L590" s="1">
        <v>44654.027777775889</v>
      </c>
      <c r="M590" s="13"/>
    </row>
    <row r="591" spans="2:13">
      <c r="B591" s="5"/>
      <c r="C591" s="6" t="e">
        <f>VLOOKUP($B591,#REF!,5,FALSE)</f>
        <v>#REF!</v>
      </c>
      <c r="D591" s="6" t="e">
        <f>VLOOKUP($B591,#REF!,6,FALSE)</f>
        <v>#REF!</v>
      </c>
      <c r="E591" s="7" t="e">
        <f>VLOOKUP($B591,#REF!,17,FALSE)</f>
        <v>#REF!</v>
      </c>
      <c r="F591" s="8" t="e">
        <f>VLOOKUP($B591,#REF!,7,FALSE)</f>
        <v>#REF!</v>
      </c>
      <c r="G591" s="8"/>
      <c r="H591" s="8"/>
      <c r="I591" s="9" t="e">
        <f>VLOOKUP($B591,#REF!,19,FALSE)</f>
        <v>#REF!</v>
      </c>
      <c r="J591" s="9" t="e">
        <f>VLOOKUP($B591,#REF!,6,FALSE)</f>
        <v>#REF!</v>
      </c>
      <c r="L591" s="1">
        <v>44654.031249998108</v>
      </c>
      <c r="M591" s="13"/>
    </row>
    <row r="592" spans="2:13">
      <c r="B592" s="5"/>
      <c r="C592" s="6" t="e">
        <f>VLOOKUP($B592,#REF!,5,FALSE)</f>
        <v>#REF!</v>
      </c>
      <c r="D592" s="6" t="e">
        <f>VLOOKUP($B592,#REF!,6,FALSE)</f>
        <v>#REF!</v>
      </c>
      <c r="E592" s="7" t="e">
        <f>VLOOKUP($B592,#REF!,17,FALSE)</f>
        <v>#REF!</v>
      </c>
      <c r="F592" s="8" t="e">
        <f>VLOOKUP($B592,#REF!,7,FALSE)</f>
        <v>#REF!</v>
      </c>
      <c r="G592" s="8"/>
      <c r="H592" s="8"/>
      <c r="I592" s="9" t="e">
        <f>VLOOKUP($B592,#REF!,19,FALSE)</f>
        <v>#REF!</v>
      </c>
      <c r="J592" s="9" t="e">
        <f>VLOOKUP($B592,#REF!,6,FALSE)</f>
        <v>#REF!</v>
      </c>
      <c r="L592" s="1">
        <v>44654.034722220327</v>
      </c>
      <c r="M592" s="13"/>
    </row>
    <row r="593" spans="2:13">
      <c r="B593" s="5"/>
      <c r="C593" s="6" t="e">
        <f>VLOOKUP($B593,#REF!,5,FALSE)</f>
        <v>#REF!</v>
      </c>
      <c r="D593" s="6" t="e">
        <f>VLOOKUP($B593,#REF!,6,FALSE)</f>
        <v>#REF!</v>
      </c>
      <c r="E593" s="7" t="e">
        <f>VLOOKUP($B593,#REF!,17,FALSE)</f>
        <v>#REF!</v>
      </c>
      <c r="F593" s="8" t="e">
        <f>VLOOKUP($B593,#REF!,7,FALSE)</f>
        <v>#REF!</v>
      </c>
      <c r="G593" s="8"/>
      <c r="H593" s="8"/>
      <c r="I593" s="9" t="e">
        <f>VLOOKUP($B593,#REF!,19,FALSE)</f>
        <v>#REF!</v>
      </c>
      <c r="J593" s="9" t="e">
        <f>VLOOKUP($B593,#REF!,6,FALSE)</f>
        <v>#REF!</v>
      </c>
      <c r="L593" s="1">
        <v>44654.038194442546</v>
      </c>
      <c r="M593" s="13"/>
    </row>
    <row r="594" spans="2:13">
      <c r="B594" s="5"/>
      <c r="C594" s="6" t="e">
        <f>VLOOKUP($B594,#REF!,5,FALSE)</f>
        <v>#REF!</v>
      </c>
      <c r="D594" s="6" t="e">
        <f>VLOOKUP($B594,#REF!,6,FALSE)</f>
        <v>#REF!</v>
      </c>
      <c r="E594" s="7" t="e">
        <f>VLOOKUP($B594,#REF!,17,FALSE)</f>
        <v>#REF!</v>
      </c>
      <c r="F594" s="8" t="e">
        <f>VLOOKUP($B594,#REF!,7,FALSE)</f>
        <v>#REF!</v>
      </c>
      <c r="G594" s="8"/>
      <c r="H594" s="8"/>
      <c r="I594" s="9" t="e">
        <f>VLOOKUP($B594,#REF!,19,FALSE)</f>
        <v>#REF!</v>
      </c>
      <c r="J594" s="9" t="e">
        <f>VLOOKUP($B594,#REF!,6,FALSE)</f>
        <v>#REF!</v>
      </c>
      <c r="L594" s="1">
        <v>44654.041666664765</v>
      </c>
      <c r="M594" s="13"/>
    </row>
    <row r="595" spans="2:13">
      <c r="B595" s="5"/>
      <c r="C595" s="6" t="e">
        <f>VLOOKUP($B595,#REF!,5,FALSE)</f>
        <v>#REF!</v>
      </c>
      <c r="D595" s="6" t="e">
        <f>VLOOKUP($B595,#REF!,6,FALSE)</f>
        <v>#REF!</v>
      </c>
      <c r="E595" s="7" t="e">
        <f>VLOOKUP($B595,#REF!,17,FALSE)</f>
        <v>#REF!</v>
      </c>
      <c r="F595" s="8" t="e">
        <f>VLOOKUP($B595,#REF!,7,FALSE)</f>
        <v>#REF!</v>
      </c>
      <c r="G595" s="8"/>
      <c r="H595" s="8"/>
      <c r="I595" s="9" t="e">
        <f>VLOOKUP($B595,#REF!,19,FALSE)</f>
        <v>#REF!</v>
      </c>
      <c r="J595" s="9" t="e">
        <f>VLOOKUP($B595,#REF!,6,FALSE)</f>
        <v>#REF!</v>
      </c>
      <c r="L595" s="1">
        <v>44654.045138886984</v>
      </c>
      <c r="M595" s="13"/>
    </row>
    <row r="596" spans="2:13">
      <c r="B596" s="5"/>
      <c r="C596" s="6" t="e">
        <f>VLOOKUP($B596,#REF!,5,FALSE)</f>
        <v>#REF!</v>
      </c>
      <c r="D596" s="6" t="e">
        <f>VLOOKUP($B596,#REF!,6,FALSE)</f>
        <v>#REF!</v>
      </c>
      <c r="E596" s="7" t="e">
        <f>VLOOKUP($B596,#REF!,17,FALSE)</f>
        <v>#REF!</v>
      </c>
      <c r="F596" s="8" t="e">
        <f>VLOOKUP($B596,#REF!,7,FALSE)</f>
        <v>#REF!</v>
      </c>
      <c r="G596" s="8"/>
      <c r="H596" s="8"/>
      <c r="I596" s="9" t="e">
        <f>VLOOKUP($B596,#REF!,19,FALSE)</f>
        <v>#REF!</v>
      </c>
      <c r="J596" s="9" t="e">
        <f>VLOOKUP($B596,#REF!,6,FALSE)</f>
        <v>#REF!</v>
      </c>
      <c r="L596" s="1">
        <v>44654.048611109203</v>
      </c>
      <c r="M596" s="13"/>
    </row>
    <row r="597" spans="2:13">
      <c r="B597" s="5"/>
      <c r="C597" s="6" t="e">
        <f>VLOOKUP($B597,#REF!,5,FALSE)</f>
        <v>#REF!</v>
      </c>
      <c r="D597" s="6" t="e">
        <f>VLOOKUP($B597,#REF!,6,FALSE)</f>
        <v>#REF!</v>
      </c>
      <c r="E597" s="7" t="e">
        <f>VLOOKUP($B597,#REF!,17,FALSE)</f>
        <v>#REF!</v>
      </c>
      <c r="F597" s="8" t="e">
        <f>VLOOKUP($B597,#REF!,7,FALSE)</f>
        <v>#REF!</v>
      </c>
      <c r="G597" s="8"/>
      <c r="H597" s="8"/>
      <c r="I597" s="9" t="e">
        <f>VLOOKUP($B597,#REF!,19,FALSE)</f>
        <v>#REF!</v>
      </c>
      <c r="J597" s="9" t="e">
        <f>VLOOKUP($B597,#REF!,6,FALSE)</f>
        <v>#REF!</v>
      </c>
      <c r="L597" s="1">
        <v>44654.052083331422</v>
      </c>
      <c r="M597" s="13"/>
    </row>
    <row r="598" spans="2:13">
      <c r="B598" s="5"/>
      <c r="C598" s="6" t="e">
        <f>VLOOKUP($B598,#REF!,5,FALSE)</f>
        <v>#REF!</v>
      </c>
      <c r="D598" s="6" t="e">
        <f>VLOOKUP($B598,#REF!,6,FALSE)</f>
        <v>#REF!</v>
      </c>
      <c r="E598" s="7" t="e">
        <f>VLOOKUP($B598,#REF!,17,FALSE)</f>
        <v>#REF!</v>
      </c>
      <c r="F598" s="8" t="e">
        <f>VLOOKUP($B598,#REF!,7,FALSE)</f>
        <v>#REF!</v>
      </c>
      <c r="G598" s="8"/>
      <c r="H598" s="8"/>
      <c r="I598" s="9" t="e">
        <f>VLOOKUP($B598,#REF!,19,FALSE)</f>
        <v>#REF!</v>
      </c>
      <c r="J598" s="9" t="e">
        <f>VLOOKUP($B598,#REF!,6,FALSE)</f>
        <v>#REF!</v>
      </c>
      <c r="L598" s="1">
        <v>44654.055555553641</v>
      </c>
      <c r="M598" s="13"/>
    </row>
    <row r="599" spans="2:13">
      <c r="B599" s="5"/>
      <c r="C599" s="6" t="e">
        <f>VLOOKUP($B599,#REF!,5,FALSE)</f>
        <v>#REF!</v>
      </c>
      <c r="D599" s="6" t="e">
        <f>VLOOKUP($B599,#REF!,6,FALSE)</f>
        <v>#REF!</v>
      </c>
      <c r="E599" s="7" t="e">
        <f>VLOOKUP($B599,#REF!,17,FALSE)</f>
        <v>#REF!</v>
      </c>
      <c r="F599" s="8" t="e">
        <f>VLOOKUP($B599,#REF!,7,FALSE)</f>
        <v>#REF!</v>
      </c>
      <c r="G599" s="8"/>
      <c r="H599" s="8"/>
      <c r="I599" s="9" t="e">
        <f>VLOOKUP($B599,#REF!,19,FALSE)</f>
        <v>#REF!</v>
      </c>
      <c r="J599" s="9" t="e">
        <f>VLOOKUP($B599,#REF!,6,FALSE)</f>
        <v>#REF!</v>
      </c>
      <c r="L599" s="1">
        <v>44654.05902777586</v>
      </c>
      <c r="M599" s="13"/>
    </row>
    <row r="600" spans="2:13">
      <c r="B600" s="5"/>
      <c r="C600" s="6" t="e">
        <f>VLOOKUP($B600,#REF!,5,FALSE)</f>
        <v>#REF!</v>
      </c>
      <c r="D600" s="6" t="e">
        <f>VLOOKUP($B600,#REF!,6,FALSE)</f>
        <v>#REF!</v>
      </c>
      <c r="E600" s="7" t="e">
        <f>VLOOKUP($B600,#REF!,17,FALSE)</f>
        <v>#REF!</v>
      </c>
      <c r="F600" s="8" t="e">
        <f>VLOOKUP($B600,#REF!,7,FALSE)</f>
        <v>#REF!</v>
      </c>
      <c r="G600" s="8"/>
      <c r="H600" s="8"/>
      <c r="I600" s="9" t="e">
        <f>VLOOKUP($B600,#REF!,19,FALSE)</f>
        <v>#REF!</v>
      </c>
      <c r="J600" s="9" t="e">
        <f>VLOOKUP($B600,#REF!,6,FALSE)</f>
        <v>#REF!</v>
      </c>
      <c r="L600" s="1">
        <v>44654.062499998079</v>
      </c>
      <c r="M600" s="13"/>
    </row>
    <row r="601" spans="2:13">
      <c r="B601" s="5"/>
      <c r="C601" s="6" t="e">
        <f>VLOOKUP($B601,#REF!,5,FALSE)</f>
        <v>#REF!</v>
      </c>
      <c r="D601" s="6" t="e">
        <f>VLOOKUP($B601,#REF!,6,FALSE)</f>
        <v>#REF!</v>
      </c>
      <c r="E601" s="7" t="e">
        <f>VLOOKUP($B601,#REF!,17,FALSE)</f>
        <v>#REF!</v>
      </c>
      <c r="F601" s="8" t="e">
        <f>VLOOKUP($B601,#REF!,7,FALSE)</f>
        <v>#REF!</v>
      </c>
      <c r="G601" s="8"/>
      <c r="H601" s="8"/>
      <c r="I601" s="9" t="e">
        <f>VLOOKUP($B601,#REF!,19,FALSE)</f>
        <v>#REF!</v>
      </c>
      <c r="J601" s="9" t="e">
        <f>VLOOKUP($B601,#REF!,6,FALSE)</f>
        <v>#REF!</v>
      </c>
      <c r="L601" s="1">
        <v>44654.065972220298</v>
      </c>
      <c r="M601" s="13"/>
    </row>
    <row r="602" spans="2:13">
      <c r="B602" s="5"/>
      <c r="C602" s="6" t="e">
        <f>VLOOKUP($B602,#REF!,5,FALSE)</f>
        <v>#REF!</v>
      </c>
      <c r="D602" s="6" t="e">
        <f>VLOOKUP($B602,#REF!,6,FALSE)</f>
        <v>#REF!</v>
      </c>
      <c r="E602" s="7" t="e">
        <f>VLOOKUP($B602,#REF!,17,FALSE)</f>
        <v>#REF!</v>
      </c>
      <c r="F602" s="8" t="e">
        <f>VLOOKUP($B602,#REF!,7,FALSE)</f>
        <v>#REF!</v>
      </c>
      <c r="G602" s="8"/>
      <c r="H602" s="8"/>
      <c r="I602" s="9" t="e">
        <f>VLOOKUP($B602,#REF!,19,FALSE)</f>
        <v>#REF!</v>
      </c>
      <c r="J602" s="9" t="e">
        <f>VLOOKUP($B602,#REF!,6,FALSE)</f>
        <v>#REF!</v>
      </c>
      <c r="L602" s="1">
        <v>44654.069444442517</v>
      </c>
      <c r="M602" s="13"/>
    </row>
    <row r="603" spans="2:13">
      <c r="B603" s="5"/>
      <c r="C603" s="6" t="e">
        <f>VLOOKUP($B603,#REF!,5,FALSE)</f>
        <v>#REF!</v>
      </c>
      <c r="D603" s="6" t="e">
        <f>VLOOKUP($B603,#REF!,6,FALSE)</f>
        <v>#REF!</v>
      </c>
      <c r="E603" s="7" t="e">
        <f>VLOOKUP($B603,#REF!,17,FALSE)</f>
        <v>#REF!</v>
      </c>
      <c r="F603" s="8" t="e">
        <f>VLOOKUP($B603,#REF!,7,FALSE)</f>
        <v>#REF!</v>
      </c>
      <c r="G603" s="8"/>
      <c r="H603" s="8"/>
      <c r="I603" s="9" t="e">
        <f>VLOOKUP($B603,#REF!,19,FALSE)</f>
        <v>#REF!</v>
      </c>
      <c r="J603" s="9" t="e">
        <f>VLOOKUP($B603,#REF!,6,FALSE)</f>
        <v>#REF!</v>
      </c>
      <c r="L603" s="1">
        <v>44654.072916664736</v>
      </c>
      <c r="M603" s="13"/>
    </row>
    <row r="604" spans="2:13">
      <c r="B604" s="5"/>
      <c r="C604" s="6" t="e">
        <f>VLOOKUP($B604,#REF!,5,FALSE)</f>
        <v>#REF!</v>
      </c>
      <c r="D604" s="6" t="e">
        <f>VLOOKUP($B604,#REF!,6,FALSE)</f>
        <v>#REF!</v>
      </c>
      <c r="E604" s="7" t="e">
        <f>VLOOKUP($B604,#REF!,17,FALSE)</f>
        <v>#REF!</v>
      </c>
      <c r="F604" s="8" t="e">
        <f>VLOOKUP($B604,#REF!,7,FALSE)</f>
        <v>#REF!</v>
      </c>
      <c r="G604" s="8"/>
      <c r="H604" s="8"/>
      <c r="I604" s="9" t="e">
        <f>VLOOKUP($B604,#REF!,19,FALSE)</f>
        <v>#REF!</v>
      </c>
      <c r="J604" s="9" t="e">
        <f>VLOOKUP($B604,#REF!,6,FALSE)</f>
        <v>#REF!</v>
      </c>
      <c r="L604" s="1">
        <v>44654.076388886955</v>
      </c>
      <c r="M604" s="13"/>
    </row>
    <row r="605" spans="2:13">
      <c r="B605" s="5"/>
      <c r="C605" s="6" t="e">
        <f>VLOOKUP($B605,#REF!,5,FALSE)</f>
        <v>#REF!</v>
      </c>
      <c r="D605" s="6" t="e">
        <f>VLOOKUP($B605,#REF!,6,FALSE)</f>
        <v>#REF!</v>
      </c>
      <c r="E605" s="7" t="e">
        <f>VLOOKUP($B605,#REF!,17,FALSE)</f>
        <v>#REF!</v>
      </c>
      <c r="F605" s="8" t="e">
        <f>VLOOKUP($B605,#REF!,7,FALSE)</f>
        <v>#REF!</v>
      </c>
      <c r="G605" s="8"/>
      <c r="H605" s="8"/>
      <c r="I605" s="9" t="e">
        <f>VLOOKUP($B605,#REF!,19,FALSE)</f>
        <v>#REF!</v>
      </c>
      <c r="J605" s="9" t="e">
        <f>VLOOKUP($B605,#REF!,6,FALSE)</f>
        <v>#REF!</v>
      </c>
      <c r="L605" s="1">
        <v>44654.079861109174</v>
      </c>
      <c r="M605" s="13"/>
    </row>
    <row r="606" spans="2:13">
      <c r="B606" s="5"/>
      <c r="C606" s="6" t="e">
        <f>VLOOKUP($B606,#REF!,5,FALSE)</f>
        <v>#REF!</v>
      </c>
      <c r="D606" s="6" t="e">
        <f>VLOOKUP($B606,#REF!,6,FALSE)</f>
        <v>#REF!</v>
      </c>
      <c r="E606" s="7" t="e">
        <f>VLOOKUP($B606,#REF!,17,FALSE)</f>
        <v>#REF!</v>
      </c>
      <c r="F606" s="8" t="e">
        <f>VLOOKUP($B606,#REF!,7,FALSE)</f>
        <v>#REF!</v>
      </c>
      <c r="G606" s="8"/>
      <c r="H606" s="8"/>
      <c r="I606" s="9" t="e">
        <f>VLOOKUP($B606,#REF!,19,FALSE)</f>
        <v>#REF!</v>
      </c>
      <c r="J606" s="9" t="e">
        <f>VLOOKUP($B606,#REF!,6,FALSE)</f>
        <v>#REF!</v>
      </c>
      <c r="L606" s="1">
        <v>44654.083333331393</v>
      </c>
      <c r="M606" s="13"/>
    </row>
    <row r="607" spans="2:13">
      <c r="B607" s="5"/>
      <c r="C607" s="6" t="e">
        <f>VLOOKUP($B607,#REF!,5,FALSE)</f>
        <v>#REF!</v>
      </c>
      <c r="D607" s="6" t="e">
        <f>VLOOKUP($B607,#REF!,6,FALSE)</f>
        <v>#REF!</v>
      </c>
      <c r="E607" s="7" t="e">
        <f>VLOOKUP($B607,#REF!,17,FALSE)</f>
        <v>#REF!</v>
      </c>
      <c r="F607" s="8" t="e">
        <f>VLOOKUP($B607,#REF!,7,FALSE)</f>
        <v>#REF!</v>
      </c>
      <c r="G607" s="8"/>
      <c r="H607" s="8"/>
      <c r="I607" s="9" t="e">
        <f>VLOOKUP($B607,#REF!,19,FALSE)</f>
        <v>#REF!</v>
      </c>
      <c r="J607" s="9" t="e">
        <f>VLOOKUP($B607,#REF!,6,FALSE)</f>
        <v>#REF!</v>
      </c>
      <c r="L607" s="1">
        <v>44654.086805553612</v>
      </c>
      <c r="M607" s="13"/>
    </row>
    <row r="608" spans="2:13">
      <c r="B608" s="5"/>
      <c r="C608" s="6" t="e">
        <f>VLOOKUP($B608,#REF!,5,FALSE)</f>
        <v>#REF!</v>
      </c>
      <c r="D608" s="6" t="e">
        <f>VLOOKUP($B608,#REF!,6,FALSE)</f>
        <v>#REF!</v>
      </c>
      <c r="E608" s="7" t="e">
        <f>VLOOKUP($B608,#REF!,17,FALSE)</f>
        <v>#REF!</v>
      </c>
      <c r="F608" s="8" t="e">
        <f>VLOOKUP($B608,#REF!,7,FALSE)</f>
        <v>#REF!</v>
      </c>
      <c r="G608" s="8"/>
      <c r="H608" s="8"/>
      <c r="I608" s="9" t="e">
        <f>VLOOKUP($B608,#REF!,19,FALSE)</f>
        <v>#REF!</v>
      </c>
      <c r="J608" s="9" t="e">
        <f>VLOOKUP($B608,#REF!,6,FALSE)</f>
        <v>#REF!</v>
      </c>
      <c r="L608" s="1">
        <v>44654.090277775831</v>
      </c>
      <c r="M608" s="13"/>
    </row>
    <row r="609" spans="2:13">
      <c r="B609" s="5"/>
      <c r="C609" s="6" t="e">
        <f>VLOOKUP($B609,#REF!,5,FALSE)</f>
        <v>#REF!</v>
      </c>
      <c r="D609" s="6" t="e">
        <f>VLOOKUP($B609,#REF!,6,FALSE)</f>
        <v>#REF!</v>
      </c>
      <c r="E609" s="7" t="e">
        <f>VLOOKUP($B609,#REF!,17,FALSE)</f>
        <v>#REF!</v>
      </c>
      <c r="F609" s="8" t="e">
        <f>VLOOKUP($B609,#REF!,7,FALSE)</f>
        <v>#REF!</v>
      </c>
      <c r="G609" s="8"/>
      <c r="H609" s="8"/>
      <c r="I609" s="9" t="e">
        <f>VLOOKUP($B609,#REF!,19,FALSE)</f>
        <v>#REF!</v>
      </c>
      <c r="J609" s="9" t="e">
        <f>VLOOKUP($B609,#REF!,6,FALSE)</f>
        <v>#REF!</v>
      </c>
      <c r="L609" s="1">
        <v>44654.09374999805</v>
      </c>
      <c r="M609" s="13"/>
    </row>
    <row r="610" spans="2:13">
      <c r="B610" s="5"/>
      <c r="C610" s="6" t="e">
        <f>VLOOKUP($B610,#REF!,5,FALSE)</f>
        <v>#REF!</v>
      </c>
      <c r="D610" s="6" t="e">
        <f>VLOOKUP($B610,#REF!,6,FALSE)</f>
        <v>#REF!</v>
      </c>
      <c r="E610" s="7" t="e">
        <f>VLOOKUP($B610,#REF!,17,FALSE)</f>
        <v>#REF!</v>
      </c>
      <c r="F610" s="8" t="e">
        <f>VLOOKUP($B610,#REF!,7,FALSE)</f>
        <v>#REF!</v>
      </c>
      <c r="G610" s="8"/>
      <c r="H610" s="8"/>
      <c r="I610" s="9" t="e">
        <f>VLOOKUP($B610,#REF!,19,FALSE)</f>
        <v>#REF!</v>
      </c>
      <c r="J610" s="9" t="e">
        <f>VLOOKUP($B610,#REF!,6,FALSE)</f>
        <v>#REF!</v>
      </c>
      <c r="L610" s="1">
        <v>44654.097222220269</v>
      </c>
      <c r="M610" s="13"/>
    </row>
    <row r="611" spans="2:13">
      <c r="B611" s="5"/>
      <c r="C611" s="6" t="e">
        <f>VLOOKUP($B611,#REF!,5,FALSE)</f>
        <v>#REF!</v>
      </c>
      <c r="D611" s="6" t="e">
        <f>VLOOKUP($B611,#REF!,6,FALSE)</f>
        <v>#REF!</v>
      </c>
      <c r="E611" s="7" t="e">
        <f>VLOOKUP($B611,#REF!,17,FALSE)</f>
        <v>#REF!</v>
      </c>
      <c r="F611" s="8" t="e">
        <f>VLOOKUP($B611,#REF!,7,FALSE)</f>
        <v>#REF!</v>
      </c>
      <c r="G611" s="8"/>
      <c r="H611" s="8"/>
      <c r="I611" s="9" t="e">
        <f>VLOOKUP($B611,#REF!,19,FALSE)</f>
        <v>#REF!</v>
      </c>
      <c r="J611" s="9" t="e">
        <f>VLOOKUP($B611,#REF!,6,FALSE)</f>
        <v>#REF!</v>
      </c>
      <c r="L611" s="1">
        <v>44654.100694442488</v>
      </c>
      <c r="M611" s="13"/>
    </row>
    <row r="612" spans="2:13">
      <c r="B612" s="5"/>
      <c r="C612" s="6" t="e">
        <f>VLOOKUP($B612,#REF!,5,FALSE)</f>
        <v>#REF!</v>
      </c>
      <c r="D612" s="6" t="e">
        <f>VLOOKUP($B612,#REF!,6,FALSE)</f>
        <v>#REF!</v>
      </c>
      <c r="E612" s="7" t="e">
        <f>VLOOKUP($B612,#REF!,17,FALSE)</f>
        <v>#REF!</v>
      </c>
      <c r="F612" s="8" t="e">
        <f>VLOOKUP($B612,#REF!,7,FALSE)</f>
        <v>#REF!</v>
      </c>
      <c r="G612" s="8"/>
      <c r="H612" s="8"/>
      <c r="I612" s="9" t="e">
        <f>VLOOKUP($B612,#REF!,19,FALSE)</f>
        <v>#REF!</v>
      </c>
      <c r="J612" s="9" t="e">
        <f>VLOOKUP($B612,#REF!,6,FALSE)</f>
        <v>#REF!</v>
      </c>
      <c r="L612" s="1">
        <v>44654.104166664707</v>
      </c>
      <c r="M612" s="13"/>
    </row>
    <row r="613" spans="2:13">
      <c r="B613" s="5"/>
      <c r="C613" s="6" t="e">
        <f>VLOOKUP($B613,#REF!,5,FALSE)</f>
        <v>#REF!</v>
      </c>
      <c r="D613" s="6" t="e">
        <f>VLOOKUP($B613,#REF!,6,FALSE)</f>
        <v>#REF!</v>
      </c>
      <c r="E613" s="7" t="e">
        <f>VLOOKUP($B613,#REF!,17,FALSE)</f>
        <v>#REF!</v>
      </c>
      <c r="F613" s="8" t="e">
        <f>VLOOKUP($B613,#REF!,7,FALSE)</f>
        <v>#REF!</v>
      </c>
      <c r="G613" s="8"/>
      <c r="H613" s="8"/>
      <c r="I613" s="9" t="e">
        <f>VLOOKUP($B613,#REF!,19,FALSE)</f>
        <v>#REF!</v>
      </c>
      <c r="J613" s="9" t="e">
        <f>VLOOKUP($B613,#REF!,6,FALSE)</f>
        <v>#REF!</v>
      </c>
      <c r="L613" s="1">
        <v>44654.107638886926</v>
      </c>
      <c r="M613" s="13"/>
    </row>
    <row r="614" spans="2:13">
      <c r="B614" s="5"/>
      <c r="C614" s="6" t="e">
        <f>VLOOKUP($B614,#REF!,5,FALSE)</f>
        <v>#REF!</v>
      </c>
      <c r="D614" s="6" t="e">
        <f>VLOOKUP($B614,#REF!,6,FALSE)</f>
        <v>#REF!</v>
      </c>
      <c r="E614" s="7" t="e">
        <f>VLOOKUP($B614,#REF!,17,FALSE)</f>
        <v>#REF!</v>
      </c>
      <c r="F614" s="8" t="e">
        <f>VLOOKUP($B614,#REF!,7,FALSE)</f>
        <v>#REF!</v>
      </c>
      <c r="G614" s="8"/>
      <c r="H614" s="8"/>
      <c r="I614" s="9" t="e">
        <f>VLOOKUP($B614,#REF!,19,FALSE)</f>
        <v>#REF!</v>
      </c>
      <c r="J614" s="9" t="e">
        <f>VLOOKUP($B614,#REF!,6,FALSE)</f>
        <v>#REF!</v>
      </c>
      <c r="L614" s="1">
        <v>44654.111111109145</v>
      </c>
      <c r="M614" s="13"/>
    </row>
    <row r="615" spans="2:13">
      <c r="B615" s="5"/>
      <c r="C615" s="6" t="e">
        <f>VLOOKUP($B615,#REF!,5,FALSE)</f>
        <v>#REF!</v>
      </c>
      <c r="D615" s="6" t="e">
        <f>VLOOKUP($B615,#REF!,6,FALSE)</f>
        <v>#REF!</v>
      </c>
      <c r="E615" s="7" t="e">
        <f>VLOOKUP($B615,#REF!,17,FALSE)</f>
        <v>#REF!</v>
      </c>
      <c r="F615" s="8" t="e">
        <f>VLOOKUP($B615,#REF!,7,FALSE)</f>
        <v>#REF!</v>
      </c>
      <c r="G615" s="8"/>
      <c r="H615" s="8"/>
      <c r="I615" s="9" t="e">
        <f>VLOOKUP($B615,#REF!,19,FALSE)</f>
        <v>#REF!</v>
      </c>
      <c r="J615" s="9" t="e">
        <f>VLOOKUP($B615,#REF!,6,FALSE)</f>
        <v>#REF!</v>
      </c>
      <c r="L615" s="1">
        <v>44654.114583331364</v>
      </c>
      <c r="M615" s="13"/>
    </row>
    <row r="616" spans="2:13">
      <c r="B616" s="5"/>
      <c r="C616" s="6" t="e">
        <f>VLOOKUP($B616,#REF!,5,FALSE)</f>
        <v>#REF!</v>
      </c>
      <c r="D616" s="6" t="e">
        <f>VLOOKUP($B616,#REF!,6,FALSE)</f>
        <v>#REF!</v>
      </c>
      <c r="E616" s="7" t="e">
        <f>VLOOKUP($B616,#REF!,17,FALSE)</f>
        <v>#REF!</v>
      </c>
      <c r="F616" s="8" t="e">
        <f>VLOOKUP($B616,#REF!,7,FALSE)</f>
        <v>#REF!</v>
      </c>
      <c r="G616" s="8"/>
      <c r="H616" s="8"/>
      <c r="I616" s="9" t="e">
        <f>VLOOKUP($B616,#REF!,19,FALSE)</f>
        <v>#REF!</v>
      </c>
      <c r="J616" s="9" t="e">
        <f>VLOOKUP($B616,#REF!,6,FALSE)</f>
        <v>#REF!</v>
      </c>
      <c r="L616" s="1">
        <v>44654.118055553583</v>
      </c>
      <c r="M616" s="13"/>
    </row>
    <row r="617" spans="2:13">
      <c r="B617" s="5"/>
      <c r="C617" s="6" t="e">
        <f>VLOOKUP($B617,#REF!,5,FALSE)</f>
        <v>#REF!</v>
      </c>
      <c r="D617" s="6" t="e">
        <f>VLOOKUP($B617,#REF!,6,FALSE)</f>
        <v>#REF!</v>
      </c>
      <c r="E617" s="7" t="e">
        <f>VLOOKUP($B617,#REF!,17,FALSE)</f>
        <v>#REF!</v>
      </c>
      <c r="F617" s="8" t="e">
        <f>VLOOKUP($B617,#REF!,7,FALSE)</f>
        <v>#REF!</v>
      </c>
      <c r="G617" s="8"/>
      <c r="H617" s="8"/>
      <c r="I617" s="9" t="e">
        <f>VLOOKUP($B617,#REF!,19,FALSE)</f>
        <v>#REF!</v>
      </c>
      <c r="J617" s="9" t="e">
        <f>VLOOKUP($B617,#REF!,6,FALSE)</f>
        <v>#REF!</v>
      </c>
      <c r="L617" s="1">
        <v>44654.121527775802</v>
      </c>
      <c r="M617" s="13"/>
    </row>
    <row r="618" spans="2:13">
      <c r="B618" s="5"/>
      <c r="C618" s="6" t="e">
        <f>VLOOKUP($B618,#REF!,5,FALSE)</f>
        <v>#REF!</v>
      </c>
      <c r="D618" s="6" t="e">
        <f>VLOOKUP($B618,#REF!,6,FALSE)</f>
        <v>#REF!</v>
      </c>
      <c r="E618" s="7" t="e">
        <f>VLOOKUP($B618,#REF!,17,FALSE)</f>
        <v>#REF!</v>
      </c>
      <c r="F618" s="8" t="e">
        <f>VLOOKUP($B618,#REF!,7,FALSE)</f>
        <v>#REF!</v>
      </c>
      <c r="G618" s="8"/>
      <c r="H618" s="8"/>
      <c r="I618" s="9" t="e">
        <f>VLOOKUP($B618,#REF!,19,FALSE)</f>
        <v>#REF!</v>
      </c>
      <c r="J618" s="9" t="e">
        <f>VLOOKUP($B618,#REF!,6,FALSE)</f>
        <v>#REF!</v>
      </c>
      <c r="L618" s="1">
        <v>44654.124999998021</v>
      </c>
      <c r="M618" s="13"/>
    </row>
    <row r="619" spans="2:13">
      <c r="B619" s="5"/>
      <c r="C619" s="6" t="e">
        <f>VLOOKUP($B619,#REF!,5,FALSE)</f>
        <v>#REF!</v>
      </c>
      <c r="D619" s="6" t="e">
        <f>VLOOKUP($B619,#REF!,6,FALSE)</f>
        <v>#REF!</v>
      </c>
      <c r="E619" s="7" t="e">
        <f>VLOOKUP($B619,#REF!,17,FALSE)</f>
        <v>#REF!</v>
      </c>
      <c r="F619" s="8" t="e">
        <f>VLOOKUP($B619,#REF!,7,FALSE)</f>
        <v>#REF!</v>
      </c>
      <c r="G619" s="8"/>
      <c r="H619" s="8"/>
      <c r="I619" s="9" t="e">
        <f>VLOOKUP($B619,#REF!,19,FALSE)</f>
        <v>#REF!</v>
      </c>
      <c r="J619" s="9" t="e">
        <f>VLOOKUP($B619,#REF!,6,FALSE)</f>
        <v>#REF!</v>
      </c>
      <c r="L619" s="1">
        <v>44654.12847222024</v>
      </c>
      <c r="M619" s="13"/>
    </row>
    <row r="620" spans="2:13">
      <c r="B620" s="5"/>
      <c r="C620" s="6" t="e">
        <f>VLOOKUP($B620,#REF!,5,FALSE)</f>
        <v>#REF!</v>
      </c>
      <c r="D620" s="6" t="e">
        <f>VLOOKUP($B620,#REF!,6,FALSE)</f>
        <v>#REF!</v>
      </c>
      <c r="E620" s="7" t="e">
        <f>VLOOKUP($B620,#REF!,17,FALSE)</f>
        <v>#REF!</v>
      </c>
      <c r="F620" s="8" t="e">
        <f>VLOOKUP($B620,#REF!,7,FALSE)</f>
        <v>#REF!</v>
      </c>
      <c r="G620" s="8"/>
      <c r="H620" s="8"/>
      <c r="I620" s="9" t="e">
        <f>VLOOKUP($B620,#REF!,19,FALSE)</f>
        <v>#REF!</v>
      </c>
      <c r="J620" s="9" t="e">
        <f>VLOOKUP($B620,#REF!,6,FALSE)</f>
        <v>#REF!</v>
      </c>
      <c r="L620" s="1">
        <v>44654.131944442459</v>
      </c>
      <c r="M620" s="13"/>
    </row>
    <row r="621" spans="2:13">
      <c r="B621" s="5"/>
      <c r="C621" s="6" t="e">
        <f>VLOOKUP($B621,#REF!,5,FALSE)</f>
        <v>#REF!</v>
      </c>
      <c r="D621" s="6" t="e">
        <f>VLOOKUP($B621,#REF!,6,FALSE)</f>
        <v>#REF!</v>
      </c>
      <c r="E621" s="7" t="e">
        <f>VLOOKUP($B621,#REF!,17,FALSE)</f>
        <v>#REF!</v>
      </c>
      <c r="F621" s="8" t="e">
        <f>VLOOKUP($B621,#REF!,7,FALSE)</f>
        <v>#REF!</v>
      </c>
      <c r="G621" s="8"/>
      <c r="H621" s="8"/>
      <c r="I621" s="9" t="e">
        <f>VLOOKUP($B621,#REF!,19,FALSE)</f>
        <v>#REF!</v>
      </c>
      <c r="J621" s="9" t="e">
        <f>VLOOKUP($B621,#REF!,6,FALSE)</f>
        <v>#REF!</v>
      </c>
      <c r="L621" s="1">
        <v>44654.135416664678</v>
      </c>
      <c r="M621" s="13"/>
    </row>
    <row r="622" spans="2:13">
      <c r="B622" s="5"/>
      <c r="C622" s="6" t="e">
        <f>VLOOKUP($B622,#REF!,5,FALSE)</f>
        <v>#REF!</v>
      </c>
      <c r="D622" s="6" t="e">
        <f>VLOOKUP($B622,#REF!,6,FALSE)</f>
        <v>#REF!</v>
      </c>
      <c r="E622" s="7" t="e">
        <f>VLOOKUP($B622,#REF!,17,FALSE)</f>
        <v>#REF!</v>
      </c>
      <c r="F622" s="8" t="e">
        <f>VLOOKUP($B622,#REF!,7,FALSE)</f>
        <v>#REF!</v>
      </c>
      <c r="G622" s="8"/>
      <c r="H622" s="8"/>
      <c r="I622" s="9" t="e">
        <f>VLOOKUP($B622,#REF!,19,FALSE)</f>
        <v>#REF!</v>
      </c>
      <c r="J622" s="9" t="e">
        <f>VLOOKUP($B622,#REF!,6,FALSE)</f>
        <v>#REF!</v>
      </c>
      <c r="L622" s="1">
        <v>44654.138888886897</v>
      </c>
      <c r="M622" s="13"/>
    </row>
    <row r="623" spans="2:13">
      <c r="B623" s="5"/>
      <c r="C623" s="6" t="e">
        <f>VLOOKUP($B623,#REF!,5,FALSE)</f>
        <v>#REF!</v>
      </c>
      <c r="D623" s="6" t="e">
        <f>VLOOKUP($B623,#REF!,6,FALSE)</f>
        <v>#REF!</v>
      </c>
      <c r="E623" s="7" t="e">
        <f>VLOOKUP($B623,#REF!,17,FALSE)</f>
        <v>#REF!</v>
      </c>
      <c r="F623" s="8" t="e">
        <f>VLOOKUP($B623,#REF!,7,FALSE)</f>
        <v>#REF!</v>
      </c>
      <c r="G623" s="8"/>
      <c r="H623" s="8"/>
      <c r="I623" s="9" t="e">
        <f>VLOOKUP($B623,#REF!,19,FALSE)</f>
        <v>#REF!</v>
      </c>
      <c r="J623" s="9" t="e">
        <f>VLOOKUP($B623,#REF!,6,FALSE)</f>
        <v>#REF!</v>
      </c>
      <c r="L623" s="1">
        <v>44654.142361109116</v>
      </c>
      <c r="M623" s="13"/>
    </row>
    <row r="624" spans="2:13">
      <c r="B624" s="5"/>
      <c r="C624" s="6" t="e">
        <f>VLOOKUP($B624,#REF!,5,FALSE)</f>
        <v>#REF!</v>
      </c>
      <c r="D624" s="6" t="e">
        <f>VLOOKUP($B624,#REF!,6,FALSE)</f>
        <v>#REF!</v>
      </c>
      <c r="E624" s="7" t="e">
        <f>VLOOKUP($B624,#REF!,17,FALSE)</f>
        <v>#REF!</v>
      </c>
      <c r="F624" s="8" t="e">
        <f>VLOOKUP($B624,#REF!,7,FALSE)</f>
        <v>#REF!</v>
      </c>
      <c r="G624" s="8"/>
      <c r="H624" s="8"/>
      <c r="I624" s="9" t="e">
        <f>VLOOKUP($B624,#REF!,19,FALSE)</f>
        <v>#REF!</v>
      </c>
      <c r="J624" s="9" t="e">
        <f>VLOOKUP($B624,#REF!,6,FALSE)</f>
        <v>#REF!</v>
      </c>
      <c r="L624" s="1">
        <v>44654.145833331335</v>
      </c>
      <c r="M624" s="13"/>
    </row>
    <row r="625" spans="2:13">
      <c r="B625" s="5"/>
      <c r="C625" s="6" t="e">
        <f>VLOOKUP($B625,#REF!,5,FALSE)</f>
        <v>#REF!</v>
      </c>
      <c r="D625" s="6" t="e">
        <f>VLOOKUP($B625,#REF!,6,FALSE)</f>
        <v>#REF!</v>
      </c>
      <c r="E625" s="7" t="e">
        <f>VLOOKUP($B625,#REF!,17,FALSE)</f>
        <v>#REF!</v>
      </c>
      <c r="F625" s="8" t="e">
        <f>VLOOKUP($B625,#REF!,7,FALSE)</f>
        <v>#REF!</v>
      </c>
      <c r="G625" s="8"/>
      <c r="H625" s="8"/>
      <c r="I625" s="9" t="e">
        <f>VLOOKUP($B625,#REF!,19,FALSE)</f>
        <v>#REF!</v>
      </c>
      <c r="J625" s="9" t="e">
        <f>VLOOKUP($B625,#REF!,6,FALSE)</f>
        <v>#REF!</v>
      </c>
      <c r="L625" s="1">
        <v>44654.149305553554</v>
      </c>
      <c r="M625" s="13"/>
    </row>
    <row r="626" spans="2:13">
      <c r="B626" s="5"/>
      <c r="C626" s="6" t="e">
        <f>VLOOKUP($B626,#REF!,5,FALSE)</f>
        <v>#REF!</v>
      </c>
      <c r="D626" s="6" t="e">
        <f>VLOOKUP($B626,#REF!,6,FALSE)</f>
        <v>#REF!</v>
      </c>
      <c r="E626" s="7" t="e">
        <f>VLOOKUP($B626,#REF!,17,FALSE)</f>
        <v>#REF!</v>
      </c>
      <c r="F626" s="8" t="e">
        <f>VLOOKUP($B626,#REF!,7,FALSE)</f>
        <v>#REF!</v>
      </c>
      <c r="G626" s="8"/>
      <c r="H626" s="8"/>
      <c r="I626" s="9" t="e">
        <f>VLOOKUP($B626,#REF!,19,FALSE)</f>
        <v>#REF!</v>
      </c>
      <c r="J626" s="9" t="e">
        <f>VLOOKUP($B626,#REF!,6,FALSE)</f>
        <v>#REF!</v>
      </c>
      <c r="L626" s="1">
        <v>44654.152777775773</v>
      </c>
      <c r="M626" s="13"/>
    </row>
    <row r="627" spans="2:13">
      <c r="B627" s="5"/>
      <c r="C627" s="6" t="e">
        <f>VLOOKUP($B627,#REF!,5,FALSE)</f>
        <v>#REF!</v>
      </c>
      <c r="D627" s="6" t="e">
        <f>VLOOKUP($B627,#REF!,6,FALSE)</f>
        <v>#REF!</v>
      </c>
      <c r="E627" s="7" t="e">
        <f>VLOOKUP($B627,#REF!,17,FALSE)</f>
        <v>#REF!</v>
      </c>
      <c r="F627" s="8" t="e">
        <f>VLOOKUP($B627,#REF!,7,FALSE)</f>
        <v>#REF!</v>
      </c>
      <c r="G627" s="8"/>
      <c r="H627" s="8"/>
      <c r="I627" s="9" t="e">
        <f>VLOOKUP($B627,#REF!,19,FALSE)</f>
        <v>#REF!</v>
      </c>
      <c r="J627" s="9" t="e">
        <f>VLOOKUP($B627,#REF!,6,FALSE)</f>
        <v>#REF!</v>
      </c>
      <c r="L627" s="1">
        <v>44654.156249997992</v>
      </c>
      <c r="M627" s="13"/>
    </row>
    <row r="628" spans="2:13">
      <c r="B628" s="5"/>
      <c r="C628" s="6" t="e">
        <f>VLOOKUP($B628,#REF!,5,FALSE)</f>
        <v>#REF!</v>
      </c>
      <c r="D628" s="6" t="e">
        <f>VLOOKUP($B628,#REF!,6,FALSE)</f>
        <v>#REF!</v>
      </c>
      <c r="E628" s="7" t="e">
        <f>VLOOKUP($B628,#REF!,17,FALSE)</f>
        <v>#REF!</v>
      </c>
      <c r="F628" s="8" t="e">
        <f>VLOOKUP($B628,#REF!,7,FALSE)</f>
        <v>#REF!</v>
      </c>
      <c r="G628" s="8"/>
      <c r="H628" s="8"/>
      <c r="I628" s="9" t="e">
        <f>VLOOKUP($B628,#REF!,19,FALSE)</f>
        <v>#REF!</v>
      </c>
      <c r="J628" s="9" t="e">
        <f>VLOOKUP($B628,#REF!,6,FALSE)</f>
        <v>#REF!</v>
      </c>
      <c r="L628" s="1">
        <v>44654.159722220211</v>
      </c>
      <c r="M628" s="13"/>
    </row>
    <row r="629" spans="2:13">
      <c r="B629" s="5"/>
      <c r="C629" s="6" t="e">
        <f>VLOOKUP($B629,#REF!,5,FALSE)</f>
        <v>#REF!</v>
      </c>
      <c r="D629" s="6" t="e">
        <f>VLOOKUP($B629,#REF!,6,FALSE)</f>
        <v>#REF!</v>
      </c>
      <c r="E629" s="7" t="e">
        <f>VLOOKUP($B629,#REF!,17,FALSE)</f>
        <v>#REF!</v>
      </c>
      <c r="F629" s="8" t="e">
        <f>VLOOKUP($B629,#REF!,7,FALSE)</f>
        <v>#REF!</v>
      </c>
      <c r="G629" s="8"/>
      <c r="H629" s="8"/>
      <c r="I629" s="9" t="e">
        <f>VLOOKUP($B629,#REF!,19,FALSE)</f>
        <v>#REF!</v>
      </c>
      <c r="J629" s="9" t="e">
        <f>VLOOKUP($B629,#REF!,6,FALSE)</f>
        <v>#REF!</v>
      </c>
      <c r="L629" s="1">
        <v>44654.16319444243</v>
      </c>
      <c r="M629" s="13"/>
    </row>
    <row r="630" spans="2:13">
      <c r="B630" s="5"/>
      <c r="C630" s="6" t="e">
        <f>VLOOKUP($B630,#REF!,5,FALSE)</f>
        <v>#REF!</v>
      </c>
      <c r="D630" s="6" t="e">
        <f>VLOOKUP($B630,#REF!,6,FALSE)</f>
        <v>#REF!</v>
      </c>
      <c r="E630" s="7" t="e">
        <f>VLOOKUP($B630,#REF!,17,FALSE)</f>
        <v>#REF!</v>
      </c>
      <c r="F630" s="8" t="e">
        <f>VLOOKUP($B630,#REF!,7,FALSE)</f>
        <v>#REF!</v>
      </c>
      <c r="G630" s="8"/>
      <c r="H630" s="8"/>
      <c r="I630" s="9" t="e">
        <f>VLOOKUP($B630,#REF!,19,FALSE)</f>
        <v>#REF!</v>
      </c>
      <c r="J630" s="9" t="e">
        <f>VLOOKUP($B630,#REF!,6,FALSE)</f>
        <v>#REF!</v>
      </c>
      <c r="L630" s="1">
        <v>44654.166666664649</v>
      </c>
      <c r="M630" s="13"/>
    </row>
    <row r="631" spans="2:13">
      <c r="B631" s="5"/>
      <c r="C631" s="6" t="e">
        <f>VLOOKUP($B631,#REF!,5,FALSE)</f>
        <v>#REF!</v>
      </c>
      <c r="D631" s="6" t="e">
        <f>VLOOKUP($B631,#REF!,6,FALSE)</f>
        <v>#REF!</v>
      </c>
      <c r="E631" s="7" t="e">
        <f>VLOOKUP($B631,#REF!,17,FALSE)</f>
        <v>#REF!</v>
      </c>
      <c r="F631" s="8" t="e">
        <f>VLOOKUP($B631,#REF!,7,FALSE)</f>
        <v>#REF!</v>
      </c>
      <c r="G631" s="8"/>
      <c r="H631" s="8"/>
      <c r="I631" s="9" t="e">
        <f>VLOOKUP($B631,#REF!,19,FALSE)</f>
        <v>#REF!</v>
      </c>
      <c r="J631" s="9" t="e">
        <f>VLOOKUP($B631,#REF!,6,FALSE)</f>
        <v>#REF!</v>
      </c>
      <c r="L631" s="1">
        <v>44654.170138886868</v>
      </c>
      <c r="M631" s="13"/>
    </row>
    <row r="632" spans="2:13">
      <c r="B632" s="5"/>
      <c r="C632" s="6" t="e">
        <f>VLOOKUP($B632,#REF!,5,FALSE)</f>
        <v>#REF!</v>
      </c>
      <c r="D632" s="6" t="e">
        <f>VLOOKUP($B632,#REF!,6,FALSE)</f>
        <v>#REF!</v>
      </c>
      <c r="E632" s="7" t="e">
        <f>VLOOKUP($B632,#REF!,17,FALSE)</f>
        <v>#REF!</v>
      </c>
      <c r="F632" s="8" t="e">
        <f>VLOOKUP($B632,#REF!,7,FALSE)</f>
        <v>#REF!</v>
      </c>
      <c r="G632" s="8"/>
      <c r="H632" s="8"/>
      <c r="I632" s="9" t="e">
        <f>VLOOKUP($B632,#REF!,19,FALSE)</f>
        <v>#REF!</v>
      </c>
      <c r="J632" s="9" t="e">
        <f>VLOOKUP($B632,#REF!,6,FALSE)</f>
        <v>#REF!</v>
      </c>
      <c r="L632" s="1">
        <v>44654.173611109087</v>
      </c>
      <c r="M632" s="13"/>
    </row>
    <row r="633" spans="2:13">
      <c r="B633" s="5"/>
      <c r="C633" s="6" t="e">
        <f>VLOOKUP($B633,#REF!,5,FALSE)</f>
        <v>#REF!</v>
      </c>
      <c r="D633" s="6" t="e">
        <f>VLOOKUP($B633,#REF!,6,FALSE)</f>
        <v>#REF!</v>
      </c>
      <c r="E633" s="7" t="e">
        <f>VLOOKUP($B633,#REF!,17,FALSE)</f>
        <v>#REF!</v>
      </c>
      <c r="F633" s="8" t="e">
        <f>VLOOKUP($B633,#REF!,7,FALSE)</f>
        <v>#REF!</v>
      </c>
      <c r="G633" s="8"/>
      <c r="H633" s="8"/>
      <c r="I633" s="9" t="e">
        <f>VLOOKUP($B633,#REF!,19,FALSE)</f>
        <v>#REF!</v>
      </c>
      <c r="J633" s="9" t="e">
        <f>VLOOKUP($B633,#REF!,6,FALSE)</f>
        <v>#REF!</v>
      </c>
      <c r="L633" s="1">
        <v>44654.177083331306</v>
      </c>
      <c r="M633" s="13"/>
    </row>
    <row r="634" spans="2:13">
      <c r="B634" s="5"/>
      <c r="C634" s="6" t="e">
        <f>VLOOKUP($B634,#REF!,5,FALSE)</f>
        <v>#REF!</v>
      </c>
      <c r="D634" s="6" t="e">
        <f>VLOOKUP($B634,#REF!,6,FALSE)</f>
        <v>#REF!</v>
      </c>
      <c r="E634" s="7" t="e">
        <f>VLOOKUP($B634,#REF!,17,FALSE)</f>
        <v>#REF!</v>
      </c>
      <c r="F634" s="8" t="e">
        <f>VLOOKUP($B634,#REF!,7,FALSE)</f>
        <v>#REF!</v>
      </c>
      <c r="G634" s="8"/>
      <c r="H634" s="8"/>
      <c r="I634" s="9" t="e">
        <f>VLOOKUP($B634,#REF!,19,FALSE)</f>
        <v>#REF!</v>
      </c>
      <c r="J634" s="9" t="e">
        <f>VLOOKUP($B634,#REF!,6,FALSE)</f>
        <v>#REF!</v>
      </c>
      <c r="L634" s="1">
        <v>44654.180555553525</v>
      </c>
      <c r="M634" s="13"/>
    </row>
    <row r="635" spans="2:13">
      <c r="B635" s="5"/>
      <c r="C635" s="6" t="e">
        <f>VLOOKUP($B635,#REF!,5,FALSE)</f>
        <v>#REF!</v>
      </c>
      <c r="D635" s="6" t="e">
        <f>VLOOKUP($B635,#REF!,6,FALSE)</f>
        <v>#REF!</v>
      </c>
      <c r="E635" s="7" t="e">
        <f>VLOOKUP($B635,#REF!,17,FALSE)</f>
        <v>#REF!</v>
      </c>
      <c r="F635" s="8" t="e">
        <f>VLOOKUP($B635,#REF!,7,FALSE)</f>
        <v>#REF!</v>
      </c>
      <c r="G635" s="8"/>
      <c r="H635" s="8"/>
      <c r="I635" s="9" t="e">
        <f>VLOOKUP($B635,#REF!,19,FALSE)</f>
        <v>#REF!</v>
      </c>
      <c r="J635" s="9" t="e">
        <f>VLOOKUP($B635,#REF!,6,FALSE)</f>
        <v>#REF!</v>
      </c>
      <c r="L635" s="1">
        <v>44654.184027775744</v>
      </c>
      <c r="M635" s="13"/>
    </row>
    <row r="636" spans="2:13">
      <c r="B636" s="5"/>
      <c r="C636" s="6" t="e">
        <f>VLOOKUP($B636,#REF!,5,FALSE)</f>
        <v>#REF!</v>
      </c>
      <c r="D636" s="6" t="e">
        <f>VLOOKUP($B636,#REF!,6,FALSE)</f>
        <v>#REF!</v>
      </c>
      <c r="E636" s="7" t="e">
        <f>VLOOKUP($B636,#REF!,17,FALSE)</f>
        <v>#REF!</v>
      </c>
      <c r="F636" s="8" t="e">
        <f>VLOOKUP($B636,#REF!,7,FALSE)</f>
        <v>#REF!</v>
      </c>
      <c r="G636" s="8"/>
      <c r="H636" s="8"/>
      <c r="I636" s="9" t="e">
        <f>VLOOKUP($B636,#REF!,19,FALSE)</f>
        <v>#REF!</v>
      </c>
      <c r="J636" s="9" t="e">
        <f>VLOOKUP($B636,#REF!,6,FALSE)</f>
        <v>#REF!</v>
      </c>
      <c r="L636" s="1">
        <v>44654.187499997963</v>
      </c>
      <c r="M636" s="13"/>
    </row>
    <row r="637" spans="2:13">
      <c r="B637" s="5"/>
      <c r="C637" s="6" t="e">
        <f>VLOOKUP($B637,#REF!,5,FALSE)</f>
        <v>#REF!</v>
      </c>
      <c r="D637" s="6" t="e">
        <f>VLOOKUP($B637,#REF!,6,FALSE)</f>
        <v>#REF!</v>
      </c>
      <c r="E637" s="7" t="e">
        <f>VLOOKUP($B637,#REF!,17,FALSE)</f>
        <v>#REF!</v>
      </c>
      <c r="F637" s="8" t="e">
        <f>VLOOKUP($B637,#REF!,7,FALSE)</f>
        <v>#REF!</v>
      </c>
      <c r="G637" s="8"/>
      <c r="H637" s="8"/>
      <c r="I637" s="9" t="e">
        <f>VLOOKUP($B637,#REF!,19,FALSE)</f>
        <v>#REF!</v>
      </c>
      <c r="J637" s="9" t="e">
        <f>VLOOKUP($B637,#REF!,6,FALSE)</f>
        <v>#REF!</v>
      </c>
      <c r="L637" s="1">
        <v>44654.190972220182</v>
      </c>
      <c r="M637" s="13"/>
    </row>
    <row r="638" spans="2:13">
      <c r="B638" s="5"/>
      <c r="C638" s="6" t="e">
        <f>VLOOKUP($B638,#REF!,5,FALSE)</f>
        <v>#REF!</v>
      </c>
      <c r="D638" s="6" t="e">
        <f>VLOOKUP($B638,#REF!,6,FALSE)</f>
        <v>#REF!</v>
      </c>
      <c r="E638" s="7" t="e">
        <f>VLOOKUP($B638,#REF!,17,FALSE)</f>
        <v>#REF!</v>
      </c>
      <c r="F638" s="8" t="e">
        <f>VLOOKUP($B638,#REF!,7,FALSE)</f>
        <v>#REF!</v>
      </c>
      <c r="G638" s="8"/>
      <c r="H638" s="8"/>
      <c r="I638" s="9" t="e">
        <f>VLOOKUP($B638,#REF!,19,FALSE)</f>
        <v>#REF!</v>
      </c>
      <c r="J638" s="9" t="e">
        <f>VLOOKUP($B638,#REF!,6,FALSE)</f>
        <v>#REF!</v>
      </c>
      <c r="L638" s="1">
        <v>44654.194444442401</v>
      </c>
      <c r="M638" s="13"/>
    </row>
    <row r="639" spans="2:13">
      <c r="B639" s="5"/>
      <c r="C639" s="6" t="e">
        <f>VLOOKUP($B639,#REF!,5,FALSE)</f>
        <v>#REF!</v>
      </c>
      <c r="D639" s="6" t="e">
        <f>VLOOKUP($B639,#REF!,6,FALSE)</f>
        <v>#REF!</v>
      </c>
      <c r="E639" s="7" t="e">
        <f>VLOOKUP($B639,#REF!,17,FALSE)</f>
        <v>#REF!</v>
      </c>
      <c r="F639" s="8" t="e">
        <f>VLOOKUP($B639,#REF!,7,FALSE)</f>
        <v>#REF!</v>
      </c>
      <c r="G639" s="8"/>
      <c r="H639" s="8"/>
      <c r="I639" s="9" t="e">
        <f>VLOOKUP($B639,#REF!,19,FALSE)</f>
        <v>#REF!</v>
      </c>
      <c r="J639" s="9" t="e">
        <f>VLOOKUP($B639,#REF!,6,FALSE)</f>
        <v>#REF!</v>
      </c>
      <c r="L639" s="1">
        <v>44654.19791666462</v>
      </c>
      <c r="M639" s="13"/>
    </row>
    <row r="640" spans="2:13">
      <c r="B640" s="5"/>
      <c r="C640" s="6" t="e">
        <f>VLOOKUP($B640,#REF!,5,FALSE)</f>
        <v>#REF!</v>
      </c>
      <c r="D640" s="6" t="e">
        <f>VLOOKUP($B640,#REF!,6,FALSE)</f>
        <v>#REF!</v>
      </c>
      <c r="E640" s="7" t="e">
        <f>VLOOKUP($B640,#REF!,17,FALSE)</f>
        <v>#REF!</v>
      </c>
      <c r="F640" s="8" t="e">
        <f>VLOOKUP($B640,#REF!,7,FALSE)</f>
        <v>#REF!</v>
      </c>
      <c r="G640" s="8"/>
      <c r="H640" s="8"/>
      <c r="I640" s="9" t="e">
        <f>VLOOKUP($B640,#REF!,19,FALSE)</f>
        <v>#REF!</v>
      </c>
      <c r="J640" s="9" t="e">
        <f>VLOOKUP($B640,#REF!,6,FALSE)</f>
        <v>#REF!</v>
      </c>
      <c r="L640" s="1">
        <v>44654.201388886839</v>
      </c>
      <c r="M640" s="13"/>
    </row>
    <row r="641" spans="2:13">
      <c r="B641" s="5"/>
      <c r="C641" s="6" t="e">
        <f>VLOOKUP($B641,#REF!,5,FALSE)</f>
        <v>#REF!</v>
      </c>
      <c r="D641" s="6" t="e">
        <f>VLOOKUP($B641,#REF!,6,FALSE)</f>
        <v>#REF!</v>
      </c>
      <c r="E641" s="7" t="e">
        <f>VLOOKUP($B641,#REF!,17,FALSE)</f>
        <v>#REF!</v>
      </c>
      <c r="F641" s="8" t="e">
        <f>VLOOKUP($B641,#REF!,7,FALSE)</f>
        <v>#REF!</v>
      </c>
      <c r="G641" s="8"/>
      <c r="H641" s="8"/>
      <c r="I641" s="9" t="e">
        <f>VLOOKUP($B641,#REF!,19,FALSE)</f>
        <v>#REF!</v>
      </c>
      <c r="J641" s="9" t="e">
        <f>VLOOKUP($B641,#REF!,6,FALSE)</f>
        <v>#REF!</v>
      </c>
      <c r="L641" s="1">
        <v>44654.204861109058</v>
      </c>
      <c r="M641" s="13"/>
    </row>
    <row r="642" spans="2:13">
      <c r="B642" s="5"/>
      <c r="C642" s="6" t="e">
        <f>VLOOKUP($B642,#REF!,5,FALSE)</f>
        <v>#REF!</v>
      </c>
      <c r="D642" s="6" t="e">
        <f>VLOOKUP($B642,#REF!,6,FALSE)</f>
        <v>#REF!</v>
      </c>
      <c r="E642" s="7" t="e">
        <f>VLOOKUP($B642,#REF!,17,FALSE)</f>
        <v>#REF!</v>
      </c>
      <c r="F642" s="8" t="e">
        <f>VLOOKUP($B642,#REF!,7,FALSE)</f>
        <v>#REF!</v>
      </c>
      <c r="G642" s="8"/>
      <c r="H642" s="8"/>
      <c r="I642" s="9" t="e">
        <f>VLOOKUP($B642,#REF!,19,FALSE)</f>
        <v>#REF!</v>
      </c>
      <c r="J642" s="9" t="e">
        <f>VLOOKUP($B642,#REF!,6,FALSE)</f>
        <v>#REF!</v>
      </c>
      <c r="L642" s="1">
        <v>44654.208333331277</v>
      </c>
      <c r="M642" s="13"/>
    </row>
    <row r="643" spans="2:13">
      <c r="B643" s="5"/>
      <c r="C643" s="6" t="e">
        <f>VLOOKUP($B643,#REF!,5,FALSE)</f>
        <v>#REF!</v>
      </c>
      <c r="D643" s="6" t="e">
        <f>VLOOKUP($B643,#REF!,6,FALSE)</f>
        <v>#REF!</v>
      </c>
      <c r="E643" s="7" t="e">
        <f>VLOOKUP($B643,#REF!,17,FALSE)</f>
        <v>#REF!</v>
      </c>
      <c r="F643" s="8" t="e">
        <f>VLOOKUP($B643,#REF!,7,FALSE)</f>
        <v>#REF!</v>
      </c>
      <c r="G643" s="8"/>
      <c r="H643" s="8"/>
      <c r="I643" s="9" t="e">
        <f>VLOOKUP($B643,#REF!,19,FALSE)</f>
        <v>#REF!</v>
      </c>
      <c r="J643" s="9" t="e">
        <f>VLOOKUP($B643,#REF!,6,FALSE)</f>
        <v>#REF!</v>
      </c>
      <c r="L643" s="1">
        <v>44654.211805553496</v>
      </c>
      <c r="M643" s="13"/>
    </row>
    <row r="644" spans="2:13">
      <c r="B644" s="5"/>
      <c r="C644" s="6" t="e">
        <f>VLOOKUP($B644,#REF!,5,FALSE)</f>
        <v>#REF!</v>
      </c>
      <c r="D644" s="6" t="e">
        <f>VLOOKUP($B644,#REF!,6,FALSE)</f>
        <v>#REF!</v>
      </c>
      <c r="E644" s="7" t="e">
        <f>VLOOKUP($B644,#REF!,17,FALSE)</f>
        <v>#REF!</v>
      </c>
      <c r="F644" s="8" t="e">
        <f>VLOOKUP($B644,#REF!,7,FALSE)</f>
        <v>#REF!</v>
      </c>
      <c r="G644" s="8"/>
      <c r="H644" s="8"/>
      <c r="I644" s="9" t="e">
        <f>VLOOKUP($B644,#REF!,19,FALSE)</f>
        <v>#REF!</v>
      </c>
      <c r="J644" s="9" t="e">
        <f>VLOOKUP($B644,#REF!,6,FALSE)</f>
        <v>#REF!</v>
      </c>
      <c r="L644" s="1">
        <v>44654.215277775715</v>
      </c>
      <c r="M644" s="13"/>
    </row>
    <row r="645" spans="2:13">
      <c r="B645" s="5"/>
      <c r="C645" s="6" t="e">
        <f>VLOOKUP($B645,#REF!,5,FALSE)</f>
        <v>#REF!</v>
      </c>
      <c r="D645" s="6" t="e">
        <f>VLOOKUP($B645,#REF!,6,FALSE)</f>
        <v>#REF!</v>
      </c>
      <c r="E645" s="7" t="e">
        <f>VLOOKUP($B645,#REF!,17,FALSE)</f>
        <v>#REF!</v>
      </c>
      <c r="F645" s="8" t="e">
        <f>VLOOKUP($B645,#REF!,7,FALSE)</f>
        <v>#REF!</v>
      </c>
      <c r="G645" s="8"/>
      <c r="H645" s="8"/>
      <c r="I645" s="9" t="e">
        <f>VLOOKUP($B645,#REF!,19,FALSE)</f>
        <v>#REF!</v>
      </c>
      <c r="J645" s="9" t="e">
        <f>VLOOKUP($B645,#REF!,6,FALSE)</f>
        <v>#REF!</v>
      </c>
      <c r="L645" s="1">
        <v>44654.218749997934</v>
      </c>
      <c r="M645" s="13"/>
    </row>
    <row r="646" spans="2:13">
      <c r="B646" s="5"/>
      <c r="C646" s="6" t="e">
        <f>VLOOKUP($B646,#REF!,5,FALSE)</f>
        <v>#REF!</v>
      </c>
      <c r="D646" s="6" t="e">
        <f>VLOOKUP($B646,#REF!,6,FALSE)</f>
        <v>#REF!</v>
      </c>
      <c r="E646" s="7" t="e">
        <f>VLOOKUP($B646,#REF!,17,FALSE)</f>
        <v>#REF!</v>
      </c>
      <c r="F646" s="8" t="e">
        <f>VLOOKUP($B646,#REF!,7,FALSE)</f>
        <v>#REF!</v>
      </c>
      <c r="G646" s="8"/>
      <c r="H646" s="8"/>
      <c r="I646" s="9" t="e">
        <f>VLOOKUP($B646,#REF!,19,FALSE)</f>
        <v>#REF!</v>
      </c>
      <c r="J646" s="9" t="e">
        <f>VLOOKUP($B646,#REF!,6,FALSE)</f>
        <v>#REF!</v>
      </c>
      <c r="L646" s="1">
        <v>44654.222222220153</v>
      </c>
      <c r="M646" s="13"/>
    </row>
    <row r="647" spans="2:13">
      <c r="B647" s="5"/>
      <c r="C647" s="6" t="e">
        <f>VLOOKUP($B647,#REF!,5,FALSE)</f>
        <v>#REF!</v>
      </c>
      <c r="D647" s="6" t="e">
        <f>VLOOKUP($B647,#REF!,6,FALSE)</f>
        <v>#REF!</v>
      </c>
      <c r="E647" s="7" t="e">
        <f>VLOOKUP($B647,#REF!,17,FALSE)</f>
        <v>#REF!</v>
      </c>
      <c r="F647" s="8" t="e">
        <f>VLOOKUP($B647,#REF!,7,FALSE)</f>
        <v>#REF!</v>
      </c>
      <c r="G647" s="8"/>
      <c r="H647" s="8"/>
      <c r="I647" s="9" t="e">
        <f>VLOOKUP($B647,#REF!,19,FALSE)</f>
        <v>#REF!</v>
      </c>
      <c r="J647" s="9" t="e">
        <f>VLOOKUP($B647,#REF!,6,FALSE)</f>
        <v>#REF!</v>
      </c>
      <c r="L647" s="1">
        <v>44654.225694442372</v>
      </c>
      <c r="M647" s="13"/>
    </row>
    <row r="648" spans="2:13">
      <c r="B648" s="5"/>
      <c r="C648" s="6" t="e">
        <f>VLOOKUP($B648,#REF!,5,FALSE)</f>
        <v>#REF!</v>
      </c>
      <c r="D648" s="6" t="e">
        <f>VLOOKUP($B648,#REF!,6,FALSE)</f>
        <v>#REF!</v>
      </c>
      <c r="E648" s="7" t="e">
        <f>VLOOKUP($B648,#REF!,17,FALSE)</f>
        <v>#REF!</v>
      </c>
      <c r="F648" s="8" t="e">
        <f>VLOOKUP($B648,#REF!,7,FALSE)</f>
        <v>#REF!</v>
      </c>
      <c r="G648" s="8"/>
      <c r="H648" s="8"/>
      <c r="I648" s="9" t="e">
        <f>VLOOKUP($B648,#REF!,19,FALSE)</f>
        <v>#REF!</v>
      </c>
      <c r="J648" s="9" t="e">
        <f>VLOOKUP($B648,#REF!,6,FALSE)</f>
        <v>#REF!</v>
      </c>
      <c r="L648" s="1">
        <v>44654.229166664591</v>
      </c>
      <c r="M648" s="13"/>
    </row>
    <row r="649" spans="2:13">
      <c r="B649" s="5"/>
      <c r="C649" s="6" t="e">
        <f>VLOOKUP($B649,#REF!,5,FALSE)</f>
        <v>#REF!</v>
      </c>
      <c r="D649" s="6" t="e">
        <f>VLOOKUP($B649,#REF!,6,FALSE)</f>
        <v>#REF!</v>
      </c>
      <c r="E649" s="7" t="e">
        <f>VLOOKUP($B649,#REF!,17,FALSE)</f>
        <v>#REF!</v>
      </c>
      <c r="F649" s="8" t="e">
        <f>VLOOKUP($B649,#REF!,7,FALSE)</f>
        <v>#REF!</v>
      </c>
      <c r="G649" s="8"/>
      <c r="H649" s="8"/>
      <c r="I649" s="9" t="e">
        <f>VLOOKUP($B649,#REF!,19,FALSE)</f>
        <v>#REF!</v>
      </c>
      <c r="J649" s="9" t="e">
        <f>VLOOKUP($B649,#REF!,6,FALSE)</f>
        <v>#REF!</v>
      </c>
      <c r="L649" s="1">
        <v>44654.23263888681</v>
      </c>
      <c r="M649" s="13"/>
    </row>
    <row r="650" spans="2:13">
      <c r="B650" s="5"/>
      <c r="C650" s="6" t="e">
        <f>VLOOKUP($B650,#REF!,5,FALSE)</f>
        <v>#REF!</v>
      </c>
      <c r="D650" s="6" t="e">
        <f>VLOOKUP($B650,#REF!,6,FALSE)</f>
        <v>#REF!</v>
      </c>
      <c r="E650" s="7" t="e">
        <f>VLOOKUP($B650,#REF!,17,FALSE)</f>
        <v>#REF!</v>
      </c>
      <c r="F650" s="8" t="e">
        <f>VLOOKUP($B650,#REF!,7,FALSE)</f>
        <v>#REF!</v>
      </c>
      <c r="G650" s="8"/>
      <c r="H650" s="8"/>
      <c r="I650" s="9" t="e">
        <f>VLOOKUP($B650,#REF!,19,FALSE)</f>
        <v>#REF!</v>
      </c>
      <c r="J650" s="9" t="e">
        <f>VLOOKUP($B650,#REF!,6,FALSE)</f>
        <v>#REF!</v>
      </c>
      <c r="L650" s="1">
        <v>44654.236111109029</v>
      </c>
      <c r="M650" s="13"/>
    </row>
    <row r="651" spans="2:13">
      <c r="B651" s="5"/>
      <c r="C651" s="6" t="e">
        <f>VLOOKUP($B651,#REF!,5,FALSE)</f>
        <v>#REF!</v>
      </c>
      <c r="D651" s="6" t="e">
        <f>VLOOKUP($B651,#REF!,6,FALSE)</f>
        <v>#REF!</v>
      </c>
      <c r="E651" s="7" t="e">
        <f>VLOOKUP($B651,#REF!,17,FALSE)</f>
        <v>#REF!</v>
      </c>
      <c r="F651" s="8" t="e">
        <f>VLOOKUP($B651,#REF!,7,FALSE)</f>
        <v>#REF!</v>
      </c>
      <c r="G651" s="8"/>
      <c r="H651" s="8"/>
      <c r="I651" s="9" t="e">
        <f>VLOOKUP($B651,#REF!,19,FALSE)</f>
        <v>#REF!</v>
      </c>
      <c r="J651" s="9" t="e">
        <f>VLOOKUP($B651,#REF!,6,FALSE)</f>
        <v>#REF!</v>
      </c>
      <c r="L651" s="1">
        <v>44654.239583331248</v>
      </c>
      <c r="M651" s="13"/>
    </row>
    <row r="652" spans="2:13">
      <c r="B652" s="5"/>
      <c r="C652" s="6" t="e">
        <f>VLOOKUP($B652,#REF!,5,FALSE)</f>
        <v>#REF!</v>
      </c>
      <c r="D652" s="6" t="e">
        <f>VLOOKUP($B652,#REF!,6,FALSE)</f>
        <v>#REF!</v>
      </c>
      <c r="E652" s="7" t="e">
        <f>VLOOKUP($B652,#REF!,17,FALSE)</f>
        <v>#REF!</v>
      </c>
      <c r="F652" s="8" t="e">
        <f>VLOOKUP($B652,#REF!,7,FALSE)</f>
        <v>#REF!</v>
      </c>
      <c r="G652" s="8"/>
      <c r="H652" s="8"/>
      <c r="I652" s="9" t="e">
        <f>VLOOKUP($B652,#REF!,19,FALSE)</f>
        <v>#REF!</v>
      </c>
      <c r="J652" s="9" t="e">
        <f>VLOOKUP($B652,#REF!,6,FALSE)</f>
        <v>#REF!</v>
      </c>
      <c r="L652" s="1">
        <v>44654.243055553467</v>
      </c>
      <c r="M652" s="13"/>
    </row>
    <row r="653" spans="2:13">
      <c r="B653" s="5"/>
      <c r="C653" s="6" t="e">
        <f>VLOOKUP($B653,#REF!,5,FALSE)</f>
        <v>#REF!</v>
      </c>
      <c r="D653" s="6" t="e">
        <f>VLOOKUP($B653,#REF!,6,FALSE)</f>
        <v>#REF!</v>
      </c>
      <c r="E653" s="7" t="e">
        <f>VLOOKUP($B653,#REF!,17,FALSE)</f>
        <v>#REF!</v>
      </c>
      <c r="F653" s="8" t="e">
        <f>VLOOKUP($B653,#REF!,7,FALSE)</f>
        <v>#REF!</v>
      </c>
      <c r="G653" s="8"/>
      <c r="H653" s="8"/>
      <c r="I653" s="9" t="e">
        <f>VLOOKUP($B653,#REF!,19,FALSE)</f>
        <v>#REF!</v>
      </c>
      <c r="J653" s="9" t="e">
        <f>VLOOKUP($B653,#REF!,6,FALSE)</f>
        <v>#REF!</v>
      </c>
      <c r="L653" s="1">
        <v>44654.246527775686</v>
      </c>
      <c r="M653" s="13"/>
    </row>
    <row r="654" spans="2:13">
      <c r="B654" s="5"/>
      <c r="C654" s="6" t="e">
        <f>VLOOKUP($B654,#REF!,5,FALSE)</f>
        <v>#REF!</v>
      </c>
      <c r="D654" s="6" t="e">
        <f>VLOOKUP($B654,#REF!,6,FALSE)</f>
        <v>#REF!</v>
      </c>
      <c r="E654" s="7" t="e">
        <f>VLOOKUP($B654,#REF!,17,FALSE)</f>
        <v>#REF!</v>
      </c>
      <c r="F654" s="8" t="e">
        <f>VLOOKUP($B654,#REF!,7,FALSE)</f>
        <v>#REF!</v>
      </c>
      <c r="G654" s="8"/>
      <c r="H654" s="8"/>
      <c r="I654" s="9" t="e">
        <f>VLOOKUP($B654,#REF!,19,FALSE)</f>
        <v>#REF!</v>
      </c>
      <c r="J654" s="9" t="e">
        <f>VLOOKUP($B654,#REF!,6,FALSE)</f>
        <v>#REF!</v>
      </c>
      <c r="L654" s="1">
        <v>44654.249999997905</v>
      </c>
      <c r="M654" s="13"/>
    </row>
    <row r="655" spans="2:13">
      <c r="B655" s="5"/>
      <c r="C655" s="6" t="e">
        <f>VLOOKUP($B655,#REF!,5,FALSE)</f>
        <v>#REF!</v>
      </c>
      <c r="D655" s="6" t="e">
        <f>VLOOKUP($B655,#REF!,6,FALSE)</f>
        <v>#REF!</v>
      </c>
      <c r="E655" s="7" t="e">
        <f>VLOOKUP($B655,#REF!,17,FALSE)</f>
        <v>#REF!</v>
      </c>
      <c r="F655" s="8" t="e">
        <f>VLOOKUP($B655,#REF!,7,FALSE)</f>
        <v>#REF!</v>
      </c>
      <c r="G655" s="8"/>
      <c r="H655" s="8"/>
      <c r="I655" s="9" t="e">
        <f>VLOOKUP($B655,#REF!,19,FALSE)</f>
        <v>#REF!</v>
      </c>
      <c r="J655" s="9" t="e">
        <f>VLOOKUP($B655,#REF!,6,FALSE)</f>
        <v>#REF!</v>
      </c>
      <c r="L655" s="1">
        <v>44654.253472220124</v>
      </c>
      <c r="M655" s="13"/>
    </row>
    <row r="656" spans="2:13">
      <c r="B656" s="5"/>
      <c r="C656" s="6" t="e">
        <f>VLOOKUP($B656,#REF!,5,FALSE)</f>
        <v>#REF!</v>
      </c>
      <c r="D656" s="6" t="e">
        <f>VLOOKUP($B656,#REF!,6,FALSE)</f>
        <v>#REF!</v>
      </c>
      <c r="E656" s="7" t="e">
        <f>VLOOKUP($B656,#REF!,17,FALSE)</f>
        <v>#REF!</v>
      </c>
      <c r="F656" s="8" t="e">
        <f>VLOOKUP($B656,#REF!,7,FALSE)</f>
        <v>#REF!</v>
      </c>
      <c r="G656" s="8"/>
      <c r="H656" s="8"/>
      <c r="I656" s="9" t="e">
        <f>VLOOKUP($B656,#REF!,19,FALSE)</f>
        <v>#REF!</v>
      </c>
      <c r="J656" s="9" t="e">
        <f>VLOOKUP($B656,#REF!,6,FALSE)</f>
        <v>#REF!</v>
      </c>
      <c r="L656" s="1">
        <v>44654.256944442343</v>
      </c>
      <c r="M656" s="13"/>
    </row>
    <row r="657" spans="2:13">
      <c r="B657" s="5"/>
      <c r="C657" s="6" t="e">
        <f>VLOOKUP($B657,#REF!,5,FALSE)</f>
        <v>#REF!</v>
      </c>
      <c r="D657" s="6" t="e">
        <f>VLOOKUP($B657,#REF!,6,FALSE)</f>
        <v>#REF!</v>
      </c>
      <c r="E657" s="7" t="e">
        <f>VLOOKUP($B657,#REF!,17,FALSE)</f>
        <v>#REF!</v>
      </c>
      <c r="F657" s="8" t="e">
        <f>VLOOKUP($B657,#REF!,7,FALSE)</f>
        <v>#REF!</v>
      </c>
      <c r="G657" s="8"/>
      <c r="H657" s="8"/>
      <c r="I657" s="9" t="e">
        <f>VLOOKUP($B657,#REF!,19,FALSE)</f>
        <v>#REF!</v>
      </c>
      <c r="J657" s="9" t="e">
        <f>VLOOKUP($B657,#REF!,6,FALSE)</f>
        <v>#REF!</v>
      </c>
      <c r="L657" s="1">
        <v>44654.260416664561</v>
      </c>
      <c r="M657" s="13"/>
    </row>
    <row r="658" spans="2:13">
      <c r="B658" s="5"/>
      <c r="C658" s="6" t="e">
        <f>VLOOKUP($B658,#REF!,5,FALSE)</f>
        <v>#REF!</v>
      </c>
      <c r="D658" s="6" t="e">
        <f>VLOOKUP($B658,#REF!,6,FALSE)</f>
        <v>#REF!</v>
      </c>
      <c r="E658" s="7" t="e">
        <f>VLOOKUP($B658,#REF!,17,FALSE)</f>
        <v>#REF!</v>
      </c>
      <c r="F658" s="8" t="e">
        <f>VLOOKUP($B658,#REF!,7,FALSE)</f>
        <v>#REF!</v>
      </c>
      <c r="G658" s="8"/>
      <c r="H658" s="8"/>
      <c r="I658" s="9" t="e">
        <f>VLOOKUP($B658,#REF!,19,FALSE)</f>
        <v>#REF!</v>
      </c>
      <c r="J658" s="9" t="e">
        <f>VLOOKUP($B658,#REF!,6,FALSE)</f>
        <v>#REF!</v>
      </c>
      <c r="L658" s="1">
        <v>44654.26388888678</v>
      </c>
      <c r="M658" s="13"/>
    </row>
    <row r="659" spans="2:13">
      <c r="B659" s="5"/>
      <c r="C659" s="6" t="e">
        <f>VLOOKUP($B659,#REF!,5,FALSE)</f>
        <v>#REF!</v>
      </c>
      <c r="D659" s="6" t="e">
        <f>VLOOKUP($B659,#REF!,6,FALSE)</f>
        <v>#REF!</v>
      </c>
      <c r="E659" s="7" t="e">
        <f>VLOOKUP($B659,#REF!,17,FALSE)</f>
        <v>#REF!</v>
      </c>
      <c r="F659" s="8" t="e">
        <f>VLOOKUP($B659,#REF!,7,FALSE)</f>
        <v>#REF!</v>
      </c>
      <c r="G659" s="8"/>
      <c r="H659" s="8"/>
      <c r="I659" s="9" t="e">
        <f>VLOOKUP($B659,#REF!,19,FALSE)</f>
        <v>#REF!</v>
      </c>
      <c r="J659" s="9" t="e">
        <f>VLOOKUP($B659,#REF!,6,FALSE)</f>
        <v>#REF!</v>
      </c>
      <c r="L659" s="1">
        <v>44654.267361108999</v>
      </c>
      <c r="M659" s="13"/>
    </row>
    <row r="660" spans="2:13">
      <c r="B660" s="5"/>
      <c r="C660" s="6" t="e">
        <f>VLOOKUP($B660,#REF!,5,FALSE)</f>
        <v>#REF!</v>
      </c>
      <c r="D660" s="6" t="e">
        <f>VLOOKUP($B660,#REF!,6,FALSE)</f>
        <v>#REF!</v>
      </c>
      <c r="E660" s="7" t="e">
        <f>VLOOKUP($B660,#REF!,17,FALSE)</f>
        <v>#REF!</v>
      </c>
      <c r="F660" s="8" t="e">
        <f>VLOOKUP($B660,#REF!,7,FALSE)</f>
        <v>#REF!</v>
      </c>
      <c r="G660" s="8"/>
      <c r="H660" s="8"/>
      <c r="I660" s="9" t="e">
        <f>VLOOKUP($B660,#REF!,19,FALSE)</f>
        <v>#REF!</v>
      </c>
      <c r="J660" s="9" t="e">
        <f>VLOOKUP($B660,#REF!,6,FALSE)</f>
        <v>#REF!</v>
      </c>
      <c r="L660" s="1">
        <v>44654.270833331218</v>
      </c>
      <c r="M660" s="13"/>
    </row>
    <row r="661" spans="2:13">
      <c r="B661" s="5"/>
      <c r="C661" s="6" t="e">
        <f>VLOOKUP($B661,#REF!,5,FALSE)</f>
        <v>#REF!</v>
      </c>
      <c r="D661" s="6" t="e">
        <f>VLOOKUP($B661,#REF!,6,FALSE)</f>
        <v>#REF!</v>
      </c>
      <c r="E661" s="7" t="e">
        <f>VLOOKUP($B661,#REF!,17,FALSE)</f>
        <v>#REF!</v>
      </c>
      <c r="F661" s="8" t="e">
        <f>VLOOKUP($B661,#REF!,7,FALSE)</f>
        <v>#REF!</v>
      </c>
      <c r="G661" s="8"/>
      <c r="H661" s="8"/>
      <c r="I661" s="9" t="e">
        <f>VLOOKUP($B661,#REF!,19,FALSE)</f>
        <v>#REF!</v>
      </c>
      <c r="J661" s="9" t="e">
        <f>VLOOKUP($B661,#REF!,6,FALSE)</f>
        <v>#REF!</v>
      </c>
      <c r="L661" s="1">
        <v>44654.274305553437</v>
      </c>
      <c r="M661" s="13"/>
    </row>
    <row r="662" spans="2:13">
      <c r="B662" s="5"/>
      <c r="C662" s="6" t="e">
        <f>VLOOKUP($B662,#REF!,5,FALSE)</f>
        <v>#REF!</v>
      </c>
      <c r="D662" s="6" t="e">
        <f>VLOOKUP($B662,#REF!,6,FALSE)</f>
        <v>#REF!</v>
      </c>
      <c r="E662" s="7" t="e">
        <f>VLOOKUP($B662,#REF!,17,FALSE)</f>
        <v>#REF!</v>
      </c>
      <c r="F662" s="8" t="e">
        <f>VLOOKUP($B662,#REF!,7,FALSE)</f>
        <v>#REF!</v>
      </c>
      <c r="G662" s="8"/>
      <c r="H662" s="8"/>
      <c r="I662" s="9" t="e">
        <f>VLOOKUP($B662,#REF!,19,FALSE)</f>
        <v>#REF!</v>
      </c>
      <c r="J662" s="9" t="e">
        <f>VLOOKUP($B662,#REF!,6,FALSE)</f>
        <v>#REF!</v>
      </c>
      <c r="L662" s="1">
        <v>44654.277777775656</v>
      </c>
      <c r="M662" s="13"/>
    </row>
    <row r="663" spans="2:13">
      <c r="B663" s="5"/>
      <c r="C663" s="6" t="e">
        <f>VLOOKUP($B663,#REF!,5,FALSE)</f>
        <v>#REF!</v>
      </c>
      <c r="D663" s="6" t="e">
        <f>VLOOKUP($B663,#REF!,6,FALSE)</f>
        <v>#REF!</v>
      </c>
      <c r="E663" s="7" t="e">
        <f>VLOOKUP($B663,#REF!,17,FALSE)</f>
        <v>#REF!</v>
      </c>
      <c r="F663" s="8" t="e">
        <f>VLOOKUP($B663,#REF!,7,FALSE)</f>
        <v>#REF!</v>
      </c>
      <c r="G663" s="8"/>
      <c r="H663" s="8"/>
      <c r="I663" s="9" t="e">
        <f>VLOOKUP($B663,#REF!,19,FALSE)</f>
        <v>#REF!</v>
      </c>
      <c r="J663" s="9" t="e">
        <f>VLOOKUP($B663,#REF!,6,FALSE)</f>
        <v>#REF!</v>
      </c>
      <c r="L663" s="1">
        <v>44654.281249997875</v>
      </c>
      <c r="M663" s="13"/>
    </row>
    <row r="664" spans="2:13">
      <c r="B664" s="5"/>
      <c r="C664" s="6" t="e">
        <f>VLOOKUP($B664,#REF!,5,FALSE)</f>
        <v>#REF!</v>
      </c>
      <c r="D664" s="6" t="e">
        <f>VLOOKUP($B664,#REF!,6,FALSE)</f>
        <v>#REF!</v>
      </c>
      <c r="E664" s="7" t="e">
        <f>VLOOKUP($B664,#REF!,17,FALSE)</f>
        <v>#REF!</v>
      </c>
      <c r="F664" s="8" t="e">
        <f>VLOOKUP($B664,#REF!,7,FALSE)</f>
        <v>#REF!</v>
      </c>
      <c r="G664" s="8"/>
      <c r="H664" s="8"/>
      <c r="I664" s="9" t="e">
        <f>VLOOKUP($B664,#REF!,19,FALSE)</f>
        <v>#REF!</v>
      </c>
      <c r="J664" s="9" t="e">
        <f>VLOOKUP($B664,#REF!,6,FALSE)</f>
        <v>#REF!</v>
      </c>
      <c r="L664" s="1">
        <v>44654.284722220094</v>
      </c>
      <c r="M664" s="13"/>
    </row>
    <row r="665" spans="2:13">
      <c r="B665" s="5"/>
      <c r="C665" s="6" t="e">
        <f>VLOOKUP($B665,#REF!,5,FALSE)</f>
        <v>#REF!</v>
      </c>
      <c r="D665" s="6" t="e">
        <f>VLOOKUP($B665,#REF!,6,FALSE)</f>
        <v>#REF!</v>
      </c>
      <c r="E665" s="7" t="e">
        <f>VLOOKUP($B665,#REF!,17,FALSE)</f>
        <v>#REF!</v>
      </c>
      <c r="F665" s="8" t="e">
        <f>VLOOKUP($B665,#REF!,7,FALSE)</f>
        <v>#REF!</v>
      </c>
      <c r="G665" s="8"/>
      <c r="H665" s="8"/>
      <c r="I665" s="9" t="e">
        <f>VLOOKUP($B665,#REF!,19,FALSE)</f>
        <v>#REF!</v>
      </c>
      <c r="J665" s="9" t="e">
        <f>VLOOKUP($B665,#REF!,6,FALSE)</f>
        <v>#REF!</v>
      </c>
      <c r="L665" s="1">
        <v>44654.288194442313</v>
      </c>
      <c r="M665" s="13"/>
    </row>
    <row r="666" spans="2:13">
      <c r="B666" s="5"/>
      <c r="C666" s="6" t="e">
        <f>VLOOKUP($B666,#REF!,5,FALSE)</f>
        <v>#REF!</v>
      </c>
      <c r="D666" s="6" t="e">
        <f>VLOOKUP($B666,#REF!,6,FALSE)</f>
        <v>#REF!</v>
      </c>
      <c r="E666" s="7" t="e">
        <f>VLOOKUP($B666,#REF!,17,FALSE)</f>
        <v>#REF!</v>
      </c>
      <c r="F666" s="8" t="e">
        <f>VLOOKUP($B666,#REF!,7,FALSE)</f>
        <v>#REF!</v>
      </c>
      <c r="G666" s="8"/>
      <c r="H666" s="8"/>
      <c r="I666" s="9" t="e">
        <f>VLOOKUP($B666,#REF!,19,FALSE)</f>
        <v>#REF!</v>
      </c>
      <c r="J666" s="9" t="e">
        <f>VLOOKUP($B666,#REF!,6,FALSE)</f>
        <v>#REF!</v>
      </c>
      <c r="L666" s="1">
        <v>44654.291666664532</v>
      </c>
      <c r="M666" s="13"/>
    </row>
    <row r="667" spans="2:13">
      <c r="B667" s="5"/>
      <c r="C667" s="6" t="e">
        <f>VLOOKUP($B667,#REF!,5,FALSE)</f>
        <v>#REF!</v>
      </c>
      <c r="D667" s="6" t="e">
        <f>VLOOKUP($B667,#REF!,6,FALSE)</f>
        <v>#REF!</v>
      </c>
      <c r="E667" s="7" t="e">
        <f>VLOOKUP($B667,#REF!,17,FALSE)</f>
        <v>#REF!</v>
      </c>
      <c r="F667" s="8" t="e">
        <f>VLOOKUP($B667,#REF!,7,FALSE)</f>
        <v>#REF!</v>
      </c>
      <c r="G667" s="8"/>
      <c r="H667" s="8"/>
      <c r="I667" s="9" t="e">
        <f>VLOOKUP($B667,#REF!,19,FALSE)</f>
        <v>#REF!</v>
      </c>
      <c r="J667" s="9" t="e">
        <f>VLOOKUP($B667,#REF!,6,FALSE)</f>
        <v>#REF!</v>
      </c>
      <c r="L667" s="1">
        <v>44654.295138886751</v>
      </c>
      <c r="M667" s="13"/>
    </row>
    <row r="668" spans="2:13">
      <c r="B668" s="5"/>
      <c r="C668" s="6" t="e">
        <f>VLOOKUP($B668,#REF!,5,FALSE)</f>
        <v>#REF!</v>
      </c>
      <c r="D668" s="6" t="e">
        <f>VLOOKUP($B668,#REF!,6,FALSE)</f>
        <v>#REF!</v>
      </c>
      <c r="E668" s="7" t="e">
        <f>VLOOKUP($B668,#REF!,17,FALSE)</f>
        <v>#REF!</v>
      </c>
      <c r="F668" s="8" t="e">
        <f>VLOOKUP($B668,#REF!,7,FALSE)</f>
        <v>#REF!</v>
      </c>
      <c r="G668" s="8"/>
      <c r="H668" s="8"/>
      <c r="I668" s="9" t="e">
        <f>VLOOKUP($B668,#REF!,19,FALSE)</f>
        <v>#REF!</v>
      </c>
      <c r="J668" s="9" t="e">
        <f>VLOOKUP($B668,#REF!,6,FALSE)</f>
        <v>#REF!</v>
      </c>
      <c r="L668" s="1">
        <v>44654.29861110897</v>
      </c>
      <c r="M668" s="13"/>
    </row>
    <row r="669" spans="2:13">
      <c r="B669" s="5"/>
      <c r="C669" s="6" t="e">
        <f>VLOOKUP($B669,#REF!,5,FALSE)</f>
        <v>#REF!</v>
      </c>
      <c r="D669" s="6" t="e">
        <f>VLOOKUP($B669,#REF!,6,FALSE)</f>
        <v>#REF!</v>
      </c>
      <c r="E669" s="7" t="e">
        <f>VLOOKUP($B669,#REF!,17,FALSE)</f>
        <v>#REF!</v>
      </c>
      <c r="F669" s="8" t="e">
        <f>VLOOKUP($B669,#REF!,7,FALSE)</f>
        <v>#REF!</v>
      </c>
      <c r="G669" s="8"/>
      <c r="H669" s="8"/>
      <c r="I669" s="9" t="e">
        <f>VLOOKUP($B669,#REF!,19,FALSE)</f>
        <v>#REF!</v>
      </c>
      <c r="J669" s="9" t="e">
        <f>VLOOKUP($B669,#REF!,6,FALSE)</f>
        <v>#REF!</v>
      </c>
      <c r="L669" s="1">
        <v>44654.302083331189</v>
      </c>
      <c r="M669" s="13"/>
    </row>
    <row r="670" spans="2:13">
      <c r="B670" s="5"/>
      <c r="C670" s="6" t="e">
        <f>VLOOKUP($B670,#REF!,5,FALSE)</f>
        <v>#REF!</v>
      </c>
      <c r="D670" s="6" t="e">
        <f>VLOOKUP($B670,#REF!,6,FALSE)</f>
        <v>#REF!</v>
      </c>
      <c r="E670" s="7" t="e">
        <f>VLOOKUP($B670,#REF!,17,FALSE)</f>
        <v>#REF!</v>
      </c>
      <c r="F670" s="8" t="e">
        <f>VLOOKUP($B670,#REF!,7,FALSE)</f>
        <v>#REF!</v>
      </c>
      <c r="G670" s="8"/>
      <c r="H670" s="8"/>
      <c r="I670" s="9" t="e">
        <f>VLOOKUP($B670,#REF!,19,FALSE)</f>
        <v>#REF!</v>
      </c>
      <c r="J670" s="9" t="e">
        <f>VLOOKUP($B670,#REF!,6,FALSE)</f>
        <v>#REF!</v>
      </c>
      <c r="L670" s="1">
        <v>44654.305555553408</v>
      </c>
      <c r="M670" s="13"/>
    </row>
    <row r="671" spans="2:13">
      <c r="B671" s="5"/>
      <c r="C671" s="6" t="e">
        <f>VLOOKUP($B671,#REF!,5,FALSE)</f>
        <v>#REF!</v>
      </c>
      <c r="D671" s="6" t="e">
        <f>VLOOKUP($B671,#REF!,6,FALSE)</f>
        <v>#REF!</v>
      </c>
      <c r="E671" s="7" t="e">
        <f>VLOOKUP($B671,#REF!,17,FALSE)</f>
        <v>#REF!</v>
      </c>
      <c r="F671" s="8" t="e">
        <f>VLOOKUP($B671,#REF!,7,FALSE)</f>
        <v>#REF!</v>
      </c>
      <c r="G671" s="8"/>
      <c r="H671" s="8"/>
      <c r="I671" s="9" t="e">
        <f>VLOOKUP($B671,#REF!,19,FALSE)</f>
        <v>#REF!</v>
      </c>
      <c r="J671" s="9" t="e">
        <f>VLOOKUP($B671,#REF!,6,FALSE)</f>
        <v>#REF!</v>
      </c>
      <c r="L671" s="1">
        <v>44654.309027775627</v>
      </c>
      <c r="M671" s="13"/>
    </row>
    <row r="672" spans="2:13">
      <c r="B672" s="5"/>
      <c r="C672" s="6" t="e">
        <f>VLOOKUP($B672,#REF!,5,FALSE)</f>
        <v>#REF!</v>
      </c>
      <c r="D672" s="6" t="e">
        <f>VLOOKUP($B672,#REF!,6,FALSE)</f>
        <v>#REF!</v>
      </c>
      <c r="E672" s="7" t="e">
        <f>VLOOKUP($B672,#REF!,17,FALSE)</f>
        <v>#REF!</v>
      </c>
      <c r="F672" s="8" t="e">
        <f>VLOOKUP($B672,#REF!,7,FALSE)</f>
        <v>#REF!</v>
      </c>
      <c r="G672" s="8"/>
      <c r="H672" s="8"/>
      <c r="I672" s="9" t="e">
        <f>VLOOKUP($B672,#REF!,19,FALSE)</f>
        <v>#REF!</v>
      </c>
      <c r="J672" s="9" t="e">
        <f>VLOOKUP($B672,#REF!,6,FALSE)</f>
        <v>#REF!</v>
      </c>
      <c r="L672" s="1">
        <v>44654.312499997846</v>
      </c>
      <c r="M672" s="13"/>
    </row>
    <row r="673" spans="2:13">
      <c r="B673" s="5"/>
      <c r="C673" s="6" t="e">
        <f>VLOOKUP($B673,#REF!,5,FALSE)</f>
        <v>#REF!</v>
      </c>
      <c r="D673" s="6" t="e">
        <f>VLOOKUP($B673,#REF!,6,FALSE)</f>
        <v>#REF!</v>
      </c>
      <c r="E673" s="7" t="e">
        <f>VLOOKUP($B673,#REF!,17,FALSE)</f>
        <v>#REF!</v>
      </c>
      <c r="F673" s="8" t="e">
        <f>VLOOKUP($B673,#REF!,7,FALSE)</f>
        <v>#REF!</v>
      </c>
      <c r="G673" s="8"/>
      <c r="H673" s="8"/>
      <c r="I673" s="9" t="e">
        <f>VLOOKUP($B673,#REF!,19,FALSE)</f>
        <v>#REF!</v>
      </c>
      <c r="J673" s="9" t="e">
        <f>VLOOKUP($B673,#REF!,6,FALSE)</f>
        <v>#REF!</v>
      </c>
      <c r="L673" s="1">
        <v>44654.315972220065</v>
      </c>
      <c r="M673" s="13"/>
    </row>
    <row r="674" spans="2:13">
      <c r="B674" s="5"/>
      <c r="C674" s="6" t="e">
        <f>VLOOKUP($B674,#REF!,5,FALSE)</f>
        <v>#REF!</v>
      </c>
      <c r="D674" s="6" t="e">
        <f>VLOOKUP($B674,#REF!,6,FALSE)</f>
        <v>#REF!</v>
      </c>
      <c r="E674" s="7" t="e">
        <f>VLOOKUP($B674,#REF!,17,FALSE)</f>
        <v>#REF!</v>
      </c>
      <c r="F674" s="8" t="e">
        <f>VLOOKUP($B674,#REF!,7,FALSE)</f>
        <v>#REF!</v>
      </c>
      <c r="G674" s="8"/>
      <c r="H674" s="8"/>
      <c r="I674" s="9" t="e">
        <f>VLOOKUP($B674,#REF!,19,FALSE)</f>
        <v>#REF!</v>
      </c>
      <c r="J674" s="9" t="e">
        <f>VLOOKUP($B674,#REF!,6,FALSE)</f>
        <v>#REF!</v>
      </c>
      <c r="L674" s="1">
        <v>44654.319444442284</v>
      </c>
      <c r="M674" s="13"/>
    </row>
    <row r="675" spans="2:13">
      <c r="B675" s="5"/>
      <c r="C675" s="6" t="e">
        <f>VLOOKUP($B675,#REF!,5,FALSE)</f>
        <v>#REF!</v>
      </c>
      <c r="D675" s="6" t="e">
        <f>VLOOKUP($B675,#REF!,6,FALSE)</f>
        <v>#REF!</v>
      </c>
      <c r="E675" s="7" t="e">
        <f>VLOOKUP($B675,#REF!,17,FALSE)</f>
        <v>#REF!</v>
      </c>
      <c r="F675" s="8" t="e">
        <f>VLOOKUP($B675,#REF!,7,FALSE)</f>
        <v>#REF!</v>
      </c>
      <c r="G675" s="8"/>
      <c r="H675" s="8"/>
      <c r="I675" s="9" t="e">
        <f>VLOOKUP($B675,#REF!,19,FALSE)</f>
        <v>#REF!</v>
      </c>
      <c r="J675" s="9" t="e">
        <f>VLOOKUP($B675,#REF!,6,FALSE)</f>
        <v>#REF!</v>
      </c>
      <c r="L675" s="1">
        <v>44654.322916664503</v>
      </c>
      <c r="M675" s="13"/>
    </row>
    <row r="676" spans="2:13">
      <c r="B676" s="5"/>
      <c r="C676" s="6" t="e">
        <f>VLOOKUP($B676,#REF!,5,FALSE)</f>
        <v>#REF!</v>
      </c>
      <c r="D676" s="6" t="e">
        <f>VLOOKUP($B676,#REF!,6,FALSE)</f>
        <v>#REF!</v>
      </c>
      <c r="E676" s="7" t="e">
        <f>VLOOKUP($B676,#REF!,17,FALSE)</f>
        <v>#REF!</v>
      </c>
      <c r="F676" s="8" t="e">
        <f>VLOOKUP($B676,#REF!,7,FALSE)</f>
        <v>#REF!</v>
      </c>
      <c r="G676" s="8"/>
      <c r="H676" s="8"/>
      <c r="I676" s="9" t="e">
        <f>VLOOKUP($B676,#REF!,19,FALSE)</f>
        <v>#REF!</v>
      </c>
      <c r="J676" s="9" t="e">
        <f>VLOOKUP($B676,#REF!,6,FALSE)</f>
        <v>#REF!</v>
      </c>
      <c r="L676" s="1">
        <v>44654.326388886722</v>
      </c>
      <c r="M676" s="13"/>
    </row>
    <row r="677" spans="2:13">
      <c r="B677" s="5"/>
      <c r="C677" s="6" t="e">
        <f>VLOOKUP($B677,#REF!,5,FALSE)</f>
        <v>#REF!</v>
      </c>
      <c r="D677" s="6" t="e">
        <f>VLOOKUP($B677,#REF!,6,FALSE)</f>
        <v>#REF!</v>
      </c>
      <c r="E677" s="7" t="e">
        <f>VLOOKUP($B677,#REF!,17,FALSE)</f>
        <v>#REF!</v>
      </c>
      <c r="F677" s="8" t="e">
        <f>VLOOKUP($B677,#REF!,7,FALSE)</f>
        <v>#REF!</v>
      </c>
      <c r="G677" s="8"/>
      <c r="H677" s="8"/>
      <c r="I677" s="9" t="e">
        <f>VLOOKUP($B677,#REF!,19,FALSE)</f>
        <v>#REF!</v>
      </c>
      <c r="J677" s="9" t="e">
        <f>VLOOKUP($B677,#REF!,6,FALSE)</f>
        <v>#REF!</v>
      </c>
      <c r="L677" s="1">
        <v>44654.329861108941</v>
      </c>
      <c r="M677" s="13"/>
    </row>
    <row r="678" spans="2:13">
      <c r="B678" s="5"/>
      <c r="C678" s="6" t="e">
        <f>VLOOKUP($B678,#REF!,5,FALSE)</f>
        <v>#REF!</v>
      </c>
      <c r="D678" s="6" t="e">
        <f>VLOOKUP($B678,#REF!,6,FALSE)</f>
        <v>#REF!</v>
      </c>
      <c r="E678" s="7" t="e">
        <f>VLOOKUP($B678,#REF!,17,FALSE)</f>
        <v>#REF!</v>
      </c>
      <c r="F678" s="8" t="e">
        <f>VLOOKUP($B678,#REF!,7,FALSE)</f>
        <v>#REF!</v>
      </c>
      <c r="G678" s="8"/>
      <c r="H678" s="8"/>
      <c r="I678" s="9" t="e">
        <f>VLOOKUP($B678,#REF!,19,FALSE)</f>
        <v>#REF!</v>
      </c>
      <c r="J678" s="9" t="e">
        <f>VLOOKUP($B678,#REF!,6,FALSE)</f>
        <v>#REF!</v>
      </c>
      <c r="L678" s="1">
        <v>44654.33333333116</v>
      </c>
      <c r="M678" s="13"/>
    </row>
    <row r="679" spans="2:13">
      <c r="B679" s="5"/>
      <c r="C679" s="6" t="e">
        <f>VLOOKUP($B679,#REF!,5,FALSE)</f>
        <v>#REF!</v>
      </c>
      <c r="D679" s="6" t="e">
        <f>VLOOKUP($B679,#REF!,6,FALSE)</f>
        <v>#REF!</v>
      </c>
      <c r="E679" s="7" t="e">
        <f>VLOOKUP($B679,#REF!,17,FALSE)</f>
        <v>#REF!</v>
      </c>
      <c r="F679" s="8" t="e">
        <f>VLOOKUP($B679,#REF!,7,FALSE)</f>
        <v>#REF!</v>
      </c>
      <c r="G679" s="8"/>
      <c r="H679" s="8"/>
      <c r="I679" s="9" t="e">
        <f>VLOOKUP($B679,#REF!,19,FALSE)</f>
        <v>#REF!</v>
      </c>
      <c r="J679" s="9" t="e">
        <f>VLOOKUP($B679,#REF!,6,FALSE)</f>
        <v>#REF!</v>
      </c>
      <c r="L679" s="1">
        <v>44654.336805553379</v>
      </c>
      <c r="M679" s="13"/>
    </row>
    <row r="680" spans="2:13">
      <c r="B680" s="5"/>
      <c r="C680" s="6" t="e">
        <f>VLOOKUP($B680,#REF!,5,FALSE)</f>
        <v>#REF!</v>
      </c>
      <c r="D680" s="6" t="e">
        <f>VLOOKUP($B680,#REF!,6,FALSE)</f>
        <v>#REF!</v>
      </c>
      <c r="E680" s="7" t="e">
        <f>VLOOKUP($B680,#REF!,17,FALSE)</f>
        <v>#REF!</v>
      </c>
      <c r="F680" s="8" t="e">
        <f>VLOOKUP($B680,#REF!,7,FALSE)</f>
        <v>#REF!</v>
      </c>
      <c r="G680" s="8"/>
      <c r="H680" s="8"/>
      <c r="I680" s="9" t="e">
        <f>VLOOKUP($B680,#REF!,19,FALSE)</f>
        <v>#REF!</v>
      </c>
      <c r="J680" s="9" t="e">
        <f>VLOOKUP($B680,#REF!,6,FALSE)</f>
        <v>#REF!</v>
      </c>
      <c r="L680" s="1">
        <v>44654.340277775598</v>
      </c>
      <c r="M680" s="13"/>
    </row>
    <row r="681" spans="2:13">
      <c r="B681" s="5"/>
      <c r="C681" s="6" t="e">
        <f>VLOOKUP($B681,#REF!,5,FALSE)</f>
        <v>#REF!</v>
      </c>
      <c r="D681" s="6" t="e">
        <f>VLOOKUP($B681,#REF!,6,FALSE)</f>
        <v>#REF!</v>
      </c>
      <c r="E681" s="7" t="e">
        <f>VLOOKUP($B681,#REF!,17,FALSE)</f>
        <v>#REF!</v>
      </c>
      <c r="F681" s="8" t="e">
        <f>VLOOKUP($B681,#REF!,7,FALSE)</f>
        <v>#REF!</v>
      </c>
      <c r="G681" s="8"/>
      <c r="H681" s="8"/>
      <c r="I681" s="9" t="e">
        <f>VLOOKUP($B681,#REF!,19,FALSE)</f>
        <v>#REF!</v>
      </c>
      <c r="J681" s="9" t="e">
        <f>VLOOKUP($B681,#REF!,6,FALSE)</f>
        <v>#REF!</v>
      </c>
      <c r="L681" s="1">
        <v>44654.343749997817</v>
      </c>
      <c r="M681" s="13"/>
    </row>
    <row r="682" spans="2:13">
      <c r="B682" s="5"/>
      <c r="C682" s="6" t="e">
        <f>VLOOKUP($B682,#REF!,5,FALSE)</f>
        <v>#REF!</v>
      </c>
      <c r="D682" s="6" t="e">
        <f>VLOOKUP($B682,#REF!,6,FALSE)</f>
        <v>#REF!</v>
      </c>
      <c r="E682" s="7" t="e">
        <f>VLOOKUP($B682,#REF!,17,FALSE)</f>
        <v>#REF!</v>
      </c>
      <c r="F682" s="8" t="e">
        <f>VLOOKUP($B682,#REF!,7,FALSE)</f>
        <v>#REF!</v>
      </c>
      <c r="G682" s="8"/>
      <c r="H682" s="8"/>
      <c r="I682" s="9" t="e">
        <f>VLOOKUP($B682,#REF!,19,FALSE)</f>
        <v>#REF!</v>
      </c>
      <c r="J682" s="9" t="e">
        <f>VLOOKUP($B682,#REF!,6,FALSE)</f>
        <v>#REF!</v>
      </c>
      <c r="L682" s="1">
        <v>44654.347222220036</v>
      </c>
      <c r="M682" s="13"/>
    </row>
    <row r="683" spans="2:13">
      <c r="B683" s="5"/>
      <c r="C683" s="6" t="e">
        <f>VLOOKUP($B683,#REF!,5,FALSE)</f>
        <v>#REF!</v>
      </c>
      <c r="D683" s="6" t="e">
        <f>VLOOKUP($B683,#REF!,6,FALSE)</f>
        <v>#REF!</v>
      </c>
      <c r="E683" s="7" t="e">
        <f>VLOOKUP($B683,#REF!,17,FALSE)</f>
        <v>#REF!</v>
      </c>
      <c r="F683" s="8" t="e">
        <f>VLOOKUP($B683,#REF!,7,FALSE)</f>
        <v>#REF!</v>
      </c>
      <c r="G683" s="8"/>
      <c r="H683" s="8"/>
      <c r="I683" s="9" t="e">
        <f>VLOOKUP($B683,#REF!,19,FALSE)</f>
        <v>#REF!</v>
      </c>
      <c r="J683" s="9" t="e">
        <f>VLOOKUP($B683,#REF!,6,FALSE)</f>
        <v>#REF!</v>
      </c>
      <c r="L683" s="1">
        <v>44654.350694442255</v>
      </c>
      <c r="M683" s="13"/>
    </row>
    <row r="684" spans="2:13">
      <c r="B684" s="5"/>
      <c r="C684" s="6" t="e">
        <f>VLOOKUP($B684,#REF!,5,FALSE)</f>
        <v>#REF!</v>
      </c>
      <c r="D684" s="6" t="e">
        <f>VLOOKUP($B684,#REF!,6,FALSE)</f>
        <v>#REF!</v>
      </c>
      <c r="E684" s="7" t="e">
        <f>VLOOKUP($B684,#REF!,17,FALSE)</f>
        <v>#REF!</v>
      </c>
      <c r="F684" s="8" t="e">
        <f>VLOOKUP($B684,#REF!,7,FALSE)</f>
        <v>#REF!</v>
      </c>
      <c r="G684" s="8"/>
      <c r="H684" s="8"/>
      <c r="I684" s="9" t="e">
        <f>VLOOKUP($B684,#REF!,19,FALSE)</f>
        <v>#REF!</v>
      </c>
      <c r="J684" s="9" t="e">
        <f>VLOOKUP($B684,#REF!,6,FALSE)</f>
        <v>#REF!</v>
      </c>
      <c r="L684" s="1">
        <v>44654.354166664474</v>
      </c>
      <c r="M684" s="13"/>
    </row>
    <row r="685" spans="2:13">
      <c r="B685" s="5"/>
      <c r="C685" s="6" t="e">
        <f>VLOOKUP($B685,#REF!,5,FALSE)</f>
        <v>#REF!</v>
      </c>
      <c r="D685" s="6" t="e">
        <f>VLOOKUP($B685,#REF!,6,FALSE)</f>
        <v>#REF!</v>
      </c>
      <c r="E685" s="7" t="e">
        <f>VLOOKUP($B685,#REF!,17,FALSE)</f>
        <v>#REF!</v>
      </c>
      <c r="F685" s="8" t="e">
        <f>VLOOKUP($B685,#REF!,7,FALSE)</f>
        <v>#REF!</v>
      </c>
      <c r="G685" s="8"/>
      <c r="H685" s="8"/>
      <c r="I685" s="9" t="e">
        <f>VLOOKUP($B685,#REF!,19,FALSE)</f>
        <v>#REF!</v>
      </c>
      <c r="J685" s="9" t="e">
        <f>VLOOKUP($B685,#REF!,6,FALSE)</f>
        <v>#REF!</v>
      </c>
      <c r="L685" s="1">
        <v>44654.357638886693</v>
      </c>
      <c r="M685" s="13"/>
    </row>
    <row r="686" spans="2:13">
      <c r="B686" s="5"/>
      <c r="C686" s="6" t="e">
        <f>VLOOKUP($B686,#REF!,5,FALSE)</f>
        <v>#REF!</v>
      </c>
      <c r="D686" s="6" t="e">
        <f>VLOOKUP($B686,#REF!,6,FALSE)</f>
        <v>#REF!</v>
      </c>
      <c r="E686" s="7" t="e">
        <f>VLOOKUP($B686,#REF!,17,FALSE)</f>
        <v>#REF!</v>
      </c>
      <c r="F686" s="8" t="e">
        <f>VLOOKUP($B686,#REF!,7,FALSE)</f>
        <v>#REF!</v>
      </c>
      <c r="G686" s="8"/>
      <c r="H686" s="8"/>
      <c r="I686" s="9" t="e">
        <f>VLOOKUP($B686,#REF!,19,FALSE)</f>
        <v>#REF!</v>
      </c>
      <c r="J686" s="9" t="e">
        <f>VLOOKUP($B686,#REF!,6,FALSE)</f>
        <v>#REF!</v>
      </c>
      <c r="L686" s="1">
        <v>44654.361111108912</v>
      </c>
      <c r="M686" s="13"/>
    </row>
    <row r="687" spans="2:13">
      <c r="B687" s="5"/>
      <c r="C687" s="6" t="e">
        <f>VLOOKUP($B687,#REF!,5,FALSE)</f>
        <v>#REF!</v>
      </c>
      <c r="D687" s="6" t="e">
        <f>VLOOKUP($B687,#REF!,6,FALSE)</f>
        <v>#REF!</v>
      </c>
      <c r="E687" s="7" t="e">
        <f>VLOOKUP($B687,#REF!,17,FALSE)</f>
        <v>#REF!</v>
      </c>
      <c r="F687" s="8" t="e">
        <f>VLOOKUP($B687,#REF!,7,FALSE)</f>
        <v>#REF!</v>
      </c>
      <c r="G687" s="8"/>
      <c r="H687" s="8"/>
      <c r="I687" s="9" t="e">
        <f>VLOOKUP($B687,#REF!,19,FALSE)</f>
        <v>#REF!</v>
      </c>
      <c r="J687" s="9" t="e">
        <f>VLOOKUP($B687,#REF!,6,FALSE)</f>
        <v>#REF!</v>
      </c>
      <c r="L687" s="1">
        <v>44654.364583331131</v>
      </c>
      <c r="M687" s="13"/>
    </row>
    <row r="688" spans="2:13">
      <c r="B688" s="5"/>
      <c r="C688" s="6" t="e">
        <f>VLOOKUP($B688,#REF!,5,FALSE)</f>
        <v>#REF!</v>
      </c>
      <c r="D688" s="6" t="e">
        <f>VLOOKUP($B688,#REF!,6,FALSE)</f>
        <v>#REF!</v>
      </c>
      <c r="E688" s="7" t="e">
        <f>VLOOKUP($B688,#REF!,17,FALSE)</f>
        <v>#REF!</v>
      </c>
      <c r="F688" s="8" t="e">
        <f>VLOOKUP($B688,#REF!,7,FALSE)</f>
        <v>#REF!</v>
      </c>
      <c r="G688" s="8"/>
      <c r="H688" s="8"/>
      <c r="I688" s="9" t="e">
        <f>VLOOKUP($B688,#REF!,19,FALSE)</f>
        <v>#REF!</v>
      </c>
      <c r="J688" s="9" t="e">
        <f>VLOOKUP($B688,#REF!,6,FALSE)</f>
        <v>#REF!</v>
      </c>
      <c r="L688" s="1">
        <v>44654.36805555335</v>
      </c>
      <c r="M688" s="13"/>
    </row>
    <row r="689" spans="2:13">
      <c r="B689" s="5"/>
      <c r="C689" s="6" t="e">
        <f>VLOOKUP($B689,#REF!,5,FALSE)</f>
        <v>#REF!</v>
      </c>
      <c r="D689" s="6" t="e">
        <f>VLOOKUP($B689,#REF!,6,FALSE)</f>
        <v>#REF!</v>
      </c>
      <c r="E689" s="7" t="e">
        <f>VLOOKUP($B689,#REF!,17,FALSE)</f>
        <v>#REF!</v>
      </c>
      <c r="F689" s="8" t="e">
        <f>VLOOKUP($B689,#REF!,7,FALSE)</f>
        <v>#REF!</v>
      </c>
      <c r="G689" s="8"/>
      <c r="H689" s="8"/>
      <c r="I689" s="9" t="e">
        <f>VLOOKUP($B689,#REF!,19,FALSE)</f>
        <v>#REF!</v>
      </c>
      <c r="J689" s="9" t="e">
        <f>VLOOKUP($B689,#REF!,6,FALSE)</f>
        <v>#REF!</v>
      </c>
      <c r="L689" s="1">
        <v>44654.371527775569</v>
      </c>
      <c r="M689" s="13"/>
    </row>
    <row r="690" spans="2:13">
      <c r="B690" s="5"/>
      <c r="C690" s="6" t="e">
        <f>VLOOKUP($B690,#REF!,5,FALSE)</f>
        <v>#REF!</v>
      </c>
      <c r="D690" s="6" t="e">
        <f>VLOOKUP($B690,#REF!,6,FALSE)</f>
        <v>#REF!</v>
      </c>
      <c r="E690" s="7" t="e">
        <f>VLOOKUP($B690,#REF!,17,FALSE)</f>
        <v>#REF!</v>
      </c>
      <c r="F690" s="8" t="e">
        <f>VLOOKUP($B690,#REF!,7,FALSE)</f>
        <v>#REF!</v>
      </c>
      <c r="G690" s="8"/>
      <c r="H690" s="8"/>
      <c r="I690" s="9" t="e">
        <f>VLOOKUP($B690,#REF!,19,FALSE)</f>
        <v>#REF!</v>
      </c>
      <c r="J690" s="9" t="e">
        <f>VLOOKUP($B690,#REF!,6,FALSE)</f>
        <v>#REF!</v>
      </c>
      <c r="L690" s="1">
        <v>44654.374999997788</v>
      </c>
      <c r="M690" s="13"/>
    </row>
    <row r="691" spans="2:13">
      <c r="B691" s="5"/>
      <c r="C691" s="6" t="e">
        <f>VLOOKUP($B691,#REF!,5,FALSE)</f>
        <v>#REF!</v>
      </c>
      <c r="D691" s="6" t="e">
        <f>VLOOKUP($B691,#REF!,6,FALSE)</f>
        <v>#REF!</v>
      </c>
      <c r="E691" s="7" t="e">
        <f>VLOOKUP($B691,#REF!,17,FALSE)</f>
        <v>#REF!</v>
      </c>
      <c r="F691" s="8" t="e">
        <f>VLOOKUP($B691,#REF!,7,FALSE)</f>
        <v>#REF!</v>
      </c>
      <c r="G691" s="8"/>
      <c r="H691" s="8"/>
      <c r="I691" s="9" t="e">
        <f>VLOOKUP($B691,#REF!,19,FALSE)</f>
        <v>#REF!</v>
      </c>
      <c r="J691" s="9" t="e">
        <f>VLOOKUP($B691,#REF!,6,FALSE)</f>
        <v>#REF!</v>
      </c>
      <c r="L691" s="1">
        <v>44654.378472220007</v>
      </c>
      <c r="M691" s="13"/>
    </row>
    <row r="692" spans="2:13">
      <c r="B692" s="5"/>
      <c r="C692" s="6" t="e">
        <f>VLOOKUP($B692,#REF!,5,FALSE)</f>
        <v>#REF!</v>
      </c>
      <c r="D692" s="6" t="e">
        <f>VLOOKUP($B692,#REF!,6,FALSE)</f>
        <v>#REF!</v>
      </c>
      <c r="E692" s="7" t="e">
        <f>VLOOKUP($B692,#REF!,17,FALSE)</f>
        <v>#REF!</v>
      </c>
      <c r="F692" s="8" t="e">
        <f>VLOOKUP($B692,#REF!,7,FALSE)</f>
        <v>#REF!</v>
      </c>
      <c r="G692" s="8"/>
      <c r="H692" s="8"/>
      <c r="I692" s="9" t="e">
        <f>VLOOKUP($B692,#REF!,19,FALSE)</f>
        <v>#REF!</v>
      </c>
      <c r="J692" s="9" t="e">
        <f>VLOOKUP($B692,#REF!,6,FALSE)</f>
        <v>#REF!</v>
      </c>
      <c r="L692" s="1">
        <v>44654.381944442226</v>
      </c>
      <c r="M692" s="13"/>
    </row>
    <row r="693" spans="2:13">
      <c r="B693" s="5"/>
      <c r="C693" s="6" t="e">
        <f>VLOOKUP($B693,#REF!,5,FALSE)</f>
        <v>#REF!</v>
      </c>
      <c r="D693" s="6" t="e">
        <f>VLOOKUP($B693,#REF!,6,FALSE)</f>
        <v>#REF!</v>
      </c>
      <c r="E693" s="7" t="e">
        <f>VLOOKUP($B693,#REF!,17,FALSE)</f>
        <v>#REF!</v>
      </c>
      <c r="F693" s="8" t="e">
        <f>VLOOKUP($B693,#REF!,7,FALSE)</f>
        <v>#REF!</v>
      </c>
      <c r="G693" s="8"/>
      <c r="H693" s="8"/>
      <c r="I693" s="9" t="e">
        <f>VLOOKUP($B693,#REF!,19,FALSE)</f>
        <v>#REF!</v>
      </c>
      <c r="J693" s="9" t="e">
        <f>VLOOKUP($B693,#REF!,6,FALSE)</f>
        <v>#REF!</v>
      </c>
      <c r="L693" s="1">
        <v>44654.385416664445</v>
      </c>
      <c r="M693" s="13"/>
    </row>
    <row r="694" spans="2:13">
      <c r="B694" s="5"/>
      <c r="C694" s="6" t="e">
        <f>VLOOKUP($B694,#REF!,5,FALSE)</f>
        <v>#REF!</v>
      </c>
      <c r="D694" s="6" t="e">
        <f>VLOOKUP($B694,#REF!,6,FALSE)</f>
        <v>#REF!</v>
      </c>
      <c r="E694" s="7" t="e">
        <f>VLOOKUP($B694,#REF!,17,FALSE)</f>
        <v>#REF!</v>
      </c>
      <c r="F694" s="8" t="e">
        <f>VLOOKUP($B694,#REF!,7,FALSE)</f>
        <v>#REF!</v>
      </c>
      <c r="G694" s="8"/>
      <c r="H694" s="8"/>
      <c r="I694" s="9" t="e">
        <f>VLOOKUP($B694,#REF!,19,FALSE)</f>
        <v>#REF!</v>
      </c>
      <c r="J694" s="9" t="e">
        <f>VLOOKUP($B694,#REF!,6,FALSE)</f>
        <v>#REF!</v>
      </c>
      <c r="L694" s="1">
        <v>44654.388888886664</v>
      </c>
      <c r="M694" s="13"/>
    </row>
    <row r="695" spans="2:13">
      <c r="B695" s="5"/>
      <c r="C695" s="6" t="e">
        <f>VLOOKUP($B695,#REF!,5,FALSE)</f>
        <v>#REF!</v>
      </c>
      <c r="D695" s="6" t="e">
        <f>VLOOKUP($B695,#REF!,6,FALSE)</f>
        <v>#REF!</v>
      </c>
      <c r="E695" s="7" t="e">
        <f>VLOOKUP($B695,#REF!,17,FALSE)</f>
        <v>#REF!</v>
      </c>
      <c r="F695" s="8" t="e">
        <f>VLOOKUP($B695,#REF!,7,FALSE)</f>
        <v>#REF!</v>
      </c>
      <c r="G695" s="8"/>
      <c r="H695" s="8"/>
      <c r="I695" s="9" t="e">
        <f>VLOOKUP($B695,#REF!,19,FALSE)</f>
        <v>#REF!</v>
      </c>
      <c r="J695" s="9" t="e">
        <f>VLOOKUP($B695,#REF!,6,FALSE)</f>
        <v>#REF!</v>
      </c>
      <c r="L695" s="1">
        <v>44654.392361108883</v>
      </c>
      <c r="M695" s="13"/>
    </row>
    <row r="696" spans="2:13">
      <c r="B696" s="5"/>
      <c r="C696" s="6" t="e">
        <f>VLOOKUP($B696,#REF!,5,FALSE)</f>
        <v>#REF!</v>
      </c>
      <c r="D696" s="6" t="e">
        <f>VLOOKUP($B696,#REF!,6,FALSE)</f>
        <v>#REF!</v>
      </c>
      <c r="E696" s="7" t="e">
        <f>VLOOKUP($B696,#REF!,17,FALSE)</f>
        <v>#REF!</v>
      </c>
      <c r="F696" s="8" t="e">
        <f>VLOOKUP($B696,#REF!,7,FALSE)</f>
        <v>#REF!</v>
      </c>
      <c r="G696" s="8"/>
      <c r="H696" s="8"/>
      <c r="I696" s="9" t="e">
        <f>VLOOKUP($B696,#REF!,19,FALSE)</f>
        <v>#REF!</v>
      </c>
      <c r="J696" s="9" t="e">
        <f>VLOOKUP($B696,#REF!,6,FALSE)</f>
        <v>#REF!</v>
      </c>
      <c r="L696" s="1">
        <v>44654.395833331102</v>
      </c>
      <c r="M696" s="13"/>
    </row>
    <row r="697" spans="2:13">
      <c r="B697" s="5"/>
      <c r="C697" s="6" t="e">
        <f>VLOOKUP($B697,#REF!,5,FALSE)</f>
        <v>#REF!</v>
      </c>
      <c r="D697" s="6" t="e">
        <f>VLOOKUP($B697,#REF!,6,FALSE)</f>
        <v>#REF!</v>
      </c>
      <c r="E697" s="7" t="e">
        <f>VLOOKUP($B697,#REF!,17,FALSE)</f>
        <v>#REF!</v>
      </c>
      <c r="F697" s="8" t="e">
        <f>VLOOKUP($B697,#REF!,7,FALSE)</f>
        <v>#REF!</v>
      </c>
      <c r="G697" s="8"/>
      <c r="H697" s="8"/>
      <c r="I697" s="9" t="e">
        <f>VLOOKUP($B697,#REF!,19,FALSE)</f>
        <v>#REF!</v>
      </c>
      <c r="J697" s="9" t="e">
        <f>VLOOKUP($B697,#REF!,6,FALSE)</f>
        <v>#REF!</v>
      </c>
      <c r="L697" s="1">
        <v>44654.399305553321</v>
      </c>
      <c r="M697" s="13"/>
    </row>
    <row r="698" spans="2:13">
      <c r="B698" s="5"/>
      <c r="C698" s="6" t="e">
        <f>VLOOKUP($B698,#REF!,5,FALSE)</f>
        <v>#REF!</v>
      </c>
      <c r="D698" s="6" t="e">
        <f>VLOOKUP($B698,#REF!,6,FALSE)</f>
        <v>#REF!</v>
      </c>
      <c r="E698" s="7" t="e">
        <f>VLOOKUP($B698,#REF!,17,FALSE)</f>
        <v>#REF!</v>
      </c>
      <c r="F698" s="8" t="e">
        <f>VLOOKUP($B698,#REF!,7,FALSE)</f>
        <v>#REF!</v>
      </c>
      <c r="G698" s="8"/>
      <c r="H698" s="8"/>
      <c r="I698" s="9" t="e">
        <f>VLOOKUP($B698,#REF!,19,FALSE)</f>
        <v>#REF!</v>
      </c>
      <c r="J698" s="9" t="e">
        <f>VLOOKUP($B698,#REF!,6,FALSE)</f>
        <v>#REF!</v>
      </c>
      <c r="L698" s="1">
        <v>44654.40277777554</v>
      </c>
      <c r="M698" s="13"/>
    </row>
    <row r="699" spans="2:13">
      <c r="B699" s="5"/>
      <c r="C699" s="6" t="e">
        <f>VLOOKUP($B699,#REF!,5,FALSE)</f>
        <v>#REF!</v>
      </c>
      <c r="D699" s="6" t="e">
        <f>VLOOKUP($B699,#REF!,6,FALSE)</f>
        <v>#REF!</v>
      </c>
      <c r="E699" s="7" t="e">
        <f>VLOOKUP($B699,#REF!,17,FALSE)</f>
        <v>#REF!</v>
      </c>
      <c r="F699" s="8" t="e">
        <f>VLOOKUP($B699,#REF!,7,FALSE)</f>
        <v>#REF!</v>
      </c>
      <c r="G699" s="8"/>
      <c r="H699" s="8"/>
      <c r="I699" s="9" t="e">
        <f>VLOOKUP($B699,#REF!,19,FALSE)</f>
        <v>#REF!</v>
      </c>
      <c r="J699" s="9" t="e">
        <f>VLOOKUP($B699,#REF!,6,FALSE)</f>
        <v>#REF!</v>
      </c>
      <c r="L699" s="1">
        <v>44654.406249997759</v>
      </c>
      <c r="M699" s="13"/>
    </row>
    <row r="700" spans="2:13">
      <c r="B700" s="5"/>
      <c r="C700" s="6" t="e">
        <f>VLOOKUP($B700,#REF!,5,FALSE)</f>
        <v>#REF!</v>
      </c>
      <c r="D700" s="6" t="e">
        <f>VLOOKUP($B700,#REF!,6,FALSE)</f>
        <v>#REF!</v>
      </c>
      <c r="E700" s="7" t="e">
        <f>VLOOKUP($B700,#REF!,17,FALSE)</f>
        <v>#REF!</v>
      </c>
      <c r="F700" s="8" t="e">
        <f>VLOOKUP($B700,#REF!,7,FALSE)</f>
        <v>#REF!</v>
      </c>
      <c r="G700" s="8"/>
      <c r="H700" s="8"/>
      <c r="I700" s="9" t="e">
        <f>VLOOKUP($B700,#REF!,19,FALSE)</f>
        <v>#REF!</v>
      </c>
      <c r="J700" s="9" t="e">
        <f>VLOOKUP($B700,#REF!,6,FALSE)</f>
        <v>#REF!</v>
      </c>
      <c r="L700" s="1">
        <v>44654.409722219978</v>
      </c>
      <c r="M700" s="13"/>
    </row>
    <row r="701" spans="2:13">
      <c r="B701" s="5"/>
      <c r="C701" s="6" t="e">
        <f>VLOOKUP($B701,#REF!,5,FALSE)</f>
        <v>#REF!</v>
      </c>
      <c r="D701" s="6" t="e">
        <f>VLOOKUP($B701,#REF!,6,FALSE)</f>
        <v>#REF!</v>
      </c>
      <c r="E701" s="7" t="e">
        <f>VLOOKUP($B701,#REF!,17,FALSE)</f>
        <v>#REF!</v>
      </c>
      <c r="F701" s="8" t="e">
        <f>VLOOKUP($B701,#REF!,7,FALSE)</f>
        <v>#REF!</v>
      </c>
      <c r="G701" s="8"/>
      <c r="H701" s="8"/>
      <c r="I701" s="9" t="e">
        <f>VLOOKUP($B701,#REF!,19,FALSE)</f>
        <v>#REF!</v>
      </c>
      <c r="J701" s="9" t="e">
        <f>VLOOKUP($B701,#REF!,6,FALSE)</f>
        <v>#REF!</v>
      </c>
      <c r="L701" s="1">
        <v>44654.413194442197</v>
      </c>
      <c r="M701" s="13"/>
    </row>
    <row r="702" spans="2:13">
      <c r="B702" s="5"/>
      <c r="C702" s="6" t="e">
        <f>VLOOKUP($B702,#REF!,5,FALSE)</f>
        <v>#REF!</v>
      </c>
      <c r="D702" s="6" t="e">
        <f>VLOOKUP($B702,#REF!,6,FALSE)</f>
        <v>#REF!</v>
      </c>
      <c r="E702" s="7" t="e">
        <f>VLOOKUP($B702,#REF!,17,FALSE)</f>
        <v>#REF!</v>
      </c>
      <c r="F702" s="8" t="e">
        <f>VLOOKUP($B702,#REF!,7,FALSE)</f>
        <v>#REF!</v>
      </c>
      <c r="G702" s="8"/>
      <c r="H702" s="8"/>
      <c r="I702" s="9" t="e">
        <f>VLOOKUP($B702,#REF!,19,FALSE)</f>
        <v>#REF!</v>
      </c>
      <c r="J702" s="9" t="e">
        <f>VLOOKUP($B702,#REF!,6,FALSE)</f>
        <v>#REF!</v>
      </c>
      <c r="L702" s="1">
        <v>44654.416666664416</v>
      </c>
      <c r="M702" s="13"/>
    </row>
    <row r="703" spans="2:13">
      <c r="B703" s="5"/>
      <c r="C703" s="6" t="e">
        <f>VLOOKUP($B703,#REF!,5,FALSE)</f>
        <v>#REF!</v>
      </c>
      <c r="D703" s="6" t="e">
        <f>VLOOKUP($B703,#REF!,6,FALSE)</f>
        <v>#REF!</v>
      </c>
      <c r="E703" s="7" t="e">
        <f>VLOOKUP($B703,#REF!,17,FALSE)</f>
        <v>#REF!</v>
      </c>
      <c r="F703" s="8" t="e">
        <f>VLOOKUP($B703,#REF!,7,FALSE)</f>
        <v>#REF!</v>
      </c>
      <c r="G703" s="8"/>
      <c r="H703" s="8"/>
      <c r="I703" s="9" t="e">
        <f>VLOOKUP($B703,#REF!,19,FALSE)</f>
        <v>#REF!</v>
      </c>
      <c r="J703" s="9" t="e">
        <f>VLOOKUP($B703,#REF!,6,FALSE)</f>
        <v>#REF!</v>
      </c>
      <c r="L703" s="1">
        <v>44654.420138886635</v>
      </c>
      <c r="M703" s="13"/>
    </row>
    <row r="704" spans="2:13">
      <c r="B704" s="5"/>
      <c r="C704" s="6" t="e">
        <f>VLOOKUP($B704,#REF!,5,FALSE)</f>
        <v>#REF!</v>
      </c>
      <c r="D704" s="6" t="e">
        <f>VLOOKUP($B704,#REF!,6,FALSE)</f>
        <v>#REF!</v>
      </c>
      <c r="E704" s="7" t="e">
        <f>VLOOKUP($B704,#REF!,17,FALSE)</f>
        <v>#REF!</v>
      </c>
      <c r="F704" s="8" t="e">
        <f>VLOOKUP($B704,#REF!,7,FALSE)</f>
        <v>#REF!</v>
      </c>
      <c r="G704" s="8"/>
      <c r="H704" s="8"/>
      <c r="I704" s="9" t="e">
        <f>VLOOKUP($B704,#REF!,19,FALSE)</f>
        <v>#REF!</v>
      </c>
      <c r="J704" s="9" t="e">
        <f>VLOOKUP($B704,#REF!,6,FALSE)</f>
        <v>#REF!</v>
      </c>
      <c r="L704" s="1">
        <v>44654.423611108854</v>
      </c>
      <c r="M704" s="13"/>
    </row>
    <row r="705" spans="2:13">
      <c r="B705" s="5"/>
      <c r="C705" s="6" t="e">
        <f>VLOOKUP($B705,#REF!,5,FALSE)</f>
        <v>#REF!</v>
      </c>
      <c r="D705" s="6" t="e">
        <f>VLOOKUP($B705,#REF!,6,FALSE)</f>
        <v>#REF!</v>
      </c>
      <c r="E705" s="7" t="e">
        <f>VLOOKUP($B705,#REF!,17,FALSE)</f>
        <v>#REF!</v>
      </c>
      <c r="F705" s="8" t="e">
        <f>VLOOKUP($B705,#REF!,7,FALSE)</f>
        <v>#REF!</v>
      </c>
      <c r="G705" s="8"/>
      <c r="H705" s="8"/>
      <c r="I705" s="9" t="e">
        <f>VLOOKUP($B705,#REF!,19,FALSE)</f>
        <v>#REF!</v>
      </c>
      <c r="J705" s="9" t="e">
        <f>VLOOKUP($B705,#REF!,6,FALSE)</f>
        <v>#REF!</v>
      </c>
      <c r="L705" s="1">
        <v>44654.427083331073</v>
      </c>
      <c r="M705" s="13"/>
    </row>
    <row r="706" spans="2:13">
      <c r="B706" s="5"/>
      <c r="C706" s="6" t="e">
        <f>VLOOKUP($B706,#REF!,5,FALSE)</f>
        <v>#REF!</v>
      </c>
      <c r="D706" s="6" t="e">
        <f>VLOOKUP($B706,#REF!,6,FALSE)</f>
        <v>#REF!</v>
      </c>
      <c r="E706" s="7" t="e">
        <f>VLOOKUP($B706,#REF!,17,FALSE)</f>
        <v>#REF!</v>
      </c>
      <c r="F706" s="8" t="e">
        <f>VLOOKUP($B706,#REF!,7,FALSE)</f>
        <v>#REF!</v>
      </c>
      <c r="G706" s="8"/>
      <c r="H706" s="8"/>
      <c r="I706" s="9" t="e">
        <f>VLOOKUP($B706,#REF!,19,FALSE)</f>
        <v>#REF!</v>
      </c>
      <c r="J706" s="9" t="e">
        <f>VLOOKUP($B706,#REF!,6,FALSE)</f>
        <v>#REF!</v>
      </c>
      <c r="L706" s="1">
        <v>44654.430555553292</v>
      </c>
      <c r="M706" s="13"/>
    </row>
    <row r="707" spans="2:13">
      <c r="B707" s="5"/>
      <c r="C707" s="6" t="e">
        <f>VLOOKUP($B707,#REF!,5,FALSE)</f>
        <v>#REF!</v>
      </c>
      <c r="D707" s="6" t="e">
        <f>VLOOKUP($B707,#REF!,6,FALSE)</f>
        <v>#REF!</v>
      </c>
      <c r="E707" s="7" t="e">
        <f>VLOOKUP($B707,#REF!,17,FALSE)</f>
        <v>#REF!</v>
      </c>
      <c r="F707" s="8" t="e">
        <f>VLOOKUP($B707,#REF!,7,FALSE)</f>
        <v>#REF!</v>
      </c>
      <c r="G707" s="8"/>
      <c r="H707" s="8"/>
      <c r="I707" s="9" t="e">
        <f>VLOOKUP($B707,#REF!,19,FALSE)</f>
        <v>#REF!</v>
      </c>
      <c r="J707" s="9" t="e">
        <f>VLOOKUP($B707,#REF!,6,FALSE)</f>
        <v>#REF!</v>
      </c>
      <c r="L707" s="1">
        <v>44654.434027775511</v>
      </c>
      <c r="M707" s="13"/>
    </row>
    <row r="708" spans="2:13">
      <c r="B708" s="5"/>
      <c r="C708" s="6" t="e">
        <f>VLOOKUP($B708,#REF!,5,FALSE)</f>
        <v>#REF!</v>
      </c>
      <c r="D708" s="6" t="e">
        <f>VLOOKUP($B708,#REF!,6,FALSE)</f>
        <v>#REF!</v>
      </c>
      <c r="E708" s="7" t="e">
        <f>VLOOKUP($B708,#REF!,17,FALSE)</f>
        <v>#REF!</v>
      </c>
      <c r="F708" s="8" t="e">
        <f>VLOOKUP($B708,#REF!,7,FALSE)</f>
        <v>#REF!</v>
      </c>
      <c r="G708" s="8"/>
      <c r="H708" s="8"/>
      <c r="I708" s="9" t="e">
        <f>VLOOKUP($B708,#REF!,19,FALSE)</f>
        <v>#REF!</v>
      </c>
      <c r="J708" s="9" t="e">
        <f>VLOOKUP($B708,#REF!,6,FALSE)</f>
        <v>#REF!</v>
      </c>
      <c r="L708" s="1">
        <v>44654.43749999773</v>
      </c>
      <c r="M708" s="13"/>
    </row>
    <row r="709" spans="2:13">
      <c r="B709" s="5"/>
      <c r="C709" s="6" t="e">
        <f>VLOOKUP($B709,#REF!,5,FALSE)</f>
        <v>#REF!</v>
      </c>
      <c r="D709" s="6" t="e">
        <f>VLOOKUP($B709,#REF!,6,FALSE)</f>
        <v>#REF!</v>
      </c>
      <c r="E709" s="7" t="e">
        <f>VLOOKUP($B709,#REF!,17,FALSE)</f>
        <v>#REF!</v>
      </c>
      <c r="F709" s="8" t="e">
        <f>VLOOKUP($B709,#REF!,7,FALSE)</f>
        <v>#REF!</v>
      </c>
      <c r="G709" s="8"/>
      <c r="H709" s="8"/>
      <c r="I709" s="9" t="e">
        <f>VLOOKUP($B709,#REF!,19,FALSE)</f>
        <v>#REF!</v>
      </c>
      <c r="J709" s="9" t="e">
        <f>VLOOKUP($B709,#REF!,6,FALSE)</f>
        <v>#REF!</v>
      </c>
      <c r="L709" s="1">
        <v>44654.440972219949</v>
      </c>
      <c r="M709" s="13"/>
    </row>
    <row r="710" spans="2:13">
      <c r="B710" s="5"/>
      <c r="C710" s="6" t="e">
        <f>VLOOKUP($B710,#REF!,5,FALSE)</f>
        <v>#REF!</v>
      </c>
      <c r="D710" s="6" t="e">
        <f>VLOOKUP($B710,#REF!,6,FALSE)</f>
        <v>#REF!</v>
      </c>
      <c r="E710" s="7" t="e">
        <f>VLOOKUP($B710,#REF!,17,FALSE)</f>
        <v>#REF!</v>
      </c>
      <c r="F710" s="8" t="e">
        <f>VLOOKUP($B710,#REF!,7,FALSE)</f>
        <v>#REF!</v>
      </c>
      <c r="G710" s="8"/>
      <c r="H710" s="8"/>
      <c r="I710" s="9" t="e">
        <f>VLOOKUP($B710,#REF!,19,FALSE)</f>
        <v>#REF!</v>
      </c>
      <c r="J710" s="9" t="e">
        <f>VLOOKUP($B710,#REF!,6,FALSE)</f>
        <v>#REF!</v>
      </c>
      <c r="L710" s="1">
        <v>44654.444444442168</v>
      </c>
      <c r="M710" s="13"/>
    </row>
    <row r="711" spans="2:13">
      <c r="B711" s="5"/>
      <c r="C711" s="6" t="e">
        <f>VLOOKUP($B711,#REF!,5,FALSE)</f>
        <v>#REF!</v>
      </c>
      <c r="D711" s="6" t="e">
        <f>VLOOKUP($B711,#REF!,6,FALSE)</f>
        <v>#REF!</v>
      </c>
      <c r="E711" s="7" t="e">
        <f>VLOOKUP($B711,#REF!,17,FALSE)</f>
        <v>#REF!</v>
      </c>
      <c r="F711" s="8" t="e">
        <f>VLOOKUP($B711,#REF!,7,FALSE)</f>
        <v>#REF!</v>
      </c>
      <c r="G711" s="8"/>
      <c r="H711" s="8"/>
      <c r="I711" s="9" t="e">
        <f>VLOOKUP($B711,#REF!,19,FALSE)</f>
        <v>#REF!</v>
      </c>
      <c r="J711" s="9" t="e">
        <f>VLOOKUP($B711,#REF!,6,FALSE)</f>
        <v>#REF!</v>
      </c>
      <c r="L711" s="1">
        <v>44654.447916664387</v>
      </c>
      <c r="M711" s="13"/>
    </row>
    <row r="712" spans="2:13">
      <c r="B712" s="5"/>
      <c r="C712" s="6" t="e">
        <f>VLOOKUP($B712,#REF!,5,FALSE)</f>
        <v>#REF!</v>
      </c>
      <c r="D712" s="6" t="e">
        <f>VLOOKUP($B712,#REF!,6,FALSE)</f>
        <v>#REF!</v>
      </c>
      <c r="E712" s="7" t="e">
        <f>VLOOKUP($B712,#REF!,17,FALSE)</f>
        <v>#REF!</v>
      </c>
      <c r="F712" s="8" t="e">
        <f>VLOOKUP($B712,#REF!,7,FALSE)</f>
        <v>#REF!</v>
      </c>
      <c r="G712" s="8"/>
      <c r="H712" s="8"/>
      <c r="I712" s="9" t="e">
        <f>VLOOKUP($B712,#REF!,19,FALSE)</f>
        <v>#REF!</v>
      </c>
      <c r="J712" s="9" t="e">
        <f>VLOOKUP($B712,#REF!,6,FALSE)</f>
        <v>#REF!</v>
      </c>
      <c r="L712" s="1">
        <v>44654.451388886606</v>
      </c>
      <c r="M712" s="13"/>
    </row>
    <row r="713" spans="2:13">
      <c r="B713" s="5"/>
      <c r="C713" s="6" t="e">
        <f>VLOOKUP($B713,#REF!,5,FALSE)</f>
        <v>#REF!</v>
      </c>
      <c r="D713" s="6" t="e">
        <f>VLOOKUP($B713,#REF!,6,FALSE)</f>
        <v>#REF!</v>
      </c>
      <c r="E713" s="7" t="e">
        <f>VLOOKUP($B713,#REF!,17,FALSE)</f>
        <v>#REF!</v>
      </c>
      <c r="F713" s="8" t="e">
        <f>VLOOKUP($B713,#REF!,7,FALSE)</f>
        <v>#REF!</v>
      </c>
      <c r="G713" s="8"/>
      <c r="H713" s="8"/>
      <c r="I713" s="9" t="e">
        <f>VLOOKUP($B713,#REF!,19,FALSE)</f>
        <v>#REF!</v>
      </c>
      <c r="J713" s="9" t="e">
        <f>VLOOKUP($B713,#REF!,6,FALSE)</f>
        <v>#REF!</v>
      </c>
      <c r="L713" s="1">
        <v>44654.454861108825</v>
      </c>
      <c r="M713" s="13"/>
    </row>
    <row r="714" spans="2:13">
      <c r="B714" s="5"/>
      <c r="C714" s="6" t="e">
        <f>VLOOKUP($B714,#REF!,5,FALSE)</f>
        <v>#REF!</v>
      </c>
      <c r="D714" s="6" t="e">
        <f>VLOOKUP($B714,#REF!,6,FALSE)</f>
        <v>#REF!</v>
      </c>
      <c r="E714" s="7" t="e">
        <f>VLOOKUP($B714,#REF!,17,FALSE)</f>
        <v>#REF!</v>
      </c>
      <c r="F714" s="8" t="e">
        <f>VLOOKUP($B714,#REF!,7,FALSE)</f>
        <v>#REF!</v>
      </c>
      <c r="G714" s="8"/>
      <c r="H714" s="8"/>
      <c r="I714" s="9" t="e">
        <f>VLOOKUP($B714,#REF!,19,FALSE)</f>
        <v>#REF!</v>
      </c>
      <c r="J714" s="9" t="e">
        <f>VLOOKUP($B714,#REF!,6,FALSE)</f>
        <v>#REF!</v>
      </c>
      <c r="L714" s="1">
        <v>44654.458333331044</v>
      </c>
      <c r="M714" s="13"/>
    </row>
    <row r="715" spans="2:13">
      <c r="B715" s="5"/>
      <c r="C715" s="6" t="e">
        <f>VLOOKUP($B715,#REF!,5,FALSE)</f>
        <v>#REF!</v>
      </c>
      <c r="D715" s="6" t="e">
        <f>VLOOKUP($B715,#REF!,6,FALSE)</f>
        <v>#REF!</v>
      </c>
      <c r="E715" s="7" t="e">
        <f>VLOOKUP($B715,#REF!,17,FALSE)</f>
        <v>#REF!</v>
      </c>
      <c r="F715" s="8" t="e">
        <f>VLOOKUP($B715,#REF!,7,FALSE)</f>
        <v>#REF!</v>
      </c>
      <c r="G715" s="8"/>
      <c r="H715" s="8"/>
      <c r="I715" s="9" t="e">
        <f>VLOOKUP($B715,#REF!,19,FALSE)</f>
        <v>#REF!</v>
      </c>
      <c r="J715" s="9" t="e">
        <f>VLOOKUP($B715,#REF!,6,FALSE)</f>
        <v>#REF!</v>
      </c>
      <c r="L715" s="1">
        <v>44654.461805553263</v>
      </c>
      <c r="M715" s="13"/>
    </row>
    <row r="716" spans="2:13">
      <c r="B716" s="5"/>
      <c r="C716" s="6" t="e">
        <f>VLOOKUP($B716,#REF!,5,FALSE)</f>
        <v>#REF!</v>
      </c>
      <c r="D716" s="6" t="e">
        <f>VLOOKUP($B716,#REF!,6,FALSE)</f>
        <v>#REF!</v>
      </c>
      <c r="E716" s="7" t="e">
        <f>VLOOKUP($B716,#REF!,17,FALSE)</f>
        <v>#REF!</v>
      </c>
      <c r="F716" s="8" t="e">
        <f>VLOOKUP($B716,#REF!,7,FALSE)</f>
        <v>#REF!</v>
      </c>
      <c r="G716" s="8"/>
      <c r="H716" s="8"/>
      <c r="I716" s="9" t="e">
        <f>VLOOKUP($B716,#REF!,19,FALSE)</f>
        <v>#REF!</v>
      </c>
      <c r="J716" s="9" t="e">
        <f>VLOOKUP($B716,#REF!,6,FALSE)</f>
        <v>#REF!</v>
      </c>
      <c r="L716" s="1">
        <v>44654.465277775482</v>
      </c>
      <c r="M716" s="13"/>
    </row>
    <row r="717" spans="2:13">
      <c r="B717" s="5"/>
      <c r="C717" s="6" t="e">
        <f>VLOOKUP($B717,#REF!,5,FALSE)</f>
        <v>#REF!</v>
      </c>
      <c r="D717" s="6" t="e">
        <f>VLOOKUP($B717,#REF!,6,FALSE)</f>
        <v>#REF!</v>
      </c>
      <c r="E717" s="7" t="e">
        <f>VLOOKUP($B717,#REF!,17,FALSE)</f>
        <v>#REF!</v>
      </c>
      <c r="F717" s="8" t="e">
        <f>VLOOKUP($B717,#REF!,7,FALSE)</f>
        <v>#REF!</v>
      </c>
      <c r="G717" s="8"/>
      <c r="H717" s="8"/>
      <c r="I717" s="9" t="e">
        <f>VLOOKUP($B717,#REF!,19,FALSE)</f>
        <v>#REF!</v>
      </c>
      <c r="J717" s="9" t="e">
        <f>VLOOKUP($B717,#REF!,6,FALSE)</f>
        <v>#REF!</v>
      </c>
      <c r="L717" s="1">
        <v>44654.468749997701</v>
      </c>
      <c r="M717" s="13"/>
    </row>
    <row r="718" spans="2:13">
      <c r="B718" s="5"/>
      <c r="C718" s="6" t="e">
        <f>VLOOKUP($B718,#REF!,5,FALSE)</f>
        <v>#REF!</v>
      </c>
      <c r="D718" s="6" t="e">
        <f>VLOOKUP($B718,#REF!,6,FALSE)</f>
        <v>#REF!</v>
      </c>
      <c r="E718" s="7" t="e">
        <f>VLOOKUP($B718,#REF!,17,FALSE)</f>
        <v>#REF!</v>
      </c>
      <c r="F718" s="8" t="e">
        <f>VLOOKUP($B718,#REF!,7,FALSE)</f>
        <v>#REF!</v>
      </c>
      <c r="G718" s="8"/>
      <c r="H718" s="8"/>
      <c r="I718" s="9" t="e">
        <f>VLOOKUP($B718,#REF!,19,FALSE)</f>
        <v>#REF!</v>
      </c>
      <c r="J718" s="9" t="e">
        <f>VLOOKUP($B718,#REF!,6,FALSE)</f>
        <v>#REF!</v>
      </c>
      <c r="L718" s="1">
        <v>44654.47222221992</v>
      </c>
      <c r="M718" s="13"/>
    </row>
    <row r="719" spans="2:13">
      <c r="B719" s="5"/>
      <c r="C719" s="6" t="e">
        <f>VLOOKUP($B719,#REF!,5,FALSE)</f>
        <v>#REF!</v>
      </c>
      <c r="D719" s="6" t="e">
        <f>VLOOKUP($B719,#REF!,6,FALSE)</f>
        <v>#REF!</v>
      </c>
      <c r="E719" s="7" t="e">
        <f>VLOOKUP($B719,#REF!,17,FALSE)</f>
        <v>#REF!</v>
      </c>
      <c r="F719" s="8" t="e">
        <f>VLOOKUP($B719,#REF!,7,FALSE)</f>
        <v>#REF!</v>
      </c>
      <c r="G719" s="8"/>
      <c r="H719" s="8"/>
      <c r="I719" s="9" t="e">
        <f>VLOOKUP($B719,#REF!,19,FALSE)</f>
        <v>#REF!</v>
      </c>
      <c r="J719" s="9" t="e">
        <f>VLOOKUP($B719,#REF!,6,FALSE)</f>
        <v>#REF!</v>
      </c>
      <c r="L719" s="1">
        <v>44654.475694442139</v>
      </c>
      <c r="M719" s="13"/>
    </row>
    <row r="720" spans="2:13">
      <c r="B720" s="5"/>
      <c r="C720" s="6" t="e">
        <f>VLOOKUP($B720,#REF!,5,FALSE)</f>
        <v>#REF!</v>
      </c>
      <c r="D720" s="6" t="e">
        <f>VLOOKUP($B720,#REF!,6,FALSE)</f>
        <v>#REF!</v>
      </c>
      <c r="E720" s="7" t="e">
        <f>VLOOKUP($B720,#REF!,17,FALSE)</f>
        <v>#REF!</v>
      </c>
      <c r="F720" s="8" t="e">
        <f>VLOOKUP($B720,#REF!,7,FALSE)</f>
        <v>#REF!</v>
      </c>
      <c r="G720" s="8"/>
      <c r="H720" s="8"/>
      <c r="I720" s="9" t="e">
        <f>VLOOKUP($B720,#REF!,19,FALSE)</f>
        <v>#REF!</v>
      </c>
      <c r="J720" s="9" t="e">
        <f>VLOOKUP($B720,#REF!,6,FALSE)</f>
        <v>#REF!</v>
      </c>
      <c r="L720" s="1">
        <v>44654.479166664358</v>
      </c>
      <c r="M720" s="13"/>
    </row>
    <row r="721" spans="2:13">
      <c r="B721" s="5"/>
      <c r="C721" s="6" t="e">
        <f>VLOOKUP($B721,#REF!,5,FALSE)</f>
        <v>#REF!</v>
      </c>
      <c r="D721" s="6" t="e">
        <f>VLOOKUP($B721,#REF!,6,FALSE)</f>
        <v>#REF!</v>
      </c>
      <c r="E721" s="7" t="e">
        <f>VLOOKUP($B721,#REF!,17,FALSE)</f>
        <v>#REF!</v>
      </c>
      <c r="F721" s="8" t="e">
        <f>VLOOKUP($B721,#REF!,7,FALSE)</f>
        <v>#REF!</v>
      </c>
      <c r="G721" s="8"/>
      <c r="H721" s="8"/>
      <c r="I721" s="9" t="e">
        <f>VLOOKUP($B721,#REF!,19,FALSE)</f>
        <v>#REF!</v>
      </c>
      <c r="J721" s="9" t="e">
        <f>VLOOKUP($B721,#REF!,6,FALSE)</f>
        <v>#REF!</v>
      </c>
      <c r="L721" s="1">
        <v>44654.482638886577</v>
      </c>
      <c r="M721" s="13"/>
    </row>
    <row r="722" spans="2:13">
      <c r="B722" s="5"/>
      <c r="C722" s="6" t="e">
        <f>VLOOKUP($B722,#REF!,5,FALSE)</f>
        <v>#REF!</v>
      </c>
      <c r="D722" s="6" t="e">
        <f>VLOOKUP($B722,#REF!,6,FALSE)</f>
        <v>#REF!</v>
      </c>
      <c r="E722" s="7" t="e">
        <f>VLOOKUP($B722,#REF!,17,FALSE)</f>
        <v>#REF!</v>
      </c>
      <c r="F722" s="8" t="e">
        <f>VLOOKUP($B722,#REF!,7,FALSE)</f>
        <v>#REF!</v>
      </c>
      <c r="G722" s="8"/>
      <c r="H722" s="8"/>
      <c r="I722" s="9" t="e">
        <f>VLOOKUP($B722,#REF!,19,FALSE)</f>
        <v>#REF!</v>
      </c>
      <c r="J722" s="9" t="e">
        <f>VLOOKUP($B722,#REF!,6,FALSE)</f>
        <v>#REF!</v>
      </c>
      <c r="L722" s="1">
        <v>44654.486111108796</v>
      </c>
      <c r="M722" s="13"/>
    </row>
    <row r="723" spans="2:13">
      <c r="B723" s="5"/>
      <c r="C723" s="6" t="e">
        <f>VLOOKUP($B723,#REF!,5,FALSE)</f>
        <v>#REF!</v>
      </c>
      <c r="D723" s="6" t="e">
        <f>VLOOKUP($B723,#REF!,6,FALSE)</f>
        <v>#REF!</v>
      </c>
      <c r="E723" s="7" t="e">
        <f>VLOOKUP($B723,#REF!,17,FALSE)</f>
        <v>#REF!</v>
      </c>
      <c r="F723" s="8" t="e">
        <f>VLOOKUP($B723,#REF!,7,FALSE)</f>
        <v>#REF!</v>
      </c>
      <c r="G723" s="8"/>
      <c r="H723" s="8"/>
      <c r="I723" s="9" t="e">
        <f>VLOOKUP($B723,#REF!,19,FALSE)</f>
        <v>#REF!</v>
      </c>
      <c r="J723" s="9" t="e">
        <f>VLOOKUP($B723,#REF!,6,FALSE)</f>
        <v>#REF!</v>
      </c>
      <c r="L723" s="1">
        <v>44654.489583331015</v>
      </c>
      <c r="M723" s="13"/>
    </row>
    <row r="724" spans="2:13">
      <c r="B724" s="5"/>
      <c r="C724" s="6" t="e">
        <f>VLOOKUP($B724,#REF!,5,FALSE)</f>
        <v>#REF!</v>
      </c>
      <c r="D724" s="6" t="e">
        <f>VLOOKUP($B724,#REF!,6,FALSE)</f>
        <v>#REF!</v>
      </c>
      <c r="E724" s="7" t="e">
        <f>VLOOKUP($B724,#REF!,17,FALSE)</f>
        <v>#REF!</v>
      </c>
      <c r="F724" s="8" t="e">
        <f>VLOOKUP($B724,#REF!,7,FALSE)</f>
        <v>#REF!</v>
      </c>
      <c r="G724" s="8"/>
      <c r="H724" s="8"/>
      <c r="I724" s="9" t="e">
        <f>VLOOKUP($B724,#REF!,19,FALSE)</f>
        <v>#REF!</v>
      </c>
      <c r="J724" s="9" t="e">
        <f>VLOOKUP($B724,#REF!,6,FALSE)</f>
        <v>#REF!</v>
      </c>
      <c r="L724" s="1">
        <v>44654.493055553234</v>
      </c>
      <c r="M724" s="13"/>
    </row>
    <row r="725" spans="2:13">
      <c r="B725" s="5"/>
      <c r="C725" s="6" t="e">
        <f>VLOOKUP($B725,#REF!,5,FALSE)</f>
        <v>#REF!</v>
      </c>
      <c r="D725" s="6" t="e">
        <f>VLOOKUP($B725,#REF!,6,FALSE)</f>
        <v>#REF!</v>
      </c>
      <c r="E725" s="7" t="e">
        <f>VLOOKUP($B725,#REF!,17,FALSE)</f>
        <v>#REF!</v>
      </c>
      <c r="F725" s="8" t="e">
        <f>VLOOKUP($B725,#REF!,7,FALSE)</f>
        <v>#REF!</v>
      </c>
      <c r="G725" s="8"/>
      <c r="H725" s="8"/>
      <c r="I725" s="9" t="e">
        <f>VLOOKUP($B725,#REF!,19,FALSE)</f>
        <v>#REF!</v>
      </c>
      <c r="J725" s="9" t="e">
        <f>VLOOKUP($B725,#REF!,6,FALSE)</f>
        <v>#REF!</v>
      </c>
      <c r="L725" s="1">
        <v>44654.496527775453</v>
      </c>
      <c r="M725" s="13"/>
    </row>
    <row r="726" spans="2:13">
      <c r="B726" s="5"/>
      <c r="C726" s="6" t="e">
        <f>VLOOKUP($B726,#REF!,5,FALSE)</f>
        <v>#REF!</v>
      </c>
      <c r="D726" s="6" t="e">
        <f>VLOOKUP($B726,#REF!,6,FALSE)</f>
        <v>#REF!</v>
      </c>
      <c r="E726" s="7" t="e">
        <f>VLOOKUP($B726,#REF!,17,FALSE)</f>
        <v>#REF!</v>
      </c>
      <c r="F726" s="8" t="e">
        <f>VLOOKUP($B726,#REF!,7,FALSE)</f>
        <v>#REF!</v>
      </c>
      <c r="G726" s="8"/>
      <c r="H726" s="8"/>
      <c r="I726" s="9" t="e">
        <f>VLOOKUP($B726,#REF!,19,FALSE)</f>
        <v>#REF!</v>
      </c>
      <c r="J726" s="9" t="e">
        <f>VLOOKUP($B726,#REF!,6,FALSE)</f>
        <v>#REF!</v>
      </c>
      <c r="L726" s="1">
        <v>44654.499999997672</v>
      </c>
      <c r="M726" s="13"/>
    </row>
    <row r="727" spans="2:13">
      <c r="B727" s="5"/>
      <c r="C727" s="6" t="e">
        <f>VLOOKUP($B727,#REF!,5,FALSE)</f>
        <v>#REF!</v>
      </c>
      <c r="D727" s="6" t="e">
        <f>VLOOKUP($B727,#REF!,6,FALSE)</f>
        <v>#REF!</v>
      </c>
      <c r="E727" s="7" t="e">
        <f>VLOOKUP($B727,#REF!,17,FALSE)</f>
        <v>#REF!</v>
      </c>
      <c r="F727" s="8" t="e">
        <f>VLOOKUP($B727,#REF!,7,FALSE)</f>
        <v>#REF!</v>
      </c>
      <c r="G727" s="8"/>
      <c r="H727" s="8"/>
      <c r="I727" s="9" t="e">
        <f>VLOOKUP($B727,#REF!,19,FALSE)</f>
        <v>#REF!</v>
      </c>
      <c r="J727" s="9" t="e">
        <f>VLOOKUP($B727,#REF!,6,FALSE)</f>
        <v>#REF!</v>
      </c>
      <c r="L727" s="1">
        <v>44654.503472219891</v>
      </c>
      <c r="M727" s="13"/>
    </row>
    <row r="728" spans="2:13">
      <c r="B728" s="5"/>
      <c r="C728" s="6" t="e">
        <f>VLOOKUP($B728,#REF!,5,FALSE)</f>
        <v>#REF!</v>
      </c>
      <c r="D728" s="6" t="e">
        <f>VLOOKUP($B728,#REF!,6,FALSE)</f>
        <v>#REF!</v>
      </c>
      <c r="E728" s="7" t="e">
        <f>VLOOKUP($B728,#REF!,17,FALSE)</f>
        <v>#REF!</v>
      </c>
      <c r="F728" s="8" t="e">
        <f>VLOOKUP($B728,#REF!,7,FALSE)</f>
        <v>#REF!</v>
      </c>
      <c r="G728" s="8"/>
      <c r="H728" s="8"/>
      <c r="I728" s="9" t="e">
        <f>VLOOKUP($B728,#REF!,19,FALSE)</f>
        <v>#REF!</v>
      </c>
      <c r="J728" s="9" t="e">
        <f>VLOOKUP($B728,#REF!,6,FALSE)</f>
        <v>#REF!</v>
      </c>
      <c r="L728" s="1">
        <v>44654.50694444211</v>
      </c>
      <c r="M728" s="13"/>
    </row>
    <row r="729" spans="2:13">
      <c r="B729" s="5"/>
      <c r="C729" s="6" t="e">
        <f>VLOOKUP($B729,#REF!,5,FALSE)</f>
        <v>#REF!</v>
      </c>
      <c r="D729" s="6" t="e">
        <f>VLOOKUP($B729,#REF!,6,FALSE)</f>
        <v>#REF!</v>
      </c>
      <c r="E729" s="7" t="e">
        <f>VLOOKUP($B729,#REF!,17,FALSE)</f>
        <v>#REF!</v>
      </c>
      <c r="F729" s="8" t="e">
        <f>VLOOKUP($B729,#REF!,7,FALSE)</f>
        <v>#REF!</v>
      </c>
      <c r="G729" s="8"/>
      <c r="H729" s="8"/>
      <c r="I729" s="9" t="e">
        <f>VLOOKUP($B729,#REF!,19,FALSE)</f>
        <v>#REF!</v>
      </c>
      <c r="J729" s="9" t="e">
        <f>VLOOKUP($B729,#REF!,6,FALSE)</f>
        <v>#REF!</v>
      </c>
      <c r="L729" s="1">
        <v>44654.510416664329</v>
      </c>
      <c r="M729" s="13"/>
    </row>
    <row r="730" spans="2:13">
      <c r="B730" s="5"/>
      <c r="C730" s="6" t="e">
        <f>VLOOKUP($B730,#REF!,5,FALSE)</f>
        <v>#REF!</v>
      </c>
      <c r="D730" s="6" t="e">
        <f>VLOOKUP($B730,#REF!,6,FALSE)</f>
        <v>#REF!</v>
      </c>
      <c r="E730" s="7" t="e">
        <f>VLOOKUP($B730,#REF!,17,FALSE)</f>
        <v>#REF!</v>
      </c>
      <c r="F730" s="8" t="e">
        <f>VLOOKUP($B730,#REF!,7,FALSE)</f>
        <v>#REF!</v>
      </c>
      <c r="G730" s="8"/>
      <c r="H730" s="8"/>
      <c r="I730" s="9" t="e">
        <f>VLOOKUP($B730,#REF!,19,FALSE)</f>
        <v>#REF!</v>
      </c>
      <c r="J730" s="9" t="e">
        <f>VLOOKUP($B730,#REF!,6,FALSE)</f>
        <v>#REF!</v>
      </c>
      <c r="L730" s="1">
        <v>44654.513888886548</v>
      </c>
      <c r="M730" s="13"/>
    </row>
    <row r="731" spans="2:13">
      <c r="B731" s="5"/>
      <c r="C731" s="6" t="e">
        <f>VLOOKUP($B731,#REF!,5,FALSE)</f>
        <v>#REF!</v>
      </c>
      <c r="D731" s="6" t="e">
        <f>VLOOKUP($B731,#REF!,6,FALSE)</f>
        <v>#REF!</v>
      </c>
      <c r="E731" s="7" t="e">
        <f>VLOOKUP($B731,#REF!,17,FALSE)</f>
        <v>#REF!</v>
      </c>
      <c r="F731" s="8" t="e">
        <f>VLOOKUP($B731,#REF!,7,FALSE)</f>
        <v>#REF!</v>
      </c>
      <c r="G731" s="8"/>
      <c r="H731" s="8"/>
      <c r="I731" s="9" t="e">
        <f>VLOOKUP($B731,#REF!,19,FALSE)</f>
        <v>#REF!</v>
      </c>
      <c r="J731" s="9" t="e">
        <f>VLOOKUP($B731,#REF!,6,FALSE)</f>
        <v>#REF!</v>
      </c>
      <c r="L731" s="1">
        <v>44654.517361108767</v>
      </c>
      <c r="M731" s="13"/>
    </row>
    <row r="732" spans="2:13">
      <c r="B732" s="5"/>
      <c r="C732" s="6" t="e">
        <f>VLOOKUP($B732,#REF!,5,FALSE)</f>
        <v>#REF!</v>
      </c>
      <c r="D732" s="6" t="e">
        <f>VLOOKUP($B732,#REF!,6,FALSE)</f>
        <v>#REF!</v>
      </c>
      <c r="E732" s="7" t="e">
        <f>VLOOKUP($B732,#REF!,17,FALSE)</f>
        <v>#REF!</v>
      </c>
      <c r="F732" s="8" t="e">
        <f>VLOOKUP($B732,#REF!,7,FALSE)</f>
        <v>#REF!</v>
      </c>
      <c r="G732" s="8"/>
      <c r="H732" s="8"/>
      <c r="I732" s="9" t="e">
        <f>VLOOKUP($B732,#REF!,19,FALSE)</f>
        <v>#REF!</v>
      </c>
      <c r="J732" s="9" t="e">
        <f>VLOOKUP($B732,#REF!,6,FALSE)</f>
        <v>#REF!</v>
      </c>
      <c r="L732" s="1">
        <v>44654.520833330986</v>
      </c>
      <c r="M732" s="13"/>
    </row>
    <row r="733" spans="2:13">
      <c r="B733" s="5"/>
      <c r="C733" s="6" t="e">
        <f>VLOOKUP($B733,#REF!,5,FALSE)</f>
        <v>#REF!</v>
      </c>
      <c r="D733" s="6" t="e">
        <f>VLOOKUP($B733,#REF!,6,FALSE)</f>
        <v>#REF!</v>
      </c>
      <c r="E733" s="7" t="e">
        <f>VLOOKUP($B733,#REF!,17,FALSE)</f>
        <v>#REF!</v>
      </c>
      <c r="F733" s="8" t="e">
        <f>VLOOKUP($B733,#REF!,7,FALSE)</f>
        <v>#REF!</v>
      </c>
      <c r="G733" s="8"/>
      <c r="H733" s="8"/>
      <c r="I733" s="9" t="e">
        <f>VLOOKUP($B733,#REF!,19,FALSE)</f>
        <v>#REF!</v>
      </c>
      <c r="J733" s="9" t="e">
        <f>VLOOKUP($B733,#REF!,6,FALSE)</f>
        <v>#REF!</v>
      </c>
      <c r="L733" s="1">
        <v>44654.524305553205</v>
      </c>
      <c r="M733" s="13"/>
    </row>
    <row r="734" spans="2:13">
      <c r="B734" s="5"/>
      <c r="C734" s="6" t="e">
        <f>VLOOKUP($B734,#REF!,5,FALSE)</f>
        <v>#REF!</v>
      </c>
      <c r="D734" s="6" t="e">
        <f>VLOOKUP($B734,#REF!,6,FALSE)</f>
        <v>#REF!</v>
      </c>
      <c r="E734" s="7" t="e">
        <f>VLOOKUP($B734,#REF!,17,FALSE)</f>
        <v>#REF!</v>
      </c>
      <c r="F734" s="8" t="e">
        <f>VLOOKUP($B734,#REF!,7,FALSE)</f>
        <v>#REF!</v>
      </c>
      <c r="G734" s="8"/>
      <c r="H734" s="8"/>
      <c r="I734" s="9" t="e">
        <f>VLOOKUP($B734,#REF!,19,FALSE)</f>
        <v>#REF!</v>
      </c>
      <c r="J734" s="9" t="e">
        <f>VLOOKUP($B734,#REF!,6,FALSE)</f>
        <v>#REF!</v>
      </c>
      <c r="L734" s="1">
        <v>44654.527777775424</v>
      </c>
      <c r="M734" s="13"/>
    </row>
    <row r="735" spans="2:13">
      <c r="B735" s="5"/>
      <c r="C735" s="6" t="e">
        <f>VLOOKUP($B735,#REF!,5,FALSE)</f>
        <v>#REF!</v>
      </c>
      <c r="D735" s="6" t="e">
        <f>VLOOKUP($B735,#REF!,6,FALSE)</f>
        <v>#REF!</v>
      </c>
      <c r="E735" s="7" t="e">
        <f>VLOOKUP($B735,#REF!,17,FALSE)</f>
        <v>#REF!</v>
      </c>
      <c r="F735" s="8" t="e">
        <f>VLOOKUP($B735,#REF!,7,FALSE)</f>
        <v>#REF!</v>
      </c>
      <c r="G735" s="8"/>
      <c r="H735" s="8"/>
      <c r="I735" s="9" t="e">
        <f>VLOOKUP($B735,#REF!,19,FALSE)</f>
        <v>#REF!</v>
      </c>
      <c r="J735" s="9" t="e">
        <f>VLOOKUP($B735,#REF!,6,FALSE)</f>
        <v>#REF!</v>
      </c>
      <c r="L735" s="1">
        <v>44654.531249997643</v>
      </c>
      <c r="M735" s="13"/>
    </row>
    <row r="736" spans="2:13">
      <c r="B736" s="5"/>
      <c r="C736" s="6" t="e">
        <f>VLOOKUP($B736,#REF!,5,FALSE)</f>
        <v>#REF!</v>
      </c>
      <c r="D736" s="6" t="e">
        <f>VLOOKUP($B736,#REF!,6,FALSE)</f>
        <v>#REF!</v>
      </c>
      <c r="E736" s="7" t="e">
        <f>VLOOKUP($B736,#REF!,17,FALSE)</f>
        <v>#REF!</v>
      </c>
      <c r="F736" s="8" t="e">
        <f>VLOOKUP($B736,#REF!,7,FALSE)</f>
        <v>#REF!</v>
      </c>
      <c r="G736" s="8"/>
      <c r="H736" s="8"/>
      <c r="I736" s="9" t="e">
        <f>VLOOKUP($B736,#REF!,19,FALSE)</f>
        <v>#REF!</v>
      </c>
      <c r="J736" s="9" t="e">
        <f>VLOOKUP($B736,#REF!,6,FALSE)</f>
        <v>#REF!</v>
      </c>
      <c r="L736" s="1">
        <v>44654.534722219862</v>
      </c>
      <c r="M736" s="13"/>
    </row>
    <row r="737" spans="2:13">
      <c r="B737" s="5"/>
      <c r="C737" s="6" t="e">
        <f>VLOOKUP($B737,#REF!,5,FALSE)</f>
        <v>#REF!</v>
      </c>
      <c r="D737" s="6" t="e">
        <f>VLOOKUP($B737,#REF!,6,FALSE)</f>
        <v>#REF!</v>
      </c>
      <c r="E737" s="7" t="e">
        <f>VLOOKUP($B737,#REF!,17,FALSE)</f>
        <v>#REF!</v>
      </c>
      <c r="F737" s="8" t="e">
        <f>VLOOKUP($B737,#REF!,7,FALSE)</f>
        <v>#REF!</v>
      </c>
      <c r="G737" s="8"/>
      <c r="H737" s="8"/>
      <c r="I737" s="9" t="e">
        <f>VLOOKUP($B737,#REF!,19,FALSE)</f>
        <v>#REF!</v>
      </c>
      <c r="J737" s="9" t="e">
        <f>VLOOKUP($B737,#REF!,6,FALSE)</f>
        <v>#REF!</v>
      </c>
      <c r="L737" s="1">
        <v>44654.538194442081</v>
      </c>
      <c r="M737" s="13"/>
    </row>
    <row r="738" spans="2:13">
      <c r="B738" s="5"/>
      <c r="C738" s="6" t="e">
        <f>VLOOKUP($B738,#REF!,5,FALSE)</f>
        <v>#REF!</v>
      </c>
      <c r="D738" s="6" t="e">
        <f>VLOOKUP($B738,#REF!,6,FALSE)</f>
        <v>#REF!</v>
      </c>
      <c r="E738" s="7" t="e">
        <f>VLOOKUP($B738,#REF!,17,FALSE)</f>
        <v>#REF!</v>
      </c>
      <c r="F738" s="8" t="e">
        <f>VLOOKUP($B738,#REF!,7,FALSE)</f>
        <v>#REF!</v>
      </c>
      <c r="G738" s="8"/>
      <c r="H738" s="8"/>
      <c r="I738" s="9" t="e">
        <f>VLOOKUP($B738,#REF!,19,FALSE)</f>
        <v>#REF!</v>
      </c>
      <c r="J738" s="9" t="e">
        <f>VLOOKUP($B738,#REF!,6,FALSE)</f>
        <v>#REF!</v>
      </c>
      <c r="L738" s="1">
        <v>44654.5416666643</v>
      </c>
      <c r="M738" s="13"/>
    </row>
    <row r="739" spans="2:13">
      <c r="B739" s="5"/>
      <c r="C739" s="6" t="e">
        <f>VLOOKUP($B739,#REF!,5,FALSE)</f>
        <v>#REF!</v>
      </c>
      <c r="D739" s="6" t="e">
        <f>VLOOKUP($B739,#REF!,6,FALSE)</f>
        <v>#REF!</v>
      </c>
      <c r="E739" s="7" t="e">
        <f>VLOOKUP($B739,#REF!,17,FALSE)</f>
        <v>#REF!</v>
      </c>
      <c r="F739" s="8" t="e">
        <f>VLOOKUP($B739,#REF!,7,FALSE)</f>
        <v>#REF!</v>
      </c>
      <c r="G739" s="8"/>
      <c r="H739" s="8"/>
      <c r="I739" s="9" t="e">
        <f>VLOOKUP($B739,#REF!,19,FALSE)</f>
        <v>#REF!</v>
      </c>
      <c r="J739" s="9" t="e">
        <f>VLOOKUP($B739,#REF!,6,FALSE)</f>
        <v>#REF!</v>
      </c>
      <c r="L739" s="1">
        <v>44654.545138886519</v>
      </c>
      <c r="M739" s="13"/>
    </row>
    <row r="740" spans="2:13">
      <c r="B740" s="5"/>
      <c r="C740" s="6" t="e">
        <f>VLOOKUP($B740,#REF!,5,FALSE)</f>
        <v>#REF!</v>
      </c>
      <c r="D740" s="6" t="e">
        <f>VLOOKUP($B740,#REF!,6,FALSE)</f>
        <v>#REF!</v>
      </c>
      <c r="E740" s="7" t="e">
        <f>VLOOKUP($B740,#REF!,17,FALSE)</f>
        <v>#REF!</v>
      </c>
      <c r="F740" s="8" t="e">
        <f>VLOOKUP($B740,#REF!,7,FALSE)</f>
        <v>#REF!</v>
      </c>
      <c r="G740" s="8"/>
      <c r="H740" s="8"/>
      <c r="I740" s="9" t="e">
        <f>VLOOKUP($B740,#REF!,19,FALSE)</f>
        <v>#REF!</v>
      </c>
      <c r="J740" s="9" t="e">
        <f>VLOOKUP($B740,#REF!,6,FALSE)</f>
        <v>#REF!</v>
      </c>
      <c r="L740" s="1">
        <v>44654.548611108738</v>
      </c>
      <c r="M740" s="13"/>
    </row>
    <row r="741" spans="2:13">
      <c r="B741" s="5"/>
      <c r="C741" s="6" t="e">
        <f>VLOOKUP($B741,#REF!,5,FALSE)</f>
        <v>#REF!</v>
      </c>
      <c r="D741" s="6" t="e">
        <f>VLOOKUP($B741,#REF!,6,FALSE)</f>
        <v>#REF!</v>
      </c>
      <c r="E741" s="7" t="e">
        <f>VLOOKUP($B741,#REF!,17,FALSE)</f>
        <v>#REF!</v>
      </c>
      <c r="F741" s="8" t="e">
        <f>VLOOKUP($B741,#REF!,7,FALSE)</f>
        <v>#REF!</v>
      </c>
      <c r="G741" s="8"/>
      <c r="H741" s="8"/>
      <c r="I741" s="9" t="e">
        <f>VLOOKUP($B741,#REF!,19,FALSE)</f>
        <v>#REF!</v>
      </c>
      <c r="J741" s="9" t="e">
        <f>VLOOKUP($B741,#REF!,6,FALSE)</f>
        <v>#REF!</v>
      </c>
      <c r="L741" s="1">
        <v>44654.552083330957</v>
      </c>
      <c r="M741" s="13"/>
    </row>
    <row r="742" spans="2:13">
      <c r="B742" s="5"/>
      <c r="C742" s="6" t="e">
        <f>VLOOKUP($B742,#REF!,5,FALSE)</f>
        <v>#REF!</v>
      </c>
      <c r="D742" s="6" t="e">
        <f>VLOOKUP($B742,#REF!,6,FALSE)</f>
        <v>#REF!</v>
      </c>
      <c r="E742" s="7" t="e">
        <f>VLOOKUP($B742,#REF!,17,FALSE)</f>
        <v>#REF!</v>
      </c>
      <c r="F742" s="8" t="e">
        <f>VLOOKUP($B742,#REF!,7,FALSE)</f>
        <v>#REF!</v>
      </c>
      <c r="G742" s="8"/>
      <c r="H742" s="8"/>
      <c r="I742" s="9" t="e">
        <f>VLOOKUP($B742,#REF!,19,FALSE)</f>
        <v>#REF!</v>
      </c>
      <c r="J742" s="9" t="e">
        <f>VLOOKUP($B742,#REF!,6,FALSE)</f>
        <v>#REF!</v>
      </c>
      <c r="L742" s="1">
        <v>44654.555555553176</v>
      </c>
      <c r="M742" s="13"/>
    </row>
    <row r="743" spans="2:13">
      <c r="B743" s="5"/>
      <c r="C743" s="6" t="e">
        <f>VLOOKUP($B743,#REF!,5,FALSE)</f>
        <v>#REF!</v>
      </c>
      <c r="D743" s="6" t="e">
        <f>VLOOKUP($B743,#REF!,6,FALSE)</f>
        <v>#REF!</v>
      </c>
      <c r="E743" s="7" t="e">
        <f>VLOOKUP($B743,#REF!,17,FALSE)</f>
        <v>#REF!</v>
      </c>
      <c r="F743" s="8" t="e">
        <f>VLOOKUP($B743,#REF!,7,FALSE)</f>
        <v>#REF!</v>
      </c>
      <c r="G743" s="8"/>
      <c r="H743" s="8"/>
      <c r="I743" s="9" t="e">
        <f>VLOOKUP($B743,#REF!,19,FALSE)</f>
        <v>#REF!</v>
      </c>
      <c r="J743" s="9" t="e">
        <f>VLOOKUP($B743,#REF!,6,FALSE)</f>
        <v>#REF!</v>
      </c>
      <c r="L743" s="1">
        <v>44654.559027775394</v>
      </c>
      <c r="M743" s="13"/>
    </row>
    <row r="744" spans="2:13">
      <c r="B744" s="5"/>
      <c r="C744" s="6" t="e">
        <f>VLOOKUP($B744,#REF!,5,FALSE)</f>
        <v>#REF!</v>
      </c>
      <c r="D744" s="6" t="e">
        <f>VLOOKUP($B744,#REF!,6,FALSE)</f>
        <v>#REF!</v>
      </c>
      <c r="E744" s="7" t="e">
        <f>VLOOKUP($B744,#REF!,17,FALSE)</f>
        <v>#REF!</v>
      </c>
      <c r="F744" s="8" t="e">
        <f>VLOOKUP($B744,#REF!,7,FALSE)</f>
        <v>#REF!</v>
      </c>
      <c r="G744" s="8"/>
      <c r="H744" s="8"/>
      <c r="I744" s="9" t="e">
        <f>VLOOKUP($B744,#REF!,19,FALSE)</f>
        <v>#REF!</v>
      </c>
      <c r="J744" s="9" t="e">
        <f>VLOOKUP($B744,#REF!,6,FALSE)</f>
        <v>#REF!</v>
      </c>
      <c r="L744" s="1">
        <v>44654.562499997613</v>
      </c>
      <c r="M744" s="13"/>
    </row>
    <row r="745" spans="2:13">
      <c r="B745" s="5"/>
      <c r="C745" s="6" t="e">
        <f>VLOOKUP($B745,#REF!,5,FALSE)</f>
        <v>#REF!</v>
      </c>
      <c r="D745" s="6" t="e">
        <f>VLOOKUP($B745,#REF!,6,FALSE)</f>
        <v>#REF!</v>
      </c>
      <c r="E745" s="7" t="e">
        <f>VLOOKUP($B745,#REF!,17,FALSE)</f>
        <v>#REF!</v>
      </c>
      <c r="F745" s="8" t="e">
        <f>VLOOKUP($B745,#REF!,7,FALSE)</f>
        <v>#REF!</v>
      </c>
      <c r="G745" s="8"/>
      <c r="H745" s="8"/>
      <c r="I745" s="9" t="e">
        <f>VLOOKUP($B745,#REF!,19,FALSE)</f>
        <v>#REF!</v>
      </c>
      <c r="J745" s="9" t="e">
        <f>VLOOKUP($B745,#REF!,6,FALSE)</f>
        <v>#REF!</v>
      </c>
      <c r="L745" s="1">
        <v>44654.565972219832</v>
      </c>
      <c r="M745" s="13"/>
    </row>
    <row r="746" spans="2:13">
      <c r="B746" s="5"/>
      <c r="C746" s="6" t="e">
        <f>VLOOKUP($B746,#REF!,5,FALSE)</f>
        <v>#REF!</v>
      </c>
      <c r="D746" s="6" t="e">
        <f>VLOOKUP($B746,#REF!,6,FALSE)</f>
        <v>#REF!</v>
      </c>
      <c r="E746" s="7" t="e">
        <f>VLOOKUP($B746,#REF!,17,FALSE)</f>
        <v>#REF!</v>
      </c>
      <c r="F746" s="8" t="e">
        <f>VLOOKUP($B746,#REF!,7,FALSE)</f>
        <v>#REF!</v>
      </c>
      <c r="G746" s="8"/>
      <c r="H746" s="8"/>
      <c r="I746" s="9" t="e">
        <f>VLOOKUP($B746,#REF!,19,FALSE)</f>
        <v>#REF!</v>
      </c>
      <c r="J746" s="9" t="e">
        <f>VLOOKUP($B746,#REF!,6,FALSE)</f>
        <v>#REF!</v>
      </c>
      <c r="L746" s="1">
        <v>44654.569444442051</v>
      </c>
      <c r="M746" s="13"/>
    </row>
    <row r="747" spans="2:13">
      <c r="B747" s="5"/>
      <c r="C747" s="6" t="e">
        <f>VLOOKUP($B747,#REF!,5,FALSE)</f>
        <v>#REF!</v>
      </c>
      <c r="D747" s="6" t="e">
        <f>VLOOKUP($B747,#REF!,6,FALSE)</f>
        <v>#REF!</v>
      </c>
      <c r="E747" s="7" t="e">
        <f>VLOOKUP($B747,#REF!,17,FALSE)</f>
        <v>#REF!</v>
      </c>
      <c r="F747" s="8" t="e">
        <f>VLOOKUP($B747,#REF!,7,FALSE)</f>
        <v>#REF!</v>
      </c>
      <c r="G747" s="8"/>
      <c r="H747" s="8"/>
      <c r="I747" s="9" t="e">
        <f>VLOOKUP($B747,#REF!,19,FALSE)</f>
        <v>#REF!</v>
      </c>
      <c r="J747" s="9" t="e">
        <f>VLOOKUP($B747,#REF!,6,FALSE)</f>
        <v>#REF!</v>
      </c>
      <c r="L747" s="1">
        <v>44654.57291666427</v>
      </c>
      <c r="M747" s="13"/>
    </row>
    <row r="748" spans="2:13">
      <c r="B748" s="5"/>
      <c r="C748" s="6" t="e">
        <f>VLOOKUP($B748,#REF!,5,FALSE)</f>
        <v>#REF!</v>
      </c>
      <c r="D748" s="6" t="e">
        <f>VLOOKUP($B748,#REF!,6,FALSE)</f>
        <v>#REF!</v>
      </c>
      <c r="E748" s="7" t="e">
        <f>VLOOKUP($B748,#REF!,17,FALSE)</f>
        <v>#REF!</v>
      </c>
      <c r="F748" s="8" t="e">
        <f>VLOOKUP($B748,#REF!,7,FALSE)</f>
        <v>#REF!</v>
      </c>
      <c r="G748" s="8"/>
      <c r="H748" s="8"/>
      <c r="I748" s="9" t="e">
        <f>VLOOKUP($B748,#REF!,19,FALSE)</f>
        <v>#REF!</v>
      </c>
      <c r="J748" s="9" t="e">
        <f>VLOOKUP($B748,#REF!,6,FALSE)</f>
        <v>#REF!</v>
      </c>
      <c r="L748" s="1">
        <v>44654.576388886489</v>
      </c>
      <c r="M748" s="13"/>
    </row>
    <row r="749" spans="2:13">
      <c r="B749" s="5"/>
      <c r="C749" s="6" t="e">
        <f>VLOOKUP($B749,#REF!,5,FALSE)</f>
        <v>#REF!</v>
      </c>
      <c r="D749" s="6" t="e">
        <f>VLOOKUP($B749,#REF!,6,FALSE)</f>
        <v>#REF!</v>
      </c>
      <c r="E749" s="7" t="e">
        <f>VLOOKUP($B749,#REF!,17,FALSE)</f>
        <v>#REF!</v>
      </c>
      <c r="F749" s="8" t="e">
        <f>VLOOKUP($B749,#REF!,7,FALSE)</f>
        <v>#REF!</v>
      </c>
      <c r="G749" s="8"/>
      <c r="H749" s="8"/>
      <c r="I749" s="9" t="e">
        <f>VLOOKUP($B749,#REF!,19,FALSE)</f>
        <v>#REF!</v>
      </c>
      <c r="J749" s="9" t="e">
        <f>VLOOKUP($B749,#REF!,6,FALSE)</f>
        <v>#REF!</v>
      </c>
      <c r="L749" s="1">
        <v>44654.579861108708</v>
      </c>
      <c r="M749" s="13"/>
    </row>
    <row r="750" spans="2:13">
      <c r="B750" s="5"/>
      <c r="C750" s="6" t="e">
        <f>VLOOKUP($B750,#REF!,5,FALSE)</f>
        <v>#REF!</v>
      </c>
      <c r="D750" s="6" t="e">
        <f>VLOOKUP($B750,#REF!,6,FALSE)</f>
        <v>#REF!</v>
      </c>
      <c r="E750" s="7" t="e">
        <f>VLOOKUP($B750,#REF!,17,FALSE)</f>
        <v>#REF!</v>
      </c>
      <c r="F750" s="8" t="e">
        <f>VLOOKUP($B750,#REF!,7,FALSE)</f>
        <v>#REF!</v>
      </c>
      <c r="G750" s="8"/>
      <c r="H750" s="8"/>
      <c r="I750" s="9" t="e">
        <f>VLOOKUP($B750,#REF!,19,FALSE)</f>
        <v>#REF!</v>
      </c>
      <c r="J750" s="9" t="e">
        <f>VLOOKUP($B750,#REF!,6,FALSE)</f>
        <v>#REF!</v>
      </c>
      <c r="L750" s="1">
        <v>44654.583333330927</v>
      </c>
      <c r="M750" s="13"/>
    </row>
    <row r="751" spans="2:13">
      <c r="B751" s="5"/>
      <c r="C751" s="6" t="e">
        <f>VLOOKUP($B751,#REF!,5,FALSE)</f>
        <v>#REF!</v>
      </c>
      <c r="D751" s="6" t="e">
        <f>VLOOKUP($B751,#REF!,6,FALSE)</f>
        <v>#REF!</v>
      </c>
      <c r="E751" s="7" t="e">
        <f>VLOOKUP($B751,#REF!,17,FALSE)</f>
        <v>#REF!</v>
      </c>
      <c r="F751" s="8" t="e">
        <f>VLOOKUP($B751,#REF!,7,FALSE)</f>
        <v>#REF!</v>
      </c>
      <c r="G751" s="8"/>
      <c r="H751" s="8"/>
      <c r="I751" s="9" t="e">
        <f>VLOOKUP($B751,#REF!,19,FALSE)</f>
        <v>#REF!</v>
      </c>
      <c r="J751" s="9" t="e">
        <f>VLOOKUP($B751,#REF!,6,FALSE)</f>
        <v>#REF!</v>
      </c>
      <c r="L751" s="1">
        <v>44654.586805553146</v>
      </c>
      <c r="M751" s="13"/>
    </row>
    <row r="752" spans="2:13">
      <c r="B752" s="5"/>
      <c r="C752" s="6" t="e">
        <f>VLOOKUP($B752,#REF!,5,FALSE)</f>
        <v>#REF!</v>
      </c>
      <c r="D752" s="6" t="e">
        <f>VLOOKUP($B752,#REF!,6,FALSE)</f>
        <v>#REF!</v>
      </c>
      <c r="E752" s="7" t="e">
        <f>VLOOKUP($B752,#REF!,17,FALSE)</f>
        <v>#REF!</v>
      </c>
      <c r="F752" s="8" t="e">
        <f>VLOOKUP($B752,#REF!,7,FALSE)</f>
        <v>#REF!</v>
      </c>
      <c r="G752" s="8"/>
      <c r="H752" s="8"/>
      <c r="I752" s="9" t="e">
        <f>VLOOKUP($B752,#REF!,19,FALSE)</f>
        <v>#REF!</v>
      </c>
      <c r="J752" s="9" t="e">
        <f>VLOOKUP($B752,#REF!,6,FALSE)</f>
        <v>#REF!</v>
      </c>
      <c r="L752" s="1">
        <v>44654.590277775365</v>
      </c>
      <c r="M752" s="13"/>
    </row>
    <row r="753" spans="2:13">
      <c r="B753" s="5"/>
      <c r="C753" s="6" t="e">
        <f>VLOOKUP($B753,#REF!,5,FALSE)</f>
        <v>#REF!</v>
      </c>
      <c r="D753" s="6" t="e">
        <f>VLOOKUP($B753,#REF!,6,FALSE)</f>
        <v>#REF!</v>
      </c>
      <c r="E753" s="7" t="e">
        <f>VLOOKUP($B753,#REF!,17,FALSE)</f>
        <v>#REF!</v>
      </c>
      <c r="F753" s="8" t="e">
        <f>VLOOKUP($B753,#REF!,7,FALSE)</f>
        <v>#REF!</v>
      </c>
      <c r="G753" s="8"/>
      <c r="H753" s="8"/>
      <c r="I753" s="9" t="e">
        <f>VLOOKUP($B753,#REF!,19,FALSE)</f>
        <v>#REF!</v>
      </c>
      <c r="J753" s="9" t="e">
        <f>VLOOKUP($B753,#REF!,6,FALSE)</f>
        <v>#REF!</v>
      </c>
      <c r="L753" s="1">
        <v>44654.593749997584</v>
      </c>
      <c r="M753" s="13"/>
    </row>
    <row r="754" spans="2:13">
      <c r="B754" s="5"/>
      <c r="C754" s="6" t="e">
        <f>VLOOKUP($B754,#REF!,5,FALSE)</f>
        <v>#REF!</v>
      </c>
      <c r="D754" s="6" t="e">
        <f>VLOOKUP($B754,#REF!,6,FALSE)</f>
        <v>#REF!</v>
      </c>
      <c r="E754" s="7" t="e">
        <f>VLOOKUP($B754,#REF!,17,FALSE)</f>
        <v>#REF!</v>
      </c>
      <c r="F754" s="8" t="e">
        <f>VLOOKUP($B754,#REF!,7,FALSE)</f>
        <v>#REF!</v>
      </c>
      <c r="G754" s="8"/>
      <c r="H754" s="8"/>
      <c r="I754" s="9" t="e">
        <f>VLOOKUP($B754,#REF!,19,FALSE)</f>
        <v>#REF!</v>
      </c>
      <c r="J754" s="9" t="e">
        <f>VLOOKUP($B754,#REF!,6,FALSE)</f>
        <v>#REF!</v>
      </c>
      <c r="L754" s="1">
        <v>44654.597222219803</v>
      </c>
      <c r="M754" s="13"/>
    </row>
    <row r="755" spans="2:13">
      <c r="B755" s="5"/>
      <c r="C755" s="6" t="e">
        <f>VLOOKUP($B755,#REF!,5,FALSE)</f>
        <v>#REF!</v>
      </c>
      <c r="D755" s="6" t="e">
        <f>VLOOKUP($B755,#REF!,6,FALSE)</f>
        <v>#REF!</v>
      </c>
      <c r="E755" s="7" t="e">
        <f>VLOOKUP($B755,#REF!,17,FALSE)</f>
        <v>#REF!</v>
      </c>
      <c r="F755" s="8" t="e">
        <f>VLOOKUP($B755,#REF!,7,FALSE)</f>
        <v>#REF!</v>
      </c>
      <c r="G755" s="8"/>
      <c r="H755" s="8"/>
      <c r="I755" s="9" t="e">
        <f>VLOOKUP($B755,#REF!,19,FALSE)</f>
        <v>#REF!</v>
      </c>
      <c r="J755" s="9" t="e">
        <f>VLOOKUP($B755,#REF!,6,FALSE)</f>
        <v>#REF!</v>
      </c>
      <c r="L755" s="1">
        <v>44654.600694442022</v>
      </c>
      <c r="M755" s="13"/>
    </row>
    <row r="756" spans="2:13">
      <c r="B756" s="5"/>
      <c r="C756" s="6" t="e">
        <f>VLOOKUP($B756,#REF!,5,FALSE)</f>
        <v>#REF!</v>
      </c>
      <c r="D756" s="6" t="e">
        <f>VLOOKUP($B756,#REF!,6,FALSE)</f>
        <v>#REF!</v>
      </c>
      <c r="E756" s="7" t="e">
        <f>VLOOKUP($B756,#REF!,17,FALSE)</f>
        <v>#REF!</v>
      </c>
      <c r="F756" s="8" t="e">
        <f>VLOOKUP($B756,#REF!,7,FALSE)</f>
        <v>#REF!</v>
      </c>
      <c r="G756" s="8"/>
      <c r="H756" s="8"/>
      <c r="I756" s="9" t="e">
        <f>VLOOKUP($B756,#REF!,19,FALSE)</f>
        <v>#REF!</v>
      </c>
      <c r="J756" s="9" t="e">
        <f>VLOOKUP($B756,#REF!,6,FALSE)</f>
        <v>#REF!</v>
      </c>
      <c r="L756" s="1">
        <v>44654.604166664241</v>
      </c>
      <c r="M756" s="13"/>
    </row>
    <row r="757" spans="2:13">
      <c r="B757" s="5"/>
      <c r="C757" s="6" t="e">
        <f>VLOOKUP($B757,#REF!,5,FALSE)</f>
        <v>#REF!</v>
      </c>
      <c r="D757" s="6" t="e">
        <f>VLOOKUP($B757,#REF!,6,FALSE)</f>
        <v>#REF!</v>
      </c>
      <c r="E757" s="7" t="e">
        <f>VLOOKUP($B757,#REF!,17,FALSE)</f>
        <v>#REF!</v>
      </c>
      <c r="F757" s="8" t="e">
        <f>VLOOKUP($B757,#REF!,7,FALSE)</f>
        <v>#REF!</v>
      </c>
      <c r="G757" s="8"/>
      <c r="H757" s="8"/>
      <c r="I757" s="9" t="e">
        <f>VLOOKUP($B757,#REF!,19,FALSE)</f>
        <v>#REF!</v>
      </c>
      <c r="J757" s="9" t="e">
        <f>VLOOKUP($B757,#REF!,6,FALSE)</f>
        <v>#REF!</v>
      </c>
      <c r="L757" s="1">
        <v>44654.60763888646</v>
      </c>
      <c r="M757" s="13"/>
    </row>
    <row r="758" spans="2:13">
      <c r="B758" s="5"/>
      <c r="C758" s="6" t="e">
        <f>VLOOKUP($B758,#REF!,5,FALSE)</f>
        <v>#REF!</v>
      </c>
      <c r="D758" s="6" t="e">
        <f>VLOOKUP($B758,#REF!,6,FALSE)</f>
        <v>#REF!</v>
      </c>
      <c r="E758" s="7" t="e">
        <f>VLOOKUP($B758,#REF!,17,FALSE)</f>
        <v>#REF!</v>
      </c>
      <c r="F758" s="8" t="e">
        <f>VLOOKUP($B758,#REF!,7,FALSE)</f>
        <v>#REF!</v>
      </c>
      <c r="G758" s="8"/>
      <c r="H758" s="8"/>
      <c r="I758" s="9" t="e">
        <f>VLOOKUP($B758,#REF!,19,FALSE)</f>
        <v>#REF!</v>
      </c>
      <c r="J758" s="9" t="e">
        <f>VLOOKUP($B758,#REF!,6,FALSE)</f>
        <v>#REF!</v>
      </c>
      <c r="L758" s="1">
        <v>44654.611111108679</v>
      </c>
      <c r="M758" s="13"/>
    </row>
    <row r="759" spans="2:13">
      <c r="B759" s="5"/>
      <c r="C759" s="6" t="e">
        <f>VLOOKUP($B759,#REF!,5,FALSE)</f>
        <v>#REF!</v>
      </c>
      <c r="D759" s="6" t="e">
        <f>VLOOKUP($B759,#REF!,6,FALSE)</f>
        <v>#REF!</v>
      </c>
      <c r="E759" s="7" t="e">
        <f>VLOOKUP($B759,#REF!,17,FALSE)</f>
        <v>#REF!</v>
      </c>
      <c r="F759" s="8" t="e">
        <f>VLOOKUP($B759,#REF!,7,FALSE)</f>
        <v>#REF!</v>
      </c>
      <c r="G759" s="8"/>
      <c r="H759" s="8"/>
      <c r="I759" s="9" t="e">
        <f>VLOOKUP($B759,#REF!,19,FALSE)</f>
        <v>#REF!</v>
      </c>
      <c r="J759" s="9" t="e">
        <f>VLOOKUP($B759,#REF!,6,FALSE)</f>
        <v>#REF!</v>
      </c>
      <c r="L759" s="1">
        <v>44654.614583330898</v>
      </c>
      <c r="M759" s="13"/>
    </row>
    <row r="760" spans="2:13">
      <c r="B760" s="5"/>
      <c r="C760" s="6" t="e">
        <f>VLOOKUP($B760,#REF!,5,FALSE)</f>
        <v>#REF!</v>
      </c>
      <c r="D760" s="6" t="e">
        <f>VLOOKUP($B760,#REF!,6,FALSE)</f>
        <v>#REF!</v>
      </c>
      <c r="E760" s="7" t="e">
        <f>VLOOKUP($B760,#REF!,17,FALSE)</f>
        <v>#REF!</v>
      </c>
      <c r="F760" s="8" t="e">
        <f>VLOOKUP($B760,#REF!,7,FALSE)</f>
        <v>#REF!</v>
      </c>
      <c r="G760" s="8"/>
      <c r="H760" s="8"/>
      <c r="I760" s="9" t="e">
        <f>VLOOKUP($B760,#REF!,19,FALSE)</f>
        <v>#REF!</v>
      </c>
      <c r="J760" s="9" t="e">
        <f>VLOOKUP($B760,#REF!,6,FALSE)</f>
        <v>#REF!</v>
      </c>
      <c r="L760" s="1">
        <v>44654.618055553117</v>
      </c>
      <c r="M760" s="13"/>
    </row>
    <row r="761" spans="2:13">
      <c r="B761" s="5"/>
      <c r="C761" s="6" t="e">
        <f>VLOOKUP($B761,#REF!,5,FALSE)</f>
        <v>#REF!</v>
      </c>
      <c r="D761" s="6" t="e">
        <f>VLOOKUP($B761,#REF!,6,FALSE)</f>
        <v>#REF!</v>
      </c>
      <c r="E761" s="7" t="e">
        <f>VLOOKUP($B761,#REF!,17,FALSE)</f>
        <v>#REF!</v>
      </c>
      <c r="F761" s="8" t="e">
        <f>VLOOKUP($B761,#REF!,7,FALSE)</f>
        <v>#REF!</v>
      </c>
      <c r="G761" s="8"/>
      <c r="H761" s="8"/>
      <c r="I761" s="9" t="e">
        <f>VLOOKUP($B761,#REF!,19,FALSE)</f>
        <v>#REF!</v>
      </c>
      <c r="J761" s="9" t="e">
        <f>VLOOKUP($B761,#REF!,6,FALSE)</f>
        <v>#REF!</v>
      </c>
      <c r="L761" s="1">
        <v>44654.621527775336</v>
      </c>
      <c r="M761" s="13"/>
    </row>
    <row r="762" spans="2:13">
      <c r="B762" s="5"/>
      <c r="C762" s="6" t="e">
        <f>VLOOKUP($B762,#REF!,5,FALSE)</f>
        <v>#REF!</v>
      </c>
      <c r="D762" s="6" t="e">
        <f>VLOOKUP($B762,#REF!,6,FALSE)</f>
        <v>#REF!</v>
      </c>
      <c r="E762" s="7" t="e">
        <f>VLOOKUP($B762,#REF!,17,FALSE)</f>
        <v>#REF!</v>
      </c>
      <c r="F762" s="8" t="e">
        <f>VLOOKUP($B762,#REF!,7,FALSE)</f>
        <v>#REF!</v>
      </c>
      <c r="G762" s="8"/>
      <c r="H762" s="8"/>
      <c r="I762" s="9" t="e">
        <f>VLOOKUP($B762,#REF!,19,FALSE)</f>
        <v>#REF!</v>
      </c>
      <c r="J762" s="9" t="e">
        <f>VLOOKUP($B762,#REF!,6,FALSE)</f>
        <v>#REF!</v>
      </c>
      <c r="L762" s="1">
        <v>44654.624999997555</v>
      </c>
      <c r="M762" s="13"/>
    </row>
    <row r="763" spans="2:13">
      <c r="B763" s="5"/>
      <c r="C763" s="6" t="e">
        <f>VLOOKUP($B763,#REF!,5,FALSE)</f>
        <v>#REF!</v>
      </c>
      <c r="D763" s="6" t="e">
        <f>VLOOKUP($B763,#REF!,6,FALSE)</f>
        <v>#REF!</v>
      </c>
      <c r="E763" s="7" t="e">
        <f>VLOOKUP($B763,#REF!,17,FALSE)</f>
        <v>#REF!</v>
      </c>
      <c r="F763" s="8" t="e">
        <f>VLOOKUP($B763,#REF!,7,FALSE)</f>
        <v>#REF!</v>
      </c>
      <c r="G763" s="8"/>
      <c r="H763" s="8"/>
      <c r="I763" s="9" t="e">
        <f>VLOOKUP($B763,#REF!,19,FALSE)</f>
        <v>#REF!</v>
      </c>
      <c r="J763" s="9" t="e">
        <f>VLOOKUP($B763,#REF!,6,FALSE)</f>
        <v>#REF!</v>
      </c>
      <c r="L763" s="1">
        <v>44654.628472219774</v>
      </c>
      <c r="M763" s="13"/>
    </row>
    <row r="764" spans="2:13">
      <c r="B764" s="5"/>
      <c r="C764" s="6" t="e">
        <f>VLOOKUP($B764,#REF!,5,FALSE)</f>
        <v>#REF!</v>
      </c>
      <c r="D764" s="6" t="e">
        <f>VLOOKUP($B764,#REF!,6,FALSE)</f>
        <v>#REF!</v>
      </c>
      <c r="E764" s="7" t="e">
        <f>VLOOKUP($B764,#REF!,17,FALSE)</f>
        <v>#REF!</v>
      </c>
      <c r="F764" s="8" t="e">
        <f>VLOOKUP($B764,#REF!,7,FALSE)</f>
        <v>#REF!</v>
      </c>
      <c r="G764" s="8"/>
      <c r="H764" s="8"/>
      <c r="I764" s="9" t="e">
        <f>VLOOKUP($B764,#REF!,19,FALSE)</f>
        <v>#REF!</v>
      </c>
      <c r="J764" s="9" t="e">
        <f>VLOOKUP($B764,#REF!,6,FALSE)</f>
        <v>#REF!</v>
      </c>
      <c r="L764" s="1">
        <v>44654.631944441993</v>
      </c>
      <c r="M764" s="13"/>
    </row>
    <row r="765" spans="2:13">
      <c r="B765" s="5"/>
      <c r="C765" s="6" t="e">
        <f>VLOOKUP($B765,#REF!,5,FALSE)</f>
        <v>#REF!</v>
      </c>
      <c r="D765" s="6" t="e">
        <f>VLOOKUP($B765,#REF!,6,FALSE)</f>
        <v>#REF!</v>
      </c>
      <c r="E765" s="7" t="e">
        <f>VLOOKUP($B765,#REF!,17,FALSE)</f>
        <v>#REF!</v>
      </c>
      <c r="F765" s="8" t="e">
        <f>VLOOKUP($B765,#REF!,7,FALSE)</f>
        <v>#REF!</v>
      </c>
      <c r="G765" s="8"/>
      <c r="H765" s="8"/>
      <c r="I765" s="9" t="e">
        <f>VLOOKUP($B765,#REF!,19,FALSE)</f>
        <v>#REF!</v>
      </c>
      <c r="J765" s="9" t="e">
        <f>VLOOKUP($B765,#REF!,6,FALSE)</f>
        <v>#REF!</v>
      </c>
      <c r="L765" s="1">
        <v>44654.635416664212</v>
      </c>
      <c r="M765" s="13"/>
    </row>
    <row r="766" spans="2:13">
      <c r="B766" s="5"/>
      <c r="C766" s="6" t="e">
        <f>VLOOKUP($B766,#REF!,5,FALSE)</f>
        <v>#REF!</v>
      </c>
      <c r="D766" s="6" t="e">
        <f>VLOOKUP($B766,#REF!,6,FALSE)</f>
        <v>#REF!</v>
      </c>
      <c r="E766" s="7" t="e">
        <f>VLOOKUP($B766,#REF!,17,FALSE)</f>
        <v>#REF!</v>
      </c>
      <c r="F766" s="8" t="e">
        <f>VLOOKUP($B766,#REF!,7,FALSE)</f>
        <v>#REF!</v>
      </c>
      <c r="G766" s="8"/>
      <c r="H766" s="8"/>
      <c r="I766" s="9" t="e">
        <f>VLOOKUP($B766,#REF!,19,FALSE)</f>
        <v>#REF!</v>
      </c>
      <c r="J766" s="9" t="e">
        <f>VLOOKUP($B766,#REF!,6,FALSE)</f>
        <v>#REF!</v>
      </c>
      <c r="L766" s="1">
        <v>44654.638888886431</v>
      </c>
      <c r="M766" s="13"/>
    </row>
    <row r="767" spans="2:13">
      <c r="B767" s="5"/>
      <c r="C767" s="6" t="e">
        <f>VLOOKUP($B767,#REF!,5,FALSE)</f>
        <v>#REF!</v>
      </c>
      <c r="D767" s="6" t="e">
        <f>VLOOKUP($B767,#REF!,6,FALSE)</f>
        <v>#REF!</v>
      </c>
      <c r="E767" s="7" t="e">
        <f>VLOOKUP($B767,#REF!,17,FALSE)</f>
        <v>#REF!</v>
      </c>
      <c r="F767" s="8" t="e">
        <f>VLOOKUP($B767,#REF!,7,FALSE)</f>
        <v>#REF!</v>
      </c>
      <c r="G767" s="8"/>
      <c r="H767" s="8"/>
      <c r="I767" s="9" t="e">
        <f>VLOOKUP($B767,#REF!,19,FALSE)</f>
        <v>#REF!</v>
      </c>
      <c r="J767" s="9" t="e">
        <f>VLOOKUP($B767,#REF!,6,FALSE)</f>
        <v>#REF!</v>
      </c>
      <c r="L767" s="1">
        <v>44654.64236110865</v>
      </c>
      <c r="M767" s="13"/>
    </row>
    <row r="768" spans="2:13">
      <c r="B768" s="5"/>
      <c r="C768" s="6" t="e">
        <f>VLOOKUP($B768,#REF!,5,FALSE)</f>
        <v>#REF!</v>
      </c>
      <c r="D768" s="6" t="e">
        <f>VLOOKUP($B768,#REF!,6,FALSE)</f>
        <v>#REF!</v>
      </c>
      <c r="E768" s="7" t="e">
        <f>VLOOKUP($B768,#REF!,17,FALSE)</f>
        <v>#REF!</v>
      </c>
      <c r="F768" s="8" t="e">
        <f>VLOOKUP($B768,#REF!,7,FALSE)</f>
        <v>#REF!</v>
      </c>
      <c r="G768" s="8"/>
      <c r="H768" s="8"/>
      <c r="I768" s="9" t="e">
        <f>VLOOKUP($B768,#REF!,19,FALSE)</f>
        <v>#REF!</v>
      </c>
      <c r="J768" s="9" t="e">
        <f>VLOOKUP($B768,#REF!,6,FALSE)</f>
        <v>#REF!</v>
      </c>
      <c r="L768" s="1">
        <v>44654.645833330869</v>
      </c>
      <c r="M768" s="13"/>
    </row>
    <row r="769" spans="2:13">
      <c r="B769" s="5"/>
      <c r="C769" s="6" t="e">
        <f>VLOOKUP($B769,#REF!,5,FALSE)</f>
        <v>#REF!</v>
      </c>
      <c r="D769" s="6" t="e">
        <f>VLOOKUP($B769,#REF!,6,FALSE)</f>
        <v>#REF!</v>
      </c>
      <c r="E769" s="7" t="e">
        <f>VLOOKUP($B769,#REF!,17,FALSE)</f>
        <v>#REF!</v>
      </c>
      <c r="F769" s="8" t="e">
        <f>VLOOKUP($B769,#REF!,7,FALSE)</f>
        <v>#REF!</v>
      </c>
      <c r="G769" s="8"/>
      <c r="H769" s="8"/>
      <c r="I769" s="9" t="e">
        <f>VLOOKUP($B769,#REF!,19,FALSE)</f>
        <v>#REF!</v>
      </c>
      <c r="J769" s="9" t="e">
        <f>VLOOKUP($B769,#REF!,6,FALSE)</f>
        <v>#REF!</v>
      </c>
      <c r="L769" s="1">
        <v>44654.649305553088</v>
      </c>
      <c r="M769" s="13"/>
    </row>
    <row r="770" spans="2:13">
      <c r="B770" s="5"/>
      <c r="C770" s="6" t="e">
        <f>VLOOKUP($B770,#REF!,5,FALSE)</f>
        <v>#REF!</v>
      </c>
      <c r="D770" s="6" t="e">
        <f>VLOOKUP($B770,#REF!,6,FALSE)</f>
        <v>#REF!</v>
      </c>
      <c r="E770" s="7" t="e">
        <f>VLOOKUP($B770,#REF!,17,FALSE)</f>
        <v>#REF!</v>
      </c>
      <c r="F770" s="8" t="e">
        <f>VLOOKUP($B770,#REF!,7,FALSE)</f>
        <v>#REF!</v>
      </c>
      <c r="G770" s="8"/>
      <c r="H770" s="8"/>
      <c r="I770" s="9" t="e">
        <f>VLOOKUP($B770,#REF!,19,FALSE)</f>
        <v>#REF!</v>
      </c>
      <c r="J770" s="9" t="e">
        <f>VLOOKUP($B770,#REF!,6,FALSE)</f>
        <v>#REF!</v>
      </c>
      <c r="L770" s="1">
        <v>44654.652777775307</v>
      </c>
      <c r="M770" s="13"/>
    </row>
    <row r="771" spans="2:13">
      <c r="B771" s="5"/>
      <c r="C771" s="6" t="e">
        <f>VLOOKUP($B771,#REF!,5,FALSE)</f>
        <v>#REF!</v>
      </c>
      <c r="D771" s="6" t="e">
        <f>VLOOKUP($B771,#REF!,6,FALSE)</f>
        <v>#REF!</v>
      </c>
      <c r="E771" s="7" t="e">
        <f>VLOOKUP($B771,#REF!,17,FALSE)</f>
        <v>#REF!</v>
      </c>
      <c r="F771" s="8" t="e">
        <f>VLOOKUP($B771,#REF!,7,FALSE)</f>
        <v>#REF!</v>
      </c>
      <c r="G771" s="8"/>
      <c r="H771" s="8"/>
      <c r="I771" s="9" t="e">
        <f>VLOOKUP($B771,#REF!,19,FALSE)</f>
        <v>#REF!</v>
      </c>
      <c r="J771" s="9" t="e">
        <f>VLOOKUP($B771,#REF!,6,FALSE)</f>
        <v>#REF!</v>
      </c>
      <c r="L771" s="1">
        <v>44654.656249997526</v>
      </c>
      <c r="M771" s="13"/>
    </row>
    <row r="772" spans="2:13">
      <c r="B772" s="5"/>
      <c r="C772" s="6" t="e">
        <f>VLOOKUP($B772,#REF!,5,FALSE)</f>
        <v>#REF!</v>
      </c>
      <c r="D772" s="6" t="e">
        <f>VLOOKUP($B772,#REF!,6,FALSE)</f>
        <v>#REF!</v>
      </c>
      <c r="E772" s="7" t="e">
        <f>VLOOKUP($B772,#REF!,17,FALSE)</f>
        <v>#REF!</v>
      </c>
      <c r="F772" s="8" t="e">
        <f>VLOOKUP($B772,#REF!,7,FALSE)</f>
        <v>#REF!</v>
      </c>
      <c r="G772" s="8"/>
      <c r="H772" s="8"/>
      <c r="I772" s="9" t="e">
        <f>VLOOKUP($B772,#REF!,19,FALSE)</f>
        <v>#REF!</v>
      </c>
      <c r="J772" s="9" t="e">
        <f>VLOOKUP($B772,#REF!,6,FALSE)</f>
        <v>#REF!</v>
      </c>
      <c r="L772" s="1">
        <v>44654.659722219745</v>
      </c>
      <c r="M772" s="13"/>
    </row>
    <row r="773" spans="2:13">
      <c r="B773" s="5"/>
      <c r="C773" s="6" t="e">
        <f>VLOOKUP($B773,#REF!,5,FALSE)</f>
        <v>#REF!</v>
      </c>
      <c r="D773" s="6" t="e">
        <f>VLOOKUP($B773,#REF!,6,FALSE)</f>
        <v>#REF!</v>
      </c>
      <c r="E773" s="7" t="e">
        <f>VLOOKUP($B773,#REF!,17,FALSE)</f>
        <v>#REF!</v>
      </c>
      <c r="F773" s="8" t="e">
        <f>VLOOKUP($B773,#REF!,7,FALSE)</f>
        <v>#REF!</v>
      </c>
      <c r="G773" s="8"/>
      <c r="H773" s="8"/>
      <c r="I773" s="9" t="e">
        <f>VLOOKUP($B773,#REF!,19,FALSE)</f>
        <v>#REF!</v>
      </c>
      <c r="J773" s="9" t="e">
        <f>VLOOKUP($B773,#REF!,6,FALSE)</f>
        <v>#REF!</v>
      </c>
      <c r="L773" s="1">
        <v>44654.663194441964</v>
      </c>
      <c r="M773" s="13"/>
    </row>
    <row r="774" spans="2:13">
      <c r="B774" s="5"/>
      <c r="C774" s="6" t="e">
        <f>VLOOKUP($B774,#REF!,5,FALSE)</f>
        <v>#REF!</v>
      </c>
      <c r="D774" s="6" t="e">
        <f>VLOOKUP($B774,#REF!,6,FALSE)</f>
        <v>#REF!</v>
      </c>
      <c r="E774" s="7" t="e">
        <f>VLOOKUP($B774,#REF!,17,FALSE)</f>
        <v>#REF!</v>
      </c>
      <c r="F774" s="8" t="e">
        <f>VLOOKUP($B774,#REF!,7,FALSE)</f>
        <v>#REF!</v>
      </c>
      <c r="G774" s="8"/>
      <c r="H774" s="8"/>
      <c r="I774" s="9" t="e">
        <f>VLOOKUP($B774,#REF!,19,FALSE)</f>
        <v>#REF!</v>
      </c>
      <c r="J774" s="9" t="e">
        <f>VLOOKUP($B774,#REF!,6,FALSE)</f>
        <v>#REF!</v>
      </c>
      <c r="L774" s="1">
        <v>44654.666666664183</v>
      </c>
      <c r="M774" s="13"/>
    </row>
    <row r="775" spans="2:13">
      <c r="B775" s="5"/>
      <c r="C775" s="6" t="e">
        <f>VLOOKUP($B775,#REF!,5,FALSE)</f>
        <v>#REF!</v>
      </c>
      <c r="D775" s="6" t="e">
        <f>VLOOKUP($B775,#REF!,6,FALSE)</f>
        <v>#REF!</v>
      </c>
      <c r="E775" s="7" t="e">
        <f>VLOOKUP($B775,#REF!,17,FALSE)</f>
        <v>#REF!</v>
      </c>
      <c r="F775" s="8" t="e">
        <f>VLOOKUP($B775,#REF!,7,FALSE)</f>
        <v>#REF!</v>
      </c>
      <c r="G775" s="8"/>
      <c r="H775" s="8"/>
      <c r="I775" s="9" t="e">
        <f>VLOOKUP($B775,#REF!,19,FALSE)</f>
        <v>#REF!</v>
      </c>
      <c r="J775" s="9" t="e">
        <f>VLOOKUP($B775,#REF!,6,FALSE)</f>
        <v>#REF!</v>
      </c>
      <c r="L775" s="1">
        <v>44654.670138886402</v>
      </c>
      <c r="M775" s="13"/>
    </row>
    <row r="776" spans="2:13">
      <c r="B776" s="5"/>
      <c r="C776" s="6" t="e">
        <f>VLOOKUP($B776,#REF!,5,FALSE)</f>
        <v>#REF!</v>
      </c>
      <c r="D776" s="6" t="e">
        <f>VLOOKUP($B776,#REF!,6,FALSE)</f>
        <v>#REF!</v>
      </c>
      <c r="E776" s="7" t="e">
        <f>VLOOKUP($B776,#REF!,17,FALSE)</f>
        <v>#REF!</v>
      </c>
      <c r="F776" s="8" t="e">
        <f>VLOOKUP($B776,#REF!,7,FALSE)</f>
        <v>#REF!</v>
      </c>
      <c r="G776" s="8"/>
      <c r="H776" s="8"/>
      <c r="I776" s="9" t="e">
        <f>VLOOKUP($B776,#REF!,19,FALSE)</f>
        <v>#REF!</v>
      </c>
      <c r="J776" s="9" t="e">
        <f>VLOOKUP($B776,#REF!,6,FALSE)</f>
        <v>#REF!</v>
      </c>
      <c r="L776" s="1">
        <v>44654.673611108621</v>
      </c>
      <c r="M776" s="13"/>
    </row>
    <row r="777" spans="2:13">
      <c r="B777" s="5"/>
      <c r="C777" s="6" t="e">
        <f>VLOOKUP($B777,#REF!,5,FALSE)</f>
        <v>#REF!</v>
      </c>
      <c r="D777" s="6" t="e">
        <f>VLOOKUP($B777,#REF!,6,FALSE)</f>
        <v>#REF!</v>
      </c>
      <c r="E777" s="7" t="e">
        <f>VLOOKUP($B777,#REF!,17,FALSE)</f>
        <v>#REF!</v>
      </c>
      <c r="F777" s="8" t="e">
        <f>VLOOKUP($B777,#REF!,7,FALSE)</f>
        <v>#REF!</v>
      </c>
      <c r="G777" s="8"/>
      <c r="H777" s="8"/>
      <c r="I777" s="9" t="e">
        <f>VLOOKUP($B777,#REF!,19,FALSE)</f>
        <v>#REF!</v>
      </c>
      <c r="J777" s="9" t="e">
        <f>VLOOKUP($B777,#REF!,6,FALSE)</f>
        <v>#REF!</v>
      </c>
      <c r="L777" s="1">
        <v>44654.67708333084</v>
      </c>
      <c r="M777" s="13"/>
    </row>
    <row r="778" spans="2:13">
      <c r="B778" s="5"/>
      <c r="C778" s="6" t="e">
        <f>VLOOKUP($B778,#REF!,5,FALSE)</f>
        <v>#REF!</v>
      </c>
      <c r="D778" s="6" t="e">
        <f>VLOOKUP($B778,#REF!,6,FALSE)</f>
        <v>#REF!</v>
      </c>
      <c r="E778" s="7" t="e">
        <f>VLOOKUP($B778,#REF!,17,FALSE)</f>
        <v>#REF!</v>
      </c>
      <c r="F778" s="8" t="e">
        <f>VLOOKUP($B778,#REF!,7,FALSE)</f>
        <v>#REF!</v>
      </c>
      <c r="G778" s="8"/>
      <c r="H778" s="8"/>
      <c r="I778" s="9" t="e">
        <f>VLOOKUP($B778,#REF!,19,FALSE)</f>
        <v>#REF!</v>
      </c>
      <c r="J778" s="9" t="e">
        <f>VLOOKUP($B778,#REF!,6,FALSE)</f>
        <v>#REF!</v>
      </c>
      <c r="L778" s="1">
        <v>44654.680555553059</v>
      </c>
      <c r="M778" s="13"/>
    </row>
    <row r="779" spans="2:13">
      <c r="B779" s="5"/>
      <c r="C779" s="6" t="e">
        <f>VLOOKUP($B779,#REF!,5,FALSE)</f>
        <v>#REF!</v>
      </c>
      <c r="D779" s="6" t="e">
        <f>VLOOKUP($B779,#REF!,6,FALSE)</f>
        <v>#REF!</v>
      </c>
      <c r="E779" s="7" t="e">
        <f>VLOOKUP($B779,#REF!,17,FALSE)</f>
        <v>#REF!</v>
      </c>
      <c r="F779" s="8" t="e">
        <f>VLOOKUP($B779,#REF!,7,FALSE)</f>
        <v>#REF!</v>
      </c>
      <c r="G779" s="8"/>
      <c r="H779" s="8"/>
      <c r="I779" s="9" t="e">
        <f>VLOOKUP($B779,#REF!,19,FALSE)</f>
        <v>#REF!</v>
      </c>
      <c r="J779" s="9" t="e">
        <f>VLOOKUP($B779,#REF!,6,FALSE)</f>
        <v>#REF!</v>
      </c>
      <c r="L779" s="1">
        <v>44654.684027775278</v>
      </c>
      <c r="M779" s="13"/>
    </row>
    <row r="780" spans="2:13">
      <c r="B780" s="5"/>
      <c r="C780" s="6" t="e">
        <f>VLOOKUP($B780,#REF!,5,FALSE)</f>
        <v>#REF!</v>
      </c>
      <c r="D780" s="6" t="e">
        <f>VLOOKUP($B780,#REF!,6,FALSE)</f>
        <v>#REF!</v>
      </c>
      <c r="E780" s="7" t="e">
        <f>VLOOKUP($B780,#REF!,17,FALSE)</f>
        <v>#REF!</v>
      </c>
      <c r="F780" s="8" t="e">
        <f>VLOOKUP($B780,#REF!,7,FALSE)</f>
        <v>#REF!</v>
      </c>
      <c r="G780" s="8"/>
      <c r="H780" s="8"/>
      <c r="I780" s="9" t="e">
        <f>VLOOKUP($B780,#REF!,19,FALSE)</f>
        <v>#REF!</v>
      </c>
      <c r="J780" s="9" t="e">
        <f>VLOOKUP($B780,#REF!,6,FALSE)</f>
        <v>#REF!</v>
      </c>
      <c r="L780" s="1">
        <v>44654.687499997497</v>
      </c>
      <c r="M780" s="13"/>
    </row>
    <row r="781" spans="2:13">
      <c r="B781" s="5"/>
      <c r="C781" s="6" t="e">
        <f>VLOOKUP($B781,#REF!,5,FALSE)</f>
        <v>#REF!</v>
      </c>
      <c r="D781" s="6" t="e">
        <f>VLOOKUP($B781,#REF!,6,FALSE)</f>
        <v>#REF!</v>
      </c>
      <c r="E781" s="7" t="e">
        <f>VLOOKUP($B781,#REF!,17,FALSE)</f>
        <v>#REF!</v>
      </c>
      <c r="F781" s="8" t="e">
        <f>VLOOKUP($B781,#REF!,7,FALSE)</f>
        <v>#REF!</v>
      </c>
      <c r="G781" s="8"/>
      <c r="H781" s="8"/>
      <c r="I781" s="9" t="e">
        <f>VLOOKUP($B781,#REF!,19,FALSE)</f>
        <v>#REF!</v>
      </c>
      <c r="J781" s="9" t="e">
        <f>VLOOKUP($B781,#REF!,6,FALSE)</f>
        <v>#REF!</v>
      </c>
      <c r="L781" s="1">
        <v>44654.690972219716</v>
      </c>
      <c r="M781" s="13"/>
    </row>
    <row r="782" spans="2:13">
      <c r="B782" s="5"/>
      <c r="C782" s="6" t="e">
        <f>VLOOKUP($B782,#REF!,5,FALSE)</f>
        <v>#REF!</v>
      </c>
      <c r="D782" s="6" t="e">
        <f>VLOOKUP($B782,#REF!,6,FALSE)</f>
        <v>#REF!</v>
      </c>
      <c r="E782" s="7" t="e">
        <f>VLOOKUP($B782,#REF!,17,FALSE)</f>
        <v>#REF!</v>
      </c>
      <c r="F782" s="8" t="e">
        <f>VLOOKUP($B782,#REF!,7,FALSE)</f>
        <v>#REF!</v>
      </c>
      <c r="G782" s="8"/>
      <c r="H782" s="8"/>
      <c r="I782" s="9" t="e">
        <f>VLOOKUP($B782,#REF!,19,FALSE)</f>
        <v>#REF!</v>
      </c>
      <c r="J782" s="9" t="e">
        <f>VLOOKUP($B782,#REF!,6,FALSE)</f>
        <v>#REF!</v>
      </c>
      <c r="L782" s="1">
        <v>44654.694444441935</v>
      </c>
      <c r="M782" s="13"/>
    </row>
    <row r="783" spans="2:13">
      <c r="B783" s="5"/>
      <c r="C783" s="6" t="e">
        <f>VLOOKUP($B783,#REF!,5,FALSE)</f>
        <v>#REF!</v>
      </c>
      <c r="D783" s="6" t="e">
        <f>VLOOKUP($B783,#REF!,6,FALSE)</f>
        <v>#REF!</v>
      </c>
      <c r="E783" s="7" t="e">
        <f>VLOOKUP($B783,#REF!,17,FALSE)</f>
        <v>#REF!</v>
      </c>
      <c r="F783" s="8" t="e">
        <f>VLOOKUP($B783,#REF!,7,FALSE)</f>
        <v>#REF!</v>
      </c>
      <c r="G783" s="8"/>
      <c r="H783" s="8"/>
      <c r="I783" s="9" t="e">
        <f>VLOOKUP($B783,#REF!,19,FALSE)</f>
        <v>#REF!</v>
      </c>
      <c r="J783" s="9" t="e">
        <f>VLOOKUP($B783,#REF!,6,FALSE)</f>
        <v>#REF!</v>
      </c>
      <c r="L783" s="1">
        <v>44654.697916664154</v>
      </c>
      <c r="M783" s="13"/>
    </row>
    <row r="784" spans="2:13">
      <c r="B784" s="5"/>
      <c r="C784" s="6" t="e">
        <f>VLOOKUP($B784,#REF!,5,FALSE)</f>
        <v>#REF!</v>
      </c>
      <c r="D784" s="6" t="e">
        <f>VLOOKUP($B784,#REF!,6,FALSE)</f>
        <v>#REF!</v>
      </c>
      <c r="E784" s="7" t="e">
        <f>VLOOKUP($B784,#REF!,17,FALSE)</f>
        <v>#REF!</v>
      </c>
      <c r="F784" s="8" t="e">
        <f>VLOOKUP($B784,#REF!,7,FALSE)</f>
        <v>#REF!</v>
      </c>
      <c r="G784" s="8"/>
      <c r="H784" s="8"/>
      <c r="I784" s="9" t="e">
        <f>VLOOKUP($B784,#REF!,19,FALSE)</f>
        <v>#REF!</v>
      </c>
      <c r="J784" s="9" t="e">
        <f>VLOOKUP($B784,#REF!,6,FALSE)</f>
        <v>#REF!</v>
      </c>
      <c r="L784" s="1">
        <v>44654.701388886373</v>
      </c>
      <c r="M784" s="13"/>
    </row>
    <row r="785" spans="2:13">
      <c r="B785" s="5"/>
      <c r="C785" s="6" t="e">
        <f>VLOOKUP($B785,#REF!,5,FALSE)</f>
        <v>#REF!</v>
      </c>
      <c r="D785" s="6" t="e">
        <f>VLOOKUP($B785,#REF!,6,FALSE)</f>
        <v>#REF!</v>
      </c>
      <c r="E785" s="7" t="e">
        <f>VLOOKUP($B785,#REF!,17,FALSE)</f>
        <v>#REF!</v>
      </c>
      <c r="F785" s="8" t="e">
        <f>VLOOKUP($B785,#REF!,7,FALSE)</f>
        <v>#REF!</v>
      </c>
      <c r="G785" s="8"/>
      <c r="H785" s="8"/>
      <c r="I785" s="9" t="e">
        <f>VLOOKUP($B785,#REF!,19,FALSE)</f>
        <v>#REF!</v>
      </c>
      <c r="J785" s="9" t="e">
        <f>VLOOKUP($B785,#REF!,6,FALSE)</f>
        <v>#REF!</v>
      </c>
      <c r="L785" s="1">
        <v>44654.704861108592</v>
      </c>
      <c r="M785" s="13"/>
    </row>
    <row r="786" spans="2:13">
      <c r="B786" s="5"/>
      <c r="C786" s="6" t="e">
        <f>VLOOKUP($B786,#REF!,5,FALSE)</f>
        <v>#REF!</v>
      </c>
      <c r="D786" s="6" t="e">
        <f>VLOOKUP($B786,#REF!,6,FALSE)</f>
        <v>#REF!</v>
      </c>
      <c r="E786" s="7" t="e">
        <f>VLOOKUP($B786,#REF!,17,FALSE)</f>
        <v>#REF!</v>
      </c>
      <c r="F786" s="8" t="e">
        <f>VLOOKUP($B786,#REF!,7,FALSE)</f>
        <v>#REF!</v>
      </c>
      <c r="G786" s="8"/>
      <c r="H786" s="8"/>
      <c r="I786" s="9" t="e">
        <f>VLOOKUP($B786,#REF!,19,FALSE)</f>
        <v>#REF!</v>
      </c>
      <c r="J786" s="9" t="e">
        <f>VLOOKUP($B786,#REF!,6,FALSE)</f>
        <v>#REF!</v>
      </c>
      <c r="L786" s="1">
        <v>44654.708333330811</v>
      </c>
      <c r="M786" s="13"/>
    </row>
    <row r="787" spans="2:13">
      <c r="B787" s="5"/>
      <c r="C787" s="6" t="e">
        <f>VLOOKUP($B787,#REF!,5,FALSE)</f>
        <v>#REF!</v>
      </c>
      <c r="D787" s="6" t="e">
        <f>VLOOKUP($B787,#REF!,6,FALSE)</f>
        <v>#REF!</v>
      </c>
      <c r="E787" s="7" t="e">
        <f>VLOOKUP($B787,#REF!,17,FALSE)</f>
        <v>#REF!</v>
      </c>
      <c r="F787" s="8" t="e">
        <f>VLOOKUP($B787,#REF!,7,FALSE)</f>
        <v>#REF!</v>
      </c>
      <c r="G787" s="8"/>
      <c r="H787" s="8"/>
      <c r="I787" s="9" t="e">
        <f>VLOOKUP($B787,#REF!,19,FALSE)</f>
        <v>#REF!</v>
      </c>
      <c r="J787" s="9" t="e">
        <f>VLOOKUP($B787,#REF!,6,FALSE)</f>
        <v>#REF!</v>
      </c>
      <c r="L787" s="1">
        <v>44654.71180555303</v>
      </c>
      <c r="M787" s="13"/>
    </row>
    <row r="788" spans="2:13">
      <c r="B788" s="5"/>
      <c r="C788" s="6" t="e">
        <f>VLOOKUP($B788,#REF!,5,FALSE)</f>
        <v>#REF!</v>
      </c>
      <c r="D788" s="6" t="e">
        <f>VLOOKUP($B788,#REF!,6,FALSE)</f>
        <v>#REF!</v>
      </c>
      <c r="E788" s="7" t="e">
        <f>VLOOKUP($B788,#REF!,17,FALSE)</f>
        <v>#REF!</v>
      </c>
      <c r="F788" s="8" t="e">
        <f>VLOOKUP($B788,#REF!,7,FALSE)</f>
        <v>#REF!</v>
      </c>
      <c r="G788" s="8"/>
      <c r="H788" s="8"/>
      <c r="I788" s="9" t="e">
        <f>VLOOKUP($B788,#REF!,19,FALSE)</f>
        <v>#REF!</v>
      </c>
      <c r="J788" s="9" t="e">
        <f>VLOOKUP($B788,#REF!,6,FALSE)</f>
        <v>#REF!</v>
      </c>
      <c r="L788" s="1">
        <v>44654.715277775249</v>
      </c>
      <c r="M788" s="13"/>
    </row>
    <row r="789" spans="2:13">
      <c r="B789" s="5"/>
      <c r="C789" s="6" t="e">
        <f>VLOOKUP($B789,#REF!,5,FALSE)</f>
        <v>#REF!</v>
      </c>
      <c r="D789" s="6" t="e">
        <f>VLOOKUP($B789,#REF!,6,FALSE)</f>
        <v>#REF!</v>
      </c>
      <c r="E789" s="7" t="e">
        <f>VLOOKUP($B789,#REF!,17,FALSE)</f>
        <v>#REF!</v>
      </c>
      <c r="F789" s="8" t="e">
        <f>VLOOKUP($B789,#REF!,7,FALSE)</f>
        <v>#REF!</v>
      </c>
      <c r="G789" s="8"/>
      <c r="H789" s="8"/>
      <c r="I789" s="9" t="e">
        <f>VLOOKUP($B789,#REF!,19,FALSE)</f>
        <v>#REF!</v>
      </c>
      <c r="J789" s="9" t="e">
        <f>VLOOKUP($B789,#REF!,6,FALSE)</f>
        <v>#REF!</v>
      </c>
      <c r="L789" s="1">
        <v>44654.718749997468</v>
      </c>
      <c r="M789" s="13"/>
    </row>
    <row r="790" spans="2:13">
      <c r="B790" s="5"/>
      <c r="C790" s="6" t="e">
        <f>VLOOKUP($B790,#REF!,5,FALSE)</f>
        <v>#REF!</v>
      </c>
      <c r="D790" s="6" t="e">
        <f>VLOOKUP($B790,#REF!,6,FALSE)</f>
        <v>#REF!</v>
      </c>
      <c r="E790" s="7" t="e">
        <f>VLOOKUP($B790,#REF!,17,FALSE)</f>
        <v>#REF!</v>
      </c>
      <c r="F790" s="8" t="e">
        <f>VLOOKUP($B790,#REF!,7,FALSE)</f>
        <v>#REF!</v>
      </c>
      <c r="G790" s="8"/>
      <c r="H790" s="8"/>
      <c r="I790" s="9" t="e">
        <f>VLOOKUP($B790,#REF!,19,FALSE)</f>
        <v>#REF!</v>
      </c>
      <c r="J790" s="9" t="e">
        <f>VLOOKUP($B790,#REF!,6,FALSE)</f>
        <v>#REF!</v>
      </c>
      <c r="L790" s="1">
        <v>44654.722222219687</v>
      </c>
      <c r="M790" s="13"/>
    </row>
    <row r="791" spans="2:13">
      <c r="B791" s="5"/>
      <c r="C791" s="6" t="e">
        <f>VLOOKUP($B791,#REF!,5,FALSE)</f>
        <v>#REF!</v>
      </c>
      <c r="D791" s="6" t="e">
        <f>VLOOKUP($B791,#REF!,6,FALSE)</f>
        <v>#REF!</v>
      </c>
      <c r="E791" s="7" t="e">
        <f>VLOOKUP($B791,#REF!,17,FALSE)</f>
        <v>#REF!</v>
      </c>
      <c r="F791" s="8" t="e">
        <f>VLOOKUP($B791,#REF!,7,FALSE)</f>
        <v>#REF!</v>
      </c>
      <c r="G791" s="8"/>
      <c r="H791" s="8"/>
      <c r="I791" s="9" t="e">
        <f>VLOOKUP($B791,#REF!,19,FALSE)</f>
        <v>#REF!</v>
      </c>
      <c r="J791" s="9" t="e">
        <f>VLOOKUP($B791,#REF!,6,FALSE)</f>
        <v>#REF!</v>
      </c>
      <c r="L791" s="1">
        <v>44654.725694441906</v>
      </c>
      <c r="M791" s="13"/>
    </row>
    <row r="792" spans="2:13">
      <c r="B792" s="5"/>
      <c r="C792" s="6" t="e">
        <f>VLOOKUP($B792,#REF!,5,FALSE)</f>
        <v>#REF!</v>
      </c>
      <c r="D792" s="6" t="e">
        <f>VLOOKUP($B792,#REF!,6,FALSE)</f>
        <v>#REF!</v>
      </c>
      <c r="E792" s="7" t="e">
        <f>VLOOKUP($B792,#REF!,17,FALSE)</f>
        <v>#REF!</v>
      </c>
      <c r="F792" s="8" t="e">
        <f>VLOOKUP($B792,#REF!,7,FALSE)</f>
        <v>#REF!</v>
      </c>
      <c r="G792" s="8"/>
      <c r="H792" s="8"/>
      <c r="I792" s="9" t="e">
        <f>VLOOKUP($B792,#REF!,19,FALSE)</f>
        <v>#REF!</v>
      </c>
      <c r="J792" s="9" t="e">
        <f>VLOOKUP($B792,#REF!,6,FALSE)</f>
        <v>#REF!</v>
      </c>
      <c r="L792" s="1">
        <v>44654.729166664125</v>
      </c>
      <c r="M792" s="13"/>
    </row>
    <row r="793" spans="2:13">
      <c r="B793" s="5"/>
      <c r="C793" s="6" t="e">
        <f>VLOOKUP($B793,#REF!,5,FALSE)</f>
        <v>#REF!</v>
      </c>
      <c r="D793" s="6" t="e">
        <f>VLOOKUP($B793,#REF!,6,FALSE)</f>
        <v>#REF!</v>
      </c>
      <c r="E793" s="7" t="e">
        <f>VLOOKUP($B793,#REF!,17,FALSE)</f>
        <v>#REF!</v>
      </c>
      <c r="F793" s="8" t="e">
        <f>VLOOKUP($B793,#REF!,7,FALSE)</f>
        <v>#REF!</v>
      </c>
      <c r="G793" s="8"/>
      <c r="H793" s="8"/>
      <c r="I793" s="9" t="e">
        <f>VLOOKUP($B793,#REF!,19,FALSE)</f>
        <v>#REF!</v>
      </c>
      <c r="J793" s="9" t="e">
        <f>VLOOKUP($B793,#REF!,6,FALSE)</f>
        <v>#REF!</v>
      </c>
      <c r="L793" s="1">
        <v>44654.732638886344</v>
      </c>
      <c r="M793" s="13"/>
    </row>
    <row r="794" spans="2:13">
      <c r="B794" s="5"/>
      <c r="C794" s="6" t="e">
        <f>VLOOKUP($B794,#REF!,5,FALSE)</f>
        <v>#REF!</v>
      </c>
      <c r="D794" s="6" t="e">
        <f>VLOOKUP($B794,#REF!,6,FALSE)</f>
        <v>#REF!</v>
      </c>
      <c r="E794" s="7" t="e">
        <f>VLOOKUP($B794,#REF!,17,FALSE)</f>
        <v>#REF!</v>
      </c>
      <c r="F794" s="8" t="e">
        <f>VLOOKUP($B794,#REF!,7,FALSE)</f>
        <v>#REF!</v>
      </c>
      <c r="G794" s="8"/>
      <c r="H794" s="8"/>
      <c r="I794" s="9" t="e">
        <f>VLOOKUP($B794,#REF!,19,FALSE)</f>
        <v>#REF!</v>
      </c>
      <c r="J794" s="9" t="e">
        <f>VLOOKUP($B794,#REF!,6,FALSE)</f>
        <v>#REF!</v>
      </c>
      <c r="L794" s="1">
        <v>44654.736111108563</v>
      </c>
      <c r="M794" s="13"/>
    </row>
    <row r="795" spans="2:13">
      <c r="B795" s="5"/>
      <c r="C795" s="6" t="e">
        <f>VLOOKUP($B795,#REF!,5,FALSE)</f>
        <v>#REF!</v>
      </c>
      <c r="D795" s="6" t="e">
        <f>VLOOKUP($B795,#REF!,6,FALSE)</f>
        <v>#REF!</v>
      </c>
      <c r="E795" s="7" t="e">
        <f>VLOOKUP($B795,#REF!,17,FALSE)</f>
        <v>#REF!</v>
      </c>
      <c r="F795" s="8" t="e">
        <f>VLOOKUP($B795,#REF!,7,FALSE)</f>
        <v>#REF!</v>
      </c>
      <c r="G795" s="8"/>
      <c r="H795" s="8"/>
      <c r="I795" s="9" t="e">
        <f>VLOOKUP($B795,#REF!,19,FALSE)</f>
        <v>#REF!</v>
      </c>
      <c r="J795" s="9" t="e">
        <f>VLOOKUP($B795,#REF!,6,FALSE)</f>
        <v>#REF!</v>
      </c>
      <c r="L795" s="1">
        <v>44654.739583330782</v>
      </c>
      <c r="M795" s="13"/>
    </row>
    <row r="796" spans="2:13">
      <c r="B796" s="5"/>
      <c r="C796" s="6" t="e">
        <f>VLOOKUP($B796,#REF!,5,FALSE)</f>
        <v>#REF!</v>
      </c>
      <c r="D796" s="6" t="e">
        <f>VLOOKUP($B796,#REF!,6,FALSE)</f>
        <v>#REF!</v>
      </c>
      <c r="E796" s="7" t="e">
        <f>VLOOKUP($B796,#REF!,17,FALSE)</f>
        <v>#REF!</v>
      </c>
      <c r="F796" s="8" t="e">
        <f>VLOOKUP($B796,#REF!,7,FALSE)</f>
        <v>#REF!</v>
      </c>
      <c r="G796" s="8"/>
      <c r="H796" s="8"/>
      <c r="I796" s="9" t="e">
        <f>VLOOKUP($B796,#REF!,19,FALSE)</f>
        <v>#REF!</v>
      </c>
      <c r="J796" s="9" t="e">
        <f>VLOOKUP($B796,#REF!,6,FALSE)</f>
        <v>#REF!</v>
      </c>
      <c r="L796" s="1">
        <v>44654.743055553001</v>
      </c>
      <c r="M796" s="13"/>
    </row>
    <row r="797" spans="2:13">
      <c r="B797" s="5"/>
      <c r="C797" s="6" t="e">
        <f>VLOOKUP($B797,#REF!,5,FALSE)</f>
        <v>#REF!</v>
      </c>
      <c r="D797" s="6" t="e">
        <f>VLOOKUP($B797,#REF!,6,FALSE)</f>
        <v>#REF!</v>
      </c>
      <c r="E797" s="7" t="e">
        <f>VLOOKUP($B797,#REF!,17,FALSE)</f>
        <v>#REF!</v>
      </c>
      <c r="F797" s="8" t="e">
        <f>VLOOKUP($B797,#REF!,7,FALSE)</f>
        <v>#REF!</v>
      </c>
      <c r="G797" s="8"/>
      <c r="H797" s="8"/>
      <c r="I797" s="9" t="e">
        <f>VLOOKUP($B797,#REF!,19,FALSE)</f>
        <v>#REF!</v>
      </c>
      <c r="J797" s="9" t="e">
        <f>VLOOKUP($B797,#REF!,6,FALSE)</f>
        <v>#REF!</v>
      </c>
      <c r="L797" s="1">
        <v>44654.74652777522</v>
      </c>
      <c r="M797" s="13"/>
    </row>
    <row r="798" spans="2:13">
      <c r="B798" s="5"/>
      <c r="C798" s="6" t="e">
        <f>VLOOKUP($B798,#REF!,5,FALSE)</f>
        <v>#REF!</v>
      </c>
      <c r="D798" s="6" t="e">
        <f>VLOOKUP($B798,#REF!,6,FALSE)</f>
        <v>#REF!</v>
      </c>
      <c r="E798" s="7" t="e">
        <f>VLOOKUP($B798,#REF!,17,FALSE)</f>
        <v>#REF!</v>
      </c>
      <c r="F798" s="8" t="e">
        <f>VLOOKUP($B798,#REF!,7,FALSE)</f>
        <v>#REF!</v>
      </c>
      <c r="G798" s="8"/>
      <c r="H798" s="8"/>
      <c r="I798" s="9" t="e">
        <f>VLOOKUP($B798,#REF!,19,FALSE)</f>
        <v>#REF!</v>
      </c>
      <c r="J798" s="9" t="e">
        <f>VLOOKUP($B798,#REF!,6,FALSE)</f>
        <v>#REF!</v>
      </c>
      <c r="L798" s="1">
        <v>44654.749999997439</v>
      </c>
      <c r="M798" s="13"/>
    </row>
    <row r="799" spans="2:13">
      <c r="B799" s="5"/>
      <c r="C799" s="6" t="e">
        <f>VLOOKUP($B799,#REF!,5,FALSE)</f>
        <v>#REF!</v>
      </c>
      <c r="D799" s="6" t="e">
        <f>VLOOKUP($B799,#REF!,6,FALSE)</f>
        <v>#REF!</v>
      </c>
      <c r="E799" s="7" t="e">
        <f>VLOOKUP($B799,#REF!,17,FALSE)</f>
        <v>#REF!</v>
      </c>
      <c r="F799" s="8" t="e">
        <f>VLOOKUP($B799,#REF!,7,FALSE)</f>
        <v>#REF!</v>
      </c>
      <c r="G799" s="8"/>
      <c r="H799" s="8"/>
      <c r="I799" s="9" t="e">
        <f>VLOOKUP($B799,#REF!,19,FALSE)</f>
        <v>#REF!</v>
      </c>
      <c r="J799" s="9" t="e">
        <f>VLOOKUP($B799,#REF!,6,FALSE)</f>
        <v>#REF!</v>
      </c>
      <c r="L799" s="1">
        <v>44654.753472219658</v>
      </c>
      <c r="M799" s="13"/>
    </row>
    <row r="800" spans="2:13">
      <c r="B800" s="5"/>
      <c r="C800" s="6" t="e">
        <f>VLOOKUP($B800,#REF!,5,FALSE)</f>
        <v>#REF!</v>
      </c>
      <c r="D800" s="6" t="e">
        <f>VLOOKUP($B800,#REF!,6,FALSE)</f>
        <v>#REF!</v>
      </c>
      <c r="E800" s="7" t="e">
        <f>VLOOKUP($B800,#REF!,17,FALSE)</f>
        <v>#REF!</v>
      </c>
      <c r="F800" s="8" t="e">
        <f>VLOOKUP($B800,#REF!,7,FALSE)</f>
        <v>#REF!</v>
      </c>
      <c r="G800" s="8"/>
      <c r="H800" s="8"/>
      <c r="I800" s="9" t="e">
        <f>VLOOKUP($B800,#REF!,19,FALSE)</f>
        <v>#REF!</v>
      </c>
      <c r="J800" s="9" t="e">
        <f>VLOOKUP($B800,#REF!,6,FALSE)</f>
        <v>#REF!</v>
      </c>
      <c r="L800" s="1">
        <v>44654.756944441877</v>
      </c>
      <c r="M800" s="13"/>
    </row>
    <row r="801" spans="2:13">
      <c r="B801" s="5"/>
      <c r="C801" s="6" t="e">
        <f>VLOOKUP($B801,#REF!,5,FALSE)</f>
        <v>#REF!</v>
      </c>
      <c r="D801" s="6" t="e">
        <f>VLOOKUP($B801,#REF!,6,FALSE)</f>
        <v>#REF!</v>
      </c>
      <c r="E801" s="7" t="e">
        <f>VLOOKUP($B801,#REF!,17,FALSE)</f>
        <v>#REF!</v>
      </c>
      <c r="F801" s="8" t="e">
        <f>VLOOKUP($B801,#REF!,7,FALSE)</f>
        <v>#REF!</v>
      </c>
      <c r="G801" s="8"/>
      <c r="H801" s="8"/>
      <c r="I801" s="9" t="e">
        <f>VLOOKUP($B801,#REF!,19,FALSE)</f>
        <v>#REF!</v>
      </c>
      <c r="J801" s="9" t="e">
        <f>VLOOKUP($B801,#REF!,6,FALSE)</f>
        <v>#REF!</v>
      </c>
      <c r="L801" s="1">
        <v>44654.760416664096</v>
      </c>
      <c r="M801" s="13"/>
    </row>
    <row r="802" spans="2:13">
      <c r="B802" s="5"/>
      <c r="C802" s="6" t="e">
        <f>VLOOKUP($B802,#REF!,5,FALSE)</f>
        <v>#REF!</v>
      </c>
      <c r="D802" s="6" t="e">
        <f>VLOOKUP($B802,#REF!,6,FALSE)</f>
        <v>#REF!</v>
      </c>
      <c r="E802" s="7" t="e">
        <f>VLOOKUP($B802,#REF!,17,FALSE)</f>
        <v>#REF!</v>
      </c>
      <c r="F802" s="8" t="e">
        <f>VLOOKUP($B802,#REF!,7,FALSE)</f>
        <v>#REF!</v>
      </c>
      <c r="G802" s="8"/>
      <c r="H802" s="8"/>
      <c r="I802" s="9" t="e">
        <f>VLOOKUP($B802,#REF!,19,FALSE)</f>
        <v>#REF!</v>
      </c>
      <c r="J802" s="9" t="e">
        <f>VLOOKUP($B802,#REF!,6,FALSE)</f>
        <v>#REF!</v>
      </c>
      <c r="L802" s="1">
        <v>44654.763888886315</v>
      </c>
      <c r="M802" s="13"/>
    </row>
    <row r="803" spans="2:13">
      <c r="B803" s="5"/>
      <c r="C803" s="6" t="e">
        <f>VLOOKUP($B803,#REF!,5,FALSE)</f>
        <v>#REF!</v>
      </c>
      <c r="D803" s="6" t="e">
        <f>VLOOKUP($B803,#REF!,6,FALSE)</f>
        <v>#REF!</v>
      </c>
      <c r="E803" s="7" t="e">
        <f>VLOOKUP($B803,#REF!,17,FALSE)</f>
        <v>#REF!</v>
      </c>
      <c r="F803" s="8" t="e">
        <f>VLOOKUP($B803,#REF!,7,FALSE)</f>
        <v>#REF!</v>
      </c>
      <c r="G803" s="8"/>
      <c r="H803" s="8"/>
      <c r="I803" s="9" t="e">
        <f>VLOOKUP($B803,#REF!,19,FALSE)</f>
        <v>#REF!</v>
      </c>
      <c r="J803" s="9" t="e">
        <f>VLOOKUP($B803,#REF!,6,FALSE)</f>
        <v>#REF!</v>
      </c>
      <c r="L803" s="1">
        <v>44654.767361108534</v>
      </c>
      <c r="M803" s="13"/>
    </row>
    <row r="804" spans="2:13">
      <c r="B804" s="5"/>
      <c r="C804" s="6" t="e">
        <f>VLOOKUP($B804,#REF!,5,FALSE)</f>
        <v>#REF!</v>
      </c>
      <c r="D804" s="6" t="e">
        <f>VLOOKUP($B804,#REF!,6,FALSE)</f>
        <v>#REF!</v>
      </c>
      <c r="E804" s="7" t="e">
        <f>VLOOKUP($B804,#REF!,17,FALSE)</f>
        <v>#REF!</v>
      </c>
      <c r="F804" s="8" t="e">
        <f>VLOOKUP($B804,#REF!,7,FALSE)</f>
        <v>#REF!</v>
      </c>
      <c r="G804" s="8"/>
      <c r="H804" s="8"/>
      <c r="I804" s="9" t="e">
        <f>VLOOKUP($B804,#REF!,19,FALSE)</f>
        <v>#REF!</v>
      </c>
      <c r="J804" s="9" t="e">
        <f>VLOOKUP($B804,#REF!,6,FALSE)</f>
        <v>#REF!</v>
      </c>
      <c r="L804" s="1">
        <v>44654.770833330753</v>
      </c>
      <c r="M804" s="13"/>
    </row>
    <row r="805" spans="2:13">
      <c r="B805" s="5"/>
      <c r="C805" s="6" t="e">
        <f>VLOOKUP($B805,#REF!,5,FALSE)</f>
        <v>#REF!</v>
      </c>
      <c r="D805" s="6" t="e">
        <f>VLOOKUP($B805,#REF!,6,FALSE)</f>
        <v>#REF!</v>
      </c>
      <c r="E805" s="7" t="e">
        <f>VLOOKUP($B805,#REF!,17,FALSE)</f>
        <v>#REF!</v>
      </c>
      <c r="F805" s="8" t="e">
        <f>VLOOKUP($B805,#REF!,7,FALSE)</f>
        <v>#REF!</v>
      </c>
      <c r="G805" s="8"/>
      <c r="H805" s="8"/>
      <c r="I805" s="9" t="e">
        <f>VLOOKUP($B805,#REF!,19,FALSE)</f>
        <v>#REF!</v>
      </c>
      <c r="J805" s="9" t="e">
        <f>VLOOKUP($B805,#REF!,6,FALSE)</f>
        <v>#REF!</v>
      </c>
      <c r="L805" s="1">
        <v>44654.774305552972</v>
      </c>
      <c r="M805" s="13"/>
    </row>
    <row r="806" spans="2:13">
      <c r="B806" s="5"/>
      <c r="C806" s="6" t="e">
        <f>VLOOKUP($B806,#REF!,5,FALSE)</f>
        <v>#REF!</v>
      </c>
      <c r="D806" s="6" t="e">
        <f>VLOOKUP($B806,#REF!,6,FALSE)</f>
        <v>#REF!</v>
      </c>
      <c r="E806" s="7" t="e">
        <f>VLOOKUP($B806,#REF!,17,FALSE)</f>
        <v>#REF!</v>
      </c>
      <c r="F806" s="8" t="e">
        <f>VLOOKUP($B806,#REF!,7,FALSE)</f>
        <v>#REF!</v>
      </c>
      <c r="G806" s="8"/>
      <c r="H806" s="8"/>
      <c r="I806" s="9" t="e">
        <f>VLOOKUP($B806,#REF!,19,FALSE)</f>
        <v>#REF!</v>
      </c>
      <c r="J806" s="9" t="e">
        <f>VLOOKUP($B806,#REF!,6,FALSE)</f>
        <v>#REF!</v>
      </c>
      <c r="L806" s="1">
        <v>44654.777777775191</v>
      </c>
      <c r="M806" s="13"/>
    </row>
    <row r="807" spans="2:13">
      <c r="B807" s="5"/>
      <c r="C807" s="6" t="e">
        <f>VLOOKUP($B807,#REF!,5,FALSE)</f>
        <v>#REF!</v>
      </c>
      <c r="D807" s="6" t="e">
        <f>VLOOKUP($B807,#REF!,6,FALSE)</f>
        <v>#REF!</v>
      </c>
      <c r="E807" s="7" t="e">
        <f>VLOOKUP($B807,#REF!,17,FALSE)</f>
        <v>#REF!</v>
      </c>
      <c r="F807" s="8" t="e">
        <f>VLOOKUP($B807,#REF!,7,FALSE)</f>
        <v>#REF!</v>
      </c>
      <c r="G807" s="8"/>
      <c r="H807" s="8"/>
      <c r="I807" s="9" t="e">
        <f>VLOOKUP($B807,#REF!,19,FALSE)</f>
        <v>#REF!</v>
      </c>
      <c r="J807" s="9" t="e">
        <f>VLOOKUP($B807,#REF!,6,FALSE)</f>
        <v>#REF!</v>
      </c>
      <c r="L807" s="1">
        <v>44654.78124999741</v>
      </c>
      <c r="M807" s="13"/>
    </row>
    <row r="808" spans="2:13">
      <c r="B808" s="5"/>
      <c r="C808" s="6" t="e">
        <f>VLOOKUP($B808,#REF!,5,FALSE)</f>
        <v>#REF!</v>
      </c>
      <c r="D808" s="6" t="e">
        <f>VLOOKUP($B808,#REF!,6,FALSE)</f>
        <v>#REF!</v>
      </c>
      <c r="E808" s="7" t="e">
        <f>VLOOKUP($B808,#REF!,17,FALSE)</f>
        <v>#REF!</v>
      </c>
      <c r="F808" s="8" t="e">
        <f>VLOOKUP($B808,#REF!,7,FALSE)</f>
        <v>#REF!</v>
      </c>
      <c r="G808" s="8"/>
      <c r="H808" s="8"/>
      <c r="I808" s="9" t="e">
        <f>VLOOKUP($B808,#REF!,19,FALSE)</f>
        <v>#REF!</v>
      </c>
      <c r="J808" s="9" t="e">
        <f>VLOOKUP($B808,#REF!,6,FALSE)</f>
        <v>#REF!</v>
      </c>
      <c r="L808" s="1">
        <v>44654.784722219629</v>
      </c>
      <c r="M808" s="13"/>
    </row>
    <row r="809" spans="2:13">
      <c r="B809" s="5"/>
      <c r="C809" s="6" t="e">
        <f>VLOOKUP($B809,#REF!,5,FALSE)</f>
        <v>#REF!</v>
      </c>
      <c r="D809" s="6" t="e">
        <f>VLOOKUP($B809,#REF!,6,FALSE)</f>
        <v>#REF!</v>
      </c>
      <c r="E809" s="7" t="e">
        <f>VLOOKUP($B809,#REF!,17,FALSE)</f>
        <v>#REF!</v>
      </c>
      <c r="F809" s="8" t="e">
        <f>VLOOKUP($B809,#REF!,7,FALSE)</f>
        <v>#REF!</v>
      </c>
      <c r="G809" s="8"/>
      <c r="H809" s="8"/>
      <c r="I809" s="9" t="e">
        <f>VLOOKUP($B809,#REF!,19,FALSE)</f>
        <v>#REF!</v>
      </c>
      <c r="J809" s="9" t="e">
        <f>VLOOKUP($B809,#REF!,6,FALSE)</f>
        <v>#REF!</v>
      </c>
      <c r="L809" s="1">
        <v>44654.788194441848</v>
      </c>
      <c r="M809" s="13"/>
    </row>
    <row r="810" spans="2:13">
      <c r="B810" s="5"/>
      <c r="C810" s="6" t="e">
        <f>VLOOKUP($B810,#REF!,5,FALSE)</f>
        <v>#REF!</v>
      </c>
      <c r="D810" s="6" t="e">
        <f>VLOOKUP($B810,#REF!,6,FALSE)</f>
        <v>#REF!</v>
      </c>
      <c r="E810" s="7" t="e">
        <f>VLOOKUP($B810,#REF!,17,FALSE)</f>
        <v>#REF!</v>
      </c>
      <c r="F810" s="8" t="e">
        <f>VLOOKUP($B810,#REF!,7,FALSE)</f>
        <v>#REF!</v>
      </c>
      <c r="G810" s="8"/>
      <c r="H810" s="8"/>
      <c r="I810" s="9" t="e">
        <f>VLOOKUP($B810,#REF!,19,FALSE)</f>
        <v>#REF!</v>
      </c>
      <c r="J810" s="9" t="e">
        <f>VLOOKUP($B810,#REF!,6,FALSE)</f>
        <v>#REF!</v>
      </c>
      <c r="L810" s="1">
        <v>44654.791666664067</v>
      </c>
      <c r="M810" s="13"/>
    </row>
    <row r="811" spans="2:13">
      <c r="B811" s="5"/>
      <c r="C811" s="6" t="e">
        <f>VLOOKUP($B811,#REF!,5,FALSE)</f>
        <v>#REF!</v>
      </c>
      <c r="D811" s="6" t="e">
        <f>VLOOKUP($B811,#REF!,6,FALSE)</f>
        <v>#REF!</v>
      </c>
      <c r="E811" s="7" t="e">
        <f>VLOOKUP($B811,#REF!,17,FALSE)</f>
        <v>#REF!</v>
      </c>
      <c r="F811" s="8" t="e">
        <f>VLOOKUP($B811,#REF!,7,FALSE)</f>
        <v>#REF!</v>
      </c>
      <c r="G811" s="8"/>
      <c r="H811" s="8"/>
      <c r="I811" s="9" t="e">
        <f>VLOOKUP($B811,#REF!,19,FALSE)</f>
        <v>#REF!</v>
      </c>
      <c r="J811" s="9" t="e">
        <f>VLOOKUP($B811,#REF!,6,FALSE)</f>
        <v>#REF!</v>
      </c>
      <c r="L811" s="1">
        <v>44654.795138886286</v>
      </c>
      <c r="M811" s="13"/>
    </row>
    <row r="812" spans="2:13">
      <c r="B812" s="5"/>
      <c r="C812" s="6" t="e">
        <f>VLOOKUP($B812,#REF!,5,FALSE)</f>
        <v>#REF!</v>
      </c>
      <c r="D812" s="6" t="e">
        <f>VLOOKUP($B812,#REF!,6,FALSE)</f>
        <v>#REF!</v>
      </c>
      <c r="E812" s="7" t="e">
        <f>VLOOKUP($B812,#REF!,17,FALSE)</f>
        <v>#REF!</v>
      </c>
      <c r="F812" s="8" t="e">
        <f>VLOOKUP($B812,#REF!,7,FALSE)</f>
        <v>#REF!</v>
      </c>
      <c r="G812" s="8"/>
      <c r="H812" s="8"/>
      <c r="I812" s="9" t="e">
        <f>VLOOKUP($B812,#REF!,19,FALSE)</f>
        <v>#REF!</v>
      </c>
      <c r="J812" s="9" t="e">
        <f>VLOOKUP($B812,#REF!,6,FALSE)</f>
        <v>#REF!</v>
      </c>
      <c r="L812" s="1">
        <v>44654.798611108505</v>
      </c>
      <c r="M812" s="13"/>
    </row>
    <row r="813" spans="2:13">
      <c r="B813" s="5"/>
      <c r="C813" s="6" t="e">
        <f>VLOOKUP($B813,#REF!,5,FALSE)</f>
        <v>#REF!</v>
      </c>
      <c r="D813" s="6" t="e">
        <f>VLOOKUP($B813,#REF!,6,FALSE)</f>
        <v>#REF!</v>
      </c>
      <c r="E813" s="7" t="e">
        <f>VLOOKUP($B813,#REF!,17,FALSE)</f>
        <v>#REF!</v>
      </c>
      <c r="F813" s="8" t="e">
        <f>VLOOKUP($B813,#REF!,7,FALSE)</f>
        <v>#REF!</v>
      </c>
      <c r="G813" s="8"/>
      <c r="H813" s="8"/>
      <c r="I813" s="9" t="e">
        <f>VLOOKUP($B813,#REF!,19,FALSE)</f>
        <v>#REF!</v>
      </c>
      <c r="J813" s="9" t="e">
        <f>VLOOKUP($B813,#REF!,6,FALSE)</f>
        <v>#REF!</v>
      </c>
      <c r="L813" s="1">
        <v>44654.802083330724</v>
      </c>
      <c r="M813" s="13"/>
    </row>
    <row r="814" spans="2:13">
      <c r="B814" s="5"/>
      <c r="C814" s="6" t="e">
        <f>VLOOKUP($B814,#REF!,5,FALSE)</f>
        <v>#REF!</v>
      </c>
      <c r="D814" s="6" t="e">
        <f>VLOOKUP($B814,#REF!,6,FALSE)</f>
        <v>#REF!</v>
      </c>
      <c r="E814" s="7" t="e">
        <f>VLOOKUP($B814,#REF!,17,FALSE)</f>
        <v>#REF!</v>
      </c>
      <c r="F814" s="8" t="e">
        <f>VLOOKUP($B814,#REF!,7,FALSE)</f>
        <v>#REF!</v>
      </c>
      <c r="G814" s="8"/>
      <c r="H814" s="8"/>
      <c r="I814" s="9" t="e">
        <f>VLOOKUP($B814,#REF!,19,FALSE)</f>
        <v>#REF!</v>
      </c>
      <c r="J814" s="9" t="e">
        <f>VLOOKUP($B814,#REF!,6,FALSE)</f>
        <v>#REF!</v>
      </c>
      <c r="L814" s="1">
        <v>44654.805555552943</v>
      </c>
      <c r="M814" s="13"/>
    </row>
    <row r="815" spans="2:13">
      <c r="B815" s="5"/>
      <c r="C815" s="6" t="e">
        <f>VLOOKUP($B815,#REF!,5,FALSE)</f>
        <v>#REF!</v>
      </c>
      <c r="D815" s="6" t="e">
        <f>VLOOKUP($B815,#REF!,6,FALSE)</f>
        <v>#REF!</v>
      </c>
      <c r="E815" s="7" t="e">
        <f>VLOOKUP($B815,#REF!,17,FALSE)</f>
        <v>#REF!</v>
      </c>
      <c r="F815" s="8" t="e">
        <f>VLOOKUP($B815,#REF!,7,FALSE)</f>
        <v>#REF!</v>
      </c>
      <c r="G815" s="8"/>
      <c r="H815" s="8"/>
      <c r="I815" s="9" t="e">
        <f>VLOOKUP($B815,#REF!,19,FALSE)</f>
        <v>#REF!</v>
      </c>
      <c r="J815" s="9" t="e">
        <f>VLOOKUP($B815,#REF!,6,FALSE)</f>
        <v>#REF!</v>
      </c>
      <c r="L815" s="1">
        <v>44654.809027775162</v>
      </c>
      <c r="M815" s="13"/>
    </row>
    <row r="816" spans="2:13">
      <c r="B816" s="5"/>
      <c r="C816" s="6" t="e">
        <f>VLOOKUP($B816,#REF!,5,FALSE)</f>
        <v>#REF!</v>
      </c>
      <c r="D816" s="6" t="e">
        <f>VLOOKUP($B816,#REF!,6,FALSE)</f>
        <v>#REF!</v>
      </c>
      <c r="E816" s="7" t="e">
        <f>VLOOKUP($B816,#REF!,17,FALSE)</f>
        <v>#REF!</v>
      </c>
      <c r="F816" s="8" t="e">
        <f>VLOOKUP($B816,#REF!,7,FALSE)</f>
        <v>#REF!</v>
      </c>
      <c r="G816" s="8"/>
      <c r="H816" s="8"/>
      <c r="I816" s="9" t="e">
        <f>VLOOKUP($B816,#REF!,19,FALSE)</f>
        <v>#REF!</v>
      </c>
      <c r="J816" s="9" t="e">
        <f>VLOOKUP($B816,#REF!,6,FALSE)</f>
        <v>#REF!</v>
      </c>
      <c r="L816" s="1">
        <v>44654.812499997381</v>
      </c>
      <c r="M816" s="13"/>
    </row>
    <row r="817" spans="2:13">
      <c r="B817" s="5"/>
      <c r="C817" s="6" t="e">
        <f>VLOOKUP($B817,#REF!,5,FALSE)</f>
        <v>#REF!</v>
      </c>
      <c r="D817" s="6" t="e">
        <f>VLOOKUP($B817,#REF!,6,FALSE)</f>
        <v>#REF!</v>
      </c>
      <c r="E817" s="7" t="e">
        <f>VLOOKUP($B817,#REF!,17,FALSE)</f>
        <v>#REF!</v>
      </c>
      <c r="F817" s="8" t="e">
        <f>VLOOKUP($B817,#REF!,7,FALSE)</f>
        <v>#REF!</v>
      </c>
      <c r="G817" s="8"/>
      <c r="H817" s="8"/>
      <c r="I817" s="9" t="e">
        <f>VLOOKUP($B817,#REF!,19,FALSE)</f>
        <v>#REF!</v>
      </c>
      <c r="J817" s="9" t="e">
        <f>VLOOKUP($B817,#REF!,6,FALSE)</f>
        <v>#REF!</v>
      </c>
      <c r="L817" s="1">
        <v>44654.8159722196</v>
      </c>
      <c r="M817" s="13"/>
    </row>
    <row r="818" spans="2:13">
      <c r="B818" s="5"/>
      <c r="C818" s="6" t="e">
        <f>VLOOKUP($B818,#REF!,5,FALSE)</f>
        <v>#REF!</v>
      </c>
      <c r="D818" s="6" t="e">
        <f>VLOOKUP($B818,#REF!,6,FALSE)</f>
        <v>#REF!</v>
      </c>
      <c r="E818" s="7" t="e">
        <f>VLOOKUP($B818,#REF!,17,FALSE)</f>
        <v>#REF!</v>
      </c>
      <c r="F818" s="8" t="e">
        <f>VLOOKUP($B818,#REF!,7,FALSE)</f>
        <v>#REF!</v>
      </c>
      <c r="G818" s="8"/>
      <c r="H818" s="8"/>
      <c r="I818" s="9" t="e">
        <f>VLOOKUP($B818,#REF!,19,FALSE)</f>
        <v>#REF!</v>
      </c>
      <c r="J818" s="9" t="e">
        <f>VLOOKUP($B818,#REF!,6,FALSE)</f>
        <v>#REF!</v>
      </c>
      <c r="L818" s="1">
        <v>44654.819444441819</v>
      </c>
      <c r="M818" s="13"/>
    </row>
    <row r="819" spans="2:13">
      <c r="B819" s="5"/>
      <c r="C819" s="6" t="e">
        <f>VLOOKUP($B819,#REF!,5,FALSE)</f>
        <v>#REF!</v>
      </c>
      <c r="D819" s="6" t="e">
        <f>VLOOKUP($B819,#REF!,6,FALSE)</f>
        <v>#REF!</v>
      </c>
      <c r="E819" s="7" t="e">
        <f>VLOOKUP($B819,#REF!,17,FALSE)</f>
        <v>#REF!</v>
      </c>
      <c r="F819" s="8" t="e">
        <f>VLOOKUP($B819,#REF!,7,FALSE)</f>
        <v>#REF!</v>
      </c>
      <c r="G819" s="8"/>
      <c r="H819" s="8"/>
      <c r="I819" s="9" t="e">
        <f>VLOOKUP($B819,#REF!,19,FALSE)</f>
        <v>#REF!</v>
      </c>
      <c r="J819" s="9" t="e">
        <f>VLOOKUP($B819,#REF!,6,FALSE)</f>
        <v>#REF!</v>
      </c>
      <c r="L819" s="1">
        <v>44654.822916664038</v>
      </c>
      <c r="M819" s="13"/>
    </row>
    <row r="820" spans="2:13">
      <c r="B820" s="5"/>
      <c r="C820" s="6" t="e">
        <f>VLOOKUP($B820,#REF!,5,FALSE)</f>
        <v>#REF!</v>
      </c>
      <c r="D820" s="6" t="e">
        <f>VLOOKUP($B820,#REF!,6,FALSE)</f>
        <v>#REF!</v>
      </c>
      <c r="E820" s="7" t="e">
        <f>VLOOKUP($B820,#REF!,17,FALSE)</f>
        <v>#REF!</v>
      </c>
      <c r="F820" s="8" t="e">
        <f>VLOOKUP($B820,#REF!,7,FALSE)</f>
        <v>#REF!</v>
      </c>
      <c r="G820" s="8"/>
      <c r="H820" s="8"/>
      <c r="I820" s="9" t="e">
        <f>VLOOKUP($B820,#REF!,19,FALSE)</f>
        <v>#REF!</v>
      </c>
      <c r="J820" s="9" t="e">
        <f>VLOOKUP($B820,#REF!,6,FALSE)</f>
        <v>#REF!</v>
      </c>
      <c r="L820" s="1">
        <v>44654.826388886257</v>
      </c>
      <c r="M820" s="13"/>
    </row>
    <row r="821" spans="2:13">
      <c r="B821" s="5"/>
      <c r="C821" s="6" t="e">
        <f>VLOOKUP($B821,#REF!,5,FALSE)</f>
        <v>#REF!</v>
      </c>
      <c r="D821" s="6" t="e">
        <f>VLOOKUP($B821,#REF!,6,FALSE)</f>
        <v>#REF!</v>
      </c>
      <c r="E821" s="7" t="e">
        <f>VLOOKUP($B821,#REF!,17,FALSE)</f>
        <v>#REF!</v>
      </c>
      <c r="F821" s="8" t="e">
        <f>VLOOKUP($B821,#REF!,7,FALSE)</f>
        <v>#REF!</v>
      </c>
      <c r="G821" s="8"/>
      <c r="H821" s="8"/>
      <c r="I821" s="9" t="e">
        <f>VLOOKUP($B821,#REF!,19,FALSE)</f>
        <v>#REF!</v>
      </c>
      <c r="J821" s="9" t="e">
        <f>VLOOKUP($B821,#REF!,6,FALSE)</f>
        <v>#REF!</v>
      </c>
      <c r="L821" s="1">
        <v>44654.829861108476</v>
      </c>
      <c r="M821" s="13"/>
    </row>
    <row r="822" spans="2:13">
      <c r="B822" s="5"/>
      <c r="C822" s="6" t="e">
        <f>VLOOKUP($B822,#REF!,5,FALSE)</f>
        <v>#REF!</v>
      </c>
      <c r="D822" s="6" t="e">
        <f>VLOOKUP($B822,#REF!,6,FALSE)</f>
        <v>#REF!</v>
      </c>
      <c r="E822" s="7" t="e">
        <f>VLOOKUP($B822,#REF!,17,FALSE)</f>
        <v>#REF!</v>
      </c>
      <c r="F822" s="8" t="e">
        <f>VLOOKUP($B822,#REF!,7,FALSE)</f>
        <v>#REF!</v>
      </c>
      <c r="G822" s="8"/>
      <c r="H822" s="8"/>
      <c r="I822" s="9" t="e">
        <f>VLOOKUP($B822,#REF!,19,FALSE)</f>
        <v>#REF!</v>
      </c>
      <c r="J822" s="9" t="e">
        <f>VLOOKUP($B822,#REF!,6,FALSE)</f>
        <v>#REF!</v>
      </c>
      <c r="L822" s="1">
        <v>44654.833333330695</v>
      </c>
      <c r="M822" s="13"/>
    </row>
    <row r="823" spans="2:13">
      <c r="B823" s="5"/>
      <c r="C823" s="6" t="e">
        <f>VLOOKUP($B823,#REF!,5,FALSE)</f>
        <v>#REF!</v>
      </c>
      <c r="D823" s="6" t="e">
        <f>VLOOKUP($B823,#REF!,6,FALSE)</f>
        <v>#REF!</v>
      </c>
      <c r="E823" s="7" t="e">
        <f>VLOOKUP($B823,#REF!,17,FALSE)</f>
        <v>#REF!</v>
      </c>
      <c r="F823" s="8" t="e">
        <f>VLOOKUP($B823,#REF!,7,FALSE)</f>
        <v>#REF!</v>
      </c>
      <c r="G823" s="8"/>
      <c r="H823" s="8"/>
      <c r="I823" s="9" t="e">
        <f>VLOOKUP($B823,#REF!,19,FALSE)</f>
        <v>#REF!</v>
      </c>
      <c r="J823" s="9" t="e">
        <f>VLOOKUP($B823,#REF!,6,FALSE)</f>
        <v>#REF!</v>
      </c>
      <c r="L823" s="1">
        <v>44654.836805552914</v>
      </c>
      <c r="M823" s="13"/>
    </row>
    <row r="824" spans="2:13">
      <c r="B824" s="5"/>
      <c r="C824" s="6" t="e">
        <f>VLOOKUP($B824,#REF!,5,FALSE)</f>
        <v>#REF!</v>
      </c>
      <c r="D824" s="6" t="e">
        <f>VLOOKUP($B824,#REF!,6,FALSE)</f>
        <v>#REF!</v>
      </c>
      <c r="E824" s="7" t="e">
        <f>VLOOKUP($B824,#REF!,17,FALSE)</f>
        <v>#REF!</v>
      </c>
      <c r="F824" s="8" t="e">
        <f>VLOOKUP($B824,#REF!,7,FALSE)</f>
        <v>#REF!</v>
      </c>
      <c r="G824" s="8"/>
      <c r="H824" s="8"/>
      <c r="I824" s="9" t="e">
        <f>VLOOKUP($B824,#REF!,19,FALSE)</f>
        <v>#REF!</v>
      </c>
      <c r="J824" s="9" t="e">
        <f>VLOOKUP($B824,#REF!,6,FALSE)</f>
        <v>#REF!</v>
      </c>
      <c r="L824" s="1">
        <v>44654.840277775133</v>
      </c>
      <c r="M824" s="13"/>
    </row>
    <row r="825" spans="2:13">
      <c r="B825" s="5"/>
      <c r="C825" s="6" t="e">
        <f>VLOOKUP($B825,#REF!,5,FALSE)</f>
        <v>#REF!</v>
      </c>
      <c r="D825" s="6" t="e">
        <f>VLOOKUP($B825,#REF!,6,FALSE)</f>
        <v>#REF!</v>
      </c>
      <c r="E825" s="7" t="e">
        <f>VLOOKUP($B825,#REF!,17,FALSE)</f>
        <v>#REF!</v>
      </c>
      <c r="F825" s="8" t="e">
        <f>VLOOKUP($B825,#REF!,7,FALSE)</f>
        <v>#REF!</v>
      </c>
      <c r="G825" s="8"/>
      <c r="H825" s="8"/>
      <c r="I825" s="9" t="e">
        <f>VLOOKUP($B825,#REF!,19,FALSE)</f>
        <v>#REF!</v>
      </c>
      <c r="J825" s="9" t="e">
        <f>VLOOKUP($B825,#REF!,6,FALSE)</f>
        <v>#REF!</v>
      </c>
      <c r="L825" s="1">
        <v>44654.843749997352</v>
      </c>
      <c r="M825" s="13"/>
    </row>
    <row r="826" spans="2:13">
      <c r="B826" s="5"/>
      <c r="C826" s="6" t="e">
        <f>VLOOKUP($B826,#REF!,5,FALSE)</f>
        <v>#REF!</v>
      </c>
      <c r="D826" s="6" t="e">
        <f>VLOOKUP($B826,#REF!,6,FALSE)</f>
        <v>#REF!</v>
      </c>
      <c r="E826" s="7" t="e">
        <f>VLOOKUP($B826,#REF!,17,FALSE)</f>
        <v>#REF!</v>
      </c>
      <c r="F826" s="8" t="e">
        <f>VLOOKUP($B826,#REF!,7,FALSE)</f>
        <v>#REF!</v>
      </c>
      <c r="G826" s="8"/>
      <c r="H826" s="8"/>
      <c r="I826" s="9" t="e">
        <f>VLOOKUP($B826,#REF!,19,FALSE)</f>
        <v>#REF!</v>
      </c>
      <c r="J826" s="9" t="e">
        <f>VLOOKUP($B826,#REF!,6,FALSE)</f>
        <v>#REF!</v>
      </c>
      <c r="L826" s="1">
        <v>44654.847222219571</v>
      </c>
      <c r="M826" s="13"/>
    </row>
    <row r="827" spans="2:13">
      <c r="B827" s="5"/>
      <c r="C827" s="6" t="e">
        <f>VLOOKUP($B827,#REF!,5,FALSE)</f>
        <v>#REF!</v>
      </c>
      <c r="D827" s="6" t="e">
        <f>VLOOKUP($B827,#REF!,6,FALSE)</f>
        <v>#REF!</v>
      </c>
      <c r="E827" s="7" t="e">
        <f>VLOOKUP($B827,#REF!,17,FALSE)</f>
        <v>#REF!</v>
      </c>
      <c r="F827" s="8" t="e">
        <f>VLOOKUP($B827,#REF!,7,FALSE)</f>
        <v>#REF!</v>
      </c>
      <c r="G827" s="8"/>
      <c r="H827" s="8"/>
      <c r="I827" s="9" t="e">
        <f>VLOOKUP($B827,#REF!,19,FALSE)</f>
        <v>#REF!</v>
      </c>
      <c r="J827" s="9" t="e">
        <f>VLOOKUP($B827,#REF!,6,FALSE)</f>
        <v>#REF!</v>
      </c>
      <c r="L827" s="1">
        <v>44654.85069444179</v>
      </c>
      <c r="M827" s="13"/>
    </row>
    <row r="828" spans="2:13">
      <c r="B828" s="5"/>
      <c r="C828" s="6" t="e">
        <f>VLOOKUP($B828,#REF!,5,FALSE)</f>
        <v>#REF!</v>
      </c>
      <c r="D828" s="6" t="e">
        <f>VLOOKUP($B828,#REF!,6,FALSE)</f>
        <v>#REF!</v>
      </c>
      <c r="E828" s="7" t="e">
        <f>VLOOKUP($B828,#REF!,17,FALSE)</f>
        <v>#REF!</v>
      </c>
      <c r="F828" s="8" t="e">
        <f>VLOOKUP($B828,#REF!,7,FALSE)</f>
        <v>#REF!</v>
      </c>
      <c r="G828" s="8"/>
      <c r="H828" s="8"/>
      <c r="I828" s="9" t="e">
        <f>VLOOKUP($B828,#REF!,19,FALSE)</f>
        <v>#REF!</v>
      </c>
      <c r="J828" s="9" t="e">
        <f>VLOOKUP($B828,#REF!,6,FALSE)</f>
        <v>#REF!</v>
      </c>
      <c r="L828" s="1">
        <v>44654.854166664009</v>
      </c>
      <c r="M828" s="13"/>
    </row>
    <row r="829" spans="2:13">
      <c r="B829" s="5"/>
      <c r="C829" s="6" t="e">
        <f>VLOOKUP($B829,#REF!,5,FALSE)</f>
        <v>#REF!</v>
      </c>
      <c r="D829" s="6" t="e">
        <f>VLOOKUP($B829,#REF!,6,FALSE)</f>
        <v>#REF!</v>
      </c>
      <c r="E829" s="7" t="e">
        <f>VLOOKUP($B829,#REF!,17,FALSE)</f>
        <v>#REF!</v>
      </c>
      <c r="F829" s="8" t="e">
        <f>VLOOKUP($B829,#REF!,7,FALSE)</f>
        <v>#REF!</v>
      </c>
      <c r="G829" s="8"/>
      <c r="H829" s="8"/>
      <c r="I829" s="9" t="e">
        <f>VLOOKUP($B829,#REF!,19,FALSE)</f>
        <v>#REF!</v>
      </c>
      <c r="J829" s="9" t="e">
        <f>VLOOKUP($B829,#REF!,6,FALSE)</f>
        <v>#REF!</v>
      </c>
      <c r="L829" s="1">
        <v>44654.857638886228</v>
      </c>
      <c r="M829" s="13"/>
    </row>
    <row r="830" spans="2:13">
      <c r="B830" s="5"/>
      <c r="C830" s="6" t="e">
        <f>VLOOKUP($B830,#REF!,5,FALSE)</f>
        <v>#REF!</v>
      </c>
      <c r="D830" s="6" t="e">
        <f>VLOOKUP($B830,#REF!,6,FALSE)</f>
        <v>#REF!</v>
      </c>
      <c r="E830" s="7" t="e">
        <f>VLOOKUP($B830,#REF!,17,FALSE)</f>
        <v>#REF!</v>
      </c>
      <c r="F830" s="8" t="e">
        <f>VLOOKUP($B830,#REF!,7,FALSE)</f>
        <v>#REF!</v>
      </c>
      <c r="G830" s="8"/>
      <c r="H830" s="8"/>
      <c r="I830" s="9" t="e">
        <f>VLOOKUP($B830,#REF!,19,FALSE)</f>
        <v>#REF!</v>
      </c>
      <c r="J830" s="9" t="e">
        <f>VLOOKUP($B830,#REF!,6,FALSE)</f>
        <v>#REF!</v>
      </c>
      <c r="L830" s="1">
        <v>44654.861111108446</v>
      </c>
      <c r="M830" s="13"/>
    </row>
    <row r="831" spans="2:13">
      <c r="B831" s="5"/>
      <c r="C831" s="6" t="e">
        <f>VLOOKUP($B831,#REF!,5,FALSE)</f>
        <v>#REF!</v>
      </c>
      <c r="D831" s="6" t="e">
        <f>VLOOKUP($B831,#REF!,6,FALSE)</f>
        <v>#REF!</v>
      </c>
      <c r="E831" s="7" t="e">
        <f>VLOOKUP($B831,#REF!,17,FALSE)</f>
        <v>#REF!</v>
      </c>
      <c r="F831" s="8" t="e">
        <f>VLOOKUP($B831,#REF!,7,FALSE)</f>
        <v>#REF!</v>
      </c>
      <c r="G831" s="8"/>
      <c r="H831" s="8"/>
      <c r="I831" s="9" t="e">
        <f>VLOOKUP($B831,#REF!,19,FALSE)</f>
        <v>#REF!</v>
      </c>
      <c r="J831" s="9" t="e">
        <f>VLOOKUP($B831,#REF!,6,FALSE)</f>
        <v>#REF!</v>
      </c>
      <c r="L831" s="1">
        <v>44654.864583330665</v>
      </c>
      <c r="M831" s="13"/>
    </row>
    <row r="832" spans="2:13">
      <c r="B832" s="5"/>
      <c r="C832" s="6" t="e">
        <f>VLOOKUP($B832,#REF!,5,FALSE)</f>
        <v>#REF!</v>
      </c>
      <c r="D832" s="6" t="e">
        <f>VLOOKUP($B832,#REF!,6,FALSE)</f>
        <v>#REF!</v>
      </c>
      <c r="E832" s="7" t="e">
        <f>VLOOKUP($B832,#REF!,17,FALSE)</f>
        <v>#REF!</v>
      </c>
      <c r="F832" s="8" t="e">
        <f>VLOOKUP($B832,#REF!,7,FALSE)</f>
        <v>#REF!</v>
      </c>
      <c r="G832" s="8"/>
      <c r="H832" s="8"/>
      <c r="I832" s="9" t="e">
        <f>VLOOKUP($B832,#REF!,19,FALSE)</f>
        <v>#REF!</v>
      </c>
      <c r="J832" s="9" t="e">
        <f>VLOOKUP($B832,#REF!,6,FALSE)</f>
        <v>#REF!</v>
      </c>
      <c r="L832" s="1">
        <v>44654.868055552884</v>
      </c>
      <c r="M832" s="13"/>
    </row>
    <row r="833" spans="2:13">
      <c r="B833" s="5"/>
      <c r="C833" s="6" t="e">
        <f>VLOOKUP($B833,#REF!,5,FALSE)</f>
        <v>#REF!</v>
      </c>
      <c r="D833" s="6" t="e">
        <f>VLOOKUP($B833,#REF!,6,FALSE)</f>
        <v>#REF!</v>
      </c>
      <c r="E833" s="7" t="e">
        <f>VLOOKUP($B833,#REF!,17,FALSE)</f>
        <v>#REF!</v>
      </c>
      <c r="F833" s="8" t="e">
        <f>VLOOKUP($B833,#REF!,7,FALSE)</f>
        <v>#REF!</v>
      </c>
      <c r="G833" s="8"/>
      <c r="H833" s="8"/>
      <c r="I833" s="9" t="e">
        <f>VLOOKUP($B833,#REF!,19,FALSE)</f>
        <v>#REF!</v>
      </c>
      <c r="J833" s="9" t="e">
        <f>VLOOKUP($B833,#REF!,6,FALSE)</f>
        <v>#REF!</v>
      </c>
      <c r="L833" s="1">
        <v>44654.871527775103</v>
      </c>
      <c r="M833" s="13"/>
    </row>
    <row r="834" spans="2:13">
      <c r="B834" s="5"/>
      <c r="C834" s="6" t="e">
        <f>VLOOKUP($B834,#REF!,5,FALSE)</f>
        <v>#REF!</v>
      </c>
      <c r="D834" s="6" t="e">
        <f>VLOOKUP($B834,#REF!,6,FALSE)</f>
        <v>#REF!</v>
      </c>
      <c r="E834" s="7" t="e">
        <f>VLOOKUP($B834,#REF!,17,FALSE)</f>
        <v>#REF!</v>
      </c>
      <c r="F834" s="8" t="e">
        <f>VLOOKUP($B834,#REF!,7,FALSE)</f>
        <v>#REF!</v>
      </c>
      <c r="G834" s="8"/>
      <c r="H834" s="8"/>
      <c r="I834" s="9" t="e">
        <f>VLOOKUP($B834,#REF!,19,FALSE)</f>
        <v>#REF!</v>
      </c>
      <c r="J834" s="9" t="e">
        <f>VLOOKUP($B834,#REF!,6,FALSE)</f>
        <v>#REF!</v>
      </c>
      <c r="L834" s="1">
        <v>44654.874999997322</v>
      </c>
      <c r="M834" s="13"/>
    </row>
    <row r="835" spans="2:13">
      <c r="B835" s="5"/>
      <c r="C835" s="6" t="e">
        <f>VLOOKUP($B835,#REF!,5,FALSE)</f>
        <v>#REF!</v>
      </c>
      <c r="D835" s="6" t="e">
        <f>VLOOKUP($B835,#REF!,6,FALSE)</f>
        <v>#REF!</v>
      </c>
      <c r="E835" s="7" t="e">
        <f>VLOOKUP($B835,#REF!,17,FALSE)</f>
        <v>#REF!</v>
      </c>
      <c r="F835" s="8" t="e">
        <f>VLOOKUP($B835,#REF!,7,FALSE)</f>
        <v>#REF!</v>
      </c>
      <c r="G835" s="8"/>
      <c r="H835" s="8"/>
      <c r="I835" s="9" t="e">
        <f>VLOOKUP($B835,#REF!,19,FALSE)</f>
        <v>#REF!</v>
      </c>
      <c r="J835" s="9" t="e">
        <f>VLOOKUP($B835,#REF!,6,FALSE)</f>
        <v>#REF!</v>
      </c>
      <c r="L835" s="1">
        <v>44654.878472219541</v>
      </c>
      <c r="M835" s="13"/>
    </row>
    <row r="836" spans="2:13">
      <c r="B836" s="5"/>
      <c r="C836" s="6" t="e">
        <f>VLOOKUP($B836,#REF!,5,FALSE)</f>
        <v>#REF!</v>
      </c>
      <c r="D836" s="6" t="e">
        <f>VLOOKUP($B836,#REF!,6,FALSE)</f>
        <v>#REF!</v>
      </c>
      <c r="E836" s="7" t="e">
        <f>VLOOKUP($B836,#REF!,17,FALSE)</f>
        <v>#REF!</v>
      </c>
      <c r="F836" s="8" t="e">
        <f>VLOOKUP($B836,#REF!,7,FALSE)</f>
        <v>#REF!</v>
      </c>
      <c r="G836" s="8"/>
      <c r="H836" s="8"/>
      <c r="I836" s="9" t="e">
        <f>VLOOKUP($B836,#REF!,19,FALSE)</f>
        <v>#REF!</v>
      </c>
      <c r="J836" s="9" t="e">
        <f>VLOOKUP($B836,#REF!,6,FALSE)</f>
        <v>#REF!</v>
      </c>
      <c r="L836" s="1">
        <v>44654.88194444176</v>
      </c>
      <c r="M836" s="13"/>
    </row>
    <row r="837" spans="2:13">
      <c r="B837" s="5"/>
      <c r="C837" s="6" t="e">
        <f>VLOOKUP($B837,#REF!,5,FALSE)</f>
        <v>#REF!</v>
      </c>
      <c r="D837" s="6" t="e">
        <f>VLOOKUP($B837,#REF!,6,FALSE)</f>
        <v>#REF!</v>
      </c>
      <c r="E837" s="7" t="e">
        <f>VLOOKUP($B837,#REF!,17,FALSE)</f>
        <v>#REF!</v>
      </c>
      <c r="F837" s="8" t="e">
        <f>VLOOKUP($B837,#REF!,7,FALSE)</f>
        <v>#REF!</v>
      </c>
      <c r="G837" s="8"/>
      <c r="H837" s="8"/>
      <c r="I837" s="9" t="e">
        <f>VLOOKUP($B837,#REF!,19,FALSE)</f>
        <v>#REF!</v>
      </c>
      <c r="J837" s="9" t="e">
        <f>VLOOKUP($B837,#REF!,6,FALSE)</f>
        <v>#REF!</v>
      </c>
      <c r="L837" s="1">
        <v>44654.885416663979</v>
      </c>
      <c r="M837" s="13"/>
    </row>
    <row r="838" spans="2:13">
      <c r="B838" s="5"/>
      <c r="C838" s="6" t="e">
        <f>VLOOKUP($B838,#REF!,5,FALSE)</f>
        <v>#REF!</v>
      </c>
      <c r="D838" s="6" t="e">
        <f>VLOOKUP($B838,#REF!,6,FALSE)</f>
        <v>#REF!</v>
      </c>
      <c r="E838" s="7" t="e">
        <f>VLOOKUP($B838,#REF!,17,FALSE)</f>
        <v>#REF!</v>
      </c>
      <c r="F838" s="8" t="e">
        <f>VLOOKUP($B838,#REF!,7,FALSE)</f>
        <v>#REF!</v>
      </c>
      <c r="G838" s="8"/>
      <c r="H838" s="8"/>
      <c r="I838" s="9" t="e">
        <f>VLOOKUP($B838,#REF!,19,FALSE)</f>
        <v>#REF!</v>
      </c>
      <c r="J838" s="9" t="e">
        <f>VLOOKUP($B838,#REF!,6,FALSE)</f>
        <v>#REF!</v>
      </c>
      <c r="L838" s="1">
        <v>44654.888888886198</v>
      </c>
      <c r="M838" s="13"/>
    </row>
    <row r="839" spans="2:13">
      <c r="B839" s="5"/>
      <c r="C839" s="6" t="e">
        <f>VLOOKUP($B839,#REF!,5,FALSE)</f>
        <v>#REF!</v>
      </c>
      <c r="D839" s="6" t="e">
        <f>VLOOKUP($B839,#REF!,6,FALSE)</f>
        <v>#REF!</v>
      </c>
      <c r="E839" s="7" t="e">
        <f>VLOOKUP($B839,#REF!,17,FALSE)</f>
        <v>#REF!</v>
      </c>
      <c r="F839" s="8" t="e">
        <f>VLOOKUP($B839,#REF!,7,FALSE)</f>
        <v>#REF!</v>
      </c>
      <c r="G839" s="8"/>
      <c r="H839" s="8"/>
      <c r="I839" s="9" t="e">
        <f>VLOOKUP($B839,#REF!,19,FALSE)</f>
        <v>#REF!</v>
      </c>
      <c r="J839" s="9" t="e">
        <f>VLOOKUP($B839,#REF!,6,FALSE)</f>
        <v>#REF!</v>
      </c>
      <c r="L839" s="1">
        <v>44654.892361108417</v>
      </c>
      <c r="M839" s="13"/>
    </row>
    <row r="840" spans="2:13">
      <c r="B840" s="5"/>
      <c r="C840" s="6" t="e">
        <f>VLOOKUP($B840,#REF!,5,FALSE)</f>
        <v>#REF!</v>
      </c>
      <c r="D840" s="6" t="e">
        <f>VLOOKUP($B840,#REF!,6,FALSE)</f>
        <v>#REF!</v>
      </c>
      <c r="E840" s="7" t="e">
        <f>VLOOKUP($B840,#REF!,17,FALSE)</f>
        <v>#REF!</v>
      </c>
      <c r="F840" s="8" t="e">
        <f>VLOOKUP($B840,#REF!,7,FALSE)</f>
        <v>#REF!</v>
      </c>
      <c r="G840" s="8"/>
      <c r="H840" s="8"/>
      <c r="I840" s="9" t="e">
        <f>VLOOKUP($B840,#REF!,19,FALSE)</f>
        <v>#REF!</v>
      </c>
      <c r="J840" s="9" t="e">
        <f>VLOOKUP($B840,#REF!,6,FALSE)</f>
        <v>#REF!</v>
      </c>
      <c r="L840" s="1">
        <v>44654.895833330636</v>
      </c>
      <c r="M840" s="13"/>
    </row>
    <row r="841" spans="2:13">
      <c r="B841" s="5"/>
      <c r="C841" s="6" t="e">
        <f>VLOOKUP($B841,#REF!,5,FALSE)</f>
        <v>#REF!</v>
      </c>
      <c r="D841" s="6" t="e">
        <f>VLOOKUP($B841,#REF!,6,FALSE)</f>
        <v>#REF!</v>
      </c>
      <c r="E841" s="7" t="e">
        <f>VLOOKUP($B841,#REF!,17,FALSE)</f>
        <v>#REF!</v>
      </c>
      <c r="F841" s="8" t="e">
        <f>VLOOKUP($B841,#REF!,7,FALSE)</f>
        <v>#REF!</v>
      </c>
      <c r="G841" s="8"/>
      <c r="H841" s="8"/>
      <c r="I841" s="9" t="e">
        <f>VLOOKUP($B841,#REF!,19,FALSE)</f>
        <v>#REF!</v>
      </c>
      <c r="J841" s="9" t="e">
        <f>VLOOKUP($B841,#REF!,6,FALSE)</f>
        <v>#REF!</v>
      </c>
      <c r="L841" s="1">
        <v>44654.899305552855</v>
      </c>
      <c r="M841" s="13"/>
    </row>
    <row r="842" spans="2:13">
      <c r="B842" s="5"/>
      <c r="C842" s="6" t="e">
        <f>VLOOKUP($B842,#REF!,5,FALSE)</f>
        <v>#REF!</v>
      </c>
      <c r="D842" s="6" t="e">
        <f>VLOOKUP($B842,#REF!,6,FALSE)</f>
        <v>#REF!</v>
      </c>
      <c r="E842" s="7" t="e">
        <f>VLOOKUP($B842,#REF!,17,FALSE)</f>
        <v>#REF!</v>
      </c>
      <c r="F842" s="8" t="e">
        <f>VLOOKUP($B842,#REF!,7,FALSE)</f>
        <v>#REF!</v>
      </c>
      <c r="G842" s="8"/>
      <c r="H842" s="8"/>
      <c r="I842" s="9" t="e">
        <f>VLOOKUP($B842,#REF!,19,FALSE)</f>
        <v>#REF!</v>
      </c>
      <c r="J842" s="9" t="e">
        <f>VLOOKUP($B842,#REF!,6,FALSE)</f>
        <v>#REF!</v>
      </c>
      <c r="L842" s="1">
        <v>44654.902777775074</v>
      </c>
      <c r="M842" s="13"/>
    </row>
    <row r="843" spans="2:13">
      <c r="B843" s="5"/>
      <c r="C843" s="6" t="e">
        <f>VLOOKUP($B843,#REF!,5,FALSE)</f>
        <v>#REF!</v>
      </c>
      <c r="D843" s="6" t="e">
        <f>VLOOKUP($B843,#REF!,6,FALSE)</f>
        <v>#REF!</v>
      </c>
      <c r="E843" s="7" t="e">
        <f>VLOOKUP($B843,#REF!,17,FALSE)</f>
        <v>#REF!</v>
      </c>
      <c r="F843" s="8" t="e">
        <f>VLOOKUP($B843,#REF!,7,FALSE)</f>
        <v>#REF!</v>
      </c>
      <c r="G843" s="8"/>
      <c r="H843" s="8"/>
      <c r="I843" s="9" t="e">
        <f>VLOOKUP($B843,#REF!,19,FALSE)</f>
        <v>#REF!</v>
      </c>
      <c r="J843" s="9" t="e">
        <f>VLOOKUP($B843,#REF!,6,FALSE)</f>
        <v>#REF!</v>
      </c>
      <c r="L843" s="1">
        <v>44654.906249997293</v>
      </c>
      <c r="M843" s="13"/>
    </row>
    <row r="844" spans="2:13">
      <c r="B844" s="5"/>
      <c r="C844" s="6" t="e">
        <f>VLOOKUP($B844,#REF!,5,FALSE)</f>
        <v>#REF!</v>
      </c>
      <c r="D844" s="6" t="e">
        <f>VLOOKUP($B844,#REF!,6,FALSE)</f>
        <v>#REF!</v>
      </c>
      <c r="E844" s="7" t="e">
        <f>VLOOKUP($B844,#REF!,17,FALSE)</f>
        <v>#REF!</v>
      </c>
      <c r="F844" s="8" t="e">
        <f>VLOOKUP($B844,#REF!,7,FALSE)</f>
        <v>#REF!</v>
      </c>
      <c r="G844" s="8"/>
      <c r="H844" s="8"/>
      <c r="I844" s="9" t="e">
        <f>VLOOKUP($B844,#REF!,19,FALSE)</f>
        <v>#REF!</v>
      </c>
      <c r="J844" s="9" t="e">
        <f>VLOOKUP($B844,#REF!,6,FALSE)</f>
        <v>#REF!</v>
      </c>
      <c r="L844" s="1">
        <v>44654.909722219512</v>
      </c>
      <c r="M844" s="13"/>
    </row>
    <row r="845" spans="2:13">
      <c r="B845" s="5"/>
      <c r="C845" s="6" t="e">
        <f>VLOOKUP($B845,#REF!,5,FALSE)</f>
        <v>#REF!</v>
      </c>
      <c r="D845" s="6" t="e">
        <f>VLOOKUP($B845,#REF!,6,FALSE)</f>
        <v>#REF!</v>
      </c>
      <c r="E845" s="7" t="e">
        <f>VLOOKUP($B845,#REF!,17,FALSE)</f>
        <v>#REF!</v>
      </c>
      <c r="F845" s="8" t="e">
        <f>VLOOKUP($B845,#REF!,7,FALSE)</f>
        <v>#REF!</v>
      </c>
      <c r="G845" s="8"/>
      <c r="H845" s="8"/>
      <c r="I845" s="9" t="e">
        <f>VLOOKUP($B845,#REF!,19,FALSE)</f>
        <v>#REF!</v>
      </c>
      <c r="J845" s="9" t="e">
        <f>VLOOKUP($B845,#REF!,6,FALSE)</f>
        <v>#REF!</v>
      </c>
      <c r="L845" s="1">
        <v>44654.913194441731</v>
      </c>
      <c r="M845" s="13"/>
    </row>
    <row r="846" spans="2:13">
      <c r="B846" s="5"/>
      <c r="C846" s="6" t="e">
        <f>VLOOKUP($B846,#REF!,5,FALSE)</f>
        <v>#REF!</v>
      </c>
      <c r="D846" s="6" t="e">
        <f>VLOOKUP($B846,#REF!,6,FALSE)</f>
        <v>#REF!</v>
      </c>
      <c r="E846" s="7" t="e">
        <f>VLOOKUP($B846,#REF!,17,FALSE)</f>
        <v>#REF!</v>
      </c>
      <c r="F846" s="8" t="e">
        <f>VLOOKUP($B846,#REF!,7,FALSE)</f>
        <v>#REF!</v>
      </c>
      <c r="G846" s="8"/>
      <c r="H846" s="8"/>
      <c r="I846" s="9" t="e">
        <f>VLOOKUP($B846,#REF!,19,FALSE)</f>
        <v>#REF!</v>
      </c>
      <c r="J846" s="9" t="e">
        <f>VLOOKUP($B846,#REF!,6,FALSE)</f>
        <v>#REF!</v>
      </c>
      <c r="L846" s="1">
        <v>44654.91666666395</v>
      </c>
      <c r="M846" s="13"/>
    </row>
    <row r="847" spans="2:13">
      <c r="B847" s="5"/>
      <c r="C847" s="6" t="e">
        <f>VLOOKUP($B847,#REF!,5,FALSE)</f>
        <v>#REF!</v>
      </c>
      <c r="D847" s="6" t="e">
        <f>VLOOKUP($B847,#REF!,6,FALSE)</f>
        <v>#REF!</v>
      </c>
      <c r="E847" s="7" t="e">
        <f>VLOOKUP($B847,#REF!,17,FALSE)</f>
        <v>#REF!</v>
      </c>
      <c r="F847" s="8" t="e">
        <f>VLOOKUP($B847,#REF!,7,FALSE)</f>
        <v>#REF!</v>
      </c>
      <c r="G847" s="8"/>
      <c r="H847" s="8"/>
      <c r="I847" s="9" t="e">
        <f>VLOOKUP($B847,#REF!,19,FALSE)</f>
        <v>#REF!</v>
      </c>
      <c r="J847" s="9" t="e">
        <f>VLOOKUP($B847,#REF!,6,FALSE)</f>
        <v>#REF!</v>
      </c>
      <c r="L847" s="1">
        <v>44654.920138886169</v>
      </c>
      <c r="M847" s="13"/>
    </row>
    <row r="848" spans="2:13">
      <c r="B848" s="5"/>
      <c r="C848" s="6" t="e">
        <f>VLOOKUP($B848,#REF!,5,FALSE)</f>
        <v>#REF!</v>
      </c>
      <c r="D848" s="6" t="e">
        <f>VLOOKUP($B848,#REF!,6,FALSE)</f>
        <v>#REF!</v>
      </c>
      <c r="E848" s="7" t="e">
        <f>VLOOKUP($B848,#REF!,17,FALSE)</f>
        <v>#REF!</v>
      </c>
      <c r="F848" s="8" t="e">
        <f>VLOOKUP($B848,#REF!,7,FALSE)</f>
        <v>#REF!</v>
      </c>
      <c r="G848" s="8"/>
      <c r="H848" s="8"/>
      <c r="I848" s="9" t="e">
        <f>VLOOKUP($B848,#REF!,19,FALSE)</f>
        <v>#REF!</v>
      </c>
      <c r="J848" s="9" t="e">
        <f>VLOOKUP($B848,#REF!,6,FALSE)</f>
        <v>#REF!</v>
      </c>
      <c r="L848" s="1">
        <v>44654.923611108388</v>
      </c>
      <c r="M848" s="13"/>
    </row>
    <row r="849" spans="2:13">
      <c r="B849" s="5"/>
      <c r="C849" s="6" t="e">
        <f>VLOOKUP($B849,#REF!,5,FALSE)</f>
        <v>#REF!</v>
      </c>
      <c r="D849" s="6" t="e">
        <f>VLOOKUP($B849,#REF!,6,FALSE)</f>
        <v>#REF!</v>
      </c>
      <c r="E849" s="7" t="e">
        <f>VLOOKUP($B849,#REF!,17,FALSE)</f>
        <v>#REF!</v>
      </c>
      <c r="F849" s="8" t="e">
        <f>VLOOKUP($B849,#REF!,7,FALSE)</f>
        <v>#REF!</v>
      </c>
      <c r="G849" s="8"/>
      <c r="H849" s="8"/>
      <c r="I849" s="9" t="e">
        <f>VLOOKUP($B849,#REF!,19,FALSE)</f>
        <v>#REF!</v>
      </c>
      <c r="J849" s="9" t="e">
        <f>VLOOKUP($B849,#REF!,6,FALSE)</f>
        <v>#REF!</v>
      </c>
      <c r="L849" s="1">
        <v>44654.927083330607</v>
      </c>
      <c r="M849" s="13"/>
    </row>
    <row r="850" spans="2:13">
      <c r="B850" s="5"/>
      <c r="C850" s="6" t="e">
        <f>VLOOKUP($B850,#REF!,5,FALSE)</f>
        <v>#REF!</v>
      </c>
      <c r="D850" s="6" t="e">
        <f>VLOOKUP($B850,#REF!,6,FALSE)</f>
        <v>#REF!</v>
      </c>
      <c r="E850" s="7" t="e">
        <f>VLOOKUP($B850,#REF!,17,FALSE)</f>
        <v>#REF!</v>
      </c>
      <c r="F850" s="8" t="e">
        <f>VLOOKUP($B850,#REF!,7,FALSE)</f>
        <v>#REF!</v>
      </c>
      <c r="G850" s="8"/>
      <c r="H850" s="8"/>
      <c r="I850" s="9" t="e">
        <f>VLOOKUP($B850,#REF!,19,FALSE)</f>
        <v>#REF!</v>
      </c>
      <c r="J850" s="9" t="e">
        <f>VLOOKUP($B850,#REF!,6,FALSE)</f>
        <v>#REF!</v>
      </c>
      <c r="L850" s="1">
        <v>44654.930555552826</v>
      </c>
      <c r="M850" s="13"/>
    </row>
    <row r="851" spans="2:13">
      <c r="B851" s="5"/>
      <c r="C851" s="6" t="e">
        <f>VLOOKUP($B851,#REF!,5,FALSE)</f>
        <v>#REF!</v>
      </c>
      <c r="D851" s="6" t="e">
        <f>VLOOKUP($B851,#REF!,6,FALSE)</f>
        <v>#REF!</v>
      </c>
      <c r="E851" s="7" t="e">
        <f>VLOOKUP($B851,#REF!,17,FALSE)</f>
        <v>#REF!</v>
      </c>
      <c r="F851" s="8" t="e">
        <f>VLOOKUP($B851,#REF!,7,FALSE)</f>
        <v>#REF!</v>
      </c>
      <c r="G851" s="8"/>
      <c r="H851" s="8"/>
      <c r="I851" s="9" t="e">
        <f>VLOOKUP($B851,#REF!,19,FALSE)</f>
        <v>#REF!</v>
      </c>
      <c r="J851" s="9" t="e">
        <f>VLOOKUP($B851,#REF!,6,FALSE)</f>
        <v>#REF!</v>
      </c>
      <c r="L851" s="1">
        <v>44654.934027775045</v>
      </c>
      <c r="M851" s="13"/>
    </row>
    <row r="852" spans="2:13">
      <c r="B852" s="5"/>
      <c r="C852" s="6" t="e">
        <f>VLOOKUP($B852,#REF!,5,FALSE)</f>
        <v>#REF!</v>
      </c>
      <c r="D852" s="6" t="e">
        <f>VLOOKUP($B852,#REF!,6,FALSE)</f>
        <v>#REF!</v>
      </c>
      <c r="E852" s="7" t="e">
        <f>VLOOKUP($B852,#REF!,17,FALSE)</f>
        <v>#REF!</v>
      </c>
      <c r="F852" s="8" t="e">
        <f>VLOOKUP($B852,#REF!,7,FALSE)</f>
        <v>#REF!</v>
      </c>
      <c r="G852" s="8"/>
      <c r="H852" s="8"/>
      <c r="I852" s="9" t="e">
        <f>VLOOKUP($B852,#REF!,19,FALSE)</f>
        <v>#REF!</v>
      </c>
      <c r="J852" s="9" t="e">
        <f>VLOOKUP($B852,#REF!,6,FALSE)</f>
        <v>#REF!</v>
      </c>
      <c r="L852" s="1">
        <v>44654.937499997264</v>
      </c>
      <c r="M852" s="13"/>
    </row>
    <row r="853" spans="2:13">
      <c r="B853" s="5"/>
      <c r="C853" s="6" t="e">
        <f>VLOOKUP($B853,#REF!,5,FALSE)</f>
        <v>#REF!</v>
      </c>
      <c r="D853" s="6" t="e">
        <f>VLOOKUP($B853,#REF!,6,FALSE)</f>
        <v>#REF!</v>
      </c>
      <c r="E853" s="7" t="e">
        <f>VLOOKUP($B853,#REF!,17,FALSE)</f>
        <v>#REF!</v>
      </c>
      <c r="F853" s="8" t="e">
        <f>VLOOKUP($B853,#REF!,7,FALSE)</f>
        <v>#REF!</v>
      </c>
      <c r="G853" s="8"/>
      <c r="H853" s="8"/>
      <c r="I853" s="9" t="e">
        <f>VLOOKUP($B853,#REF!,19,FALSE)</f>
        <v>#REF!</v>
      </c>
      <c r="J853" s="9" t="e">
        <f>VLOOKUP($B853,#REF!,6,FALSE)</f>
        <v>#REF!</v>
      </c>
      <c r="L853" s="1">
        <v>44654.940972219483</v>
      </c>
      <c r="M853" s="13"/>
    </row>
    <row r="854" spans="2:13">
      <c r="B854" s="5"/>
      <c r="C854" s="6" t="e">
        <f>VLOOKUP($B854,#REF!,5,FALSE)</f>
        <v>#REF!</v>
      </c>
      <c r="D854" s="6" t="e">
        <f>VLOOKUP($B854,#REF!,6,FALSE)</f>
        <v>#REF!</v>
      </c>
      <c r="E854" s="7" t="e">
        <f>VLOOKUP($B854,#REF!,17,FALSE)</f>
        <v>#REF!</v>
      </c>
      <c r="F854" s="8" t="e">
        <f>VLOOKUP($B854,#REF!,7,FALSE)</f>
        <v>#REF!</v>
      </c>
      <c r="G854" s="8"/>
      <c r="H854" s="8"/>
      <c r="I854" s="9" t="e">
        <f>VLOOKUP($B854,#REF!,19,FALSE)</f>
        <v>#REF!</v>
      </c>
      <c r="J854" s="9" t="e">
        <f>VLOOKUP($B854,#REF!,6,FALSE)</f>
        <v>#REF!</v>
      </c>
      <c r="L854" s="1">
        <v>44654.944444441702</v>
      </c>
      <c r="M854" s="13"/>
    </row>
    <row r="855" spans="2:13">
      <c r="B855" s="5"/>
      <c r="C855" s="6" t="e">
        <f>VLOOKUP($B855,#REF!,5,FALSE)</f>
        <v>#REF!</v>
      </c>
      <c r="D855" s="6" t="e">
        <f>VLOOKUP($B855,#REF!,6,FALSE)</f>
        <v>#REF!</v>
      </c>
      <c r="E855" s="7" t="e">
        <f>VLOOKUP($B855,#REF!,17,FALSE)</f>
        <v>#REF!</v>
      </c>
      <c r="F855" s="8" t="e">
        <f>VLOOKUP($B855,#REF!,7,FALSE)</f>
        <v>#REF!</v>
      </c>
      <c r="G855" s="8"/>
      <c r="H855" s="8"/>
      <c r="I855" s="9" t="e">
        <f>VLOOKUP($B855,#REF!,19,FALSE)</f>
        <v>#REF!</v>
      </c>
      <c r="J855" s="9" t="e">
        <f>VLOOKUP($B855,#REF!,6,FALSE)</f>
        <v>#REF!</v>
      </c>
      <c r="L855" s="1">
        <v>44654.947916663921</v>
      </c>
      <c r="M855" s="13"/>
    </row>
    <row r="856" spans="2:13">
      <c r="B856" s="5"/>
      <c r="C856" s="6" t="e">
        <f>VLOOKUP($B856,#REF!,5,FALSE)</f>
        <v>#REF!</v>
      </c>
      <c r="D856" s="6" t="e">
        <f>VLOOKUP($B856,#REF!,6,FALSE)</f>
        <v>#REF!</v>
      </c>
      <c r="E856" s="7" t="e">
        <f>VLOOKUP($B856,#REF!,17,FALSE)</f>
        <v>#REF!</v>
      </c>
      <c r="F856" s="8" t="e">
        <f>VLOOKUP($B856,#REF!,7,FALSE)</f>
        <v>#REF!</v>
      </c>
      <c r="G856" s="8"/>
      <c r="H856" s="8"/>
      <c r="I856" s="9" t="e">
        <f>VLOOKUP($B856,#REF!,19,FALSE)</f>
        <v>#REF!</v>
      </c>
      <c r="J856" s="9" t="e">
        <f>VLOOKUP($B856,#REF!,6,FALSE)</f>
        <v>#REF!</v>
      </c>
      <c r="L856" s="1">
        <v>44654.95138888614</v>
      </c>
      <c r="M856" s="13"/>
    </row>
    <row r="857" spans="2:13">
      <c r="B857" s="5"/>
      <c r="C857" s="6" t="e">
        <f>VLOOKUP($B857,#REF!,5,FALSE)</f>
        <v>#REF!</v>
      </c>
      <c r="D857" s="6" t="e">
        <f>VLOOKUP($B857,#REF!,6,FALSE)</f>
        <v>#REF!</v>
      </c>
      <c r="E857" s="7" t="e">
        <f>VLOOKUP($B857,#REF!,17,FALSE)</f>
        <v>#REF!</v>
      </c>
      <c r="F857" s="8" t="e">
        <f>VLOOKUP($B857,#REF!,7,FALSE)</f>
        <v>#REF!</v>
      </c>
      <c r="G857" s="8"/>
      <c r="H857" s="8"/>
      <c r="I857" s="9" t="e">
        <f>VLOOKUP($B857,#REF!,19,FALSE)</f>
        <v>#REF!</v>
      </c>
      <c r="J857" s="9" t="e">
        <f>VLOOKUP($B857,#REF!,6,FALSE)</f>
        <v>#REF!</v>
      </c>
      <c r="L857" s="1">
        <v>44654.954861108359</v>
      </c>
      <c r="M857" s="13"/>
    </row>
    <row r="858" spans="2:13">
      <c r="B858" s="5"/>
      <c r="C858" s="6" t="e">
        <f>VLOOKUP($B858,#REF!,5,FALSE)</f>
        <v>#REF!</v>
      </c>
      <c r="D858" s="6" t="e">
        <f>VLOOKUP($B858,#REF!,6,FALSE)</f>
        <v>#REF!</v>
      </c>
      <c r="E858" s="7" t="e">
        <f>VLOOKUP($B858,#REF!,17,FALSE)</f>
        <v>#REF!</v>
      </c>
      <c r="F858" s="8" t="e">
        <f>VLOOKUP($B858,#REF!,7,FALSE)</f>
        <v>#REF!</v>
      </c>
      <c r="G858" s="8"/>
      <c r="H858" s="8"/>
      <c r="I858" s="9" t="e">
        <f>VLOOKUP($B858,#REF!,19,FALSE)</f>
        <v>#REF!</v>
      </c>
      <c r="J858" s="9" t="e">
        <f>VLOOKUP($B858,#REF!,6,FALSE)</f>
        <v>#REF!</v>
      </c>
      <c r="L858" s="1">
        <v>44654.958333330578</v>
      </c>
      <c r="M858" s="13"/>
    </row>
    <row r="859" spans="2:13">
      <c r="B859" s="5"/>
      <c r="C859" s="6" t="e">
        <f>VLOOKUP($B859,#REF!,5,FALSE)</f>
        <v>#REF!</v>
      </c>
      <c r="D859" s="6" t="e">
        <f>VLOOKUP($B859,#REF!,6,FALSE)</f>
        <v>#REF!</v>
      </c>
      <c r="E859" s="7" t="e">
        <f>VLOOKUP($B859,#REF!,17,FALSE)</f>
        <v>#REF!</v>
      </c>
      <c r="F859" s="8" t="e">
        <f>VLOOKUP($B859,#REF!,7,FALSE)</f>
        <v>#REF!</v>
      </c>
      <c r="G859" s="8"/>
      <c r="H859" s="8"/>
      <c r="I859" s="9" t="e">
        <f>VLOOKUP($B859,#REF!,19,FALSE)</f>
        <v>#REF!</v>
      </c>
      <c r="J859" s="9" t="e">
        <f>VLOOKUP($B859,#REF!,6,FALSE)</f>
        <v>#REF!</v>
      </c>
      <c r="L859" s="1">
        <v>44654.961805552797</v>
      </c>
      <c r="M859" s="13"/>
    </row>
    <row r="860" spans="2:13">
      <c r="B860" s="5"/>
      <c r="C860" s="6" t="e">
        <f>VLOOKUP($B860,#REF!,5,FALSE)</f>
        <v>#REF!</v>
      </c>
      <c r="D860" s="6" t="e">
        <f>VLOOKUP($B860,#REF!,6,FALSE)</f>
        <v>#REF!</v>
      </c>
      <c r="E860" s="7" t="e">
        <f>VLOOKUP($B860,#REF!,17,FALSE)</f>
        <v>#REF!</v>
      </c>
      <c r="F860" s="8" t="e">
        <f>VLOOKUP($B860,#REF!,7,FALSE)</f>
        <v>#REF!</v>
      </c>
      <c r="G860" s="8"/>
      <c r="H860" s="8"/>
      <c r="I860" s="9" t="e">
        <f>VLOOKUP($B860,#REF!,19,FALSE)</f>
        <v>#REF!</v>
      </c>
      <c r="J860" s="9" t="e">
        <f>VLOOKUP($B860,#REF!,6,FALSE)</f>
        <v>#REF!</v>
      </c>
      <c r="L860" s="1">
        <v>44654.965277775016</v>
      </c>
      <c r="M860" s="13"/>
    </row>
    <row r="861" spans="2:13">
      <c r="B861" s="5"/>
      <c r="C861" s="6" t="e">
        <f>VLOOKUP($B861,#REF!,5,FALSE)</f>
        <v>#REF!</v>
      </c>
      <c r="D861" s="6" t="e">
        <f>VLOOKUP($B861,#REF!,6,FALSE)</f>
        <v>#REF!</v>
      </c>
      <c r="E861" s="7" t="e">
        <f>VLOOKUP($B861,#REF!,17,FALSE)</f>
        <v>#REF!</v>
      </c>
      <c r="F861" s="8" t="e">
        <f>VLOOKUP($B861,#REF!,7,FALSE)</f>
        <v>#REF!</v>
      </c>
      <c r="G861" s="8"/>
      <c r="H861" s="8"/>
      <c r="I861" s="9" t="e">
        <f>VLOOKUP($B861,#REF!,19,FALSE)</f>
        <v>#REF!</v>
      </c>
      <c r="J861" s="9" t="e">
        <f>VLOOKUP($B861,#REF!,6,FALSE)</f>
        <v>#REF!</v>
      </c>
      <c r="L861" s="1">
        <v>44654.968749997235</v>
      </c>
      <c r="M861" s="13"/>
    </row>
    <row r="862" spans="2:13">
      <c r="B862" s="5"/>
      <c r="C862" s="6" t="e">
        <f>VLOOKUP($B862,#REF!,5,FALSE)</f>
        <v>#REF!</v>
      </c>
      <c r="D862" s="6" t="e">
        <f>VLOOKUP($B862,#REF!,6,FALSE)</f>
        <v>#REF!</v>
      </c>
      <c r="E862" s="7" t="e">
        <f>VLOOKUP($B862,#REF!,17,FALSE)</f>
        <v>#REF!</v>
      </c>
      <c r="F862" s="8" t="e">
        <f>VLOOKUP($B862,#REF!,7,FALSE)</f>
        <v>#REF!</v>
      </c>
      <c r="G862" s="8"/>
      <c r="H862" s="8"/>
      <c r="I862" s="9" t="e">
        <f>VLOOKUP($B862,#REF!,19,FALSE)</f>
        <v>#REF!</v>
      </c>
      <c r="J862" s="9" t="e">
        <f>VLOOKUP($B862,#REF!,6,FALSE)</f>
        <v>#REF!</v>
      </c>
      <c r="L862" s="1">
        <v>44654.972222219454</v>
      </c>
      <c r="M862" s="13"/>
    </row>
    <row r="863" spans="2:13">
      <c r="B863" s="5"/>
      <c r="C863" s="6" t="e">
        <f>VLOOKUP($B863,#REF!,5,FALSE)</f>
        <v>#REF!</v>
      </c>
      <c r="D863" s="6" t="e">
        <f>VLOOKUP($B863,#REF!,6,FALSE)</f>
        <v>#REF!</v>
      </c>
      <c r="E863" s="7" t="e">
        <f>VLOOKUP($B863,#REF!,17,FALSE)</f>
        <v>#REF!</v>
      </c>
      <c r="F863" s="8" t="e">
        <f>VLOOKUP($B863,#REF!,7,FALSE)</f>
        <v>#REF!</v>
      </c>
      <c r="G863" s="8"/>
      <c r="H863" s="8"/>
      <c r="I863" s="9" t="e">
        <f>VLOOKUP($B863,#REF!,19,FALSE)</f>
        <v>#REF!</v>
      </c>
      <c r="J863" s="9" t="e">
        <f>VLOOKUP($B863,#REF!,6,FALSE)</f>
        <v>#REF!</v>
      </c>
      <c r="L863" s="1">
        <v>44654.975694441673</v>
      </c>
      <c r="M863" s="13"/>
    </row>
    <row r="864" spans="2:13">
      <c r="B864" s="5"/>
      <c r="C864" s="6" t="e">
        <f>VLOOKUP($B864,#REF!,5,FALSE)</f>
        <v>#REF!</v>
      </c>
      <c r="D864" s="6" t="e">
        <f>VLOOKUP($B864,#REF!,6,FALSE)</f>
        <v>#REF!</v>
      </c>
      <c r="E864" s="7" t="e">
        <f>VLOOKUP($B864,#REF!,17,FALSE)</f>
        <v>#REF!</v>
      </c>
      <c r="F864" s="8" t="e">
        <f>VLOOKUP($B864,#REF!,7,FALSE)</f>
        <v>#REF!</v>
      </c>
      <c r="G864" s="8"/>
      <c r="H864" s="8"/>
      <c r="I864" s="9" t="e">
        <f>VLOOKUP($B864,#REF!,19,FALSE)</f>
        <v>#REF!</v>
      </c>
      <c r="J864" s="9" t="e">
        <f>VLOOKUP($B864,#REF!,6,FALSE)</f>
        <v>#REF!</v>
      </c>
      <c r="L864" s="1">
        <v>44654.979166663892</v>
      </c>
      <c r="M864" s="13"/>
    </row>
    <row r="865" spans="2:13">
      <c r="B865" s="5"/>
      <c r="C865" s="6" t="e">
        <f>VLOOKUP($B865,#REF!,5,FALSE)</f>
        <v>#REF!</v>
      </c>
      <c r="D865" s="6" t="e">
        <f>VLOOKUP($B865,#REF!,6,FALSE)</f>
        <v>#REF!</v>
      </c>
      <c r="E865" s="7" t="e">
        <f>VLOOKUP($B865,#REF!,17,FALSE)</f>
        <v>#REF!</v>
      </c>
      <c r="F865" s="8" t="e">
        <f>VLOOKUP($B865,#REF!,7,FALSE)</f>
        <v>#REF!</v>
      </c>
      <c r="G865" s="8"/>
      <c r="H865" s="8"/>
      <c r="I865" s="9" t="e">
        <f>VLOOKUP($B865,#REF!,19,FALSE)</f>
        <v>#REF!</v>
      </c>
      <c r="J865" s="9" t="e">
        <f>VLOOKUP($B865,#REF!,6,FALSE)</f>
        <v>#REF!</v>
      </c>
      <c r="L865" s="1">
        <v>44654.982638886111</v>
      </c>
      <c r="M865" s="13"/>
    </row>
    <row r="866" spans="2:13">
      <c r="B866" s="5"/>
      <c r="C866" s="6" t="e">
        <f>VLOOKUP($B866,#REF!,5,FALSE)</f>
        <v>#REF!</v>
      </c>
      <c r="D866" s="6" t="e">
        <f>VLOOKUP($B866,#REF!,6,FALSE)</f>
        <v>#REF!</v>
      </c>
      <c r="E866" s="7" t="e">
        <f>VLOOKUP($B866,#REF!,17,FALSE)</f>
        <v>#REF!</v>
      </c>
      <c r="F866" s="8" t="e">
        <f>VLOOKUP($B866,#REF!,7,FALSE)</f>
        <v>#REF!</v>
      </c>
      <c r="G866" s="8"/>
      <c r="H866" s="8"/>
      <c r="I866" s="9" t="e">
        <f>VLOOKUP($B866,#REF!,19,FALSE)</f>
        <v>#REF!</v>
      </c>
      <c r="J866" s="9" t="e">
        <f>VLOOKUP($B866,#REF!,6,FALSE)</f>
        <v>#REF!</v>
      </c>
      <c r="L866" s="1">
        <v>44654.98611110833</v>
      </c>
      <c r="M866" s="13"/>
    </row>
    <row r="867" spans="2:13">
      <c r="B867" s="5"/>
      <c r="C867" s="6" t="e">
        <f>VLOOKUP($B867,#REF!,5,FALSE)</f>
        <v>#REF!</v>
      </c>
      <c r="D867" s="6" t="e">
        <f>VLOOKUP($B867,#REF!,6,FALSE)</f>
        <v>#REF!</v>
      </c>
      <c r="E867" s="7" t="e">
        <f>VLOOKUP($B867,#REF!,17,FALSE)</f>
        <v>#REF!</v>
      </c>
      <c r="F867" s="8" t="e">
        <f>VLOOKUP($B867,#REF!,7,FALSE)</f>
        <v>#REF!</v>
      </c>
      <c r="G867" s="8"/>
      <c r="H867" s="8"/>
      <c r="I867" s="9" t="e">
        <f>VLOOKUP($B867,#REF!,19,FALSE)</f>
        <v>#REF!</v>
      </c>
      <c r="J867" s="9" t="e">
        <f>VLOOKUP($B867,#REF!,6,FALSE)</f>
        <v>#REF!</v>
      </c>
      <c r="L867" s="1">
        <v>44654.989583330549</v>
      </c>
      <c r="M867" s="13"/>
    </row>
    <row r="868" spans="2:13">
      <c r="B868" s="5"/>
      <c r="C868" s="6" t="e">
        <f>VLOOKUP($B868,#REF!,5,FALSE)</f>
        <v>#REF!</v>
      </c>
      <c r="D868" s="6" t="e">
        <f>VLOOKUP($B868,#REF!,6,FALSE)</f>
        <v>#REF!</v>
      </c>
      <c r="E868" s="7" t="e">
        <f>VLOOKUP($B868,#REF!,17,FALSE)</f>
        <v>#REF!</v>
      </c>
      <c r="F868" s="8" t="e">
        <f>VLOOKUP($B868,#REF!,7,FALSE)</f>
        <v>#REF!</v>
      </c>
      <c r="G868" s="8"/>
      <c r="H868" s="8"/>
      <c r="I868" s="9" t="e">
        <f>VLOOKUP($B868,#REF!,19,FALSE)</f>
        <v>#REF!</v>
      </c>
      <c r="J868" s="9" t="e">
        <f>VLOOKUP($B868,#REF!,6,FALSE)</f>
        <v>#REF!</v>
      </c>
      <c r="L868" s="1">
        <v>44654.993055552768</v>
      </c>
      <c r="M868" s="13"/>
    </row>
    <row r="869" spans="2:13">
      <c r="B869" s="5"/>
      <c r="C869" s="6" t="e">
        <f>VLOOKUP($B869,#REF!,5,FALSE)</f>
        <v>#REF!</v>
      </c>
      <c r="D869" s="6" t="e">
        <f>VLOOKUP($B869,#REF!,6,FALSE)</f>
        <v>#REF!</v>
      </c>
      <c r="E869" s="7" t="e">
        <f>VLOOKUP($B869,#REF!,17,FALSE)</f>
        <v>#REF!</v>
      </c>
      <c r="F869" s="8" t="e">
        <f>VLOOKUP($B869,#REF!,7,FALSE)</f>
        <v>#REF!</v>
      </c>
      <c r="G869" s="8"/>
      <c r="H869" s="8"/>
      <c r="I869" s="9" t="e">
        <f>VLOOKUP($B869,#REF!,19,FALSE)</f>
        <v>#REF!</v>
      </c>
      <c r="J869" s="9" t="e">
        <f>VLOOKUP($B869,#REF!,6,FALSE)</f>
        <v>#REF!</v>
      </c>
      <c r="L869" s="1">
        <v>44654.996527774987</v>
      </c>
      <c r="M869" s="13"/>
    </row>
    <row r="870" spans="2:13">
      <c r="B870" s="5"/>
      <c r="C870" s="6" t="e">
        <f>VLOOKUP($B870,#REF!,5,FALSE)</f>
        <v>#REF!</v>
      </c>
      <c r="D870" s="6" t="e">
        <f>VLOOKUP($B870,#REF!,6,FALSE)</f>
        <v>#REF!</v>
      </c>
      <c r="E870" s="7" t="e">
        <f>VLOOKUP($B870,#REF!,17,FALSE)</f>
        <v>#REF!</v>
      </c>
      <c r="F870" s="8" t="e">
        <f>VLOOKUP($B870,#REF!,7,FALSE)</f>
        <v>#REF!</v>
      </c>
      <c r="G870" s="8"/>
      <c r="H870" s="8"/>
      <c r="I870" s="9" t="e">
        <f>VLOOKUP($B870,#REF!,19,FALSE)</f>
        <v>#REF!</v>
      </c>
      <c r="J870" s="9" t="e">
        <f>VLOOKUP($B870,#REF!,6,FALSE)</f>
        <v>#REF!</v>
      </c>
      <c r="L870" s="1">
        <v>44654.999999997206</v>
      </c>
      <c r="M870" s="13"/>
    </row>
    <row r="871" spans="2:13">
      <c r="B871" s="5"/>
      <c r="C871" s="6" t="e">
        <f>VLOOKUP($B871,#REF!,5,FALSE)</f>
        <v>#REF!</v>
      </c>
      <c r="D871" s="6" t="e">
        <f>VLOOKUP($B871,#REF!,6,FALSE)</f>
        <v>#REF!</v>
      </c>
      <c r="E871" s="7" t="e">
        <f>VLOOKUP($B871,#REF!,17,FALSE)</f>
        <v>#REF!</v>
      </c>
      <c r="F871" s="8" t="e">
        <f>VLOOKUP($B871,#REF!,7,FALSE)</f>
        <v>#REF!</v>
      </c>
      <c r="G871" s="8"/>
      <c r="H871" s="8"/>
      <c r="I871" s="9" t="e">
        <f>VLOOKUP($B871,#REF!,19,FALSE)</f>
        <v>#REF!</v>
      </c>
      <c r="J871" s="9" t="e">
        <f>VLOOKUP($B871,#REF!,6,FALSE)</f>
        <v>#REF!</v>
      </c>
      <c r="L871" s="1">
        <v>44655.003472219425</v>
      </c>
      <c r="M871" s="13"/>
    </row>
    <row r="872" spans="2:13">
      <c r="B872" s="5"/>
      <c r="C872" s="6" t="e">
        <f>VLOOKUP($B872,#REF!,5,FALSE)</f>
        <v>#REF!</v>
      </c>
      <c r="D872" s="6" t="e">
        <f>VLOOKUP($B872,#REF!,6,FALSE)</f>
        <v>#REF!</v>
      </c>
      <c r="E872" s="7" t="e">
        <f>VLOOKUP($B872,#REF!,17,FALSE)</f>
        <v>#REF!</v>
      </c>
      <c r="F872" s="8" t="e">
        <f>VLOOKUP($B872,#REF!,7,FALSE)</f>
        <v>#REF!</v>
      </c>
      <c r="G872" s="8"/>
      <c r="H872" s="8"/>
      <c r="I872" s="9" t="e">
        <f>VLOOKUP($B872,#REF!,19,FALSE)</f>
        <v>#REF!</v>
      </c>
      <c r="J872" s="9" t="e">
        <f>VLOOKUP($B872,#REF!,6,FALSE)</f>
        <v>#REF!</v>
      </c>
      <c r="L872" s="1">
        <v>44655.006944441644</v>
      </c>
      <c r="M872" s="13"/>
    </row>
    <row r="873" spans="2:13">
      <c r="B873" s="5"/>
      <c r="C873" s="6" t="e">
        <f>VLOOKUP($B873,#REF!,5,FALSE)</f>
        <v>#REF!</v>
      </c>
      <c r="D873" s="6" t="e">
        <f>VLOOKUP($B873,#REF!,6,FALSE)</f>
        <v>#REF!</v>
      </c>
      <c r="E873" s="7" t="e">
        <f>VLOOKUP($B873,#REF!,17,FALSE)</f>
        <v>#REF!</v>
      </c>
      <c r="F873" s="8" t="e">
        <f>VLOOKUP($B873,#REF!,7,FALSE)</f>
        <v>#REF!</v>
      </c>
      <c r="G873" s="8"/>
      <c r="H873" s="8"/>
      <c r="I873" s="9" t="e">
        <f>VLOOKUP($B873,#REF!,19,FALSE)</f>
        <v>#REF!</v>
      </c>
      <c r="J873" s="9" t="e">
        <f>VLOOKUP($B873,#REF!,6,FALSE)</f>
        <v>#REF!</v>
      </c>
      <c r="L873" s="1">
        <v>44655.010416663863</v>
      </c>
      <c r="M873" s="13"/>
    </row>
    <row r="874" spans="2:13">
      <c r="B874" s="5"/>
      <c r="C874" s="6" t="e">
        <f>VLOOKUP($B874,#REF!,5,FALSE)</f>
        <v>#REF!</v>
      </c>
      <c r="D874" s="6" t="e">
        <f>VLOOKUP($B874,#REF!,6,FALSE)</f>
        <v>#REF!</v>
      </c>
      <c r="E874" s="7" t="e">
        <f>VLOOKUP($B874,#REF!,17,FALSE)</f>
        <v>#REF!</v>
      </c>
      <c r="F874" s="8" t="e">
        <f>VLOOKUP($B874,#REF!,7,FALSE)</f>
        <v>#REF!</v>
      </c>
      <c r="G874" s="8"/>
      <c r="H874" s="8"/>
      <c r="I874" s="9" t="e">
        <f>VLOOKUP($B874,#REF!,19,FALSE)</f>
        <v>#REF!</v>
      </c>
      <c r="J874" s="9" t="e">
        <f>VLOOKUP($B874,#REF!,6,FALSE)</f>
        <v>#REF!</v>
      </c>
      <c r="L874" s="1">
        <v>44655.013888886082</v>
      </c>
      <c r="M874" s="13"/>
    </row>
    <row r="875" spans="2:13">
      <c r="B875" s="5"/>
      <c r="C875" s="6" t="e">
        <f>VLOOKUP($B875,#REF!,5,FALSE)</f>
        <v>#REF!</v>
      </c>
      <c r="D875" s="6" t="e">
        <f>VLOOKUP($B875,#REF!,6,FALSE)</f>
        <v>#REF!</v>
      </c>
      <c r="E875" s="7" t="e">
        <f>VLOOKUP($B875,#REF!,17,FALSE)</f>
        <v>#REF!</v>
      </c>
      <c r="F875" s="8" t="e">
        <f>VLOOKUP($B875,#REF!,7,FALSE)</f>
        <v>#REF!</v>
      </c>
      <c r="G875" s="8"/>
      <c r="H875" s="8"/>
      <c r="I875" s="9" t="e">
        <f>VLOOKUP($B875,#REF!,19,FALSE)</f>
        <v>#REF!</v>
      </c>
      <c r="J875" s="9" t="e">
        <f>VLOOKUP($B875,#REF!,6,FALSE)</f>
        <v>#REF!</v>
      </c>
      <c r="L875" s="1">
        <v>44655.017361108301</v>
      </c>
      <c r="M875" s="13"/>
    </row>
    <row r="876" spans="2:13">
      <c r="B876" s="5"/>
      <c r="C876" s="6" t="e">
        <f>VLOOKUP($B876,#REF!,5,FALSE)</f>
        <v>#REF!</v>
      </c>
      <c r="D876" s="6" t="e">
        <f>VLOOKUP($B876,#REF!,6,FALSE)</f>
        <v>#REF!</v>
      </c>
      <c r="E876" s="7" t="e">
        <f>VLOOKUP($B876,#REF!,17,FALSE)</f>
        <v>#REF!</v>
      </c>
      <c r="F876" s="8" t="e">
        <f>VLOOKUP($B876,#REF!,7,FALSE)</f>
        <v>#REF!</v>
      </c>
      <c r="G876" s="8"/>
      <c r="H876" s="8"/>
      <c r="I876" s="9" t="e">
        <f>VLOOKUP($B876,#REF!,19,FALSE)</f>
        <v>#REF!</v>
      </c>
      <c r="J876" s="9" t="e">
        <f>VLOOKUP($B876,#REF!,6,FALSE)</f>
        <v>#REF!</v>
      </c>
      <c r="L876" s="1">
        <v>44655.02083333052</v>
      </c>
      <c r="M876" s="13"/>
    </row>
    <row r="877" spans="2:13">
      <c r="B877" s="5"/>
      <c r="C877" s="6" t="e">
        <f>VLOOKUP($B877,#REF!,5,FALSE)</f>
        <v>#REF!</v>
      </c>
      <c r="D877" s="6" t="e">
        <f>VLOOKUP($B877,#REF!,6,FALSE)</f>
        <v>#REF!</v>
      </c>
      <c r="E877" s="7" t="e">
        <f>VLOOKUP($B877,#REF!,17,FALSE)</f>
        <v>#REF!</v>
      </c>
      <c r="F877" s="8" t="e">
        <f>VLOOKUP($B877,#REF!,7,FALSE)</f>
        <v>#REF!</v>
      </c>
      <c r="G877" s="8"/>
      <c r="H877" s="8"/>
      <c r="I877" s="9" t="e">
        <f>VLOOKUP($B877,#REF!,19,FALSE)</f>
        <v>#REF!</v>
      </c>
      <c r="J877" s="9" t="e">
        <f>VLOOKUP($B877,#REF!,6,FALSE)</f>
        <v>#REF!</v>
      </c>
      <c r="L877" s="1">
        <v>44655.024305552739</v>
      </c>
      <c r="M877" s="13"/>
    </row>
    <row r="878" spans="2:13">
      <c r="B878" s="5"/>
      <c r="C878" s="6" t="e">
        <f>VLOOKUP($B878,#REF!,5,FALSE)</f>
        <v>#REF!</v>
      </c>
      <c r="D878" s="6" t="e">
        <f>VLOOKUP($B878,#REF!,6,FALSE)</f>
        <v>#REF!</v>
      </c>
      <c r="E878" s="7" t="e">
        <f>VLOOKUP($B878,#REF!,17,FALSE)</f>
        <v>#REF!</v>
      </c>
      <c r="F878" s="8" t="e">
        <f>VLOOKUP($B878,#REF!,7,FALSE)</f>
        <v>#REF!</v>
      </c>
      <c r="G878" s="8"/>
      <c r="H878" s="8"/>
      <c r="I878" s="9" t="e">
        <f>VLOOKUP($B878,#REF!,19,FALSE)</f>
        <v>#REF!</v>
      </c>
      <c r="J878" s="9" t="e">
        <f>VLOOKUP($B878,#REF!,6,FALSE)</f>
        <v>#REF!</v>
      </c>
      <c r="L878" s="1">
        <v>44655.027777774958</v>
      </c>
      <c r="M878" s="13"/>
    </row>
    <row r="879" spans="2:13">
      <c r="B879" s="5"/>
      <c r="C879" s="6" t="e">
        <f>VLOOKUP($B879,#REF!,5,FALSE)</f>
        <v>#REF!</v>
      </c>
      <c r="D879" s="6" t="e">
        <f>VLOOKUP($B879,#REF!,6,FALSE)</f>
        <v>#REF!</v>
      </c>
      <c r="E879" s="7" t="e">
        <f>VLOOKUP($B879,#REF!,17,FALSE)</f>
        <v>#REF!</v>
      </c>
      <c r="F879" s="8" t="e">
        <f>VLOOKUP($B879,#REF!,7,FALSE)</f>
        <v>#REF!</v>
      </c>
      <c r="G879" s="8"/>
      <c r="H879" s="8"/>
      <c r="I879" s="9" t="e">
        <f>VLOOKUP($B879,#REF!,19,FALSE)</f>
        <v>#REF!</v>
      </c>
      <c r="J879" s="9" t="e">
        <f>VLOOKUP($B879,#REF!,6,FALSE)</f>
        <v>#REF!</v>
      </c>
      <c r="L879" s="1">
        <v>44655.031249997177</v>
      </c>
      <c r="M879" s="13"/>
    </row>
    <row r="880" spans="2:13">
      <c r="B880" s="5"/>
      <c r="C880" s="6" t="e">
        <f>VLOOKUP($B880,#REF!,5,FALSE)</f>
        <v>#REF!</v>
      </c>
      <c r="D880" s="6" t="e">
        <f>VLOOKUP($B880,#REF!,6,FALSE)</f>
        <v>#REF!</v>
      </c>
      <c r="E880" s="7" t="e">
        <f>VLOOKUP($B880,#REF!,17,FALSE)</f>
        <v>#REF!</v>
      </c>
      <c r="F880" s="8" t="e">
        <f>VLOOKUP($B880,#REF!,7,FALSE)</f>
        <v>#REF!</v>
      </c>
      <c r="G880" s="8"/>
      <c r="H880" s="8"/>
      <c r="I880" s="9" t="e">
        <f>VLOOKUP($B880,#REF!,19,FALSE)</f>
        <v>#REF!</v>
      </c>
      <c r="J880" s="9" t="e">
        <f>VLOOKUP($B880,#REF!,6,FALSE)</f>
        <v>#REF!</v>
      </c>
      <c r="L880" s="1">
        <v>44655.034722219396</v>
      </c>
      <c r="M880" s="13"/>
    </row>
    <row r="881" spans="2:13">
      <c r="B881" s="5"/>
      <c r="C881" s="6" t="e">
        <f>VLOOKUP($B881,#REF!,5,FALSE)</f>
        <v>#REF!</v>
      </c>
      <c r="D881" s="6" t="e">
        <f>VLOOKUP($B881,#REF!,6,FALSE)</f>
        <v>#REF!</v>
      </c>
      <c r="E881" s="7" t="e">
        <f>VLOOKUP($B881,#REF!,17,FALSE)</f>
        <v>#REF!</v>
      </c>
      <c r="F881" s="8" t="e">
        <f>VLOOKUP($B881,#REF!,7,FALSE)</f>
        <v>#REF!</v>
      </c>
      <c r="G881" s="8"/>
      <c r="H881" s="8"/>
      <c r="I881" s="9" t="e">
        <f>VLOOKUP($B881,#REF!,19,FALSE)</f>
        <v>#REF!</v>
      </c>
      <c r="J881" s="9" t="e">
        <f>VLOOKUP($B881,#REF!,6,FALSE)</f>
        <v>#REF!</v>
      </c>
      <c r="L881" s="1">
        <v>44655.038194441615</v>
      </c>
      <c r="M881" s="13"/>
    </row>
    <row r="882" spans="2:13">
      <c r="B882" s="5"/>
      <c r="C882" s="6" t="e">
        <f>VLOOKUP($B882,#REF!,5,FALSE)</f>
        <v>#REF!</v>
      </c>
      <c r="D882" s="6" t="e">
        <f>VLOOKUP($B882,#REF!,6,FALSE)</f>
        <v>#REF!</v>
      </c>
      <c r="E882" s="7" t="e">
        <f>VLOOKUP($B882,#REF!,17,FALSE)</f>
        <v>#REF!</v>
      </c>
      <c r="F882" s="8" t="e">
        <f>VLOOKUP($B882,#REF!,7,FALSE)</f>
        <v>#REF!</v>
      </c>
      <c r="G882" s="8"/>
      <c r="H882" s="8"/>
      <c r="I882" s="9" t="e">
        <f>VLOOKUP($B882,#REF!,19,FALSE)</f>
        <v>#REF!</v>
      </c>
      <c r="J882" s="9" t="e">
        <f>VLOOKUP($B882,#REF!,6,FALSE)</f>
        <v>#REF!</v>
      </c>
      <c r="L882" s="1">
        <v>44655.041666663834</v>
      </c>
      <c r="M882" s="13"/>
    </row>
    <row r="883" spans="2:13">
      <c r="B883" s="5"/>
      <c r="C883" s="6" t="e">
        <f>VLOOKUP($B883,#REF!,5,FALSE)</f>
        <v>#REF!</v>
      </c>
      <c r="D883" s="6" t="e">
        <f>VLOOKUP($B883,#REF!,6,FALSE)</f>
        <v>#REF!</v>
      </c>
      <c r="E883" s="7" t="e">
        <f>VLOOKUP($B883,#REF!,17,FALSE)</f>
        <v>#REF!</v>
      </c>
      <c r="F883" s="8" t="e">
        <f>VLOOKUP($B883,#REF!,7,FALSE)</f>
        <v>#REF!</v>
      </c>
      <c r="G883" s="8"/>
      <c r="H883" s="8"/>
      <c r="I883" s="9" t="e">
        <f>VLOOKUP($B883,#REF!,19,FALSE)</f>
        <v>#REF!</v>
      </c>
      <c r="J883" s="9" t="e">
        <f>VLOOKUP($B883,#REF!,6,FALSE)</f>
        <v>#REF!</v>
      </c>
      <c r="L883" s="1">
        <v>44655.045138886053</v>
      </c>
      <c r="M883" s="13"/>
    </row>
    <row r="884" spans="2:13">
      <c r="B884" s="5"/>
      <c r="C884" s="6" t="e">
        <f>VLOOKUP($B884,#REF!,5,FALSE)</f>
        <v>#REF!</v>
      </c>
      <c r="D884" s="6" t="e">
        <f>VLOOKUP($B884,#REF!,6,FALSE)</f>
        <v>#REF!</v>
      </c>
      <c r="E884" s="7" t="e">
        <f>VLOOKUP($B884,#REF!,17,FALSE)</f>
        <v>#REF!</v>
      </c>
      <c r="F884" s="8" t="e">
        <f>VLOOKUP($B884,#REF!,7,FALSE)</f>
        <v>#REF!</v>
      </c>
      <c r="G884" s="8"/>
      <c r="H884" s="8"/>
      <c r="I884" s="9" t="e">
        <f>VLOOKUP($B884,#REF!,19,FALSE)</f>
        <v>#REF!</v>
      </c>
      <c r="J884" s="9" t="e">
        <f>VLOOKUP($B884,#REF!,6,FALSE)</f>
        <v>#REF!</v>
      </c>
      <c r="L884" s="1">
        <v>44655.048611108272</v>
      </c>
      <c r="M884" s="13"/>
    </row>
    <row r="885" spans="2:13">
      <c r="B885" s="5"/>
      <c r="C885" s="6" t="e">
        <f>VLOOKUP($B885,#REF!,5,FALSE)</f>
        <v>#REF!</v>
      </c>
      <c r="D885" s="6" t="e">
        <f>VLOOKUP($B885,#REF!,6,FALSE)</f>
        <v>#REF!</v>
      </c>
      <c r="E885" s="7" t="e">
        <f>VLOOKUP($B885,#REF!,17,FALSE)</f>
        <v>#REF!</v>
      </c>
      <c r="F885" s="8" t="e">
        <f>VLOOKUP($B885,#REF!,7,FALSE)</f>
        <v>#REF!</v>
      </c>
      <c r="G885" s="8"/>
      <c r="H885" s="8"/>
      <c r="I885" s="9" t="e">
        <f>VLOOKUP($B885,#REF!,19,FALSE)</f>
        <v>#REF!</v>
      </c>
      <c r="J885" s="9" t="e">
        <f>VLOOKUP($B885,#REF!,6,FALSE)</f>
        <v>#REF!</v>
      </c>
      <c r="L885" s="1">
        <v>44655.052083330491</v>
      </c>
      <c r="M885" s="13"/>
    </row>
    <row r="886" spans="2:13">
      <c r="B886" s="5"/>
      <c r="C886" s="6" t="e">
        <f>VLOOKUP($B886,#REF!,5,FALSE)</f>
        <v>#REF!</v>
      </c>
      <c r="D886" s="6" t="e">
        <f>VLOOKUP($B886,#REF!,6,FALSE)</f>
        <v>#REF!</v>
      </c>
      <c r="E886" s="7" t="e">
        <f>VLOOKUP($B886,#REF!,17,FALSE)</f>
        <v>#REF!</v>
      </c>
      <c r="F886" s="8" t="e">
        <f>VLOOKUP($B886,#REF!,7,FALSE)</f>
        <v>#REF!</v>
      </c>
      <c r="G886" s="8"/>
      <c r="H886" s="8"/>
      <c r="I886" s="9" t="e">
        <f>VLOOKUP($B886,#REF!,19,FALSE)</f>
        <v>#REF!</v>
      </c>
      <c r="J886" s="9" t="e">
        <f>VLOOKUP($B886,#REF!,6,FALSE)</f>
        <v>#REF!</v>
      </c>
      <c r="L886" s="1">
        <v>44655.05555555271</v>
      </c>
      <c r="M886" s="13"/>
    </row>
    <row r="887" spans="2:13">
      <c r="B887" s="5"/>
      <c r="C887" s="6" t="e">
        <f>VLOOKUP($B887,#REF!,5,FALSE)</f>
        <v>#REF!</v>
      </c>
      <c r="D887" s="6" t="e">
        <f>VLOOKUP($B887,#REF!,6,FALSE)</f>
        <v>#REF!</v>
      </c>
      <c r="E887" s="7" t="e">
        <f>VLOOKUP($B887,#REF!,17,FALSE)</f>
        <v>#REF!</v>
      </c>
      <c r="F887" s="8" t="e">
        <f>VLOOKUP($B887,#REF!,7,FALSE)</f>
        <v>#REF!</v>
      </c>
      <c r="G887" s="8"/>
      <c r="H887" s="8"/>
      <c r="I887" s="9" t="e">
        <f>VLOOKUP($B887,#REF!,19,FALSE)</f>
        <v>#REF!</v>
      </c>
      <c r="J887" s="9" t="e">
        <f>VLOOKUP($B887,#REF!,6,FALSE)</f>
        <v>#REF!</v>
      </c>
      <c r="L887" s="1">
        <v>44655.059027774929</v>
      </c>
      <c r="M887" s="13"/>
    </row>
    <row r="888" spans="2:13">
      <c r="B888" s="5"/>
      <c r="C888" s="6" t="e">
        <f>VLOOKUP($B888,#REF!,5,FALSE)</f>
        <v>#REF!</v>
      </c>
      <c r="D888" s="6" t="e">
        <f>VLOOKUP($B888,#REF!,6,FALSE)</f>
        <v>#REF!</v>
      </c>
      <c r="E888" s="7" t="e">
        <f>VLOOKUP($B888,#REF!,17,FALSE)</f>
        <v>#REF!</v>
      </c>
      <c r="F888" s="8" t="e">
        <f>VLOOKUP($B888,#REF!,7,FALSE)</f>
        <v>#REF!</v>
      </c>
      <c r="G888" s="8"/>
      <c r="H888" s="8"/>
      <c r="I888" s="9" t="e">
        <f>VLOOKUP($B888,#REF!,19,FALSE)</f>
        <v>#REF!</v>
      </c>
      <c r="J888" s="9" t="e">
        <f>VLOOKUP($B888,#REF!,6,FALSE)</f>
        <v>#REF!</v>
      </c>
      <c r="L888" s="1">
        <v>44655.062499997148</v>
      </c>
      <c r="M888" s="13"/>
    </row>
    <row r="889" spans="2:13">
      <c r="B889" s="5"/>
      <c r="C889" s="6" t="e">
        <f>VLOOKUP($B889,#REF!,5,FALSE)</f>
        <v>#REF!</v>
      </c>
      <c r="D889" s="6" t="e">
        <f>VLOOKUP($B889,#REF!,6,FALSE)</f>
        <v>#REF!</v>
      </c>
      <c r="E889" s="7" t="e">
        <f>VLOOKUP($B889,#REF!,17,FALSE)</f>
        <v>#REF!</v>
      </c>
      <c r="F889" s="8" t="e">
        <f>VLOOKUP($B889,#REF!,7,FALSE)</f>
        <v>#REF!</v>
      </c>
      <c r="G889" s="8"/>
      <c r="H889" s="8"/>
      <c r="I889" s="9" t="e">
        <f>VLOOKUP($B889,#REF!,19,FALSE)</f>
        <v>#REF!</v>
      </c>
      <c r="J889" s="9" t="e">
        <f>VLOOKUP($B889,#REF!,6,FALSE)</f>
        <v>#REF!</v>
      </c>
      <c r="L889" s="1">
        <v>44655.065972219367</v>
      </c>
      <c r="M889" s="13"/>
    </row>
    <row r="890" spans="2:13">
      <c r="B890" s="5"/>
      <c r="C890" s="6" t="e">
        <f>VLOOKUP($B890,#REF!,5,FALSE)</f>
        <v>#REF!</v>
      </c>
      <c r="D890" s="6" t="e">
        <f>VLOOKUP($B890,#REF!,6,FALSE)</f>
        <v>#REF!</v>
      </c>
      <c r="E890" s="7" t="e">
        <f>VLOOKUP($B890,#REF!,17,FALSE)</f>
        <v>#REF!</v>
      </c>
      <c r="F890" s="8" t="e">
        <f>VLOOKUP($B890,#REF!,7,FALSE)</f>
        <v>#REF!</v>
      </c>
      <c r="G890" s="8"/>
      <c r="H890" s="8"/>
      <c r="I890" s="9" t="e">
        <f>VLOOKUP($B890,#REF!,19,FALSE)</f>
        <v>#REF!</v>
      </c>
      <c r="J890" s="9" t="e">
        <f>VLOOKUP($B890,#REF!,6,FALSE)</f>
        <v>#REF!</v>
      </c>
      <c r="L890" s="1">
        <v>44655.069444441586</v>
      </c>
      <c r="M890" s="13"/>
    </row>
    <row r="891" spans="2:13">
      <c r="B891" s="5"/>
      <c r="C891" s="6" t="e">
        <f>VLOOKUP($B891,#REF!,5,FALSE)</f>
        <v>#REF!</v>
      </c>
      <c r="D891" s="6" t="e">
        <f>VLOOKUP($B891,#REF!,6,FALSE)</f>
        <v>#REF!</v>
      </c>
      <c r="E891" s="7" t="e">
        <f>VLOOKUP($B891,#REF!,17,FALSE)</f>
        <v>#REF!</v>
      </c>
      <c r="F891" s="8" t="e">
        <f>VLOOKUP($B891,#REF!,7,FALSE)</f>
        <v>#REF!</v>
      </c>
      <c r="G891" s="8"/>
      <c r="H891" s="8"/>
      <c r="I891" s="9" t="e">
        <f>VLOOKUP($B891,#REF!,19,FALSE)</f>
        <v>#REF!</v>
      </c>
      <c r="J891" s="9" t="e">
        <f>VLOOKUP($B891,#REF!,6,FALSE)</f>
        <v>#REF!</v>
      </c>
      <c r="L891" s="1">
        <v>44655.072916663805</v>
      </c>
      <c r="M891" s="13"/>
    </row>
    <row r="892" spans="2:13">
      <c r="B892" s="5"/>
      <c r="C892" s="6" t="e">
        <f>VLOOKUP($B892,#REF!,5,FALSE)</f>
        <v>#REF!</v>
      </c>
      <c r="D892" s="6" t="e">
        <f>VLOOKUP($B892,#REF!,6,FALSE)</f>
        <v>#REF!</v>
      </c>
      <c r="E892" s="7" t="e">
        <f>VLOOKUP($B892,#REF!,17,FALSE)</f>
        <v>#REF!</v>
      </c>
      <c r="F892" s="8" t="e">
        <f>VLOOKUP($B892,#REF!,7,FALSE)</f>
        <v>#REF!</v>
      </c>
      <c r="G892" s="8"/>
      <c r="H892" s="8"/>
      <c r="I892" s="9" t="e">
        <f>VLOOKUP($B892,#REF!,19,FALSE)</f>
        <v>#REF!</v>
      </c>
      <c r="J892" s="9" t="e">
        <f>VLOOKUP($B892,#REF!,6,FALSE)</f>
        <v>#REF!</v>
      </c>
      <c r="L892" s="1">
        <v>44655.076388886024</v>
      </c>
      <c r="M892" s="13"/>
    </row>
    <row r="893" spans="2:13">
      <c r="B893" s="5"/>
      <c r="C893" s="6" t="e">
        <f>VLOOKUP($B893,#REF!,5,FALSE)</f>
        <v>#REF!</v>
      </c>
      <c r="D893" s="6" t="e">
        <f>VLOOKUP($B893,#REF!,6,FALSE)</f>
        <v>#REF!</v>
      </c>
      <c r="E893" s="7" t="e">
        <f>VLOOKUP($B893,#REF!,17,FALSE)</f>
        <v>#REF!</v>
      </c>
      <c r="F893" s="8" t="e">
        <f>VLOOKUP($B893,#REF!,7,FALSE)</f>
        <v>#REF!</v>
      </c>
      <c r="G893" s="8"/>
      <c r="H893" s="8"/>
      <c r="I893" s="9" t="e">
        <f>VLOOKUP($B893,#REF!,19,FALSE)</f>
        <v>#REF!</v>
      </c>
      <c r="J893" s="9" t="e">
        <f>VLOOKUP($B893,#REF!,6,FALSE)</f>
        <v>#REF!</v>
      </c>
      <c r="L893" s="1">
        <v>44655.079861108243</v>
      </c>
      <c r="M893" s="13"/>
    </row>
    <row r="894" spans="2:13">
      <c r="B894" s="5"/>
      <c r="C894" s="6" t="e">
        <f>VLOOKUP($B894,#REF!,5,FALSE)</f>
        <v>#REF!</v>
      </c>
      <c r="D894" s="6" t="e">
        <f>VLOOKUP($B894,#REF!,6,FALSE)</f>
        <v>#REF!</v>
      </c>
      <c r="E894" s="7" t="e">
        <f>VLOOKUP($B894,#REF!,17,FALSE)</f>
        <v>#REF!</v>
      </c>
      <c r="F894" s="8" t="e">
        <f>VLOOKUP($B894,#REF!,7,FALSE)</f>
        <v>#REF!</v>
      </c>
      <c r="G894" s="8"/>
      <c r="H894" s="8"/>
      <c r="I894" s="9" t="e">
        <f>VLOOKUP($B894,#REF!,19,FALSE)</f>
        <v>#REF!</v>
      </c>
      <c r="J894" s="9" t="e">
        <f>VLOOKUP($B894,#REF!,6,FALSE)</f>
        <v>#REF!</v>
      </c>
      <c r="L894" s="1">
        <v>44655.083333330462</v>
      </c>
      <c r="M894" s="13"/>
    </row>
    <row r="895" spans="2:13">
      <c r="B895" s="5"/>
      <c r="C895" s="6" t="e">
        <f>VLOOKUP($B895,#REF!,5,FALSE)</f>
        <v>#REF!</v>
      </c>
      <c r="D895" s="6" t="e">
        <f>VLOOKUP($B895,#REF!,6,FALSE)</f>
        <v>#REF!</v>
      </c>
      <c r="E895" s="7" t="e">
        <f>VLOOKUP($B895,#REF!,17,FALSE)</f>
        <v>#REF!</v>
      </c>
      <c r="F895" s="8" t="e">
        <f>VLOOKUP($B895,#REF!,7,FALSE)</f>
        <v>#REF!</v>
      </c>
      <c r="G895" s="8"/>
      <c r="H895" s="8"/>
      <c r="I895" s="9" t="e">
        <f>VLOOKUP($B895,#REF!,19,FALSE)</f>
        <v>#REF!</v>
      </c>
      <c r="J895" s="9" t="e">
        <f>VLOOKUP($B895,#REF!,6,FALSE)</f>
        <v>#REF!</v>
      </c>
      <c r="L895" s="1">
        <v>44655.086805552681</v>
      </c>
      <c r="M895" s="13"/>
    </row>
    <row r="896" spans="2:13">
      <c r="B896" s="5"/>
      <c r="C896" s="6" t="e">
        <f>VLOOKUP($B896,#REF!,5,FALSE)</f>
        <v>#REF!</v>
      </c>
      <c r="D896" s="6" t="e">
        <f>VLOOKUP($B896,#REF!,6,FALSE)</f>
        <v>#REF!</v>
      </c>
      <c r="E896" s="7" t="e">
        <f>VLOOKUP($B896,#REF!,17,FALSE)</f>
        <v>#REF!</v>
      </c>
      <c r="F896" s="8" t="e">
        <f>VLOOKUP($B896,#REF!,7,FALSE)</f>
        <v>#REF!</v>
      </c>
      <c r="G896" s="8"/>
      <c r="H896" s="8"/>
      <c r="I896" s="9" t="e">
        <f>VLOOKUP($B896,#REF!,19,FALSE)</f>
        <v>#REF!</v>
      </c>
      <c r="J896" s="9" t="e">
        <f>VLOOKUP($B896,#REF!,6,FALSE)</f>
        <v>#REF!</v>
      </c>
      <c r="L896" s="1">
        <v>44655.0902777749</v>
      </c>
      <c r="M896" s="13"/>
    </row>
    <row r="897" spans="2:13">
      <c r="B897" s="5"/>
      <c r="C897" s="6" t="e">
        <f>VLOOKUP($B897,#REF!,5,FALSE)</f>
        <v>#REF!</v>
      </c>
      <c r="D897" s="6" t="e">
        <f>VLOOKUP($B897,#REF!,6,FALSE)</f>
        <v>#REF!</v>
      </c>
      <c r="E897" s="7" t="e">
        <f>VLOOKUP($B897,#REF!,17,FALSE)</f>
        <v>#REF!</v>
      </c>
      <c r="F897" s="8" t="e">
        <f>VLOOKUP($B897,#REF!,7,FALSE)</f>
        <v>#REF!</v>
      </c>
      <c r="G897" s="8"/>
      <c r="H897" s="8"/>
      <c r="I897" s="9" t="e">
        <f>VLOOKUP($B897,#REF!,19,FALSE)</f>
        <v>#REF!</v>
      </c>
      <c r="J897" s="9" t="e">
        <f>VLOOKUP($B897,#REF!,6,FALSE)</f>
        <v>#REF!</v>
      </c>
      <c r="L897" s="1">
        <v>44655.093749997119</v>
      </c>
      <c r="M897" s="13"/>
    </row>
    <row r="898" spans="2:13">
      <c r="B898" s="5"/>
      <c r="C898" s="6" t="e">
        <f>VLOOKUP($B898,#REF!,5,FALSE)</f>
        <v>#REF!</v>
      </c>
      <c r="D898" s="6" t="e">
        <f>VLOOKUP($B898,#REF!,6,FALSE)</f>
        <v>#REF!</v>
      </c>
      <c r="E898" s="7" t="e">
        <f>VLOOKUP($B898,#REF!,17,FALSE)</f>
        <v>#REF!</v>
      </c>
      <c r="F898" s="8" t="e">
        <f>VLOOKUP($B898,#REF!,7,FALSE)</f>
        <v>#REF!</v>
      </c>
      <c r="G898" s="8"/>
      <c r="H898" s="8"/>
      <c r="I898" s="9" t="e">
        <f>VLOOKUP($B898,#REF!,19,FALSE)</f>
        <v>#REF!</v>
      </c>
      <c r="J898" s="9" t="e">
        <f>VLOOKUP($B898,#REF!,6,FALSE)</f>
        <v>#REF!</v>
      </c>
      <c r="L898" s="1">
        <v>44655.097222219338</v>
      </c>
      <c r="M898" s="13"/>
    </row>
    <row r="899" spans="2:13">
      <c r="B899" s="5"/>
      <c r="C899" s="6" t="e">
        <f>VLOOKUP($B899,#REF!,5,FALSE)</f>
        <v>#REF!</v>
      </c>
      <c r="D899" s="6" t="e">
        <f>VLOOKUP($B899,#REF!,6,FALSE)</f>
        <v>#REF!</v>
      </c>
      <c r="E899" s="7" t="e">
        <f>VLOOKUP($B899,#REF!,17,FALSE)</f>
        <v>#REF!</v>
      </c>
      <c r="F899" s="8" t="e">
        <f>VLOOKUP($B899,#REF!,7,FALSE)</f>
        <v>#REF!</v>
      </c>
      <c r="G899" s="8"/>
      <c r="H899" s="8"/>
      <c r="I899" s="9" t="e">
        <f>VLOOKUP($B899,#REF!,19,FALSE)</f>
        <v>#REF!</v>
      </c>
      <c r="J899" s="9" t="e">
        <f>VLOOKUP($B899,#REF!,6,FALSE)</f>
        <v>#REF!</v>
      </c>
      <c r="L899" s="1">
        <v>44655.100694441557</v>
      </c>
      <c r="M899" s="13"/>
    </row>
    <row r="900" spans="2:13">
      <c r="B900" s="5"/>
      <c r="C900" s="6" t="e">
        <f>VLOOKUP($B900,#REF!,5,FALSE)</f>
        <v>#REF!</v>
      </c>
      <c r="D900" s="6" t="e">
        <f>VLOOKUP($B900,#REF!,6,FALSE)</f>
        <v>#REF!</v>
      </c>
      <c r="E900" s="7" t="e">
        <f>VLOOKUP($B900,#REF!,17,FALSE)</f>
        <v>#REF!</v>
      </c>
      <c r="F900" s="8" t="e">
        <f>VLOOKUP($B900,#REF!,7,FALSE)</f>
        <v>#REF!</v>
      </c>
      <c r="G900" s="8"/>
      <c r="H900" s="8"/>
      <c r="I900" s="9" t="e">
        <f>VLOOKUP($B900,#REF!,19,FALSE)</f>
        <v>#REF!</v>
      </c>
      <c r="J900" s="9" t="e">
        <f>VLOOKUP($B900,#REF!,6,FALSE)</f>
        <v>#REF!</v>
      </c>
      <c r="L900" s="1">
        <v>44655.104166663776</v>
      </c>
      <c r="M900" s="13"/>
    </row>
    <row r="901" spans="2:13">
      <c r="B901" s="5"/>
      <c r="C901" s="6" t="e">
        <f>VLOOKUP($B901,#REF!,5,FALSE)</f>
        <v>#REF!</v>
      </c>
      <c r="D901" s="6" t="e">
        <f>VLOOKUP($B901,#REF!,6,FALSE)</f>
        <v>#REF!</v>
      </c>
      <c r="E901" s="7" t="e">
        <f>VLOOKUP($B901,#REF!,17,FALSE)</f>
        <v>#REF!</v>
      </c>
      <c r="F901" s="8" t="e">
        <f>VLOOKUP($B901,#REF!,7,FALSE)</f>
        <v>#REF!</v>
      </c>
      <c r="G901" s="8"/>
      <c r="H901" s="8"/>
      <c r="I901" s="9" t="e">
        <f>VLOOKUP($B901,#REF!,19,FALSE)</f>
        <v>#REF!</v>
      </c>
      <c r="J901" s="9" t="e">
        <f>VLOOKUP($B901,#REF!,6,FALSE)</f>
        <v>#REF!</v>
      </c>
      <c r="L901" s="1">
        <v>44655.107638885995</v>
      </c>
      <c r="M901" s="13"/>
    </row>
    <row r="902" spans="2:13">
      <c r="B902" s="5"/>
      <c r="C902" s="6" t="e">
        <f>VLOOKUP($B902,#REF!,5,FALSE)</f>
        <v>#REF!</v>
      </c>
      <c r="D902" s="6" t="e">
        <f>VLOOKUP($B902,#REF!,6,FALSE)</f>
        <v>#REF!</v>
      </c>
      <c r="E902" s="7" t="e">
        <f>VLOOKUP($B902,#REF!,17,FALSE)</f>
        <v>#REF!</v>
      </c>
      <c r="F902" s="8" t="e">
        <f>VLOOKUP($B902,#REF!,7,FALSE)</f>
        <v>#REF!</v>
      </c>
      <c r="G902" s="8"/>
      <c r="H902" s="8"/>
      <c r="I902" s="9" t="e">
        <f>VLOOKUP($B902,#REF!,19,FALSE)</f>
        <v>#REF!</v>
      </c>
      <c r="J902" s="9" t="e">
        <f>VLOOKUP($B902,#REF!,6,FALSE)</f>
        <v>#REF!</v>
      </c>
      <c r="L902" s="1">
        <v>44655.111111108214</v>
      </c>
      <c r="M902" s="13"/>
    </row>
    <row r="903" spans="2:13">
      <c r="B903" s="5"/>
      <c r="C903" s="6" t="e">
        <f>VLOOKUP($B903,#REF!,5,FALSE)</f>
        <v>#REF!</v>
      </c>
      <c r="D903" s="6" t="e">
        <f>VLOOKUP($B903,#REF!,6,FALSE)</f>
        <v>#REF!</v>
      </c>
      <c r="E903" s="7" t="e">
        <f>VLOOKUP($B903,#REF!,17,FALSE)</f>
        <v>#REF!</v>
      </c>
      <c r="F903" s="8" t="e">
        <f>VLOOKUP($B903,#REF!,7,FALSE)</f>
        <v>#REF!</v>
      </c>
      <c r="G903" s="8"/>
      <c r="H903" s="8"/>
      <c r="I903" s="9" t="e">
        <f>VLOOKUP($B903,#REF!,19,FALSE)</f>
        <v>#REF!</v>
      </c>
      <c r="J903" s="9" t="e">
        <f>VLOOKUP($B903,#REF!,6,FALSE)</f>
        <v>#REF!</v>
      </c>
      <c r="L903" s="1">
        <v>44655.114583330433</v>
      </c>
      <c r="M903" s="13"/>
    </row>
    <row r="904" spans="2:13">
      <c r="B904" s="5"/>
      <c r="C904" s="6" t="e">
        <f>VLOOKUP($B904,#REF!,5,FALSE)</f>
        <v>#REF!</v>
      </c>
      <c r="D904" s="6" t="e">
        <f>VLOOKUP($B904,#REF!,6,FALSE)</f>
        <v>#REF!</v>
      </c>
      <c r="E904" s="7" t="e">
        <f>VLOOKUP($B904,#REF!,17,FALSE)</f>
        <v>#REF!</v>
      </c>
      <c r="F904" s="8" t="e">
        <f>VLOOKUP($B904,#REF!,7,FALSE)</f>
        <v>#REF!</v>
      </c>
      <c r="G904" s="8"/>
      <c r="H904" s="8"/>
      <c r="I904" s="9" t="e">
        <f>VLOOKUP($B904,#REF!,19,FALSE)</f>
        <v>#REF!</v>
      </c>
      <c r="J904" s="9" t="e">
        <f>VLOOKUP($B904,#REF!,6,FALSE)</f>
        <v>#REF!</v>
      </c>
      <c r="L904" s="1">
        <v>44655.118055552652</v>
      </c>
      <c r="M904" s="13"/>
    </row>
    <row r="905" spans="2:13">
      <c r="B905" s="5"/>
      <c r="C905" s="6" t="e">
        <f>VLOOKUP($B905,#REF!,5,FALSE)</f>
        <v>#REF!</v>
      </c>
      <c r="D905" s="6" t="e">
        <f>VLOOKUP($B905,#REF!,6,FALSE)</f>
        <v>#REF!</v>
      </c>
      <c r="E905" s="7" t="e">
        <f>VLOOKUP($B905,#REF!,17,FALSE)</f>
        <v>#REF!</v>
      </c>
      <c r="F905" s="8" t="e">
        <f>VLOOKUP($B905,#REF!,7,FALSE)</f>
        <v>#REF!</v>
      </c>
      <c r="G905" s="8"/>
      <c r="H905" s="8"/>
      <c r="I905" s="9" t="e">
        <f>VLOOKUP($B905,#REF!,19,FALSE)</f>
        <v>#REF!</v>
      </c>
      <c r="J905" s="9" t="e">
        <f>VLOOKUP($B905,#REF!,6,FALSE)</f>
        <v>#REF!</v>
      </c>
      <c r="L905" s="1">
        <v>44655.121527774871</v>
      </c>
      <c r="M905" s="13"/>
    </row>
    <row r="906" spans="2:13">
      <c r="B906" s="5"/>
      <c r="C906" s="6" t="e">
        <f>VLOOKUP($B906,#REF!,5,FALSE)</f>
        <v>#REF!</v>
      </c>
      <c r="D906" s="6" t="e">
        <f>VLOOKUP($B906,#REF!,6,FALSE)</f>
        <v>#REF!</v>
      </c>
      <c r="E906" s="7" t="e">
        <f>VLOOKUP($B906,#REF!,17,FALSE)</f>
        <v>#REF!</v>
      </c>
      <c r="F906" s="8" t="e">
        <f>VLOOKUP($B906,#REF!,7,FALSE)</f>
        <v>#REF!</v>
      </c>
      <c r="G906" s="8"/>
      <c r="H906" s="8"/>
      <c r="I906" s="9" t="e">
        <f>VLOOKUP($B906,#REF!,19,FALSE)</f>
        <v>#REF!</v>
      </c>
      <c r="J906" s="9" t="e">
        <f>VLOOKUP($B906,#REF!,6,FALSE)</f>
        <v>#REF!</v>
      </c>
      <c r="L906" s="1">
        <v>44655.12499999709</v>
      </c>
      <c r="M906" s="13"/>
    </row>
    <row r="907" spans="2:13">
      <c r="B907" s="5"/>
      <c r="C907" s="6" t="e">
        <f>VLOOKUP($B907,#REF!,5,FALSE)</f>
        <v>#REF!</v>
      </c>
      <c r="D907" s="6" t="e">
        <f>VLOOKUP($B907,#REF!,6,FALSE)</f>
        <v>#REF!</v>
      </c>
      <c r="E907" s="7" t="e">
        <f>VLOOKUP($B907,#REF!,17,FALSE)</f>
        <v>#REF!</v>
      </c>
      <c r="F907" s="8" t="e">
        <f>VLOOKUP($B907,#REF!,7,FALSE)</f>
        <v>#REF!</v>
      </c>
      <c r="G907" s="8"/>
      <c r="H907" s="8"/>
      <c r="I907" s="9" t="e">
        <f>VLOOKUP($B907,#REF!,19,FALSE)</f>
        <v>#REF!</v>
      </c>
      <c r="J907" s="9" t="e">
        <f>VLOOKUP($B907,#REF!,6,FALSE)</f>
        <v>#REF!</v>
      </c>
      <c r="L907" s="1">
        <v>44655.128472219309</v>
      </c>
      <c r="M907" s="13"/>
    </row>
    <row r="908" spans="2:13">
      <c r="B908" s="5"/>
      <c r="C908" s="6" t="e">
        <f>VLOOKUP($B908,#REF!,5,FALSE)</f>
        <v>#REF!</v>
      </c>
      <c r="D908" s="6" t="e">
        <f>VLOOKUP($B908,#REF!,6,FALSE)</f>
        <v>#REF!</v>
      </c>
      <c r="E908" s="7" t="e">
        <f>VLOOKUP($B908,#REF!,17,FALSE)</f>
        <v>#REF!</v>
      </c>
      <c r="F908" s="8" t="e">
        <f>VLOOKUP($B908,#REF!,7,FALSE)</f>
        <v>#REF!</v>
      </c>
      <c r="G908" s="8"/>
      <c r="H908" s="8"/>
      <c r="I908" s="9" t="e">
        <f>VLOOKUP($B908,#REF!,19,FALSE)</f>
        <v>#REF!</v>
      </c>
      <c r="J908" s="9" t="e">
        <f>VLOOKUP($B908,#REF!,6,FALSE)</f>
        <v>#REF!</v>
      </c>
      <c r="L908" s="1">
        <v>44655.131944441528</v>
      </c>
      <c r="M908" s="13"/>
    </row>
    <row r="909" spans="2:13">
      <c r="B909" s="5"/>
      <c r="C909" s="6" t="e">
        <f>VLOOKUP($B909,#REF!,5,FALSE)</f>
        <v>#REF!</v>
      </c>
      <c r="D909" s="6" t="e">
        <f>VLOOKUP($B909,#REF!,6,FALSE)</f>
        <v>#REF!</v>
      </c>
      <c r="E909" s="7" t="e">
        <f>VLOOKUP($B909,#REF!,17,FALSE)</f>
        <v>#REF!</v>
      </c>
      <c r="F909" s="8" t="e">
        <f>VLOOKUP($B909,#REF!,7,FALSE)</f>
        <v>#REF!</v>
      </c>
      <c r="G909" s="8"/>
      <c r="H909" s="8"/>
      <c r="I909" s="9" t="e">
        <f>VLOOKUP($B909,#REF!,19,FALSE)</f>
        <v>#REF!</v>
      </c>
      <c r="J909" s="9" t="e">
        <f>VLOOKUP($B909,#REF!,6,FALSE)</f>
        <v>#REF!</v>
      </c>
      <c r="L909" s="1">
        <v>44655.135416663747</v>
      </c>
      <c r="M909" s="13"/>
    </row>
    <row r="910" spans="2:13">
      <c r="B910" s="5"/>
      <c r="C910" s="6" t="e">
        <f>VLOOKUP($B910,#REF!,5,FALSE)</f>
        <v>#REF!</v>
      </c>
      <c r="D910" s="6" t="e">
        <f>VLOOKUP($B910,#REF!,6,FALSE)</f>
        <v>#REF!</v>
      </c>
      <c r="E910" s="7" t="e">
        <f>VLOOKUP($B910,#REF!,17,FALSE)</f>
        <v>#REF!</v>
      </c>
      <c r="F910" s="8" t="e">
        <f>VLOOKUP($B910,#REF!,7,FALSE)</f>
        <v>#REF!</v>
      </c>
      <c r="G910" s="8"/>
      <c r="H910" s="8"/>
      <c r="I910" s="9" t="e">
        <f>VLOOKUP($B910,#REF!,19,FALSE)</f>
        <v>#REF!</v>
      </c>
      <c r="J910" s="9" t="e">
        <f>VLOOKUP($B910,#REF!,6,FALSE)</f>
        <v>#REF!</v>
      </c>
      <c r="L910" s="1">
        <v>44655.138888885966</v>
      </c>
      <c r="M910" s="13"/>
    </row>
    <row r="911" spans="2:13">
      <c r="B911" s="5"/>
      <c r="C911" s="6" t="e">
        <f>VLOOKUP($B911,#REF!,5,FALSE)</f>
        <v>#REF!</v>
      </c>
      <c r="D911" s="6" t="e">
        <f>VLOOKUP($B911,#REF!,6,FALSE)</f>
        <v>#REF!</v>
      </c>
      <c r="E911" s="7" t="e">
        <f>VLOOKUP($B911,#REF!,17,FALSE)</f>
        <v>#REF!</v>
      </c>
      <c r="F911" s="8" t="e">
        <f>VLOOKUP($B911,#REF!,7,FALSE)</f>
        <v>#REF!</v>
      </c>
      <c r="G911" s="8"/>
      <c r="H911" s="8"/>
      <c r="I911" s="9" t="e">
        <f>VLOOKUP($B911,#REF!,19,FALSE)</f>
        <v>#REF!</v>
      </c>
      <c r="J911" s="9" t="e">
        <f>VLOOKUP($B911,#REF!,6,FALSE)</f>
        <v>#REF!</v>
      </c>
      <c r="L911" s="1">
        <v>44655.142361108185</v>
      </c>
      <c r="M911" s="13"/>
    </row>
    <row r="912" spans="2:13">
      <c r="B912" s="5"/>
      <c r="C912" s="6" t="e">
        <f>VLOOKUP($B912,#REF!,5,FALSE)</f>
        <v>#REF!</v>
      </c>
      <c r="D912" s="6" t="e">
        <f>VLOOKUP($B912,#REF!,6,FALSE)</f>
        <v>#REF!</v>
      </c>
      <c r="E912" s="7" t="e">
        <f>VLOOKUP($B912,#REF!,17,FALSE)</f>
        <v>#REF!</v>
      </c>
      <c r="F912" s="8" t="e">
        <f>VLOOKUP($B912,#REF!,7,FALSE)</f>
        <v>#REF!</v>
      </c>
      <c r="G912" s="8"/>
      <c r="H912" s="8"/>
      <c r="I912" s="9" t="e">
        <f>VLOOKUP($B912,#REF!,19,FALSE)</f>
        <v>#REF!</v>
      </c>
      <c r="J912" s="9" t="e">
        <f>VLOOKUP($B912,#REF!,6,FALSE)</f>
        <v>#REF!</v>
      </c>
      <c r="L912" s="1">
        <v>44655.145833330404</v>
      </c>
      <c r="M912" s="13"/>
    </row>
    <row r="913" spans="2:13">
      <c r="B913" s="5"/>
      <c r="C913" s="6" t="e">
        <f>VLOOKUP($B913,#REF!,5,FALSE)</f>
        <v>#REF!</v>
      </c>
      <c r="D913" s="6" t="e">
        <f>VLOOKUP($B913,#REF!,6,FALSE)</f>
        <v>#REF!</v>
      </c>
      <c r="E913" s="7" t="e">
        <f>VLOOKUP($B913,#REF!,17,FALSE)</f>
        <v>#REF!</v>
      </c>
      <c r="F913" s="8" t="e">
        <f>VLOOKUP($B913,#REF!,7,FALSE)</f>
        <v>#REF!</v>
      </c>
      <c r="G913" s="8"/>
      <c r="H913" s="8"/>
      <c r="I913" s="9" t="e">
        <f>VLOOKUP($B913,#REF!,19,FALSE)</f>
        <v>#REF!</v>
      </c>
      <c r="J913" s="9" t="e">
        <f>VLOOKUP($B913,#REF!,6,FALSE)</f>
        <v>#REF!</v>
      </c>
      <c r="L913" s="1">
        <v>44655.149305552623</v>
      </c>
      <c r="M913" s="13"/>
    </row>
    <row r="914" spans="2:13">
      <c r="B914" s="5"/>
      <c r="C914" s="6" t="e">
        <f>VLOOKUP($B914,#REF!,5,FALSE)</f>
        <v>#REF!</v>
      </c>
      <c r="D914" s="6" t="e">
        <f>VLOOKUP($B914,#REF!,6,FALSE)</f>
        <v>#REF!</v>
      </c>
      <c r="E914" s="7" t="e">
        <f>VLOOKUP($B914,#REF!,17,FALSE)</f>
        <v>#REF!</v>
      </c>
      <c r="F914" s="8" t="e">
        <f>VLOOKUP($B914,#REF!,7,FALSE)</f>
        <v>#REF!</v>
      </c>
      <c r="G914" s="8"/>
      <c r="H914" s="8"/>
      <c r="I914" s="9" t="e">
        <f>VLOOKUP($B914,#REF!,19,FALSE)</f>
        <v>#REF!</v>
      </c>
      <c r="J914" s="9" t="e">
        <f>VLOOKUP($B914,#REF!,6,FALSE)</f>
        <v>#REF!</v>
      </c>
      <c r="L914" s="1">
        <v>44655.152777774842</v>
      </c>
      <c r="M914" s="13"/>
    </row>
    <row r="915" spans="2:13">
      <c r="B915" s="5"/>
      <c r="C915" s="6" t="e">
        <f>VLOOKUP($B915,#REF!,5,FALSE)</f>
        <v>#REF!</v>
      </c>
      <c r="D915" s="6" t="e">
        <f>VLOOKUP($B915,#REF!,6,FALSE)</f>
        <v>#REF!</v>
      </c>
      <c r="E915" s="7" t="e">
        <f>VLOOKUP($B915,#REF!,17,FALSE)</f>
        <v>#REF!</v>
      </c>
      <c r="F915" s="8" t="e">
        <f>VLOOKUP($B915,#REF!,7,FALSE)</f>
        <v>#REF!</v>
      </c>
      <c r="G915" s="8"/>
      <c r="H915" s="8"/>
      <c r="I915" s="9" t="e">
        <f>VLOOKUP($B915,#REF!,19,FALSE)</f>
        <v>#REF!</v>
      </c>
      <c r="J915" s="9" t="e">
        <f>VLOOKUP($B915,#REF!,6,FALSE)</f>
        <v>#REF!</v>
      </c>
      <c r="L915" s="1">
        <v>44655.156249997061</v>
      </c>
      <c r="M915" s="13"/>
    </row>
    <row r="916" spans="2:13">
      <c r="B916" s="5"/>
      <c r="C916" s="6" t="e">
        <f>VLOOKUP($B916,#REF!,5,FALSE)</f>
        <v>#REF!</v>
      </c>
      <c r="D916" s="6" t="e">
        <f>VLOOKUP($B916,#REF!,6,FALSE)</f>
        <v>#REF!</v>
      </c>
      <c r="E916" s="7" t="e">
        <f>VLOOKUP($B916,#REF!,17,FALSE)</f>
        <v>#REF!</v>
      </c>
      <c r="F916" s="8" t="e">
        <f>VLOOKUP($B916,#REF!,7,FALSE)</f>
        <v>#REF!</v>
      </c>
      <c r="G916" s="8"/>
      <c r="H916" s="8"/>
      <c r="I916" s="9" t="e">
        <f>VLOOKUP($B916,#REF!,19,FALSE)</f>
        <v>#REF!</v>
      </c>
      <c r="J916" s="9" t="e">
        <f>VLOOKUP($B916,#REF!,6,FALSE)</f>
        <v>#REF!</v>
      </c>
      <c r="L916" s="1">
        <v>44655.15972221928</v>
      </c>
      <c r="M916" s="13"/>
    </row>
    <row r="917" spans="2:13">
      <c r="B917" s="5"/>
      <c r="C917" s="6" t="e">
        <f>VLOOKUP($B917,#REF!,5,FALSE)</f>
        <v>#REF!</v>
      </c>
      <c r="D917" s="6" t="e">
        <f>VLOOKUP($B917,#REF!,6,FALSE)</f>
        <v>#REF!</v>
      </c>
      <c r="E917" s="7" t="e">
        <f>VLOOKUP($B917,#REF!,17,FALSE)</f>
        <v>#REF!</v>
      </c>
      <c r="F917" s="8" t="e">
        <f>VLOOKUP($B917,#REF!,7,FALSE)</f>
        <v>#REF!</v>
      </c>
      <c r="G917" s="8"/>
      <c r="H917" s="8"/>
      <c r="I917" s="9" t="e">
        <f>VLOOKUP($B917,#REF!,19,FALSE)</f>
        <v>#REF!</v>
      </c>
      <c r="J917" s="9" t="e">
        <f>VLOOKUP($B917,#REF!,6,FALSE)</f>
        <v>#REF!</v>
      </c>
      <c r="L917" s="1">
        <v>44655.163194441498</v>
      </c>
      <c r="M917" s="13"/>
    </row>
    <row r="918" spans="2:13">
      <c r="B918" s="5"/>
      <c r="C918" s="6" t="e">
        <f>VLOOKUP($B918,#REF!,5,FALSE)</f>
        <v>#REF!</v>
      </c>
      <c r="D918" s="6" t="e">
        <f>VLOOKUP($B918,#REF!,6,FALSE)</f>
        <v>#REF!</v>
      </c>
      <c r="E918" s="7" t="e">
        <f>VLOOKUP($B918,#REF!,17,FALSE)</f>
        <v>#REF!</v>
      </c>
      <c r="F918" s="8" t="e">
        <f>VLOOKUP($B918,#REF!,7,FALSE)</f>
        <v>#REF!</v>
      </c>
      <c r="G918" s="8"/>
      <c r="H918" s="8"/>
      <c r="I918" s="9" t="e">
        <f>VLOOKUP($B918,#REF!,19,FALSE)</f>
        <v>#REF!</v>
      </c>
      <c r="J918" s="9" t="e">
        <f>VLOOKUP($B918,#REF!,6,FALSE)</f>
        <v>#REF!</v>
      </c>
      <c r="L918" s="1">
        <v>44655.166666663717</v>
      </c>
      <c r="M918" s="13"/>
    </row>
    <row r="919" spans="2:13">
      <c r="B919" s="5"/>
      <c r="C919" s="6" t="e">
        <f>VLOOKUP($B919,#REF!,5,FALSE)</f>
        <v>#REF!</v>
      </c>
      <c r="D919" s="6" t="e">
        <f>VLOOKUP($B919,#REF!,6,FALSE)</f>
        <v>#REF!</v>
      </c>
      <c r="E919" s="7" t="e">
        <f>VLOOKUP($B919,#REF!,17,FALSE)</f>
        <v>#REF!</v>
      </c>
      <c r="F919" s="8" t="e">
        <f>VLOOKUP($B919,#REF!,7,FALSE)</f>
        <v>#REF!</v>
      </c>
      <c r="G919" s="8"/>
      <c r="H919" s="8"/>
      <c r="I919" s="9" t="e">
        <f>VLOOKUP($B919,#REF!,19,FALSE)</f>
        <v>#REF!</v>
      </c>
      <c r="J919" s="9" t="e">
        <f>VLOOKUP($B919,#REF!,6,FALSE)</f>
        <v>#REF!</v>
      </c>
      <c r="L919" s="1">
        <v>44655.170138885936</v>
      </c>
      <c r="M919" s="13"/>
    </row>
    <row r="920" spans="2:13">
      <c r="B920" s="5"/>
      <c r="C920" s="6" t="e">
        <f>VLOOKUP($B920,#REF!,5,FALSE)</f>
        <v>#REF!</v>
      </c>
      <c r="D920" s="6" t="e">
        <f>VLOOKUP($B920,#REF!,6,FALSE)</f>
        <v>#REF!</v>
      </c>
      <c r="E920" s="7" t="e">
        <f>VLOOKUP($B920,#REF!,17,FALSE)</f>
        <v>#REF!</v>
      </c>
      <c r="F920" s="8" t="e">
        <f>VLOOKUP($B920,#REF!,7,FALSE)</f>
        <v>#REF!</v>
      </c>
      <c r="G920" s="8"/>
      <c r="H920" s="8"/>
      <c r="I920" s="9" t="e">
        <f>VLOOKUP($B920,#REF!,19,FALSE)</f>
        <v>#REF!</v>
      </c>
      <c r="J920" s="9" t="e">
        <f>VLOOKUP($B920,#REF!,6,FALSE)</f>
        <v>#REF!</v>
      </c>
      <c r="L920" s="1">
        <v>44655.173611108155</v>
      </c>
      <c r="M920" s="13"/>
    </row>
    <row r="921" spans="2:13">
      <c r="B921" s="5"/>
      <c r="C921" s="6" t="e">
        <f>VLOOKUP($B921,#REF!,5,FALSE)</f>
        <v>#REF!</v>
      </c>
      <c r="D921" s="6" t="e">
        <f>VLOOKUP($B921,#REF!,6,FALSE)</f>
        <v>#REF!</v>
      </c>
      <c r="E921" s="7" t="e">
        <f>VLOOKUP($B921,#REF!,17,FALSE)</f>
        <v>#REF!</v>
      </c>
      <c r="F921" s="8" t="e">
        <f>VLOOKUP($B921,#REF!,7,FALSE)</f>
        <v>#REF!</v>
      </c>
      <c r="G921" s="8"/>
      <c r="H921" s="8"/>
      <c r="I921" s="9" t="e">
        <f>VLOOKUP($B921,#REF!,19,FALSE)</f>
        <v>#REF!</v>
      </c>
      <c r="J921" s="9" t="e">
        <f>VLOOKUP($B921,#REF!,6,FALSE)</f>
        <v>#REF!</v>
      </c>
      <c r="L921" s="1">
        <v>44655.177083330374</v>
      </c>
      <c r="M921" s="13"/>
    </row>
    <row r="922" spans="2:13">
      <c r="B922" s="5"/>
      <c r="C922" s="6" t="e">
        <f>VLOOKUP($B922,#REF!,5,FALSE)</f>
        <v>#REF!</v>
      </c>
      <c r="D922" s="6" t="e">
        <f>VLOOKUP($B922,#REF!,6,FALSE)</f>
        <v>#REF!</v>
      </c>
      <c r="E922" s="7" t="e">
        <f>VLOOKUP($B922,#REF!,17,FALSE)</f>
        <v>#REF!</v>
      </c>
      <c r="F922" s="8" t="e">
        <f>VLOOKUP($B922,#REF!,7,FALSE)</f>
        <v>#REF!</v>
      </c>
      <c r="G922" s="8"/>
      <c r="H922" s="8"/>
      <c r="I922" s="9" t="e">
        <f>VLOOKUP($B922,#REF!,19,FALSE)</f>
        <v>#REF!</v>
      </c>
      <c r="J922" s="9" t="e">
        <f>VLOOKUP($B922,#REF!,6,FALSE)</f>
        <v>#REF!</v>
      </c>
      <c r="L922" s="1">
        <v>44655.180555552593</v>
      </c>
      <c r="M922" s="13"/>
    </row>
    <row r="923" spans="2:13">
      <c r="B923" s="5"/>
      <c r="C923" s="6" t="e">
        <f>VLOOKUP($B923,#REF!,5,FALSE)</f>
        <v>#REF!</v>
      </c>
      <c r="D923" s="6" t="e">
        <f>VLOOKUP($B923,#REF!,6,FALSE)</f>
        <v>#REF!</v>
      </c>
      <c r="E923" s="7" t="e">
        <f>VLOOKUP($B923,#REF!,17,FALSE)</f>
        <v>#REF!</v>
      </c>
      <c r="F923" s="8" t="e">
        <f>VLOOKUP($B923,#REF!,7,FALSE)</f>
        <v>#REF!</v>
      </c>
      <c r="G923" s="8"/>
      <c r="H923" s="8"/>
      <c r="I923" s="9" t="e">
        <f>VLOOKUP($B923,#REF!,19,FALSE)</f>
        <v>#REF!</v>
      </c>
      <c r="J923" s="9" t="e">
        <f>VLOOKUP($B923,#REF!,6,FALSE)</f>
        <v>#REF!</v>
      </c>
      <c r="L923" s="1">
        <v>44655.184027774812</v>
      </c>
      <c r="M923" s="13"/>
    </row>
    <row r="924" spans="2:13">
      <c r="B924" s="5"/>
      <c r="C924" s="6" t="e">
        <f>VLOOKUP($B924,#REF!,5,FALSE)</f>
        <v>#REF!</v>
      </c>
      <c r="D924" s="6" t="e">
        <f>VLOOKUP($B924,#REF!,6,FALSE)</f>
        <v>#REF!</v>
      </c>
      <c r="E924" s="7" t="e">
        <f>VLOOKUP($B924,#REF!,17,FALSE)</f>
        <v>#REF!</v>
      </c>
      <c r="F924" s="8" t="e">
        <f>VLOOKUP($B924,#REF!,7,FALSE)</f>
        <v>#REF!</v>
      </c>
      <c r="G924" s="8"/>
      <c r="H924" s="8"/>
      <c r="I924" s="9" t="e">
        <f>VLOOKUP($B924,#REF!,19,FALSE)</f>
        <v>#REF!</v>
      </c>
      <c r="J924" s="9" t="e">
        <f>VLOOKUP($B924,#REF!,6,FALSE)</f>
        <v>#REF!</v>
      </c>
      <c r="L924" s="1">
        <v>44655.187499997031</v>
      </c>
      <c r="M924" s="13"/>
    </row>
    <row r="925" spans="2:13">
      <c r="B925" s="5"/>
      <c r="C925" s="6" t="e">
        <f>VLOOKUP($B925,#REF!,5,FALSE)</f>
        <v>#REF!</v>
      </c>
      <c r="D925" s="6" t="e">
        <f>VLOOKUP($B925,#REF!,6,FALSE)</f>
        <v>#REF!</v>
      </c>
      <c r="E925" s="7" t="e">
        <f>VLOOKUP($B925,#REF!,17,FALSE)</f>
        <v>#REF!</v>
      </c>
      <c r="F925" s="8" t="e">
        <f>VLOOKUP($B925,#REF!,7,FALSE)</f>
        <v>#REF!</v>
      </c>
      <c r="G925" s="8"/>
      <c r="H925" s="8"/>
      <c r="I925" s="9" t="e">
        <f>VLOOKUP($B925,#REF!,19,FALSE)</f>
        <v>#REF!</v>
      </c>
      <c r="J925" s="9" t="e">
        <f>VLOOKUP($B925,#REF!,6,FALSE)</f>
        <v>#REF!</v>
      </c>
      <c r="L925" s="1">
        <v>44655.19097221925</v>
      </c>
      <c r="M925" s="13"/>
    </row>
    <row r="926" spans="2:13">
      <c r="B926" s="5"/>
      <c r="C926" s="6" t="e">
        <f>VLOOKUP($B926,#REF!,5,FALSE)</f>
        <v>#REF!</v>
      </c>
      <c r="D926" s="6" t="e">
        <f>VLOOKUP($B926,#REF!,6,FALSE)</f>
        <v>#REF!</v>
      </c>
      <c r="E926" s="7" t="e">
        <f>VLOOKUP($B926,#REF!,17,FALSE)</f>
        <v>#REF!</v>
      </c>
      <c r="F926" s="8" t="e">
        <f>VLOOKUP($B926,#REF!,7,FALSE)</f>
        <v>#REF!</v>
      </c>
      <c r="G926" s="8"/>
      <c r="H926" s="8"/>
      <c r="I926" s="9" t="e">
        <f>VLOOKUP($B926,#REF!,19,FALSE)</f>
        <v>#REF!</v>
      </c>
      <c r="J926" s="9" t="e">
        <f>VLOOKUP($B926,#REF!,6,FALSE)</f>
        <v>#REF!</v>
      </c>
      <c r="L926" s="1">
        <v>44655.194444441469</v>
      </c>
      <c r="M926" s="13"/>
    </row>
    <row r="927" spans="2:13">
      <c r="B927" s="5"/>
      <c r="C927" s="6" t="e">
        <f>VLOOKUP($B927,#REF!,5,FALSE)</f>
        <v>#REF!</v>
      </c>
      <c r="D927" s="6" t="e">
        <f>VLOOKUP($B927,#REF!,6,FALSE)</f>
        <v>#REF!</v>
      </c>
      <c r="E927" s="7" t="e">
        <f>VLOOKUP($B927,#REF!,17,FALSE)</f>
        <v>#REF!</v>
      </c>
      <c r="F927" s="8" t="e">
        <f>VLOOKUP($B927,#REF!,7,FALSE)</f>
        <v>#REF!</v>
      </c>
      <c r="G927" s="8"/>
      <c r="H927" s="8"/>
      <c r="I927" s="9" t="e">
        <f>VLOOKUP($B927,#REF!,19,FALSE)</f>
        <v>#REF!</v>
      </c>
      <c r="J927" s="9" t="e">
        <f>VLOOKUP($B927,#REF!,6,FALSE)</f>
        <v>#REF!</v>
      </c>
      <c r="L927" s="1">
        <v>44655.197916663688</v>
      </c>
      <c r="M927" s="13"/>
    </row>
    <row r="928" spans="2:13">
      <c r="B928" s="5"/>
      <c r="C928" s="6" t="e">
        <f>VLOOKUP($B928,#REF!,5,FALSE)</f>
        <v>#REF!</v>
      </c>
      <c r="D928" s="6" t="e">
        <f>VLOOKUP($B928,#REF!,6,FALSE)</f>
        <v>#REF!</v>
      </c>
      <c r="E928" s="7" t="e">
        <f>VLOOKUP($B928,#REF!,17,FALSE)</f>
        <v>#REF!</v>
      </c>
      <c r="F928" s="8" t="e">
        <f>VLOOKUP($B928,#REF!,7,FALSE)</f>
        <v>#REF!</v>
      </c>
      <c r="G928" s="8"/>
      <c r="H928" s="8"/>
      <c r="I928" s="9" t="e">
        <f>VLOOKUP($B928,#REF!,19,FALSE)</f>
        <v>#REF!</v>
      </c>
      <c r="J928" s="9" t="e">
        <f>VLOOKUP($B928,#REF!,6,FALSE)</f>
        <v>#REF!</v>
      </c>
      <c r="L928" s="1">
        <v>44655.201388885907</v>
      </c>
      <c r="M928" s="13"/>
    </row>
    <row r="929" spans="2:13">
      <c r="B929" s="5"/>
      <c r="C929" s="6" t="e">
        <f>VLOOKUP($B929,#REF!,5,FALSE)</f>
        <v>#REF!</v>
      </c>
      <c r="D929" s="6" t="e">
        <f>VLOOKUP($B929,#REF!,6,FALSE)</f>
        <v>#REF!</v>
      </c>
      <c r="E929" s="7" t="e">
        <f>VLOOKUP($B929,#REF!,17,FALSE)</f>
        <v>#REF!</v>
      </c>
      <c r="F929" s="8" t="e">
        <f>VLOOKUP($B929,#REF!,7,FALSE)</f>
        <v>#REF!</v>
      </c>
      <c r="G929" s="8"/>
      <c r="H929" s="8"/>
      <c r="I929" s="9" t="e">
        <f>VLOOKUP($B929,#REF!,19,FALSE)</f>
        <v>#REF!</v>
      </c>
      <c r="J929" s="9" t="e">
        <f>VLOOKUP($B929,#REF!,6,FALSE)</f>
        <v>#REF!</v>
      </c>
      <c r="L929" s="1">
        <v>44655.204861108126</v>
      </c>
      <c r="M929" s="13"/>
    </row>
    <row r="930" spans="2:13">
      <c r="B930" s="5"/>
      <c r="C930" s="6" t="e">
        <f>VLOOKUP($B930,#REF!,5,FALSE)</f>
        <v>#REF!</v>
      </c>
      <c r="D930" s="6" t="e">
        <f>VLOOKUP($B930,#REF!,6,FALSE)</f>
        <v>#REF!</v>
      </c>
      <c r="E930" s="7" t="e">
        <f>VLOOKUP($B930,#REF!,17,FALSE)</f>
        <v>#REF!</v>
      </c>
      <c r="F930" s="8" t="e">
        <f>VLOOKUP($B930,#REF!,7,FALSE)</f>
        <v>#REF!</v>
      </c>
      <c r="G930" s="8"/>
      <c r="H930" s="8"/>
      <c r="I930" s="9" t="e">
        <f>VLOOKUP($B930,#REF!,19,FALSE)</f>
        <v>#REF!</v>
      </c>
      <c r="J930" s="9" t="e">
        <f>VLOOKUP($B930,#REF!,6,FALSE)</f>
        <v>#REF!</v>
      </c>
      <c r="L930" s="1">
        <v>44655.208333330345</v>
      </c>
      <c r="M930" s="13"/>
    </row>
    <row r="931" spans="2:13">
      <c r="B931" s="5"/>
      <c r="C931" s="6" t="e">
        <f>VLOOKUP($B931,#REF!,5,FALSE)</f>
        <v>#REF!</v>
      </c>
      <c r="D931" s="6" t="e">
        <f>VLOOKUP($B931,#REF!,6,FALSE)</f>
        <v>#REF!</v>
      </c>
      <c r="E931" s="7" t="e">
        <f>VLOOKUP($B931,#REF!,17,FALSE)</f>
        <v>#REF!</v>
      </c>
      <c r="F931" s="8" t="e">
        <f>VLOOKUP($B931,#REF!,7,FALSE)</f>
        <v>#REF!</v>
      </c>
      <c r="G931" s="8"/>
      <c r="H931" s="8"/>
      <c r="I931" s="9" t="e">
        <f>VLOOKUP($B931,#REF!,19,FALSE)</f>
        <v>#REF!</v>
      </c>
      <c r="J931" s="9" t="e">
        <f>VLOOKUP($B931,#REF!,6,FALSE)</f>
        <v>#REF!</v>
      </c>
      <c r="L931" s="1">
        <v>44655.211805552564</v>
      </c>
      <c r="M931" s="13"/>
    </row>
    <row r="932" spans="2:13">
      <c r="B932" s="5"/>
      <c r="C932" s="6" t="e">
        <f>VLOOKUP($B932,#REF!,5,FALSE)</f>
        <v>#REF!</v>
      </c>
      <c r="D932" s="6" t="e">
        <f>VLOOKUP($B932,#REF!,6,FALSE)</f>
        <v>#REF!</v>
      </c>
      <c r="E932" s="7" t="e">
        <f>VLOOKUP($B932,#REF!,17,FALSE)</f>
        <v>#REF!</v>
      </c>
      <c r="F932" s="8" t="e">
        <f>VLOOKUP($B932,#REF!,7,FALSE)</f>
        <v>#REF!</v>
      </c>
      <c r="G932" s="8"/>
      <c r="H932" s="8"/>
      <c r="I932" s="9" t="e">
        <f>VLOOKUP($B932,#REF!,19,FALSE)</f>
        <v>#REF!</v>
      </c>
      <c r="J932" s="9" t="e">
        <f>VLOOKUP($B932,#REF!,6,FALSE)</f>
        <v>#REF!</v>
      </c>
      <c r="L932" s="1">
        <v>44655.215277774783</v>
      </c>
      <c r="M932" s="13"/>
    </row>
    <row r="933" spans="2:13">
      <c r="B933" s="5"/>
      <c r="C933" s="6" t="e">
        <f>VLOOKUP($B933,#REF!,5,FALSE)</f>
        <v>#REF!</v>
      </c>
      <c r="D933" s="6" t="e">
        <f>VLOOKUP($B933,#REF!,6,FALSE)</f>
        <v>#REF!</v>
      </c>
      <c r="E933" s="7" t="e">
        <f>VLOOKUP($B933,#REF!,17,FALSE)</f>
        <v>#REF!</v>
      </c>
      <c r="F933" s="8" t="e">
        <f>VLOOKUP($B933,#REF!,7,FALSE)</f>
        <v>#REF!</v>
      </c>
      <c r="G933" s="8"/>
      <c r="H933" s="8"/>
      <c r="I933" s="9" t="e">
        <f>VLOOKUP($B933,#REF!,19,FALSE)</f>
        <v>#REF!</v>
      </c>
      <c r="J933" s="9" t="e">
        <f>VLOOKUP($B933,#REF!,6,FALSE)</f>
        <v>#REF!</v>
      </c>
      <c r="L933" s="1">
        <v>44655.218749997002</v>
      </c>
      <c r="M933" s="13"/>
    </row>
    <row r="934" spans="2:13">
      <c r="B934" s="5"/>
      <c r="C934" s="6" t="e">
        <f>VLOOKUP($B934,#REF!,5,FALSE)</f>
        <v>#REF!</v>
      </c>
      <c r="D934" s="6" t="e">
        <f>VLOOKUP($B934,#REF!,6,FALSE)</f>
        <v>#REF!</v>
      </c>
      <c r="E934" s="7" t="e">
        <f>VLOOKUP($B934,#REF!,17,FALSE)</f>
        <v>#REF!</v>
      </c>
      <c r="F934" s="8" t="e">
        <f>VLOOKUP($B934,#REF!,7,FALSE)</f>
        <v>#REF!</v>
      </c>
      <c r="G934" s="8"/>
      <c r="H934" s="8"/>
      <c r="I934" s="9" t="e">
        <f>VLOOKUP($B934,#REF!,19,FALSE)</f>
        <v>#REF!</v>
      </c>
      <c r="J934" s="9" t="e">
        <f>VLOOKUP($B934,#REF!,6,FALSE)</f>
        <v>#REF!</v>
      </c>
      <c r="L934" s="1">
        <v>44655.222222219221</v>
      </c>
      <c r="M934" s="13"/>
    </row>
    <row r="935" spans="2:13">
      <c r="B935" s="5"/>
      <c r="C935" s="6" t="e">
        <f>VLOOKUP($B935,#REF!,5,FALSE)</f>
        <v>#REF!</v>
      </c>
      <c r="D935" s="6" t="e">
        <f>VLOOKUP($B935,#REF!,6,FALSE)</f>
        <v>#REF!</v>
      </c>
      <c r="E935" s="7" t="e">
        <f>VLOOKUP($B935,#REF!,17,FALSE)</f>
        <v>#REF!</v>
      </c>
      <c r="F935" s="8" t="e">
        <f>VLOOKUP($B935,#REF!,7,FALSE)</f>
        <v>#REF!</v>
      </c>
      <c r="G935" s="8"/>
      <c r="H935" s="8"/>
      <c r="I935" s="9" t="e">
        <f>VLOOKUP($B935,#REF!,19,FALSE)</f>
        <v>#REF!</v>
      </c>
      <c r="J935" s="9" t="e">
        <f>VLOOKUP($B935,#REF!,6,FALSE)</f>
        <v>#REF!</v>
      </c>
      <c r="L935" s="1">
        <v>44655.22569444144</v>
      </c>
      <c r="M935" s="13"/>
    </row>
    <row r="936" spans="2:13">
      <c r="B936" s="5"/>
      <c r="C936" s="6" t="e">
        <f>VLOOKUP($B936,#REF!,5,FALSE)</f>
        <v>#REF!</v>
      </c>
      <c r="D936" s="6" t="e">
        <f>VLOOKUP($B936,#REF!,6,FALSE)</f>
        <v>#REF!</v>
      </c>
      <c r="E936" s="7" t="e">
        <f>VLOOKUP($B936,#REF!,17,FALSE)</f>
        <v>#REF!</v>
      </c>
      <c r="F936" s="8" t="e">
        <f>VLOOKUP($B936,#REF!,7,FALSE)</f>
        <v>#REF!</v>
      </c>
      <c r="G936" s="8"/>
      <c r="H936" s="8"/>
      <c r="I936" s="9" t="e">
        <f>VLOOKUP($B936,#REF!,19,FALSE)</f>
        <v>#REF!</v>
      </c>
      <c r="J936" s="9" t="e">
        <f>VLOOKUP($B936,#REF!,6,FALSE)</f>
        <v>#REF!</v>
      </c>
      <c r="L936" s="1">
        <v>44655.229166663659</v>
      </c>
      <c r="M936" s="13"/>
    </row>
    <row r="937" spans="2:13">
      <c r="B937" s="5"/>
      <c r="C937" s="6" t="e">
        <f>VLOOKUP($B937,#REF!,5,FALSE)</f>
        <v>#REF!</v>
      </c>
      <c r="D937" s="6" t="e">
        <f>VLOOKUP($B937,#REF!,6,FALSE)</f>
        <v>#REF!</v>
      </c>
      <c r="E937" s="7" t="e">
        <f>VLOOKUP($B937,#REF!,17,FALSE)</f>
        <v>#REF!</v>
      </c>
      <c r="F937" s="8" t="e">
        <f>VLOOKUP($B937,#REF!,7,FALSE)</f>
        <v>#REF!</v>
      </c>
      <c r="G937" s="8"/>
      <c r="H937" s="8"/>
      <c r="I937" s="9" t="e">
        <f>VLOOKUP($B937,#REF!,19,FALSE)</f>
        <v>#REF!</v>
      </c>
      <c r="J937" s="9" t="e">
        <f>VLOOKUP($B937,#REF!,6,FALSE)</f>
        <v>#REF!</v>
      </c>
      <c r="L937" s="1">
        <v>44655.232638885878</v>
      </c>
      <c r="M937" s="13"/>
    </row>
    <row r="938" spans="2:13">
      <c r="B938" s="5"/>
      <c r="C938" s="6" t="e">
        <f>VLOOKUP($B938,#REF!,5,FALSE)</f>
        <v>#REF!</v>
      </c>
      <c r="D938" s="6" t="e">
        <f>VLOOKUP($B938,#REF!,6,FALSE)</f>
        <v>#REF!</v>
      </c>
      <c r="E938" s="7" t="e">
        <f>VLOOKUP($B938,#REF!,17,FALSE)</f>
        <v>#REF!</v>
      </c>
      <c r="F938" s="8" t="e">
        <f>VLOOKUP($B938,#REF!,7,FALSE)</f>
        <v>#REF!</v>
      </c>
      <c r="G938" s="8"/>
      <c r="H938" s="8"/>
      <c r="I938" s="9" t="e">
        <f>VLOOKUP($B938,#REF!,19,FALSE)</f>
        <v>#REF!</v>
      </c>
      <c r="J938" s="9" t="e">
        <f>VLOOKUP($B938,#REF!,6,FALSE)</f>
        <v>#REF!</v>
      </c>
      <c r="L938" s="1">
        <v>44655.236111108097</v>
      </c>
      <c r="M938" s="13"/>
    </row>
    <row r="939" spans="2:13">
      <c r="B939" s="5"/>
      <c r="C939" s="6" t="e">
        <f>VLOOKUP($B939,#REF!,5,FALSE)</f>
        <v>#REF!</v>
      </c>
      <c r="D939" s="6" t="e">
        <f>VLOOKUP($B939,#REF!,6,FALSE)</f>
        <v>#REF!</v>
      </c>
      <c r="E939" s="7" t="e">
        <f>VLOOKUP($B939,#REF!,17,FALSE)</f>
        <v>#REF!</v>
      </c>
      <c r="F939" s="8" t="e">
        <f>VLOOKUP($B939,#REF!,7,FALSE)</f>
        <v>#REF!</v>
      </c>
      <c r="G939" s="8"/>
      <c r="H939" s="8"/>
      <c r="I939" s="9" t="e">
        <f>VLOOKUP($B939,#REF!,19,FALSE)</f>
        <v>#REF!</v>
      </c>
      <c r="J939" s="9" t="e">
        <f>VLOOKUP($B939,#REF!,6,FALSE)</f>
        <v>#REF!</v>
      </c>
      <c r="L939" s="1">
        <v>44655.239583330316</v>
      </c>
      <c r="M939" s="13"/>
    </row>
    <row r="940" spans="2:13">
      <c r="B940" s="5"/>
      <c r="C940" s="6" t="e">
        <f>VLOOKUP($B940,#REF!,5,FALSE)</f>
        <v>#REF!</v>
      </c>
      <c r="D940" s="6" t="e">
        <f>VLOOKUP($B940,#REF!,6,FALSE)</f>
        <v>#REF!</v>
      </c>
      <c r="E940" s="7" t="e">
        <f>VLOOKUP($B940,#REF!,17,FALSE)</f>
        <v>#REF!</v>
      </c>
      <c r="F940" s="8" t="e">
        <f>VLOOKUP($B940,#REF!,7,FALSE)</f>
        <v>#REF!</v>
      </c>
      <c r="G940" s="8"/>
      <c r="H940" s="8"/>
      <c r="I940" s="9" t="e">
        <f>VLOOKUP($B940,#REF!,19,FALSE)</f>
        <v>#REF!</v>
      </c>
      <c r="J940" s="9" t="e">
        <f>VLOOKUP($B940,#REF!,6,FALSE)</f>
        <v>#REF!</v>
      </c>
      <c r="L940" s="1">
        <v>44655.243055552535</v>
      </c>
      <c r="M940" s="13"/>
    </row>
    <row r="941" spans="2:13">
      <c r="B941" s="5"/>
      <c r="C941" s="6" t="e">
        <f>VLOOKUP($B941,#REF!,5,FALSE)</f>
        <v>#REF!</v>
      </c>
      <c r="D941" s="6" t="e">
        <f>VLOOKUP($B941,#REF!,6,FALSE)</f>
        <v>#REF!</v>
      </c>
      <c r="E941" s="7" t="e">
        <f>VLOOKUP($B941,#REF!,17,FALSE)</f>
        <v>#REF!</v>
      </c>
      <c r="F941" s="8" t="e">
        <f>VLOOKUP($B941,#REF!,7,FALSE)</f>
        <v>#REF!</v>
      </c>
      <c r="G941" s="8"/>
      <c r="H941" s="8"/>
      <c r="I941" s="9" t="e">
        <f>VLOOKUP($B941,#REF!,19,FALSE)</f>
        <v>#REF!</v>
      </c>
      <c r="J941" s="9" t="e">
        <f>VLOOKUP($B941,#REF!,6,FALSE)</f>
        <v>#REF!</v>
      </c>
      <c r="L941" s="1">
        <v>44655.246527774754</v>
      </c>
      <c r="M941" s="13"/>
    </row>
    <row r="942" spans="2:13">
      <c r="B942" s="5"/>
      <c r="C942" s="6" t="e">
        <f>VLOOKUP($B942,#REF!,5,FALSE)</f>
        <v>#REF!</v>
      </c>
      <c r="D942" s="6" t="e">
        <f>VLOOKUP($B942,#REF!,6,FALSE)</f>
        <v>#REF!</v>
      </c>
      <c r="E942" s="7" t="e">
        <f>VLOOKUP($B942,#REF!,17,FALSE)</f>
        <v>#REF!</v>
      </c>
      <c r="F942" s="8" t="e">
        <f>VLOOKUP($B942,#REF!,7,FALSE)</f>
        <v>#REF!</v>
      </c>
      <c r="G942" s="8"/>
      <c r="H942" s="8"/>
      <c r="I942" s="9" t="e">
        <f>VLOOKUP($B942,#REF!,19,FALSE)</f>
        <v>#REF!</v>
      </c>
      <c r="J942" s="9" t="e">
        <f>VLOOKUP($B942,#REF!,6,FALSE)</f>
        <v>#REF!</v>
      </c>
      <c r="L942" s="1">
        <v>44655.249999996973</v>
      </c>
      <c r="M942" s="13"/>
    </row>
    <row r="943" spans="2:13">
      <c r="B943" s="5"/>
      <c r="C943" s="6" t="e">
        <f>VLOOKUP($B943,#REF!,5,FALSE)</f>
        <v>#REF!</v>
      </c>
      <c r="D943" s="6" t="e">
        <f>VLOOKUP($B943,#REF!,6,FALSE)</f>
        <v>#REF!</v>
      </c>
      <c r="E943" s="7" t="e">
        <f>VLOOKUP($B943,#REF!,17,FALSE)</f>
        <v>#REF!</v>
      </c>
      <c r="F943" s="8" t="e">
        <f>VLOOKUP($B943,#REF!,7,FALSE)</f>
        <v>#REF!</v>
      </c>
      <c r="G943" s="8"/>
      <c r="H943" s="8"/>
      <c r="I943" s="9" t="e">
        <f>VLOOKUP($B943,#REF!,19,FALSE)</f>
        <v>#REF!</v>
      </c>
      <c r="J943" s="9" t="e">
        <f>VLOOKUP($B943,#REF!,6,FALSE)</f>
        <v>#REF!</v>
      </c>
      <c r="L943" s="1">
        <v>44655.253472219192</v>
      </c>
      <c r="M943" s="13"/>
    </row>
    <row r="944" spans="2:13">
      <c r="B944" s="5"/>
      <c r="C944" s="6" t="e">
        <f>VLOOKUP($B944,#REF!,5,FALSE)</f>
        <v>#REF!</v>
      </c>
      <c r="D944" s="6" t="e">
        <f>VLOOKUP($B944,#REF!,6,FALSE)</f>
        <v>#REF!</v>
      </c>
      <c r="E944" s="7" t="e">
        <f>VLOOKUP($B944,#REF!,17,FALSE)</f>
        <v>#REF!</v>
      </c>
      <c r="F944" s="8" t="e">
        <f>VLOOKUP($B944,#REF!,7,FALSE)</f>
        <v>#REF!</v>
      </c>
      <c r="G944" s="8"/>
      <c r="H944" s="8"/>
      <c r="I944" s="9" t="e">
        <f>VLOOKUP($B944,#REF!,19,FALSE)</f>
        <v>#REF!</v>
      </c>
      <c r="J944" s="9" t="e">
        <f>VLOOKUP($B944,#REF!,6,FALSE)</f>
        <v>#REF!</v>
      </c>
      <c r="L944" s="1">
        <v>44655.256944441411</v>
      </c>
      <c r="M944" s="13"/>
    </row>
    <row r="945" spans="2:13">
      <c r="B945" s="5"/>
      <c r="C945" s="6" t="e">
        <f>VLOOKUP($B945,#REF!,5,FALSE)</f>
        <v>#REF!</v>
      </c>
      <c r="D945" s="6" t="e">
        <f>VLOOKUP($B945,#REF!,6,FALSE)</f>
        <v>#REF!</v>
      </c>
      <c r="E945" s="7" t="e">
        <f>VLOOKUP($B945,#REF!,17,FALSE)</f>
        <v>#REF!</v>
      </c>
      <c r="F945" s="8" t="e">
        <f>VLOOKUP($B945,#REF!,7,FALSE)</f>
        <v>#REF!</v>
      </c>
      <c r="G945" s="8"/>
      <c r="H945" s="8"/>
      <c r="I945" s="9" t="e">
        <f>VLOOKUP($B945,#REF!,19,FALSE)</f>
        <v>#REF!</v>
      </c>
      <c r="J945" s="9" t="e">
        <f>VLOOKUP($B945,#REF!,6,FALSE)</f>
        <v>#REF!</v>
      </c>
      <c r="L945" s="1">
        <v>44655.26041666363</v>
      </c>
      <c r="M945" s="13"/>
    </row>
    <row r="946" spans="2:13">
      <c r="B946" s="5"/>
      <c r="C946" s="6" t="e">
        <f>VLOOKUP($B946,#REF!,5,FALSE)</f>
        <v>#REF!</v>
      </c>
      <c r="D946" s="6" t="e">
        <f>VLOOKUP($B946,#REF!,6,FALSE)</f>
        <v>#REF!</v>
      </c>
      <c r="E946" s="7" t="e">
        <f>VLOOKUP($B946,#REF!,17,FALSE)</f>
        <v>#REF!</v>
      </c>
      <c r="F946" s="8" t="e">
        <f>VLOOKUP($B946,#REF!,7,FALSE)</f>
        <v>#REF!</v>
      </c>
      <c r="G946" s="8"/>
      <c r="H946" s="8"/>
      <c r="I946" s="9" t="e">
        <f>VLOOKUP($B946,#REF!,19,FALSE)</f>
        <v>#REF!</v>
      </c>
      <c r="J946" s="9" t="e">
        <f>VLOOKUP($B946,#REF!,6,FALSE)</f>
        <v>#REF!</v>
      </c>
      <c r="L946" s="1">
        <v>44655.263888885849</v>
      </c>
      <c r="M946" s="13"/>
    </row>
    <row r="947" spans="2:13">
      <c r="B947" s="5"/>
      <c r="C947" s="6" t="e">
        <f>VLOOKUP($B947,#REF!,5,FALSE)</f>
        <v>#REF!</v>
      </c>
      <c r="D947" s="6" t="e">
        <f>VLOOKUP($B947,#REF!,6,FALSE)</f>
        <v>#REF!</v>
      </c>
      <c r="E947" s="7" t="e">
        <f>VLOOKUP($B947,#REF!,17,FALSE)</f>
        <v>#REF!</v>
      </c>
      <c r="F947" s="8" t="e">
        <f>VLOOKUP($B947,#REF!,7,FALSE)</f>
        <v>#REF!</v>
      </c>
      <c r="G947" s="8"/>
      <c r="H947" s="8"/>
      <c r="I947" s="9" t="e">
        <f>VLOOKUP($B947,#REF!,19,FALSE)</f>
        <v>#REF!</v>
      </c>
      <c r="J947" s="9" t="e">
        <f>VLOOKUP($B947,#REF!,6,FALSE)</f>
        <v>#REF!</v>
      </c>
      <c r="L947" s="1">
        <v>44655.267361108068</v>
      </c>
      <c r="M947" s="13"/>
    </row>
    <row r="948" spans="2:13">
      <c r="B948" s="5"/>
      <c r="C948" s="6" t="e">
        <f>VLOOKUP($B948,#REF!,5,FALSE)</f>
        <v>#REF!</v>
      </c>
      <c r="D948" s="6" t="e">
        <f>VLOOKUP($B948,#REF!,6,FALSE)</f>
        <v>#REF!</v>
      </c>
      <c r="E948" s="7" t="e">
        <f>VLOOKUP($B948,#REF!,17,FALSE)</f>
        <v>#REF!</v>
      </c>
      <c r="F948" s="8" t="e">
        <f>VLOOKUP($B948,#REF!,7,FALSE)</f>
        <v>#REF!</v>
      </c>
      <c r="G948" s="8"/>
      <c r="H948" s="8"/>
      <c r="I948" s="9" t="e">
        <f>VLOOKUP($B948,#REF!,19,FALSE)</f>
        <v>#REF!</v>
      </c>
      <c r="J948" s="9" t="e">
        <f>VLOOKUP($B948,#REF!,6,FALSE)</f>
        <v>#REF!</v>
      </c>
      <c r="L948" s="1">
        <v>44655.270833330287</v>
      </c>
      <c r="M948" s="13"/>
    </row>
    <row r="949" spans="2:13">
      <c r="B949" s="5"/>
      <c r="C949" s="6" t="e">
        <f>VLOOKUP($B949,#REF!,5,FALSE)</f>
        <v>#REF!</v>
      </c>
      <c r="D949" s="6" t="e">
        <f>VLOOKUP($B949,#REF!,6,FALSE)</f>
        <v>#REF!</v>
      </c>
      <c r="E949" s="7" t="e">
        <f>VLOOKUP($B949,#REF!,17,FALSE)</f>
        <v>#REF!</v>
      </c>
      <c r="F949" s="8" t="e">
        <f>VLOOKUP($B949,#REF!,7,FALSE)</f>
        <v>#REF!</v>
      </c>
      <c r="G949" s="8"/>
      <c r="H949" s="8"/>
      <c r="I949" s="9" t="e">
        <f>VLOOKUP($B949,#REF!,19,FALSE)</f>
        <v>#REF!</v>
      </c>
      <c r="J949" s="9" t="e">
        <f>VLOOKUP($B949,#REF!,6,FALSE)</f>
        <v>#REF!</v>
      </c>
      <c r="L949" s="1">
        <v>44655.274305552506</v>
      </c>
      <c r="M949" s="13"/>
    </row>
    <row r="950" spans="2:13">
      <c r="B950" s="5"/>
      <c r="C950" s="6" t="e">
        <f>VLOOKUP($B950,#REF!,5,FALSE)</f>
        <v>#REF!</v>
      </c>
      <c r="D950" s="6" t="e">
        <f>VLOOKUP($B950,#REF!,6,FALSE)</f>
        <v>#REF!</v>
      </c>
      <c r="E950" s="7" t="e">
        <f>VLOOKUP($B950,#REF!,17,FALSE)</f>
        <v>#REF!</v>
      </c>
      <c r="F950" s="8" t="e">
        <f>VLOOKUP($B950,#REF!,7,FALSE)</f>
        <v>#REF!</v>
      </c>
      <c r="G950" s="8"/>
      <c r="H950" s="8"/>
      <c r="I950" s="9" t="e">
        <f>VLOOKUP($B950,#REF!,19,FALSE)</f>
        <v>#REF!</v>
      </c>
      <c r="J950" s="9" t="e">
        <f>VLOOKUP($B950,#REF!,6,FALSE)</f>
        <v>#REF!</v>
      </c>
      <c r="L950" s="1">
        <v>44655.277777774725</v>
      </c>
      <c r="M950" s="13"/>
    </row>
    <row r="951" spans="2:13">
      <c r="B951" s="5"/>
      <c r="C951" s="6" t="e">
        <f>VLOOKUP($B951,#REF!,5,FALSE)</f>
        <v>#REF!</v>
      </c>
      <c r="D951" s="6" t="e">
        <f>VLOOKUP($B951,#REF!,6,FALSE)</f>
        <v>#REF!</v>
      </c>
      <c r="E951" s="7" t="e">
        <f>VLOOKUP($B951,#REF!,17,FALSE)</f>
        <v>#REF!</v>
      </c>
      <c r="F951" s="8" t="e">
        <f>VLOOKUP($B951,#REF!,7,FALSE)</f>
        <v>#REF!</v>
      </c>
      <c r="G951" s="8"/>
      <c r="H951" s="8"/>
      <c r="I951" s="9" t="e">
        <f>VLOOKUP($B951,#REF!,19,FALSE)</f>
        <v>#REF!</v>
      </c>
      <c r="J951" s="9" t="e">
        <f>VLOOKUP($B951,#REF!,6,FALSE)</f>
        <v>#REF!</v>
      </c>
      <c r="L951" s="1">
        <v>44655.281249996944</v>
      </c>
      <c r="M951" s="13"/>
    </row>
    <row r="952" spans="2:13">
      <c r="B952" s="5"/>
      <c r="C952" s="6" t="e">
        <f>VLOOKUP($B952,#REF!,5,FALSE)</f>
        <v>#REF!</v>
      </c>
      <c r="D952" s="6" t="e">
        <f>VLOOKUP($B952,#REF!,6,FALSE)</f>
        <v>#REF!</v>
      </c>
      <c r="E952" s="7" t="e">
        <f>VLOOKUP($B952,#REF!,17,FALSE)</f>
        <v>#REF!</v>
      </c>
      <c r="F952" s="8" t="e">
        <f>VLOOKUP($B952,#REF!,7,FALSE)</f>
        <v>#REF!</v>
      </c>
      <c r="G952" s="8"/>
      <c r="H952" s="8"/>
      <c r="I952" s="9" t="e">
        <f>VLOOKUP($B952,#REF!,19,FALSE)</f>
        <v>#REF!</v>
      </c>
      <c r="J952" s="9" t="e">
        <f>VLOOKUP($B952,#REF!,6,FALSE)</f>
        <v>#REF!</v>
      </c>
      <c r="L952" s="1">
        <v>44655.284722219163</v>
      </c>
      <c r="M952" s="13"/>
    </row>
    <row r="953" spans="2:13">
      <c r="B953" s="5"/>
      <c r="C953" s="6" t="e">
        <f>VLOOKUP($B953,#REF!,5,FALSE)</f>
        <v>#REF!</v>
      </c>
      <c r="D953" s="6" t="e">
        <f>VLOOKUP($B953,#REF!,6,FALSE)</f>
        <v>#REF!</v>
      </c>
      <c r="E953" s="7" t="e">
        <f>VLOOKUP($B953,#REF!,17,FALSE)</f>
        <v>#REF!</v>
      </c>
      <c r="F953" s="8" t="e">
        <f>VLOOKUP($B953,#REF!,7,FALSE)</f>
        <v>#REF!</v>
      </c>
      <c r="G953" s="8"/>
      <c r="H953" s="8"/>
      <c r="I953" s="9" t="e">
        <f>VLOOKUP($B953,#REF!,19,FALSE)</f>
        <v>#REF!</v>
      </c>
      <c r="J953" s="9" t="e">
        <f>VLOOKUP($B953,#REF!,6,FALSE)</f>
        <v>#REF!</v>
      </c>
      <c r="L953" s="1">
        <v>44655.288194441382</v>
      </c>
      <c r="M953" s="13"/>
    </row>
    <row r="954" spans="2:13">
      <c r="B954" s="5"/>
      <c r="C954" s="6" t="e">
        <f>VLOOKUP($B954,#REF!,5,FALSE)</f>
        <v>#REF!</v>
      </c>
      <c r="D954" s="6" t="e">
        <f>VLOOKUP($B954,#REF!,6,FALSE)</f>
        <v>#REF!</v>
      </c>
      <c r="E954" s="7" t="e">
        <f>VLOOKUP($B954,#REF!,17,FALSE)</f>
        <v>#REF!</v>
      </c>
      <c r="F954" s="8" t="e">
        <f>VLOOKUP($B954,#REF!,7,FALSE)</f>
        <v>#REF!</v>
      </c>
      <c r="G954" s="8"/>
      <c r="H954" s="8"/>
      <c r="I954" s="9" t="e">
        <f>VLOOKUP($B954,#REF!,19,FALSE)</f>
        <v>#REF!</v>
      </c>
      <c r="J954" s="9" t="e">
        <f>VLOOKUP($B954,#REF!,6,FALSE)</f>
        <v>#REF!</v>
      </c>
      <c r="L954" s="1">
        <v>44655.291666663601</v>
      </c>
      <c r="M954" s="13"/>
    </row>
    <row r="955" spans="2:13">
      <c r="B955" s="5"/>
      <c r="C955" s="6" t="e">
        <f>VLOOKUP($B955,#REF!,5,FALSE)</f>
        <v>#REF!</v>
      </c>
      <c r="D955" s="6" t="e">
        <f>VLOOKUP($B955,#REF!,6,FALSE)</f>
        <v>#REF!</v>
      </c>
      <c r="E955" s="7" t="e">
        <f>VLOOKUP($B955,#REF!,17,FALSE)</f>
        <v>#REF!</v>
      </c>
      <c r="F955" s="8" t="e">
        <f>VLOOKUP($B955,#REF!,7,FALSE)</f>
        <v>#REF!</v>
      </c>
      <c r="G955" s="8"/>
      <c r="H955" s="8"/>
      <c r="I955" s="9" t="e">
        <f>VLOOKUP($B955,#REF!,19,FALSE)</f>
        <v>#REF!</v>
      </c>
      <c r="J955" s="9" t="e">
        <f>VLOOKUP($B955,#REF!,6,FALSE)</f>
        <v>#REF!</v>
      </c>
      <c r="L955" s="1">
        <v>44655.29513888582</v>
      </c>
      <c r="M955" s="13"/>
    </row>
    <row r="956" spans="2:13">
      <c r="B956" s="5"/>
      <c r="C956" s="6" t="e">
        <f>VLOOKUP($B956,#REF!,5,FALSE)</f>
        <v>#REF!</v>
      </c>
      <c r="D956" s="6" t="e">
        <f>VLOOKUP($B956,#REF!,6,FALSE)</f>
        <v>#REF!</v>
      </c>
      <c r="E956" s="7" t="e">
        <f>VLOOKUP($B956,#REF!,17,FALSE)</f>
        <v>#REF!</v>
      </c>
      <c r="F956" s="8" t="e">
        <f>VLOOKUP($B956,#REF!,7,FALSE)</f>
        <v>#REF!</v>
      </c>
      <c r="G956" s="8"/>
      <c r="H956" s="8"/>
      <c r="I956" s="9" t="e">
        <f>VLOOKUP($B956,#REF!,19,FALSE)</f>
        <v>#REF!</v>
      </c>
      <c r="J956" s="9" t="e">
        <f>VLOOKUP($B956,#REF!,6,FALSE)</f>
        <v>#REF!</v>
      </c>
      <c r="L956" s="1">
        <v>44655.298611108039</v>
      </c>
      <c r="M956" s="13"/>
    </row>
    <row r="957" spans="2:13">
      <c r="B957" s="5"/>
      <c r="C957" s="6" t="e">
        <f>VLOOKUP($B957,#REF!,5,FALSE)</f>
        <v>#REF!</v>
      </c>
      <c r="D957" s="6" t="e">
        <f>VLOOKUP($B957,#REF!,6,FALSE)</f>
        <v>#REF!</v>
      </c>
      <c r="E957" s="7" t="e">
        <f>VLOOKUP($B957,#REF!,17,FALSE)</f>
        <v>#REF!</v>
      </c>
      <c r="F957" s="8" t="e">
        <f>VLOOKUP($B957,#REF!,7,FALSE)</f>
        <v>#REF!</v>
      </c>
      <c r="G957" s="8"/>
      <c r="H957" s="8"/>
      <c r="I957" s="9" t="e">
        <f>VLOOKUP($B957,#REF!,19,FALSE)</f>
        <v>#REF!</v>
      </c>
      <c r="J957" s="9" t="e">
        <f>VLOOKUP($B957,#REF!,6,FALSE)</f>
        <v>#REF!</v>
      </c>
      <c r="L957" s="1">
        <v>44655.302083330258</v>
      </c>
      <c r="M957" s="13"/>
    </row>
    <row r="958" spans="2:13">
      <c r="B958" s="5"/>
      <c r="C958" s="6" t="e">
        <f>VLOOKUP($B958,#REF!,5,FALSE)</f>
        <v>#REF!</v>
      </c>
      <c r="D958" s="6" t="e">
        <f>VLOOKUP($B958,#REF!,6,FALSE)</f>
        <v>#REF!</v>
      </c>
      <c r="E958" s="7" t="e">
        <f>VLOOKUP($B958,#REF!,17,FALSE)</f>
        <v>#REF!</v>
      </c>
      <c r="F958" s="8" t="e">
        <f>VLOOKUP($B958,#REF!,7,FALSE)</f>
        <v>#REF!</v>
      </c>
      <c r="G958" s="8"/>
      <c r="H958" s="8"/>
      <c r="I958" s="9" t="e">
        <f>VLOOKUP($B958,#REF!,19,FALSE)</f>
        <v>#REF!</v>
      </c>
      <c r="J958" s="9" t="e">
        <f>VLOOKUP($B958,#REF!,6,FALSE)</f>
        <v>#REF!</v>
      </c>
      <c r="L958" s="1">
        <v>44655.305555552477</v>
      </c>
      <c r="M958" s="13"/>
    </row>
    <row r="959" spans="2:13">
      <c r="B959" s="5"/>
      <c r="C959" s="6" t="e">
        <f>VLOOKUP($B959,#REF!,5,FALSE)</f>
        <v>#REF!</v>
      </c>
      <c r="D959" s="6" t="e">
        <f>VLOOKUP($B959,#REF!,6,FALSE)</f>
        <v>#REF!</v>
      </c>
      <c r="E959" s="7" t="e">
        <f>VLOOKUP($B959,#REF!,17,FALSE)</f>
        <v>#REF!</v>
      </c>
      <c r="F959" s="8" t="e">
        <f>VLOOKUP($B959,#REF!,7,FALSE)</f>
        <v>#REF!</v>
      </c>
      <c r="G959" s="8"/>
      <c r="H959" s="8"/>
      <c r="I959" s="9" t="e">
        <f>VLOOKUP($B959,#REF!,19,FALSE)</f>
        <v>#REF!</v>
      </c>
      <c r="J959" s="9" t="e">
        <f>VLOOKUP($B959,#REF!,6,FALSE)</f>
        <v>#REF!</v>
      </c>
      <c r="L959" s="1">
        <v>44655.309027774696</v>
      </c>
      <c r="M959" s="13"/>
    </row>
    <row r="960" spans="2:13">
      <c r="B960" s="5"/>
      <c r="C960" s="6" t="e">
        <f>VLOOKUP($B960,#REF!,5,FALSE)</f>
        <v>#REF!</v>
      </c>
      <c r="D960" s="6" t="e">
        <f>VLOOKUP($B960,#REF!,6,FALSE)</f>
        <v>#REF!</v>
      </c>
      <c r="E960" s="7" t="e">
        <f>VLOOKUP($B960,#REF!,17,FALSE)</f>
        <v>#REF!</v>
      </c>
      <c r="F960" s="8" t="e">
        <f>VLOOKUP($B960,#REF!,7,FALSE)</f>
        <v>#REF!</v>
      </c>
      <c r="G960" s="8"/>
      <c r="H960" s="8"/>
      <c r="I960" s="9" t="e">
        <f>VLOOKUP($B960,#REF!,19,FALSE)</f>
        <v>#REF!</v>
      </c>
      <c r="J960" s="9" t="e">
        <f>VLOOKUP($B960,#REF!,6,FALSE)</f>
        <v>#REF!</v>
      </c>
      <c r="L960" s="1">
        <v>44655.312499996915</v>
      </c>
      <c r="M960" s="13"/>
    </row>
    <row r="961" spans="2:13">
      <c r="B961" s="5"/>
      <c r="C961" s="6" t="e">
        <f>VLOOKUP($B961,#REF!,5,FALSE)</f>
        <v>#REF!</v>
      </c>
      <c r="D961" s="6" t="e">
        <f>VLOOKUP($B961,#REF!,6,FALSE)</f>
        <v>#REF!</v>
      </c>
      <c r="E961" s="7" t="e">
        <f>VLOOKUP($B961,#REF!,17,FALSE)</f>
        <v>#REF!</v>
      </c>
      <c r="F961" s="8" t="e">
        <f>VLOOKUP($B961,#REF!,7,FALSE)</f>
        <v>#REF!</v>
      </c>
      <c r="G961" s="8"/>
      <c r="H961" s="8"/>
      <c r="I961" s="9" t="e">
        <f>VLOOKUP($B961,#REF!,19,FALSE)</f>
        <v>#REF!</v>
      </c>
      <c r="J961" s="9" t="e">
        <f>VLOOKUP($B961,#REF!,6,FALSE)</f>
        <v>#REF!</v>
      </c>
      <c r="L961" s="1">
        <v>44655.315972219134</v>
      </c>
      <c r="M961" s="13"/>
    </row>
    <row r="962" spans="2:13">
      <c r="B962" s="5"/>
      <c r="C962" s="6" t="e">
        <f>VLOOKUP($B962,#REF!,5,FALSE)</f>
        <v>#REF!</v>
      </c>
      <c r="D962" s="6" t="e">
        <f>VLOOKUP($B962,#REF!,6,FALSE)</f>
        <v>#REF!</v>
      </c>
      <c r="E962" s="7" t="e">
        <f>VLOOKUP($B962,#REF!,17,FALSE)</f>
        <v>#REF!</v>
      </c>
      <c r="F962" s="8" t="e">
        <f>VLOOKUP($B962,#REF!,7,FALSE)</f>
        <v>#REF!</v>
      </c>
      <c r="G962" s="8"/>
      <c r="H962" s="8"/>
      <c r="I962" s="9" t="e">
        <f>VLOOKUP($B962,#REF!,19,FALSE)</f>
        <v>#REF!</v>
      </c>
      <c r="J962" s="9" t="e">
        <f>VLOOKUP($B962,#REF!,6,FALSE)</f>
        <v>#REF!</v>
      </c>
      <c r="L962" s="1">
        <v>44655.319444441353</v>
      </c>
      <c r="M962" s="13"/>
    </row>
    <row r="963" spans="2:13">
      <c r="B963" s="5"/>
      <c r="C963" s="6" t="e">
        <f>VLOOKUP($B963,#REF!,5,FALSE)</f>
        <v>#REF!</v>
      </c>
      <c r="D963" s="6" t="e">
        <f>VLOOKUP($B963,#REF!,6,FALSE)</f>
        <v>#REF!</v>
      </c>
      <c r="E963" s="7" t="e">
        <f>VLOOKUP($B963,#REF!,17,FALSE)</f>
        <v>#REF!</v>
      </c>
      <c r="F963" s="8" t="e">
        <f>VLOOKUP($B963,#REF!,7,FALSE)</f>
        <v>#REF!</v>
      </c>
      <c r="G963" s="8"/>
      <c r="H963" s="8"/>
      <c r="I963" s="9" t="e">
        <f>VLOOKUP($B963,#REF!,19,FALSE)</f>
        <v>#REF!</v>
      </c>
      <c r="J963" s="9" t="e">
        <f>VLOOKUP($B963,#REF!,6,FALSE)</f>
        <v>#REF!</v>
      </c>
      <c r="L963" s="1">
        <v>44655.322916663572</v>
      </c>
      <c r="M963" s="13"/>
    </row>
    <row r="964" spans="2:13">
      <c r="B964" s="5"/>
      <c r="C964" s="6" t="e">
        <f>VLOOKUP($B964,#REF!,5,FALSE)</f>
        <v>#REF!</v>
      </c>
      <c r="D964" s="6" t="e">
        <f>VLOOKUP($B964,#REF!,6,FALSE)</f>
        <v>#REF!</v>
      </c>
      <c r="E964" s="7" t="e">
        <f>VLOOKUP($B964,#REF!,17,FALSE)</f>
        <v>#REF!</v>
      </c>
      <c r="F964" s="8" t="e">
        <f>VLOOKUP($B964,#REF!,7,FALSE)</f>
        <v>#REF!</v>
      </c>
      <c r="G964" s="8"/>
      <c r="H964" s="8"/>
      <c r="I964" s="9" t="e">
        <f>VLOOKUP($B964,#REF!,19,FALSE)</f>
        <v>#REF!</v>
      </c>
      <c r="J964" s="9" t="e">
        <f>VLOOKUP($B964,#REF!,6,FALSE)</f>
        <v>#REF!</v>
      </c>
      <c r="L964" s="1">
        <v>44655.326388885791</v>
      </c>
      <c r="M964" s="13"/>
    </row>
    <row r="965" spans="2:13">
      <c r="B965" s="5"/>
      <c r="C965" s="6" t="e">
        <f>VLOOKUP($B965,#REF!,5,FALSE)</f>
        <v>#REF!</v>
      </c>
      <c r="D965" s="6" t="e">
        <f>VLOOKUP($B965,#REF!,6,FALSE)</f>
        <v>#REF!</v>
      </c>
      <c r="E965" s="7" t="e">
        <f>VLOOKUP($B965,#REF!,17,FALSE)</f>
        <v>#REF!</v>
      </c>
      <c r="F965" s="8" t="e">
        <f>VLOOKUP($B965,#REF!,7,FALSE)</f>
        <v>#REF!</v>
      </c>
      <c r="G965" s="8"/>
      <c r="H965" s="8"/>
      <c r="I965" s="9" t="e">
        <f>VLOOKUP($B965,#REF!,19,FALSE)</f>
        <v>#REF!</v>
      </c>
      <c r="J965" s="9" t="e">
        <f>VLOOKUP($B965,#REF!,6,FALSE)</f>
        <v>#REF!</v>
      </c>
      <c r="L965" s="1">
        <v>44655.32986110801</v>
      </c>
      <c r="M965" s="13"/>
    </row>
    <row r="966" spans="2:13">
      <c r="B966" s="5"/>
      <c r="C966" s="6" t="e">
        <f>VLOOKUP($B966,#REF!,5,FALSE)</f>
        <v>#REF!</v>
      </c>
      <c r="D966" s="6" t="e">
        <f>VLOOKUP($B966,#REF!,6,FALSE)</f>
        <v>#REF!</v>
      </c>
      <c r="E966" s="7" t="e">
        <f>VLOOKUP($B966,#REF!,17,FALSE)</f>
        <v>#REF!</v>
      </c>
      <c r="F966" s="8" t="e">
        <f>VLOOKUP($B966,#REF!,7,FALSE)</f>
        <v>#REF!</v>
      </c>
      <c r="G966" s="8"/>
      <c r="H966" s="8"/>
      <c r="I966" s="9" t="e">
        <f>VLOOKUP($B966,#REF!,19,FALSE)</f>
        <v>#REF!</v>
      </c>
      <c r="J966" s="9" t="e">
        <f>VLOOKUP($B966,#REF!,6,FALSE)</f>
        <v>#REF!</v>
      </c>
      <c r="L966" s="1">
        <v>44655.333333330229</v>
      </c>
      <c r="M966" s="13"/>
    </row>
    <row r="967" spans="2:13">
      <c r="B967" s="5"/>
      <c r="C967" s="6" t="e">
        <f>VLOOKUP($B967,#REF!,5,FALSE)</f>
        <v>#REF!</v>
      </c>
      <c r="D967" s="6" t="e">
        <f>VLOOKUP($B967,#REF!,6,FALSE)</f>
        <v>#REF!</v>
      </c>
      <c r="E967" s="7" t="e">
        <f>VLOOKUP($B967,#REF!,17,FALSE)</f>
        <v>#REF!</v>
      </c>
      <c r="F967" s="8" t="e">
        <f>VLOOKUP($B967,#REF!,7,FALSE)</f>
        <v>#REF!</v>
      </c>
      <c r="G967" s="8"/>
      <c r="H967" s="8"/>
      <c r="I967" s="9" t="e">
        <f>VLOOKUP($B967,#REF!,19,FALSE)</f>
        <v>#REF!</v>
      </c>
      <c r="J967" s="9" t="e">
        <f>VLOOKUP($B967,#REF!,6,FALSE)</f>
        <v>#REF!</v>
      </c>
      <c r="L967" s="1">
        <v>44655.336805552448</v>
      </c>
      <c r="M967" s="13"/>
    </row>
    <row r="968" spans="2:13">
      <c r="B968" s="5"/>
      <c r="C968" s="6" t="e">
        <f>VLOOKUP($B968,#REF!,5,FALSE)</f>
        <v>#REF!</v>
      </c>
      <c r="D968" s="6" t="e">
        <f>VLOOKUP($B968,#REF!,6,FALSE)</f>
        <v>#REF!</v>
      </c>
      <c r="E968" s="7" t="e">
        <f>VLOOKUP($B968,#REF!,17,FALSE)</f>
        <v>#REF!</v>
      </c>
      <c r="F968" s="8" t="e">
        <f>VLOOKUP($B968,#REF!,7,FALSE)</f>
        <v>#REF!</v>
      </c>
      <c r="G968" s="8"/>
      <c r="H968" s="8"/>
      <c r="I968" s="9" t="e">
        <f>VLOOKUP($B968,#REF!,19,FALSE)</f>
        <v>#REF!</v>
      </c>
      <c r="J968" s="9" t="e">
        <f>VLOOKUP($B968,#REF!,6,FALSE)</f>
        <v>#REF!</v>
      </c>
      <c r="L968" s="1">
        <v>44655.340277774667</v>
      </c>
      <c r="M968" s="13"/>
    </row>
    <row r="969" spans="2:13">
      <c r="B969" s="5"/>
      <c r="C969" s="6" t="e">
        <f>VLOOKUP($B969,#REF!,5,FALSE)</f>
        <v>#REF!</v>
      </c>
      <c r="D969" s="6" t="e">
        <f>VLOOKUP($B969,#REF!,6,FALSE)</f>
        <v>#REF!</v>
      </c>
      <c r="E969" s="7" t="e">
        <f>VLOOKUP($B969,#REF!,17,FALSE)</f>
        <v>#REF!</v>
      </c>
      <c r="F969" s="8" t="e">
        <f>VLOOKUP($B969,#REF!,7,FALSE)</f>
        <v>#REF!</v>
      </c>
      <c r="G969" s="8"/>
      <c r="H969" s="8"/>
      <c r="I969" s="9" t="e">
        <f>VLOOKUP($B969,#REF!,19,FALSE)</f>
        <v>#REF!</v>
      </c>
      <c r="J969" s="9" t="e">
        <f>VLOOKUP($B969,#REF!,6,FALSE)</f>
        <v>#REF!</v>
      </c>
      <c r="L969" s="1">
        <v>44655.343749996886</v>
      </c>
      <c r="M969" s="13"/>
    </row>
    <row r="970" spans="2:13">
      <c r="B970" s="5"/>
      <c r="C970" s="6" t="e">
        <f>VLOOKUP($B970,#REF!,5,FALSE)</f>
        <v>#REF!</v>
      </c>
      <c r="D970" s="6" t="e">
        <f>VLOOKUP($B970,#REF!,6,FALSE)</f>
        <v>#REF!</v>
      </c>
      <c r="E970" s="7" t="e">
        <f>VLOOKUP($B970,#REF!,17,FALSE)</f>
        <v>#REF!</v>
      </c>
      <c r="F970" s="8" t="e">
        <f>VLOOKUP($B970,#REF!,7,FALSE)</f>
        <v>#REF!</v>
      </c>
      <c r="G970" s="8"/>
      <c r="H970" s="8"/>
      <c r="I970" s="9" t="e">
        <f>VLOOKUP($B970,#REF!,19,FALSE)</f>
        <v>#REF!</v>
      </c>
      <c r="J970" s="9" t="e">
        <f>VLOOKUP($B970,#REF!,6,FALSE)</f>
        <v>#REF!</v>
      </c>
      <c r="L970" s="1">
        <v>44655.347222219105</v>
      </c>
      <c r="M970" s="13"/>
    </row>
    <row r="971" spans="2:13">
      <c r="B971" s="5"/>
      <c r="C971" s="6" t="e">
        <f>VLOOKUP($B971,#REF!,5,FALSE)</f>
        <v>#REF!</v>
      </c>
      <c r="D971" s="6" t="e">
        <f>VLOOKUP($B971,#REF!,6,FALSE)</f>
        <v>#REF!</v>
      </c>
      <c r="E971" s="7" t="e">
        <f>VLOOKUP($B971,#REF!,17,FALSE)</f>
        <v>#REF!</v>
      </c>
      <c r="F971" s="8" t="e">
        <f>VLOOKUP($B971,#REF!,7,FALSE)</f>
        <v>#REF!</v>
      </c>
      <c r="G971" s="8"/>
      <c r="H971" s="8"/>
      <c r="I971" s="9" t="e">
        <f>VLOOKUP($B971,#REF!,19,FALSE)</f>
        <v>#REF!</v>
      </c>
      <c r="J971" s="9" t="e">
        <f>VLOOKUP($B971,#REF!,6,FALSE)</f>
        <v>#REF!</v>
      </c>
      <c r="L971" s="1">
        <v>44655.350694441324</v>
      </c>
      <c r="M971" s="13"/>
    </row>
    <row r="972" spans="2:13">
      <c r="B972" s="5"/>
      <c r="C972" s="6" t="e">
        <f>VLOOKUP($B972,#REF!,5,FALSE)</f>
        <v>#REF!</v>
      </c>
      <c r="D972" s="6" t="e">
        <f>VLOOKUP($B972,#REF!,6,FALSE)</f>
        <v>#REF!</v>
      </c>
      <c r="E972" s="7" t="e">
        <f>VLOOKUP($B972,#REF!,17,FALSE)</f>
        <v>#REF!</v>
      </c>
      <c r="F972" s="8" t="e">
        <f>VLOOKUP($B972,#REF!,7,FALSE)</f>
        <v>#REF!</v>
      </c>
      <c r="G972" s="8"/>
      <c r="H972" s="8"/>
      <c r="I972" s="9" t="e">
        <f>VLOOKUP($B972,#REF!,19,FALSE)</f>
        <v>#REF!</v>
      </c>
      <c r="J972" s="9" t="e">
        <f>VLOOKUP($B972,#REF!,6,FALSE)</f>
        <v>#REF!</v>
      </c>
      <c r="L972" s="1">
        <v>44655.354166663543</v>
      </c>
      <c r="M972" s="13"/>
    </row>
    <row r="973" spans="2:13">
      <c r="B973" s="5"/>
      <c r="C973" s="6" t="e">
        <f>VLOOKUP($B973,#REF!,5,FALSE)</f>
        <v>#REF!</v>
      </c>
      <c r="D973" s="6" t="e">
        <f>VLOOKUP($B973,#REF!,6,FALSE)</f>
        <v>#REF!</v>
      </c>
      <c r="E973" s="7" t="e">
        <f>VLOOKUP($B973,#REF!,17,FALSE)</f>
        <v>#REF!</v>
      </c>
      <c r="F973" s="8" t="e">
        <f>VLOOKUP($B973,#REF!,7,FALSE)</f>
        <v>#REF!</v>
      </c>
      <c r="G973" s="8"/>
      <c r="H973" s="8"/>
      <c r="I973" s="9" t="e">
        <f>VLOOKUP($B973,#REF!,19,FALSE)</f>
        <v>#REF!</v>
      </c>
      <c r="J973" s="9" t="e">
        <f>VLOOKUP($B973,#REF!,6,FALSE)</f>
        <v>#REF!</v>
      </c>
      <c r="L973" s="1">
        <v>44655.357638885762</v>
      </c>
      <c r="M973" s="13"/>
    </row>
    <row r="974" spans="2:13">
      <c r="B974" s="5"/>
      <c r="C974" s="6" t="e">
        <f>VLOOKUP($B974,#REF!,5,FALSE)</f>
        <v>#REF!</v>
      </c>
      <c r="D974" s="6" t="e">
        <f>VLOOKUP($B974,#REF!,6,FALSE)</f>
        <v>#REF!</v>
      </c>
      <c r="E974" s="7" t="e">
        <f>VLOOKUP($B974,#REF!,17,FALSE)</f>
        <v>#REF!</v>
      </c>
      <c r="F974" s="8" t="e">
        <f>VLOOKUP($B974,#REF!,7,FALSE)</f>
        <v>#REF!</v>
      </c>
      <c r="G974" s="8"/>
      <c r="H974" s="8"/>
      <c r="I974" s="9" t="e">
        <f>VLOOKUP($B974,#REF!,19,FALSE)</f>
        <v>#REF!</v>
      </c>
      <c r="J974" s="9" t="e">
        <f>VLOOKUP($B974,#REF!,6,FALSE)</f>
        <v>#REF!</v>
      </c>
      <c r="L974" s="1">
        <v>44655.361111107981</v>
      </c>
      <c r="M974" s="13"/>
    </row>
    <row r="975" spans="2:13">
      <c r="B975" s="5"/>
      <c r="C975" s="6" t="e">
        <f>VLOOKUP($B975,#REF!,5,FALSE)</f>
        <v>#REF!</v>
      </c>
      <c r="D975" s="6" t="e">
        <f>VLOOKUP($B975,#REF!,6,FALSE)</f>
        <v>#REF!</v>
      </c>
      <c r="E975" s="7" t="e">
        <f>VLOOKUP($B975,#REF!,17,FALSE)</f>
        <v>#REF!</v>
      </c>
      <c r="F975" s="8" t="e">
        <f>VLOOKUP($B975,#REF!,7,FALSE)</f>
        <v>#REF!</v>
      </c>
      <c r="G975" s="8"/>
      <c r="H975" s="8"/>
      <c r="I975" s="9" t="e">
        <f>VLOOKUP($B975,#REF!,19,FALSE)</f>
        <v>#REF!</v>
      </c>
      <c r="J975" s="9" t="e">
        <f>VLOOKUP($B975,#REF!,6,FALSE)</f>
        <v>#REF!</v>
      </c>
      <c r="L975" s="1">
        <v>44655.3645833302</v>
      </c>
      <c r="M975" s="13"/>
    </row>
    <row r="976" spans="2:13">
      <c r="B976" s="5"/>
      <c r="C976" s="6" t="e">
        <f>VLOOKUP($B976,#REF!,5,FALSE)</f>
        <v>#REF!</v>
      </c>
      <c r="D976" s="6" t="e">
        <f>VLOOKUP($B976,#REF!,6,FALSE)</f>
        <v>#REF!</v>
      </c>
      <c r="E976" s="7" t="e">
        <f>VLOOKUP($B976,#REF!,17,FALSE)</f>
        <v>#REF!</v>
      </c>
      <c r="F976" s="8" t="e">
        <f>VLOOKUP($B976,#REF!,7,FALSE)</f>
        <v>#REF!</v>
      </c>
      <c r="G976" s="8"/>
      <c r="H976" s="8"/>
      <c r="I976" s="9" t="e">
        <f>VLOOKUP($B976,#REF!,19,FALSE)</f>
        <v>#REF!</v>
      </c>
      <c r="J976" s="9" t="e">
        <f>VLOOKUP($B976,#REF!,6,FALSE)</f>
        <v>#REF!</v>
      </c>
      <c r="L976" s="1">
        <v>44655.368055552419</v>
      </c>
      <c r="M976" s="13"/>
    </row>
    <row r="977" spans="2:13">
      <c r="B977" s="5"/>
      <c r="C977" s="6" t="e">
        <f>VLOOKUP($B977,#REF!,5,FALSE)</f>
        <v>#REF!</v>
      </c>
      <c r="D977" s="6" t="e">
        <f>VLOOKUP($B977,#REF!,6,FALSE)</f>
        <v>#REF!</v>
      </c>
      <c r="E977" s="7" t="e">
        <f>VLOOKUP($B977,#REF!,17,FALSE)</f>
        <v>#REF!</v>
      </c>
      <c r="F977" s="8" t="e">
        <f>VLOOKUP($B977,#REF!,7,FALSE)</f>
        <v>#REF!</v>
      </c>
      <c r="G977" s="8"/>
      <c r="H977" s="8"/>
      <c r="I977" s="9" t="e">
        <f>VLOOKUP($B977,#REF!,19,FALSE)</f>
        <v>#REF!</v>
      </c>
      <c r="J977" s="9" t="e">
        <f>VLOOKUP($B977,#REF!,6,FALSE)</f>
        <v>#REF!</v>
      </c>
      <c r="L977" s="1">
        <v>44655.371527774638</v>
      </c>
      <c r="M977" s="13"/>
    </row>
    <row r="978" spans="2:13">
      <c r="B978" s="5"/>
      <c r="C978" s="6" t="e">
        <f>VLOOKUP($B978,#REF!,5,FALSE)</f>
        <v>#REF!</v>
      </c>
      <c r="D978" s="6" t="e">
        <f>VLOOKUP($B978,#REF!,6,FALSE)</f>
        <v>#REF!</v>
      </c>
      <c r="E978" s="7" t="e">
        <f>VLOOKUP($B978,#REF!,17,FALSE)</f>
        <v>#REF!</v>
      </c>
      <c r="F978" s="8" t="e">
        <f>VLOOKUP($B978,#REF!,7,FALSE)</f>
        <v>#REF!</v>
      </c>
      <c r="G978" s="8"/>
      <c r="H978" s="8"/>
      <c r="I978" s="9" t="e">
        <f>VLOOKUP($B978,#REF!,19,FALSE)</f>
        <v>#REF!</v>
      </c>
      <c r="J978" s="9" t="e">
        <f>VLOOKUP($B978,#REF!,6,FALSE)</f>
        <v>#REF!</v>
      </c>
      <c r="L978" s="1">
        <v>44655.374999996857</v>
      </c>
      <c r="M978" s="13"/>
    </row>
    <row r="979" spans="2:13">
      <c r="B979" s="5"/>
      <c r="C979" s="6" t="e">
        <f>VLOOKUP($B979,#REF!,5,FALSE)</f>
        <v>#REF!</v>
      </c>
      <c r="D979" s="6" t="e">
        <f>VLOOKUP($B979,#REF!,6,FALSE)</f>
        <v>#REF!</v>
      </c>
      <c r="E979" s="7" t="e">
        <f>VLOOKUP($B979,#REF!,17,FALSE)</f>
        <v>#REF!</v>
      </c>
      <c r="F979" s="8" t="e">
        <f>VLOOKUP($B979,#REF!,7,FALSE)</f>
        <v>#REF!</v>
      </c>
      <c r="G979" s="8"/>
      <c r="H979" s="8"/>
      <c r="I979" s="9" t="e">
        <f>VLOOKUP($B979,#REF!,19,FALSE)</f>
        <v>#REF!</v>
      </c>
      <c r="J979" s="9" t="e">
        <f>VLOOKUP($B979,#REF!,6,FALSE)</f>
        <v>#REF!</v>
      </c>
      <c r="L979" s="1">
        <v>44655.378472219076</v>
      </c>
      <c r="M979" s="13"/>
    </row>
    <row r="980" spans="2:13">
      <c r="B980" s="5"/>
      <c r="C980" s="6" t="e">
        <f>VLOOKUP($B980,#REF!,5,FALSE)</f>
        <v>#REF!</v>
      </c>
      <c r="D980" s="6" t="e">
        <f>VLOOKUP($B980,#REF!,6,FALSE)</f>
        <v>#REF!</v>
      </c>
      <c r="E980" s="7" t="e">
        <f>VLOOKUP($B980,#REF!,17,FALSE)</f>
        <v>#REF!</v>
      </c>
      <c r="F980" s="8" t="e">
        <f>VLOOKUP($B980,#REF!,7,FALSE)</f>
        <v>#REF!</v>
      </c>
      <c r="G980" s="8"/>
      <c r="H980" s="8"/>
      <c r="I980" s="9" t="e">
        <f>VLOOKUP($B980,#REF!,19,FALSE)</f>
        <v>#REF!</v>
      </c>
      <c r="J980" s="9" t="e">
        <f>VLOOKUP($B980,#REF!,6,FALSE)</f>
        <v>#REF!</v>
      </c>
      <c r="L980" s="1">
        <v>44655.381944441295</v>
      </c>
      <c r="M980" s="13"/>
    </row>
    <row r="981" spans="2:13">
      <c r="B981" s="5"/>
      <c r="C981" s="6" t="e">
        <f>VLOOKUP($B981,#REF!,5,FALSE)</f>
        <v>#REF!</v>
      </c>
      <c r="D981" s="6" t="e">
        <f>VLOOKUP($B981,#REF!,6,FALSE)</f>
        <v>#REF!</v>
      </c>
      <c r="E981" s="7" t="e">
        <f>VLOOKUP($B981,#REF!,17,FALSE)</f>
        <v>#REF!</v>
      </c>
      <c r="F981" s="8" t="e">
        <f>VLOOKUP($B981,#REF!,7,FALSE)</f>
        <v>#REF!</v>
      </c>
      <c r="G981" s="8"/>
      <c r="H981" s="8"/>
      <c r="I981" s="9" t="e">
        <f>VLOOKUP($B981,#REF!,19,FALSE)</f>
        <v>#REF!</v>
      </c>
      <c r="J981" s="9" t="e">
        <f>VLOOKUP($B981,#REF!,6,FALSE)</f>
        <v>#REF!</v>
      </c>
      <c r="L981" s="1">
        <v>44655.385416663514</v>
      </c>
      <c r="M981" s="13"/>
    </row>
    <row r="982" spans="2:13">
      <c r="B982" s="5"/>
      <c r="C982" s="6" t="e">
        <f>VLOOKUP($B982,#REF!,5,FALSE)</f>
        <v>#REF!</v>
      </c>
      <c r="D982" s="6" t="e">
        <f>VLOOKUP($B982,#REF!,6,FALSE)</f>
        <v>#REF!</v>
      </c>
      <c r="E982" s="7" t="e">
        <f>VLOOKUP($B982,#REF!,17,FALSE)</f>
        <v>#REF!</v>
      </c>
      <c r="F982" s="8" t="e">
        <f>VLOOKUP($B982,#REF!,7,FALSE)</f>
        <v>#REF!</v>
      </c>
      <c r="G982" s="8"/>
      <c r="H982" s="8"/>
      <c r="I982" s="9" t="e">
        <f>VLOOKUP($B982,#REF!,19,FALSE)</f>
        <v>#REF!</v>
      </c>
      <c r="J982" s="9" t="e">
        <f>VLOOKUP($B982,#REF!,6,FALSE)</f>
        <v>#REF!</v>
      </c>
      <c r="L982" s="1">
        <v>44655.388888885733</v>
      </c>
      <c r="M982" s="13"/>
    </row>
    <row r="983" spans="2:13">
      <c r="B983" s="5"/>
      <c r="C983" s="6" t="e">
        <f>VLOOKUP($B983,#REF!,5,FALSE)</f>
        <v>#REF!</v>
      </c>
      <c r="D983" s="6" t="e">
        <f>VLOOKUP($B983,#REF!,6,FALSE)</f>
        <v>#REF!</v>
      </c>
      <c r="E983" s="7" t="e">
        <f>VLOOKUP($B983,#REF!,17,FALSE)</f>
        <v>#REF!</v>
      </c>
      <c r="F983" s="8" t="e">
        <f>VLOOKUP($B983,#REF!,7,FALSE)</f>
        <v>#REF!</v>
      </c>
      <c r="G983" s="8"/>
      <c r="H983" s="8"/>
      <c r="I983" s="9" t="e">
        <f>VLOOKUP($B983,#REF!,19,FALSE)</f>
        <v>#REF!</v>
      </c>
      <c r="J983" s="9" t="e">
        <f>VLOOKUP($B983,#REF!,6,FALSE)</f>
        <v>#REF!</v>
      </c>
      <c r="L983" s="1">
        <v>44655.392361107952</v>
      </c>
      <c r="M983" s="13"/>
    </row>
    <row r="984" spans="2:13">
      <c r="B984" s="5"/>
      <c r="C984" s="6" t="e">
        <f>VLOOKUP($B984,#REF!,5,FALSE)</f>
        <v>#REF!</v>
      </c>
      <c r="D984" s="6" t="e">
        <f>VLOOKUP($B984,#REF!,6,FALSE)</f>
        <v>#REF!</v>
      </c>
      <c r="E984" s="7" t="e">
        <f>VLOOKUP($B984,#REF!,17,FALSE)</f>
        <v>#REF!</v>
      </c>
      <c r="F984" s="8" t="e">
        <f>VLOOKUP($B984,#REF!,7,FALSE)</f>
        <v>#REF!</v>
      </c>
      <c r="G984" s="8"/>
      <c r="H984" s="8"/>
      <c r="I984" s="9" t="e">
        <f>VLOOKUP($B984,#REF!,19,FALSE)</f>
        <v>#REF!</v>
      </c>
      <c r="J984" s="9" t="e">
        <f>VLOOKUP($B984,#REF!,6,FALSE)</f>
        <v>#REF!</v>
      </c>
      <c r="L984" s="1">
        <v>44655.395833330171</v>
      </c>
      <c r="M984" s="13"/>
    </row>
    <row r="985" spans="2:13">
      <c r="B985" s="5"/>
      <c r="C985" s="6" t="e">
        <f>VLOOKUP($B985,#REF!,5,FALSE)</f>
        <v>#REF!</v>
      </c>
      <c r="D985" s="6" t="e">
        <f>VLOOKUP($B985,#REF!,6,FALSE)</f>
        <v>#REF!</v>
      </c>
      <c r="E985" s="7" t="e">
        <f>VLOOKUP($B985,#REF!,17,FALSE)</f>
        <v>#REF!</v>
      </c>
      <c r="F985" s="8" t="e">
        <f>VLOOKUP($B985,#REF!,7,FALSE)</f>
        <v>#REF!</v>
      </c>
      <c r="G985" s="8"/>
      <c r="H985" s="8"/>
      <c r="I985" s="9" t="e">
        <f>VLOOKUP($B985,#REF!,19,FALSE)</f>
        <v>#REF!</v>
      </c>
      <c r="J985" s="9" t="e">
        <f>VLOOKUP($B985,#REF!,6,FALSE)</f>
        <v>#REF!</v>
      </c>
      <c r="L985" s="1">
        <v>44655.39930555239</v>
      </c>
      <c r="M985" s="13"/>
    </row>
    <row r="986" spans="2:13">
      <c r="B986" s="5"/>
      <c r="C986" s="6" t="e">
        <f>VLOOKUP($B986,#REF!,5,FALSE)</f>
        <v>#REF!</v>
      </c>
      <c r="D986" s="6" t="e">
        <f>VLOOKUP($B986,#REF!,6,FALSE)</f>
        <v>#REF!</v>
      </c>
      <c r="E986" s="7" t="e">
        <f>VLOOKUP($B986,#REF!,17,FALSE)</f>
        <v>#REF!</v>
      </c>
      <c r="F986" s="8" t="e">
        <f>VLOOKUP($B986,#REF!,7,FALSE)</f>
        <v>#REF!</v>
      </c>
      <c r="G986" s="8"/>
      <c r="H986" s="8"/>
      <c r="I986" s="9" t="e">
        <f>VLOOKUP($B986,#REF!,19,FALSE)</f>
        <v>#REF!</v>
      </c>
      <c r="J986" s="9" t="e">
        <f>VLOOKUP($B986,#REF!,6,FALSE)</f>
        <v>#REF!</v>
      </c>
      <c r="L986" s="1">
        <v>44655.402777774609</v>
      </c>
      <c r="M986" s="13"/>
    </row>
    <row r="987" spans="2:13">
      <c r="B987" s="5"/>
      <c r="C987" s="6" t="e">
        <f>VLOOKUP($B987,#REF!,5,FALSE)</f>
        <v>#REF!</v>
      </c>
      <c r="D987" s="6" t="e">
        <f>VLOOKUP($B987,#REF!,6,FALSE)</f>
        <v>#REF!</v>
      </c>
      <c r="E987" s="7" t="e">
        <f>VLOOKUP($B987,#REF!,17,FALSE)</f>
        <v>#REF!</v>
      </c>
      <c r="F987" s="8" t="e">
        <f>VLOOKUP($B987,#REF!,7,FALSE)</f>
        <v>#REF!</v>
      </c>
      <c r="G987" s="8"/>
      <c r="H987" s="8"/>
      <c r="I987" s="9" t="e">
        <f>VLOOKUP($B987,#REF!,19,FALSE)</f>
        <v>#REF!</v>
      </c>
      <c r="J987" s="9" t="e">
        <f>VLOOKUP($B987,#REF!,6,FALSE)</f>
        <v>#REF!</v>
      </c>
      <c r="L987" s="1">
        <v>44655.406249996828</v>
      </c>
      <c r="M987" s="13"/>
    </row>
    <row r="988" spans="2:13">
      <c r="B988" s="5"/>
      <c r="C988" s="6" t="e">
        <f>VLOOKUP($B988,#REF!,5,FALSE)</f>
        <v>#REF!</v>
      </c>
      <c r="D988" s="6" t="e">
        <f>VLOOKUP($B988,#REF!,6,FALSE)</f>
        <v>#REF!</v>
      </c>
      <c r="E988" s="7" t="e">
        <f>VLOOKUP($B988,#REF!,17,FALSE)</f>
        <v>#REF!</v>
      </c>
      <c r="F988" s="8" t="e">
        <f>VLOOKUP($B988,#REF!,7,FALSE)</f>
        <v>#REF!</v>
      </c>
      <c r="G988" s="8"/>
      <c r="H988" s="8"/>
      <c r="I988" s="9" t="e">
        <f>VLOOKUP($B988,#REF!,19,FALSE)</f>
        <v>#REF!</v>
      </c>
      <c r="J988" s="9" t="e">
        <f>VLOOKUP($B988,#REF!,6,FALSE)</f>
        <v>#REF!</v>
      </c>
      <c r="L988" s="1">
        <v>44655.409722219047</v>
      </c>
      <c r="M988" s="13"/>
    </row>
    <row r="989" spans="2:13">
      <c r="B989" s="5"/>
      <c r="C989" s="6" t="e">
        <f>VLOOKUP($B989,#REF!,5,FALSE)</f>
        <v>#REF!</v>
      </c>
      <c r="D989" s="6" t="e">
        <f>VLOOKUP($B989,#REF!,6,FALSE)</f>
        <v>#REF!</v>
      </c>
      <c r="E989" s="7" t="e">
        <f>VLOOKUP($B989,#REF!,17,FALSE)</f>
        <v>#REF!</v>
      </c>
      <c r="F989" s="8" t="e">
        <f>VLOOKUP($B989,#REF!,7,FALSE)</f>
        <v>#REF!</v>
      </c>
      <c r="G989" s="8"/>
      <c r="H989" s="8"/>
      <c r="I989" s="9" t="e">
        <f>VLOOKUP($B989,#REF!,19,FALSE)</f>
        <v>#REF!</v>
      </c>
      <c r="J989" s="9" t="e">
        <f>VLOOKUP($B989,#REF!,6,FALSE)</f>
        <v>#REF!</v>
      </c>
      <c r="L989" s="1">
        <v>44655.413194441266</v>
      </c>
      <c r="M989" s="13"/>
    </row>
    <row r="990" spans="2:13">
      <c r="B990" s="5"/>
      <c r="C990" s="6" t="e">
        <f>VLOOKUP($B990,#REF!,5,FALSE)</f>
        <v>#REF!</v>
      </c>
      <c r="D990" s="6" t="e">
        <f>VLOOKUP($B990,#REF!,6,FALSE)</f>
        <v>#REF!</v>
      </c>
      <c r="E990" s="7" t="e">
        <f>VLOOKUP($B990,#REF!,17,FALSE)</f>
        <v>#REF!</v>
      </c>
      <c r="F990" s="8" t="e">
        <f>VLOOKUP($B990,#REF!,7,FALSE)</f>
        <v>#REF!</v>
      </c>
      <c r="G990" s="8"/>
      <c r="H990" s="8"/>
      <c r="I990" s="9" t="e">
        <f>VLOOKUP($B990,#REF!,19,FALSE)</f>
        <v>#REF!</v>
      </c>
      <c r="J990" s="9" t="e">
        <f>VLOOKUP($B990,#REF!,6,FALSE)</f>
        <v>#REF!</v>
      </c>
      <c r="L990" s="1">
        <v>44655.416666663485</v>
      </c>
      <c r="M990" s="13"/>
    </row>
    <row r="991" spans="2:13">
      <c r="B991" s="5"/>
      <c r="C991" s="6" t="e">
        <f>VLOOKUP($B991,#REF!,5,FALSE)</f>
        <v>#REF!</v>
      </c>
      <c r="D991" s="6" t="e">
        <f>VLOOKUP($B991,#REF!,6,FALSE)</f>
        <v>#REF!</v>
      </c>
      <c r="E991" s="7" t="e">
        <f>VLOOKUP($B991,#REF!,17,FALSE)</f>
        <v>#REF!</v>
      </c>
      <c r="F991" s="8" t="e">
        <f>VLOOKUP($B991,#REF!,7,FALSE)</f>
        <v>#REF!</v>
      </c>
      <c r="G991" s="8"/>
      <c r="H991" s="8"/>
      <c r="I991" s="9" t="e">
        <f>VLOOKUP($B991,#REF!,19,FALSE)</f>
        <v>#REF!</v>
      </c>
      <c r="J991" s="9" t="e">
        <f>VLOOKUP($B991,#REF!,6,FALSE)</f>
        <v>#REF!</v>
      </c>
      <c r="L991" s="1">
        <v>44655.420138885704</v>
      </c>
      <c r="M991" s="13"/>
    </row>
    <row r="992" spans="2:13">
      <c r="B992" s="5"/>
      <c r="C992" s="6" t="e">
        <f>VLOOKUP($B992,#REF!,5,FALSE)</f>
        <v>#REF!</v>
      </c>
      <c r="D992" s="6" t="e">
        <f>VLOOKUP($B992,#REF!,6,FALSE)</f>
        <v>#REF!</v>
      </c>
      <c r="E992" s="7" t="e">
        <f>VLOOKUP($B992,#REF!,17,FALSE)</f>
        <v>#REF!</v>
      </c>
      <c r="F992" s="8" t="e">
        <f>VLOOKUP($B992,#REF!,7,FALSE)</f>
        <v>#REF!</v>
      </c>
      <c r="G992" s="8"/>
      <c r="H992" s="8"/>
      <c r="I992" s="9" t="e">
        <f>VLOOKUP($B992,#REF!,19,FALSE)</f>
        <v>#REF!</v>
      </c>
      <c r="J992" s="9" t="e">
        <f>VLOOKUP($B992,#REF!,6,FALSE)</f>
        <v>#REF!</v>
      </c>
      <c r="L992" s="1">
        <v>44655.423611107923</v>
      </c>
      <c r="M992" s="13"/>
    </row>
    <row r="993" spans="2:13">
      <c r="B993" s="5"/>
      <c r="C993" s="6" t="e">
        <f>VLOOKUP($B993,#REF!,5,FALSE)</f>
        <v>#REF!</v>
      </c>
      <c r="D993" s="6" t="e">
        <f>VLOOKUP($B993,#REF!,6,FALSE)</f>
        <v>#REF!</v>
      </c>
      <c r="E993" s="7" t="e">
        <f>VLOOKUP($B993,#REF!,17,FALSE)</f>
        <v>#REF!</v>
      </c>
      <c r="F993" s="8" t="e">
        <f>VLOOKUP($B993,#REF!,7,FALSE)</f>
        <v>#REF!</v>
      </c>
      <c r="G993" s="8"/>
      <c r="H993" s="8"/>
      <c r="I993" s="9" t="e">
        <f>VLOOKUP($B993,#REF!,19,FALSE)</f>
        <v>#REF!</v>
      </c>
      <c r="J993" s="9" t="e">
        <f>VLOOKUP($B993,#REF!,6,FALSE)</f>
        <v>#REF!</v>
      </c>
      <c r="L993" s="1">
        <v>44655.427083330142</v>
      </c>
      <c r="M993" s="13"/>
    </row>
    <row r="994" spans="2:13">
      <c r="B994" s="5"/>
      <c r="C994" s="6" t="e">
        <f>VLOOKUP($B994,#REF!,5,FALSE)</f>
        <v>#REF!</v>
      </c>
      <c r="D994" s="6" t="e">
        <f>VLOOKUP($B994,#REF!,6,FALSE)</f>
        <v>#REF!</v>
      </c>
      <c r="E994" s="7" t="e">
        <f>VLOOKUP($B994,#REF!,17,FALSE)</f>
        <v>#REF!</v>
      </c>
      <c r="F994" s="8" t="e">
        <f>VLOOKUP($B994,#REF!,7,FALSE)</f>
        <v>#REF!</v>
      </c>
      <c r="G994" s="8"/>
      <c r="H994" s="8"/>
      <c r="I994" s="9" t="e">
        <f>VLOOKUP($B994,#REF!,19,FALSE)</f>
        <v>#REF!</v>
      </c>
      <c r="J994" s="9" t="e">
        <f>VLOOKUP($B994,#REF!,6,FALSE)</f>
        <v>#REF!</v>
      </c>
      <c r="L994" s="1">
        <v>44655.430555552361</v>
      </c>
      <c r="M994" s="13"/>
    </row>
    <row r="995" spans="2:13">
      <c r="B995" s="5"/>
      <c r="C995" s="6" t="e">
        <f>VLOOKUP($B995,#REF!,5,FALSE)</f>
        <v>#REF!</v>
      </c>
      <c r="D995" s="6" t="e">
        <f>VLOOKUP($B995,#REF!,6,FALSE)</f>
        <v>#REF!</v>
      </c>
      <c r="E995" s="7" t="e">
        <f>VLOOKUP($B995,#REF!,17,FALSE)</f>
        <v>#REF!</v>
      </c>
      <c r="F995" s="8" t="e">
        <f>VLOOKUP($B995,#REF!,7,FALSE)</f>
        <v>#REF!</v>
      </c>
      <c r="G995" s="8"/>
      <c r="H995" s="8"/>
      <c r="I995" s="9" t="e">
        <f>VLOOKUP($B995,#REF!,19,FALSE)</f>
        <v>#REF!</v>
      </c>
      <c r="J995" s="9" t="e">
        <f>VLOOKUP($B995,#REF!,6,FALSE)</f>
        <v>#REF!</v>
      </c>
      <c r="L995" s="1">
        <v>44655.43402777458</v>
      </c>
      <c r="M995" s="13"/>
    </row>
    <row r="996" spans="2:13">
      <c r="B996" s="5"/>
      <c r="C996" s="6" t="e">
        <f>VLOOKUP($B996,#REF!,5,FALSE)</f>
        <v>#REF!</v>
      </c>
      <c r="D996" s="6" t="e">
        <f>VLOOKUP($B996,#REF!,6,FALSE)</f>
        <v>#REF!</v>
      </c>
      <c r="E996" s="7" t="e">
        <f>VLOOKUP($B996,#REF!,17,FALSE)</f>
        <v>#REF!</v>
      </c>
      <c r="F996" s="8" t="e">
        <f>VLOOKUP($B996,#REF!,7,FALSE)</f>
        <v>#REF!</v>
      </c>
      <c r="G996" s="8"/>
      <c r="H996" s="8"/>
      <c r="I996" s="9" t="e">
        <f>VLOOKUP($B996,#REF!,19,FALSE)</f>
        <v>#REF!</v>
      </c>
      <c r="J996" s="9" t="e">
        <f>VLOOKUP($B996,#REF!,6,FALSE)</f>
        <v>#REF!</v>
      </c>
      <c r="L996" s="1">
        <v>44655.437499996799</v>
      </c>
      <c r="M996" s="13"/>
    </row>
    <row r="997" spans="2:13">
      <c r="B997" s="5"/>
      <c r="C997" s="6" t="e">
        <f>VLOOKUP($B997,#REF!,5,FALSE)</f>
        <v>#REF!</v>
      </c>
      <c r="D997" s="6" t="e">
        <f>VLOOKUP($B997,#REF!,6,FALSE)</f>
        <v>#REF!</v>
      </c>
      <c r="E997" s="7" t="e">
        <f>VLOOKUP($B997,#REF!,17,FALSE)</f>
        <v>#REF!</v>
      </c>
      <c r="F997" s="8" t="e">
        <f>VLOOKUP($B997,#REF!,7,FALSE)</f>
        <v>#REF!</v>
      </c>
      <c r="G997" s="8"/>
      <c r="H997" s="8"/>
      <c r="I997" s="9" t="e">
        <f>VLOOKUP($B997,#REF!,19,FALSE)</f>
        <v>#REF!</v>
      </c>
      <c r="J997" s="9" t="e">
        <f>VLOOKUP($B997,#REF!,6,FALSE)</f>
        <v>#REF!</v>
      </c>
      <c r="L997" s="1">
        <v>44655.440972219018</v>
      </c>
      <c r="M997" s="13"/>
    </row>
    <row r="998" spans="2:13">
      <c r="B998" s="5"/>
      <c r="C998" s="6" t="e">
        <f>VLOOKUP($B998,#REF!,5,FALSE)</f>
        <v>#REF!</v>
      </c>
      <c r="D998" s="6" t="e">
        <f>VLOOKUP($B998,#REF!,6,FALSE)</f>
        <v>#REF!</v>
      </c>
      <c r="E998" s="7" t="e">
        <f>VLOOKUP($B998,#REF!,17,FALSE)</f>
        <v>#REF!</v>
      </c>
      <c r="F998" s="8" t="e">
        <f>VLOOKUP($B998,#REF!,7,FALSE)</f>
        <v>#REF!</v>
      </c>
      <c r="G998" s="8"/>
      <c r="H998" s="8"/>
      <c r="I998" s="9" t="e">
        <f>VLOOKUP($B998,#REF!,19,FALSE)</f>
        <v>#REF!</v>
      </c>
      <c r="J998" s="9" t="e">
        <f>VLOOKUP($B998,#REF!,6,FALSE)</f>
        <v>#REF!</v>
      </c>
      <c r="L998" s="1">
        <v>44655.444444441237</v>
      </c>
      <c r="M998" s="13"/>
    </row>
    <row r="999" spans="2:13">
      <c r="B999" s="5"/>
      <c r="C999" s="6" t="e">
        <f>VLOOKUP($B999,#REF!,5,FALSE)</f>
        <v>#REF!</v>
      </c>
      <c r="D999" s="6" t="e">
        <f>VLOOKUP($B999,#REF!,6,FALSE)</f>
        <v>#REF!</v>
      </c>
      <c r="E999" s="7" t="e">
        <f>VLOOKUP($B999,#REF!,17,FALSE)</f>
        <v>#REF!</v>
      </c>
      <c r="F999" s="8" t="e">
        <f>VLOOKUP($B999,#REF!,7,FALSE)</f>
        <v>#REF!</v>
      </c>
      <c r="G999" s="8"/>
      <c r="H999" s="8"/>
      <c r="I999" s="9" t="e">
        <f>VLOOKUP($B999,#REF!,19,FALSE)</f>
        <v>#REF!</v>
      </c>
      <c r="J999" s="9" t="e">
        <f>VLOOKUP($B999,#REF!,6,FALSE)</f>
        <v>#REF!</v>
      </c>
      <c r="L999" s="1">
        <v>44655.447916663456</v>
      </c>
      <c r="M999" s="13"/>
    </row>
    <row r="1000" spans="2:13">
      <c r="B1000" s="5"/>
      <c r="C1000" s="6" t="e">
        <f>VLOOKUP($B1000,#REF!,5,FALSE)</f>
        <v>#REF!</v>
      </c>
      <c r="D1000" s="6" t="e">
        <f>VLOOKUP($B1000,#REF!,6,FALSE)</f>
        <v>#REF!</v>
      </c>
      <c r="E1000" s="7" t="e">
        <f>VLOOKUP($B1000,#REF!,17,FALSE)</f>
        <v>#REF!</v>
      </c>
      <c r="F1000" s="8" t="e">
        <f>VLOOKUP($B1000,#REF!,7,FALSE)</f>
        <v>#REF!</v>
      </c>
      <c r="G1000" s="8"/>
      <c r="H1000" s="8"/>
      <c r="I1000" s="9" t="e">
        <f>VLOOKUP($B1000,#REF!,19,FALSE)</f>
        <v>#REF!</v>
      </c>
      <c r="J1000" s="9" t="e">
        <f>VLOOKUP($B1000,#REF!,6,FALSE)</f>
        <v>#REF!</v>
      </c>
      <c r="L1000" s="1">
        <v>44655.451388885675</v>
      </c>
      <c r="M1000" s="13"/>
    </row>
    <row r="1001" spans="2:13">
      <c r="B1001" s="5"/>
      <c r="C1001" s="6" t="e">
        <f>VLOOKUP($B1001,#REF!,5,FALSE)</f>
        <v>#REF!</v>
      </c>
      <c r="D1001" s="6" t="e">
        <f>VLOOKUP($B1001,#REF!,6,FALSE)</f>
        <v>#REF!</v>
      </c>
      <c r="E1001" s="7" t="e">
        <f>VLOOKUP($B1001,#REF!,17,FALSE)</f>
        <v>#REF!</v>
      </c>
      <c r="F1001" s="8" t="e">
        <f>VLOOKUP($B1001,#REF!,7,FALSE)</f>
        <v>#REF!</v>
      </c>
      <c r="G1001" s="8"/>
      <c r="H1001" s="8"/>
      <c r="I1001" s="9" t="e">
        <f>VLOOKUP($B1001,#REF!,19,FALSE)</f>
        <v>#REF!</v>
      </c>
      <c r="J1001" s="9" t="e">
        <f>VLOOKUP($B1001,#REF!,6,FALSE)</f>
        <v>#REF!</v>
      </c>
      <c r="L1001" s="1">
        <v>44655.454861107894</v>
      </c>
      <c r="M1001" s="13"/>
    </row>
    <row r="1002" spans="2:13">
      <c r="B1002" s="5"/>
      <c r="C1002" s="6" t="e">
        <f>VLOOKUP($B1002,#REF!,5,FALSE)</f>
        <v>#REF!</v>
      </c>
      <c r="D1002" s="6" t="e">
        <f>VLOOKUP($B1002,#REF!,6,FALSE)</f>
        <v>#REF!</v>
      </c>
      <c r="E1002" s="7" t="e">
        <f>VLOOKUP($B1002,#REF!,17,FALSE)</f>
        <v>#REF!</v>
      </c>
      <c r="F1002" s="8" t="e">
        <f>VLOOKUP($B1002,#REF!,7,FALSE)</f>
        <v>#REF!</v>
      </c>
      <c r="G1002" s="8"/>
      <c r="H1002" s="8"/>
      <c r="I1002" s="9" t="e">
        <f>VLOOKUP($B1002,#REF!,19,FALSE)</f>
        <v>#REF!</v>
      </c>
      <c r="J1002" s="9" t="e">
        <f>VLOOKUP($B1002,#REF!,6,FALSE)</f>
        <v>#REF!</v>
      </c>
      <c r="L1002" s="1">
        <v>44655.458333330113</v>
      </c>
      <c r="M1002" s="13"/>
    </row>
    <row r="1003" spans="2:13">
      <c r="B1003" s="5"/>
      <c r="C1003" s="6" t="e">
        <f>VLOOKUP($B1003,#REF!,5,FALSE)</f>
        <v>#REF!</v>
      </c>
      <c r="D1003" s="6" t="e">
        <f>VLOOKUP($B1003,#REF!,6,FALSE)</f>
        <v>#REF!</v>
      </c>
      <c r="E1003" s="7" t="e">
        <f>VLOOKUP($B1003,#REF!,17,FALSE)</f>
        <v>#REF!</v>
      </c>
      <c r="F1003" s="8" t="e">
        <f>VLOOKUP($B1003,#REF!,7,FALSE)</f>
        <v>#REF!</v>
      </c>
      <c r="G1003" s="8"/>
      <c r="H1003" s="8"/>
      <c r="I1003" s="9" t="e">
        <f>VLOOKUP($B1003,#REF!,19,FALSE)</f>
        <v>#REF!</v>
      </c>
      <c r="J1003" s="9" t="e">
        <f>VLOOKUP($B1003,#REF!,6,FALSE)</f>
        <v>#REF!</v>
      </c>
      <c r="L1003" s="1">
        <v>44655.461805552331</v>
      </c>
      <c r="M1003" s="13"/>
    </row>
    <row r="1004" spans="2:13">
      <c r="B1004" s="5"/>
      <c r="C1004" s="6" t="e">
        <f>VLOOKUP($B1004,#REF!,5,FALSE)</f>
        <v>#REF!</v>
      </c>
      <c r="D1004" s="6" t="e">
        <f>VLOOKUP($B1004,#REF!,6,FALSE)</f>
        <v>#REF!</v>
      </c>
      <c r="E1004" s="7" t="e">
        <f>VLOOKUP($B1004,#REF!,17,FALSE)</f>
        <v>#REF!</v>
      </c>
      <c r="F1004" s="8" t="e">
        <f>VLOOKUP($B1004,#REF!,7,FALSE)</f>
        <v>#REF!</v>
      </c>
      <c r="G1004" s="8"/>
      <c r="H1004" s="8"/>
      <c r="I1004" s="9" t="e">
        <f>VLOOKUP($B1004,#REF!,19,FALSE)</f>
        <v>#REF!</v>
      </c>
      <c r="J1004" s="9" t="e">
        <f>VLOOKUP($B1004,#REF!,6,FALSE)</f>
        <v>#REF!</v>
      </c>
      <c r="L1004" s="1">
        <v>44655.46527777455</v>
      </c>
      <c r="M1004" s="13"/>
    </row>
    <row r="1005" spans="2:13">
      <c r="B1005" s="5"/>
      <c r="C1005" s="6" t="e">
        <f>VLOOKUP($B1005,#REF!,5,FALSE)</f>
        <v>#REF!</v>
      </c>
      <c r="D1005" s="6" t="e">
        <f>VLOOKUP($B1005,#REF!,6,FALSE)</f>
        <v>#REF!</v>
      </c>
      <c r="E1005" s="7" t="e">
        <f>VLOOKUP($B1005,#REF!,17,FALSE)</f>
        <v>#REF!</v>
      </c>
      <c r="F1005" s="8" t="e">
        <f>VLOOKUP($B1005,#REF!,7,FALSE)</f>
        <v>#REF!</v>
      </c>
      <c r="G1005" s="8"/>
      <c r="H1005" s="8"/>
      <c r="I1005" s="9" t="e">
        <f>VLOOKUP($B1005,#REF!,19,FALSE)</f>
        <v>#REF!</v>
      </c>
      <c r="J1005" s="9" t="e">
        <f>VLOOKUP($B1005,#REF!,6,FALSE)</f>
        <v>#REF!</v>
      </c>
      <c r="L1005" s="1">
        <v>44655.468749996769</v>
      </c>
      <c r="M1005" s="13"/>
    </row>
    <row r="1006" spans="2:13">
      <c r="B1006" s="5"/>
      <c r="C1006" s="6" t="e">
        <f>VLOOKUP($B1006,#REF!,5,FALSE)</f>
        <v>#REF!</v>
      </c>
      <c r="D1006" s="6" t="e">
        <f>VLOOKUP($B1006,#REF!,6,FALSE)</f>
        <v>#REF!</v>
      </c>
      <c r="E1006" s="7" t="e">
        <f>VLOOKUP($B1006,#REF!,17,FALSE)</f>
        <v>#REF!</v>
      </c>
      <c r="F1006" s="8" t="e">
        <f>VLOOKUP($B1006,#REF!,7,FALSE)</f>
        <v>#REF!</v>
      </c>
      <c r="G1006" s="8"/>
      <c r="H1006" s="8"/>
      <c r="I1006" s="9" t="e">
        <f>VLOOKUP($B1006,#REF!,19,FALSE)</f>
        <v>#REF!</v>
      </c>
      <c r="J1006" s="9" t="e">
        <f>VLOOKUP($B1006,#REF!,6,FALSE)</f>
        <v>#REF!</v>
      </c>
      <c r="L1006" s="1">
        <v>44655.472222218988</v>
      </c>
      <c r="M1006" s="13"/>
    </row>
    <row r="1007" spans="2:13">
      <c r="B1007" s="5"/>
      <c r="C1007" s="6" t="e">
        <f>VLOOKUP($B1007,#REF!,5,FALSE)</f>
        <v>#REF!</v>
      </c>
      <c r="D1007" s="6" t="e">
        <f>VLOOKUP($B1007,#REF!,6,FALSE)</f>
        <v>#REF!</v>
      </c>
      <c r="E1007" s="7" t="e">
        <f>VLOOKUP($B1007,#REF!,17,FALSE)</f>
        <v>#REF!</v>
      </c>
      <c r="F1007" s="8" t="e">
        <f>VLOOKUP($B1007,#REF!,7,FALSE)</f>
        <v>#REF!</v>
      </c>
      <c r="G1007" s="8"/>
      <c r="H1007" s="8"/>
      <c r="I1007" s="9" t="e">
        <f>VLOOKUP($B1007,#REF!,19,FALSE)</f>
        <v>#REF!</v>
      </c>
      <c r="J1007" s="9" t="e">
        <f>VLOOKUP($B1007,#REF!,6,FALSE)</f>
        <v>#REF!</v>
      </c>
      <c r="L1007" s="1">
        <v>44655.475694441207</v>
      </c>
      <c r="M1007" s="13"/>
    </row>
    <row r="1008" spans="2:13">
      <c r="B1008" s="5"/>
      <c r="C1008" s="6" t="e">
        <f>VLOOKUP($B1008,#REF!,5,FALSE)</f>
        <v>#REF!</v>
      </c>
      <c r="D1008" s="6" t="e">
        <f>VLOOKUP($B1008,#REF!,6,FALSE)</f>
        <v>#REF!</v>
      </c>
      <c r="E1008" s="7" t="e">
        <f>VLOOKUP($B1008,#REF!,17,FALSE)</f>
        <v>#REF!</v>
      </c>
      <c r="F1008" s="8" t="e">
        <f>VLOOKUP($B1008,#REF!,7,FALSE)</f>
        <v>#REF!</v>
      </c>
      <c r="G1008" s="8"/>
      <c r="H1008" s="8"/>
      <c r="I1008" s="9" t="e">
        <f>VLOOKUP($B1008,#REF!,19,FALSE)</f>
        <v>#REF!</v>
      </c>
      <c r="J1008" s="9" t="e">
        <f>VLOOKUP($B1008,#REF!,6,FALSE)</f>
        <v>#REF!</v>
      </c>
      <c r="L1008" s="1">
        <v>44655.479166663426</v>
      </c>
      <c r="M1008" s="13"/>
    </row>
    <row r="1009" spans="2:13">
      <c r="B1009" s="5"/>
      <c r="C1009" s="6" t="e">
        <f>VLOOKUP($B1009,#REF!,5,FALSE)</f>
        <v>#REF!</v>
      </c>
      <c r="D1009" s="6" t="e">
        <f>VLOOKUP($B1009,#REF!,6,FALSE)</f>
        <v>#REF!</v>
      </c>
      <c r="E1009" s="7" t="e">
        <f>VLOOKUP($B1009,#REF!,17,FALSE)</f>
        <v>#REF!</v>
      </c>
      <c r="F1009" s="8" t="e">
        <f>VLOOKUP($B1009,#REF!,7,FALSE)</f>
        <v>#REF!</v>
      </c>
      <c r="G1009" s="8"/>
      <c r="H1009" s="8"/>
      <c r="I1009" s="9" t="e">
        <f>VLOOKUP($B1009,#REF!,19,FALSE)</f>
        <v>#REF!</v>
      </c>
      <c r="J1009" s="9" t="e">
        <f>VLOOKUP($B1009,#REF!,6,FALSE)</f>
        <v>#REF!</v>
      </c>
      <c r="L1009" s="1">
        <v>44655.482638885645</v>
      </c>
      <c r="M1009" s="13"/>
    </row>
    <row r="1010" spans="2:13">
      <c r="B1010" s="5"/>
      <c r="C1010" s="6" t="e">
        <f>VLOOKUP($B1010,#REF!,5,FALSE)</f>
        <v>#REF!</v>
      </c>
      <c r="D1010" s="6" t="e">
        <f>VLOOKUP($B1010,#REF!,6,FALSE)</f>
        <v>#REF!</v>
      </c>
      <c r="E1010" s="7" t="e">
        <f>VLOOKUP($B1010,#REF!,17,FALSE)</f>
        <v>#REF!</v>
      </c>
      <c r="F1010" s="8" t="e">
        <f>VLOOKUP($B1010,#REF!,7,FALSE)</f>
        <v>#REF!</v>
      </c>
      <c r="G1010" s="8"/>
      <c r="H1010" s="8"/>
      <c r="I1010" s="9" t="e">
        <f>VLOOKUP($B1010,#REF!,19,FALSE)</f>
        <v>#REF!</v>
      </c>
      <c r="J1010" s="9" t="e">
        <f>VLOOKUP($B1010,#REF!,6,FALSE)</f>
        <v>#REF!</v>
      </c>
      <c r="L1010" s="1">
        <v>44655.486111107864</v>
      </c>
      <c r="M1010" s="13"/>
    </row>
    <row r="1011" spans="2:13">
      <c r="B1011" s="5"/>
      <c r="C1011" s="6" t="e">
        <f>VLOOKUP($B1011,#REF!,5,FALSE)</f>
        <v>#REF!</v>
      </c>
      <c r="D1011" s="6" t="e">
        <f>VLOOKUP($B1011,#REF!,6,FALSE)</f>
        <v>#REF!</v>
      </c>
      <c r="E1011" s="7" t="e">
        <f>VLOOKUP($B1011,#REF!,17,FALSE)</f>
        <v>#REF!</v>
      </c>
      <c r="F1011" s="8" t="e">
        <f>VLOOKUP($B1011,#REF!,7,FALSE)</f>
        <v>#REF!</v>
      </c>
      <c r="G1011" s="8"/>
      <c r="H1011" s="8"/>
      <c r="I1011" s="9" t="e">
        <f>VLOOKUP($B1011,#REF!,19,FALSE)</f>
        <v>#REF!</v>
      </c>
      <c r="J1011" s="9" t="e">
        <f>VLOOKUP($B1011,#REF!,6,FALSE)</f>
        <v>#REF!</v>
      </c>
      <c r="L1011" s="1">
        <v>44655.489583330083</v>
      </c>
      <c r="M1011" s="13"/>
    </row>
    <row r="1012" spans="2:13">
      <c r="B1012" s="5"/>
      <c r="C1012" s="6" t="e">
        <f>VLOOKUP($B1012,#REF!,5,FALSE)</f>
        <v>#REF!</v>
      </c>
      <c r="D1012" s="6" t="e">
        <f>VLOOKUP($B1012,#REF!,6,FALSE)</f>
        <v>#REF!</v>
      </c>
      <c r="E1012" s="7" t="e">
        <f>VLOOKUP($B1012,#REF!,17,FALSE)</f>
        <v>#REF!</v>
      </c>
      <c r="F1012" s="8" t="e">
        <f>VLOOKUP($B1012,#REF!,7,FALSE)</f>
        <v>#REF!</v>
      </c>
      <c r="G1012" s="8"/>
      <c r="H1012" s="8"/>
      <c r="I1012" s="9" t="e">
        <f>VLOOKUP($B1012,#REF!,19,FALSE)</f>
        <v>#REF!</v>
      </c>
      <c r="J1012" s="9" t="e">
        <f>VLOOKUP($B1012,#REF!,6,FALSE)</f>
        <v>#REF!</v>
      </c>
      <c r="L1012" s="1">
        <v>44655.493055552302</v>
      </c>
      <c r="M1012" s="13"/>
    </row>
    <row r="1013" spans="2:13">
      <c r="B1013" s="5"/>
      <c r="C1013" s="6" t="e">
        <f>VLOOKUP($B1013,#REF!,5,FALSE)</f>
        <v>#REF!</v>
      </c>
      <c r="D1013" s="6" t="e">
        <f>VLOOKUP($B1013,#REF!,6,FALSE)</f>
        <v>#REF!</v>
      </c>
      <c r="E1013" s="7" t="e">
        <f>VLOOKUP($B1013,#REF!,17,FALSE)</f>
        <v>#REF!</v>
      </c>
      <c r="F1013" s="8" t="e">
        <f>VLOOKUP($B1013,#REF!,7,FALSE)</f>
        <v>#REF!</v>
      </c>
      <c r="G1013" s="8"/>
      <c r="H1013" s="8"/>
      <c r="I1013" s="9" t="e">
        <f>VLOOKUP($B1013,#REF!,19,FALSE)</f>
        <v>#REF!</v>
      </c>
      <c r="J1013" s="9" t="e">
        <f>VLOOKUP($B1013,#REF!,6,FALSE)</f>
        <v>#REF!</v>
      </c>
      <c r="L1013" s="1">
        <v>44655.496527774521</v>
      </c>
      <c r="M1013" s="13"/>
    </row>
    <row r="1014" spans="2:13">
      <c r="B1014" s="5"/>
      <c r="C1014" s="6" t="e">
        <f>VLOOKUP($B1014,#REF!,5,FALSE)</f>
        <v>#REF!</v>
      </c>
      <c r="D1014" s="6" t="e">
        <f>VLOOKUP($B1014,#REF!,6,FALSE)</f>
        <v>#REF!</v>
      </c>
      <c r="E1014" s="7" t="e">
        <f>VLOOKUP($B1014,#REF!,17,FALSE)</f>
        <v>#REF!</v>
      </c>
      <c r="F1014" s="8" t="e">
        <f>VLOOKUP($B1014,#REF!,7,FALSE)</f>
        <v>#REF!</v>
      </c>
      <c r="G1014" s="8"/>
      <c r="H1014" s="8"/>
      <c r="I1014" s="9" t="e">
        <f>VLOOKUP($B1014,#REF!,19,FALSE)</f>
        <v>#REF!</v>
      </c>
      <c r="J1014" s="9" t="e">
        <f>VLOOKUP($B1014,#REF!,6,FALSE)</f>
        <v>#REF!</v>
      </c>
      <c r="L1014" s="1">
        <v>44655.49999999674</v>
      </c>
      <c r="M1014" s="13"/>
    </row>
    <row r="1015" spans="2:13">
      <c r="B1015" s="5"/>
      <c r="C1015" s="6" t="e">
        <f>VLOOKUP($B1015,#REF!,5,FALSE)</f>
        <v>#REF!</v>
      </c>
      <c r="D1015" s="6" t="e">
        <f>VLOOKUP($B1015,#REF!,6,FALSE)</f>
        <v>#REF!</v>
      </c>
      <c r="E1015" s="7" t="e">
        <f>VLOOKUP($B1015,#REF!,17,FALSE)</f>
        <v>#REF!</v>
      </c>
      <c r="F1015" s="8" t="e">
        <f>VLOOKUP($B1015,#REF!,7,FALSE)</f>
        <v>#REF!</v>
      </c>
      <c r="G1015" s="8"/>
      <c r="H1015" s="8"/>
      <c r="I1015" s="9" t="e">
        <f>VLOOKUP($B1015,#REF!,19,FALSE)</f>
        <v>#REF!</v>
      </c>
      <c r="J1015" s="9" t="e">
        <f>VLOOKUP($B1015,#REF!,6,FALSE)</f>
        <v>#REF!</v>
      </c>
      <c r="L1015" s="1">
        <v>44655.503472218959</v>
      </c>
      <c r="M1015" s="13"/>
    </row>
    <row r="1016" spans="2:13">
      <c r="B1016" s="5"/>
      <c r="C1016" s="6" t="e">
        <f>VLOOKUP($B1016,#REF!,5,FALSE)</f>
        <v>#REF!</v>
      </c>
      <c r="D1016" s="6" t="e">
        <f>VLOOKUP($B1016,#REF!,6,FALSE)</f>
        <v>#REF!</v>
      </c>
      <c r="E1016" s="7" t="e">
        <f>VLOOKUP($B1016,#REF!,17,FALSE)</f>
        <v>#REF!</v>
      </c>
      <c r="F1016" s="8" t="e">
        <f>VLOOKUP($B1016,#REF!,7,FALSE)</f>
        <v>#REF!</v>
      </c>
      <c r="G1016" s="8"/>
      <c r="H1016" s="8"/>
      <c r="I1016" s="9" t="e">
        <f>VLOOKUP($B1016,#REF!,19,FALSE)</f>
        <v>#REF!</v>
      </c>
      <c r="J1016" s="9" t="e">
        <f>VLOOKUP($B1016,#REF!,6,FALSE)</f>
        <v>#REF!</v>
      </c>
      <c r="L1016" s="1">
        <v>44655.506944441178</v>
      </c>
      <c r="M1016" s="13"/>
    </row>
    <row r="1017" spans="2:13">
      <c r="B1017" s="5"/>
      <c r="C1017" s="6" t="e">
        <f>VLOOKUP($B1017,#REF!,5,FALSE)</f>
        <v>#REF!</v>
      </c>
      <c r="D1017" s="6" t="e">
        <f>VLOOKUP($B1017,#REF!,6,FALSE)</f>
        <v>#REF!</v>
      </c>
      <c r="E1017" s="7" t="e">
        <f>VLOOKUP($B1017,#REF!,17,FALSE)</f>
        <v>#REF!</v>
      </c>
      <c r="F1017" s="8" t="e">
        <f>VLOOKUP($B1017,#REF!,7,FALSE)</f>
        <v>#REF!</v>
      </c>
      <c r="G1017" s="8"/>
      <c r="H1017" s="8"/>
      <c r="I1017" s="9" t="e">
        <f>VLOOKUP($B1017,#REF!,19,FALSE)</f>
        <v>#REF!</v>
      </c>
      <c r="J1017" s="9" t="e">
        <f>VLOOKUP($B1017,#REF!,6,FALSE)</f>
        <v>#REF!</v>
      </c>
      <c r="L1017" s="1">
        <v>44655.510416663397</v>
      </c>
      <c r="M1017" s="13"/>
    </row>
    <row r="1018" spans="2:13">
      <c r="B1018" s="5"/>
      <c r="C1018" s="6" t="e">
        <f>VLOOKUP($B1018,#REF!,5,FALSE)</f>
        <v>#REF!</v>
      </c>
      <c r="D1018" s="6" t="e">
        <f>VLOOKUP($B1018,#REF!,6,FALSE)</f>
        <v>#REF!</v>
      </c>
      <c r="E1018" s="7" t="e">
        <f>VLOOKUP($B1018,#REF!,17,FALSE)</f>
        <v>#REF!</v>
      </c>
      <c r="F1018" s="8" t="e">
        <f>VLOOKUP($B1018,#REF!,7,FALSE)</f>
        <v>#REF!</v>
      </c>
      <c r="G1018" s="8"/>
      <c r="H1018" s="8"/>
      <c r="I1018" s="9" t="e">
        <f>VLOOKUP($B1018,#REF!,19,FALSE)</f>
        <v>#REF!</v>
      </c>
      <c r="J1018" s="9" t="e">
        <f>VLOOKUP($B1018,#REF!,6,FALSE)</f>
        <v>#REF!</v>
      </c>
      <c r="L1018" s="1">
        <v>44655.513888885616</v>
      </c>
      <c r="M1018" s="13"/>
    </row>
    <row r="1019" spans="2:13">
      <c r="B1019" s="5"/>
      <c r="C1019" s="6" t="e">
        <f>VLOOKUP($B1019,#REF!,5,FALSE)</f>
        <v>#REF!</v>
      </c>
      <c r="D1019" s="6" t="e">
        <f>VLOOKUP($B1019,#REF!,6,FALSE)</f>
        <v>#REF!</v>
      </c>
      <c r="E1019" s="7" t="e">
        <f>VLOOKUP($B1019,#REF!,17,FALSE)</f>
        <v>#REF!</v>
      </c>
      <c r="F1019" s="8" t="e">
        <f>VLOOKUP($B1019,#REF!,7,FALSE)</f>
        <v>#REF!</v>
      </c>
      <c r="G1019" s="8"/>
      <c r="H1019" s="8"/>
      <c r="I1019" s="9" t="e">
        <f>VLOOKUP($B1019,#REF!,19,FALSE)</f>
        <v>#REF!</v>
      </c>
      <c r="J1019" s="9" t="e">
        <f>VLOOKUP($B1019,#REF!,6,FALSE)</f>
        <v>#REF!</v>
      </c>
      <c r="L1019" s="1">
        <v>44655.517361107835</v>
      </c>
      <c r="M1019" s="13"/>
    </row>
    <row r="1020" spans="2:13">
      <c r="B1020" s="5"/>
      <c r="C1020" s="6" t="e">
        <f>VLOOKUP($B1020,#REF!,5,FALSE)</f>
        <v>#REF!</v>
      </c>
      <c r="D1020" s="6" t="e">
        <f>VLOOKUP($B1020,#REF!,6,FALSE)</f>
        <v>#REF!</v>
      </c>
      <c r="E1020" s="7" t="e">
        <f>VLOOKUP($B1020,#REF!,17,FALSE)</f>
        <v>#REF!</v>
      </c>
      <c r="F1020" s="8" t="e">
        <f>VLOOKUP($B1020,#REF!,7,FALSE)</f>
        <v>#REF!</v>
      </c>
      <c r="G1020" s="8"/>
      <c r="H1020" s="8"/>
      <c r="I1020" s="9" t="e">
        <f>VLOOKUP($B1020,#REF!,19,FALSE)</f>
        <v>#REF!</v>
      </c>
      <c r="J1020" s="9" t="e">
        <f>VLOOKUP($B1020,#REF!,6,FALSE)</f>
        <v>#REF!</v>
      </c>
      <c r="L1020" s="1">
        <v>44655.520833330054</v>
      </c>
      <c r="M1020" s="13"/>
    </row>
    <row r="1021" spans="2:13">
      <c r="B1021" s="5"/>
      <c r="C1021" s="6" t="e">
        <f>VLOOKUP($B1021,#REF!,5,FALSE)</f>
        <v>#REF!</v>
      </c>
      <c r="D1021" s="6" t="e">
        <f>VLOOKUP($B1021,#REF!,6,FALSE)</f>
        <v>#REF!</v>
      </c>
      <c r="E1021" s="7" t="e">
        <f>VLOOKUP($B1021,#REF!,17,FALSE)</f>
        <v>#REF!</v>
      </c>
      <c r="F1021" s="8" t="e">
        <f>VLOOKUP($B1021,#REF!,7,FALSE)</f>
        <v>#REF!</v>
      </c>
      <c r="G1021" s="8"/>
      <c r="H1021" s="8"/>
      <c r="I1021" s="9" t="e">
        <f>VLOOKUP($B1021,#REF!,19,FALSE)</f>
        <v>#REF!</v>
      </c>
      <c r="J1021" s="9" t="e">
        <f>VLOOKUP($B1021,#REF!,6,FALSE)</f>
        <v>#REF!</v>
      </c>
      <c r="L1021" s="1">
        <v>44655.524305552273</v>
      </c>
      <c r="M1021" s="13"/>
    </row>
    <row r="1022" spans="2:13">
      <c r="B1022" s="5"/>
      <c r="C1022" s="6" t="e">
        <f>VLOOKUP($B1022,#REF!,5,FALSE)</f>
        <v>#REF!</v>
      </c>
      <c r="D1022" s="6" t="e">
        <f>VLOOKUP($B1022,#REF!,6,FALSE)</f>
        <v>#REF!</v>
      </c>
      <c r="E1022" s="7" t="e">
        <f>VLOOKUP($B1022,#REF!,17,FALSE)</f>
        <v>#REF!</v>
      </c>
      <c r="F1022" s="8" t="e">
        <f>VLOOKUP($B1022,#REF!,7,FALSE)</f>
        <v>#REF!</v>
      </c>
      <c r="G1022" s="8"/>
      <c r="H1022" s="8"/>
      <c r="I1022" s="9" t="e">
        <f>VLOOKUP($B1022,#REF!,19,FALSE)</f>
        <v>#REF!</v>
      </c>
      <c r="J1022" s="9" t="e">
        <f>VLOOKUP($B1022,#REF!,6,FALSE)</f>
        <v>#REF!</v>
      </c>
      <c r="L1022" s="1">
        <v>44655.527777774492</v>
      </c>
      <c r="M1022" s="13"/>
    </row>
    <row r="1023" spans="2:13">
      <c r="B1023" s="5"/>
      <c r="C1023" s="6" t="e">
        <f>VLOOKUP($B1023,#REF!,5,FALSE)</f>
        <v>#REF!</v>
      </c>
      <c r="D1023" s="6" t="e">
        <f>VLOOKUP($B1023,#REF!,6,FALSE)</f>
        <v>#REF!</v>
      </c>
      <c r="E1023" s="7" t="e">
        <f>VLOOKUP($B1023,#REF!,17,FALSE)</f>
        <v>#REF!</v>
      </c>
      <c r="F1023" s="8" t="e">
        <f>VLOOKUP($B1023,#REF!,7,FALSE)</f>
        <v>#REF!</v>
      </c>
      <c r="G1023" s="8"/>
      <c r="H1023" s="8"/>
      <c r="I1023" s="9" t="e">
        <f>VLOOKUP($B1023,#REF!,19,FALSE)</f>
        <v>#REF!</v>
      </c>
      <c r="J1023" s="9" t="e">
        <f>VLOOKUP($B1023,#REF!,6,FALSE)</f>
        <v>#REF!</v>
      </c>
      <c r="L1023" s="1">
        <v>44655.531249996711</v>
      </c>
      <c r="M1023" s="13"/>
    </row>
    <row r="1024" spans="2:13">
      <c r="B1024" s="5"/>
      <c r="C1024" s="6" t="e">
        <f>VLOOKUP($B1024,#REF!,5,FALSE)</f>
        <v>#REF!</v>
      </c>
      <c r="D1024" s="6" t="e">
        <f>VLOOKUP($B1024,#REF!,6,FALSE)</f>
        <v>#REF!</v>
      </c>
      <c r="E1024" s="7" t="e">
        <f>VLOOKUP($B1024,#REF!,17,FALSE)</f>
        <v>#REF!</v>
      </c>
      <c r="F1024" s="8" t="e">
        <f>VLOOKUP($B1024,#REF!,7,FALSE)</f>
        <v>#REF!</v>
      </c>
      <c r="G1024" s="8"/>
      <c r="H1024" s="8"/>
      <c r="I1024" s="9" t="e">
        <f>VLOOKUP($B1024,#REF!,19,FALSE)</f>
        <v>#REF!</v>
      </c>
      <c r="J1024" s="9" t="e">
        <f>VLOOKUP($B1024,#REF!,6,FALSE)</f>
        <v>#REF!</v>
      </c>
      <c r="L1024" s="1">
        <v>44655.53472221893</v>
      </c>
      <c r="M1024" s="13"/>
    </row>
    <row r="1025" spans="2:13">
      <c r="B1025" s="5"/>
      <c r="C1025" s="6" t="e">
        <f>VLOOKUP($B1025,#REF!,5,FALSE)</f>
        <v>#REF!</v>
      </c>
      <c r="D1025" s="6" t="e">
        <f>VLOOKUP($B1025,#REF!,6,FALSE)</f>
        <v>#REF!</v>
      </c>
      <c r="E1025" s="7" t="e">
        <f>VLOOKUP($B1025,#REF!,17,FALSE)</f>
        <v>#REF!</v>
      </c>
      <c r="F1025" s="8" t="e">
        <f>VLOOKUP($B1025,#REF!,7,FALSE)</f>
        <v>#REF!</v>
      </c>
      <c r="G1025" s="8"/>
      <c r="H1025" s="8"/>
      <c r="I1025" s="9" t="e">
        <f>VLOOKUP($B1025,#REF!,19,FALSE)</f>
        <v>#REF!</v>
      </c>
      <c r="J1025" s="9" t="e">
        <f>VLOOKUP($B1025,#REF!,6,FALSE)</f>
        <v>#REF!</v>
      </c>
      <c r="L1025" s="1">
        <v>44655.538194441149</v>
      </c>
      <c r="M1025" s="13"/>
    </row>
    <row r="1026" spans="2:13">
      <c r="B1026" s="5"/>
      <c r="C1026" s="6" t="e">
        <f>VLOOKUP($B1026,#REF!,5,FALSE)</f>
        <v>#REF!</v>
      </c>
      <c r="D1026" s="6" t="e">
        <f>VLOOKUP($B1026,#REF!,6,FALSE)</f>
        <v>#REF!</v>
      </c>
      <c r="E1026" s="7" t="e">
        <f>VLOOKUP($B1026,#REF!,17,FALSE)</f>
        <v>#REF!</v>
      </c>
      <c r="F1026" s="8" t="e">
        <f>VLOOKUP($B1026,#REF!,7,FALSE)</f>
        <v>#REF!</v>
      </c>
      <c r="G1026" s="8"/>
      <c r="H1026" s="8"/>
      <c r="I1026" s="9" t="e">
        <f>VLOOKUP($B1026,#REF!,19,FALSE)</f>
        <v>#REF!</v>
      </c>
      <c r="J1026" s="9" t="e">
        <f>VLOOKUP($B1026,#REF!,6,FALSE)</f>
        <v>#REF!</v>
      </c>
      <c r="L1026" s="1">
        <v>44655.541666663368</v>
      </c>
      <c r="M1026" s="13"/>
    </row>
    <row r="1027" spans="2:13">
      <c r="B1027" s="5"/>
      <c r="C1027" s="6" t="e">
        <f>VLOOKUP($B1027,#REF!,5,FALSE)</f>
        <v>#REF!</v>
      </c>
      <c r="D1027" s="6" t="e">
        <f>VLOOKUP($B1027,#REF!,6,FALSE)</f>
        <v>#REF!</v>
      </c>
      <c r="E1027" s="7" t="e">
        <f>VLOOKUP($B1027,#REF!,17,FALSE)</f>
        <v>#REF!</v>
      </c>
      <c r="F1027" s="8" t="e">
        <f>VLOOKUP($B1027,#REF!,7,FALSE)</f>
        <v>#REF!</v>
      </c>
      <c r="G1027" s="8"/>
      <c r="H1027" s="8"/>
      <c r="I1027" s="9" t="e">
        <f>VLOOKUP($B1027,#REF!,19,FALSE)</f>
        <v>#REF!</v>
      </c>
      <c r="J1027" s="9" t="e">
        <f>VLOOKUP($B1027,#REF!,6,FALSE)</f>
        <v>#REF!</v>
      </c>
      <c r="L1027" s="1">
        <v>44655.545138885587</v>
      </c>
      <c r="M1027" s="13"/>
    </row>
    <row r="1028" spans="2:13">
      <c r="B1028" s="5"/>
      <c r="C1028" s="6" t="e">
        <f>VLOOKUP($B1028,#REF!,5,FALSE)</f>
        <v>#REF!</v>
      </c>
      <c r="D1028" s="6" t="e">
        <f>VLOOKUP($B1028,#REF!,6,FALSE)</f>
        <v>#REF!</v>
      </c>
      <c r="E1028" s="7" t="e">
        <f>VLOOKUP($B1028,#REF!,17,FALSE)</f>
        <v>#REF!</v>
      </c>
      <c r="F1028" s="8" t="e">
        <f>VLOOKUP($B1028,#REF!,7,FALSE)</f>
        <v>#REF!</v>
      </c>
      <c r="G1028" s="8"/>
      <c r="H1028" s="8"/>
      <c r="I1028" s="9" t="e">
        <f>VLOOKUP($B1028,#REF!,19,FALSE)</f>
        <v>#REF!</v>
      </c>
      <c r="J1028" s="9" t="e">
        <f>VLOOKUP($B1028,#REF!,6,FALSE)</f>
        <v>#REF!</v>
      </c>
      <c r="L1028" s="1">
        <v>44655.548611107806</v>
      </c>
      <c r="M1028" s="13"/>
    </row>
    <row r="1029" spans="2:13">
      <c r="B1029" s="5"/>
      <c r="C1029" s="6" t="e">
        <f>VLOOKUP($B1029,#REF!,5,FALSE)</f>
        <v>#REF!</v>
      </c>
      <c r="D1029" s="6" t="e">
        <f>VLOOKUP($B1029,#REF!,6,FALSE)</f>
        <v>#REF!</v>
      </c>
      <c r="E1029" s="7" t="e">
        <f>VLOOKUP($B1029,#REF!,17,FALSE)</f>
        <v>#REF!</v>
      </c>
      <c r="F1029" s="8" t="e">
        <f>VLOOKUP($B1029,#REF!,7,FALSE)</f>
        <v>#REF!</v>
      </c>
      <c r="G1029" s="8"/>
      <c r="H1029" s="8"/>
      <c r="I1029" s="9" t="e">
        <f>VLOOKUP($B1029,#REF!,19,FALSE)</f>
        <v>#REF!</v>
      </c>
      <c r="J1029" s="9" t="e">
        <f>VLOOKUP($B1029,#REF!,6,FALSE)</f>
        <v>#REF!</v>
      </c>
      <c r="L1029" s="1">
        <v>44655.552083330025</v>
      </c>
      <c r="M1029" s="13"/>
    </row>
    <row r="1030" spans="2:13">
      <c r="B1030" s="5"/>
      <c r="C1030" s="6" t="e">
        <f>VLOOKUP($B1030,#REF!,5,FALSE)</f>
        <v>#REF!</v>
      </c>
      <c r="D1030" s="6" t="e">
        <f>VLOOKUP($B1030,#REF!,6,FALSE)</f>
        <v>#REF!</v>
      </c>
      <c r="E1030" s="7" t="e">
        <f>VLOOKUP($B1030,#REF!,17,FALSE)</f>
        <v>#REF!</v>
      </c>
      <c r="F1030" s="8" t="e">
        <f>VLOOKUP($B1030,#REF!,7,FALSE)</f>
        <v>#REF!</v>
      </c>
      <c r="G1030" s="8"/>
      <c r="H1030" s="8"/>
      <c r="I1030" s="9" t="e">
        <f>VLOOKUP($B1030,#REF!,19,FALSE)</f>
        <v>#REF!</v>
      </c>
      <c r="J1030" s="9" t="e">
        <f>VLOOKUP($B1030,#REF!,6,FALSE)</f>
        <v>#REF!</v>
      </c>
      <c r="L1030" s="1">
        <v>44655.555555552244</v>
      </c>
      <c r="M1030" s="13"/>
    </row>
    <row r="1031" spans="2:13">
      <c r="B1031" s="5"/>
      <c r="C1031" s="6" t="e">
        <f>VLOOKUP($B1031,#REF!,5,FALSE)</f>
        <v>#REF!</v>
      </c>
      <c r="D1031" s="6" t="e">
        <f>VLOOKUP($B1031,#REF!,6,FALSE)</f>
        <v>#REF!</v>
      </c>
      <c r="E1031" s="7" t="e">
        <f>VLOOKUP($B1031,#REF!,17,FALSE)</f>
        <v>#REF!</v>
      </c>
      <c r="F1031" s="8" t="e">
        <f>VLOOKUP($B1031,#REF!,7,FALSE)</f>
        <v>#REF!</v>
      </c>
      <c r="G1031" s="8"/>
      <c r="H1031" s="8"/>
      <c r="I1031" s="9" t="e">
        <f>VLOOKUP($B1031,#REF!,19,FALSE)</f>
        <v>#REF!</v>
      </c>
      <c r="J1031" s="9" t="e">
        <f>VLOOKUP($B1031,#REF!,6,FALSE)</f>
        <v>#REF!</v>
      </c>
      <c r="L1031" s="1">
        <v>44655.559027774463</v>
      </c>
      <c r="M1031" s="13"/>
    </row>
    <row r="1032" spans="2:13">
      <c r="B1032" s="5"/>
      <c r="C1032" s="6" t="e">
        <f>VLOOKUP($B1032,#REF!,5,FALSE)</f>
        <v>#REF!</v>
      </c>
      <c r="D1032" s="6" t="e">
        <f>VLOOKUP($B1032,#REF!,6,FALSE)</f>
        <v>#REF!</v>
      </c>
      <c r="E1032" s="7" t="e">
        <f>VLOOKUP($B1032,#REF!,17,FALSE)</f>
        <v>#REF!</v>
      </c>
      <c r="F1032" s="8" t="e">
        <f>VLOOKUP($B1032,#REF!,7,FALSE)</f>
        <v>#REF!</v>
      </c>
      <c r="G1032" s="8"/>
      <c r="H1032" s="8"/>
      <c r="I1032" s="9" t="e">
        <f>VLOOKUP($B1032,#REF!,19,FALSE)</f>
        <v>#REF!</v>
      </c>
      <c r="J1032" s="9" t="e">
        <f>VLOOKUP($B1032,#REF!,6,FALSE)</f>
        <v>#REF!</v>
      </c>
      <c r="L1032" s="1">
        <v>44655.562499996682</v>
      </c>
      <c r="M1032" s="13"/>
    </row>
    <row r="1033" spans="2:13">
      <c r="B1033" s="5"/>
      <c r="C1033" s="6" t="e">
        <f>VLOOKUP($B1033,#REF!,5,FALSE)</f>
        <v>#REF!</v>
      </c>
      <c r="D1033" s="6" t="e">
        <f>VLOOKUP($B1033,#REF!,6,FALSE)</f>
        <v>#REF!</v>
      </c>
      <c r="E1033" s="7" t="e">
        <f>VLOOKUP($B1033,#REF!,17,FALSE)</f>
        <v>#REF!</v>
      </c>
      <c r="F1033" s="8" t="e">
        <f>VLOOKUP($B1033,#REF!,7,FALSE)</f>
        <v>#REF!</v>
      </c>
      <c r="G1033" s="8"/>
      <c r="H1033" s="8"/>
      <c r="I1033" s="9" t="e">
        <f>VLOOKUP($B1033,#REF!,19,FALSE)</f>
        <v>#REF!</v>
      </c>
      <c r="J1033" s="9" t="e">
        <f>VLOOKUP($B1033,#REF!,6,FALSE)</f>
        <v>#REF!</v>
      </c>
      <c r="L1033" s="1">
        <v>44655.565972218901</v>
      </c>
      <c r="M1033" s="13"/>
    </row>
    <row r="1034" spans="2:13">
      <c r="B1034" s="5"/>
      <c r="C1034" s="6" t="e">
        <f>VLOOKUP($B1034,#REF!,5,FALSE)</f>
        <v>#REF!</v>
      </c>
      <c r="D1034" s="6" t="e">
        <f>VLOOKUP($B1034,#REF!,6,FALSE)</f>
        <v>#REF!</v>
      </c>
      <c r="E1034" s="7" t="e">
        <f>VLOOKUP($B1034,#REF!,17,FALSE)</f>
        <v>#REF!</v>
      </c>
      <c r="F1034" s="8" t="e">
        <f>VLOOKUP($B1034,#REF!,7,FALSE)</f>
        <v>#REF!</v>
      </c>
      <c r="G1034" s="8"/>
      <c r="H1034" s="8"/>
      <c r="I1034" s="9" t="e">
        <f>VLOOKUP($B1034,#REF!,19,FALSE)</f>
        <v>#REF!</v>
      </c>
      <c r="J1034" s="9" t="e">
        <f>VLOOKUP($B1034,#REF!,6,FALSE)</f>
        <v>#REF!</v>
      </c>
      <c r="L1034" s="1">
        <v>44655.56944444112</v>
      </c>
      <c r="M1034" s="13"/>
    </row>
    <row r="1035" spans="2:13">
      <c r="B1035" s="5"/>
      <c r="C1035" s="6" t="e">
        <f>VLOOKUP($B1035,#REF!,5,FALSE)</f>
        <v>#REF!</v>
      </c>
      <c r="D1035" s="6" t="e">
        <f>VLOOKUP($B1035,#REF!,6,FALSE)</f>
        <v>#REF!</v>
      </c>
      <c r="E1035" s="7" t="e">
        <f>VLOOKUP($B1035,#REF!,17,FALSE)</f>
        <v>#REF!</v>
      </c>
      <c r="F1035" s="8" t="e">
        <f>VLOOKUP($B1035,#REF!,7,FALSE)</f>
        <v>#REF!</v>
      </c>
      <c r="G1035" s="8"/>
      <c r="H1035" s="8"/>
      <c r="I1035" s="9" t="e">
        <f>VLOOKUP($B1035,#REF!,19,FALSE)</f>
        <v>#REF!</v>
      </c>
      <c r="J1035" s="9" t="e">
        <f>VLOOKUP($B1035,#REF!,6,FALSE)</f>
        <v>#REF!</v>
      </c>
      <c r="L1035" s="1">
        <v>44655.572916663339</v>
      </c>
      <c r="M1035" s="13"/>
    </row>
    <row r="1036" spans="2:13">
      <c r="B1036" s="5"/>
      <c r="C1036" s="6" t="e">
        <f>VLOOKUP($B1036,#REF!,5,FALSE)</f>
        <v>#REF!</v>
      </c>
      <c r="D1036" s="6" t="e">
        <f>VLOOKUP($B1036,#REF!,6,FALSE)</f>
        <v>#REF!</v>
      </c>
      <c r="E1036" s="7" t="e">
        <f>VLOOKUP($B1036,#REF!,17,FALSE)</f>
        <v>#REF!</v>
      </c>
      <c r="F1036" s="8" t="e">
        <f>VLOOKUP($B1036,#REF!,7,FALSE)</f>
        <v>#REF!</v>
      </c>
      <c r="G1036" s="8"/>
      <c r="H1036" s="8"/>
      <c r="I1036" s="9" t="e">
        <f>VLOOKUP($B1036,#REF!,19,FALSE)</f>
        <v>#REF!</v>
      </c>
      <c r="J1036" s="9" t="e">
        <f>VLOOKUP($B1036,#REF!,6,FALSE)</f>
        <v>#REF!</v>
      </c>
      <c r="L1036" s="1">
        <v>44655.576388885558</v>
      </c>
      <c r="M1036" s="13"/>
    </row>
    <row r="1037" spans="2:13">
      <c r="B1037" s="5"/>
      <c r="C1037" s="6" t="e">
        <f>VLOOKUP($B1037,#REF!,5,FALSE)</f>
        <v>#REF!</v>
      </c>
      <c r="D1037" s="6" t="e">
        <f>VLOOKUP($B1037,#REF!,6,FALSE)</f>
        <v>#REF!</v>
      </c>
      <c r="E1037" s="7" t="e">
        <f>VLOOKUP($B1037,#REF!,17,FALSE)</f>
        <v>#REF!</v>
      </c>
      <c r="F1037" s="8" t="e">
        <f>VLOOKUP($B1037,#REF!,7,FALSE)</f>
        <v>#REF!</v>
      </c>
      <c r="G1037" s="8"/>
      <c r="H1037" s="8"/>
      <c r="I1037" s="9" t="e">
        <f>VLOOKUP($B1037,#REF!,19,FALSE)</f>
        <v>#REF!</v>
      </c>
      <c r="J1037" s="9" t="e">
        <f>VLOOKUP($B1037,#REF!,6,FALSE)</f>
        <v>#REF!</v>
      </c>
      <c r="L1037" s="1">
        <v>44655.579861107777</v>
      </c>
      <c r="M1037" s="13"/>
    </row>
    <row r="1038" spans="2:13">
      <c r="B1038" s="5"/>
      <c r="C1038" s="6" t="e">
        <f>VLOOKUP($B1038,#REF!,5,FALSE)</f>
        <v>#REF!</v>
      </c>
      <c r="D1038" s="6" t="e">
        <f>VLOOKUP($B1038,#REF!,6,FALSE)</f>
        <v>#REF!</v>
      </c>
      <c r="E1038" s="7" t="e">
        <f>VLOOKUP($B1038,#REF!,17,FALSE)</f>
        <v>#REF!</v>
      </c>
      <c r="F1038" s="8" t="e">
        <f>VLOOKUP($B1038,#REF!,7,FALSE)</f>
        <v>#REF!</v>
      </c>
      <c r="G1038" s="8"/>
      <c r="H1038" s="8"/>
      <c r="I1038" s="9" t="e">
        <f>VLOOKUP($B1038,#REF!,19,FALSE)</f>
        <v>#REF!</v>
      </c>
      <c r="J1038" s="9" t="e">
        <f>VLOOKUP($B1038,#REF!,6,FALSE)</f>
        <v>#REF!</v>
      </c>
      <c r="L1038" s="1">
        <v>44655.583333329996</v>
      </c>
      <c r="M1038" s="13"/>
    </row>
    <row r="1039" spans="2:13">
      <c r="B1039" s="5"/>
      <c r="C1039" s="6" t="e">
        <f>VLOOKUP($B1039,#REF!,5,FALSE)</f>
        <v>#REF!</v>
      </c>
      <c r="D1039" s="6" t="e">
        <f>VLOOKUP($B1039,#REF!,6,FALSE)</f>
        <v>#REF!</v>
      </c>
      <c r="E1039" s="7" t="e">
        <f>VLOOKUP($B1039,#REF!,17,FALSE)</f>
        <v>#REF!</v>
      </c>
      <c r="F1039" s="8" t="e">
        <f>VLOOKUP($B1039,#REF!,7,FALSE)</f>
        <v>#REF!</v>
      </c>
      <c r="G1039" s="8"/>
      <c r="H1039" s="8"/>
      <c r="I1039" s="9" t="e">
        <f>VLOOKUP($B1039,#REF!,19,FALSE)</f>
        <v>#REF!</v>
      </c>
      <c r="J1039" s="9" t="e">
        <f>VLOOKUP($B1039,#REF!,6,FALSE)</f>
        <v>#REF!</v>
      </c>
      <c r="L1039" s="1">
        <v>44655.586805552215</v>
      </c>
      <c r="M1039" s="13"/>
    </row>
    <row r="1040" spans="2:13">
      <c r="B1040" s="5"/>
      <c r="C1040" s="6" t="e">
        <f>VLOOKUP($B1040,#REF!,5,FALSE)</f>
        <v>#REF!</v>
      </c>
      <c r="D1040" s="6" t="e">
        <f>VLOOKUP($B1040,#REF!,6,FALSE)</f>
        <v>#REF!</v>
      </c>
      <c r="E1040" s="7" t="e">
        <f>VLOOKUP($B1040,#REF!,17,FALSE)</f>
        <v>#REF!</v>
      </c>
      <c r="F1040" s="8" t="e">
        <f>VLOOKUP($B1040,#REF!,7,FALSE)</f>
        <v>#REF!</v>
      </c>
      <c r="G1040" s="8"/>
      <c r="H1040" s="8"/>
      <c r="I1040" s="9" t="e">
        <f>VLOOKUP($B1040,#REF!,19,FALSE)</f>
        <v>#REF!</v>
      </c>
      <c r="J1040" s="9" t="e">
        <f>VLOOKUP($B1040,#REF!,6,FALSE)</f>
        <v>#REF!</v>
      </c>
      <c r="L1040" s="1">
        <v>44655.590277774434</v>
      </c>
      <c r="M1040" s="13"/>
    </row>
    <row r="1041" spans="2:13">
      <c r="B1041" s="5"/>
      <c r="C1041" s="6" t="e">
        <f>VLOOKUP($B1041,#REF!,5,FALSE)</f>
        <v>#REF!</v>
      </c>
      <c r="D1041" s="6" t="e">
        <f>VLOOKUP($B1041,#REF!,6,FALSE)</f>
        <v>#REF!</v>
      </c>
      <c r="E1041" s="7" t="e">
        <f>VLOOKUP($B1041,#REF!,17,FALSE)</f>
        <v>#REF!</v>
      </c>
      <c r="F1041" s="8" t="e">
        <f>VLOOKUP($B1041,#REF!,7,FALSE)</f>
        <v>#REF!</v>
      </c>
      <c r="G1041" s="8"/>
      <c r="H1041" s="8"/>
      <c r="I1041" s="9" t="e">
        <f>VLOOKUP($B1041,#REF!,19,FALSE)</f>
        <v>#REF!</v>
      </c>
      <c r="J1041" s="9" t="e">
        <f>VLOOKUP($B1041,#REF!,6,FALSE)</f>
        <v>#REF!</v>
      </c>
      <c r="L1041" s="1">
        <v>44655.593749996653</v>
      </c>
      <c r="M1041" s="13"/>
    </row>
    <row r="1042" spans="2:13">
      <c r="B1042" s="5"/>
      <c r="C1042" s="6" t="e">
        <f>VLOOKUP($B1042,#REF!,5,FALSE)</f>
        <v>#REF!</v>
      </c>
      <c r="D1042" s="6" t="e">
        <f>VLOOKUP($B1042,#REF!,6,FALSE)</f>
        <v>#REF!</v>
      </c>
      <c r="E1042" s="7" t="e">
        <f>VLOOKUP($B1042,#REF!,17,FALSE)</f>
        <v>#REF!</v>
      </c>
      <c r="F1042" s="8" t="e">
        <f>VLOOKUP($B1042,#REF!,7,FALSE)</f>
        <v>#REF!</v>
      </c>
      <c r="G1042" s="8"/>
      <c r="H1042" s="8"/>
      <c r="I1042" s="9" t="e">
        <f>VLOOKUP($B1042,#REF!,19,FALSE)</f>
        <v>#REF!</v>
      </c>
      <c r="J1042" s="9" t="e">
        <f>VLOOKUP($B1042,#REF!,6,FALSE)</f>
        <v>#REF!</v>
      </c>
      <c r="L1042" s="1">
        <v>44655.597222218872</v>
      </c>
      <c r="M1042" s="13"/>
    </row>
    <row r="1043" spans="2:13">
      <c r="B1043" s="5"/>
      <c r="C1043" s="6" t="e">
        <f>VLOOKUP($B1043,#REF!,5,FALSE)</f>
        <v>#REF!</v>
      </c>
      <c r="D1043" s="6" t="e">
        <f>VLOOKUP($B1043,#REF!,6,FALSE)</f>
        <v>#REF!</v>
      </c>
      <c r="E1043" s="7" t="e">
        <f>VLOOKUP($B1043,#REF!,17,FALSE)</f>
        <v>#REF!</v>
      </c>
      <c r="F1043" s="8" t="e">
        <f>VLOOKUP($B1043,#REF!,7,FALSE)</f>
        <v>#REF!</v>
      </c>
      <c r="G1043" s="8"/>
      <c r="H1043" s="8"/>
      <c r="I1043" s="9" t="e">
        <f>VLOOKUP($B1043,#REF!,19,FALSE)</f>
        <v>#REF!</v>
      </c>
      <c r="J1043" s="9" t="e">
        <f>VLOOKUP($B1043,#REF!,6,FALSE)</f>
        <v>#REF!</v>
      </c>
      <c r="L1043" s="1">
        <v>44655.600694441091</v>
      </c>
      <c r="M1043" s="13"/>
    </row>
    <row r="1044" spans="2:13">
      <c r="B1044" s="5"/>
      <c r="C1044" s="6" t="e">
        <f>VLOOKUP($B1044,#REF!,5,FALSE)</f>
        <v>#REF!</v>
      </c>
      <c r="D1044" s="6" t="e">
        <f>VLOOKUP($B1044,#REF!,6,FALSE)</f>
        <v>#REF!</v>
      </c>
      <c r="E1044" s="7" t="e">
        <f>VLOOKUP($B1044,#REF!,17,FALSE)</f>
        <v>#REF!</v>
      </c>
      <c r="F1044" s="8" t="e">
        <f>VLOOKUP($B1044,#REF!,7,FALSE)</f>
        <v>#REF!</v>
      </c>
      <c r="G1044" s="8"/>
      <c r="H1044" s="8"/>
      <c r="I1044" s="9" t="e">
        <f>VLOOKUP($B1044,#REF!,19,FALSE)</f>
        <v>#REF!</v>
      </c>
      <c r="J1044" s="9" t="e">
        <f>VLOOKUP($B1044,#REF!,6,FALSE)</f>
        <v>#REF!</v>
      </c>
      <c r="L1044" s="1">
        <v>44655.60416666331</v>
      </c>
      <c r="M1044" s="13"/>
    </row>
    <row r="1045" spans="2:13">
      <c r="B1045" s="5"/>
      <c r="C1045" s="6" t="e">
        <f>VLOOKUP($B1045,#REF!,5,FALSE)</f>
        <v>#REF!</v>
      </c>
      <c r="D1045" s="6" t="e">
        <f>VLOOKUP($B1045,#REF!,6,FALSE)</f>
        <v>#REF!</v>
      </c>
      <c r="E1045" s="7" t="e">
        <f>VLOOKUP($B1045,#REF!,17,FALSE)</f>
        <v>#REF!</v>
      </c>
      <c r="F1045" s="8" t="e">
        <f>VLOOKUP($B1045,#REF!,7,FALSE)</f>
        <v>#REF!</v>
      </c>
      <c r="G1045" s="8"/>
      <c r="H1045" s="8"/>
      <c r="I1045" s="9" t="e">
        <f>VLOOKUP($B1045,#REF!,19,FALSE)</f>
        <v>#REF!</v>
      </c>
      <c r="J1045" s="9" t="e">
        <f>VLOOKUP($B1045,#REF!,6,FALSE)</f>
        <v>#REF!</v>
      </c>
      <c r="L1045" s="1">
        <v>44655.607638885529</v>
      </c>
      <c r="M1045" s="13"/>
    </row>
    <row r="1046" spans="2:13">
      <c r="B1046" s="5"/>
      <c r="C1046" s="6" t="e">
        <f>VLOOKUP($B1046,#REF!,5,FALSE)</f>
        <v>#REF!</v>
      </c>
      <c r="D1046" s="6" t="e">
        <f>VLOOKUP($B1046,#REF!,6,FALSE)</f>
        <v>#REF!</v>
      </c>
      <c r="E1046" s="7" t="e">
        <f>VLOOKUP($B1046,#REF!,17,FALSE)</f>
        <v>#REF!</v>
      </c>
      <c r="F1046" s="8" t="e">
        <f>VLOOKUP($B1046,#REF!,7,FALSE)</f>
        <v>#REF!</v>
      </c>
      <c r="G1046" s="8"/>
      <c r="H1046" s="8"/>
      <c r="I1046" s="9" t="e">
        <f>VLOOKUP($B1046,#REF!,19,FALSE)</f>
        <v>#REF!</v>
      </c>
      <c r="J1046" s="9" t="e">
        <f>VLOOKUP($B1046,#REF!,6,FALSE)</f>
        <v>#REF!</v>
      </c>
      <c r="L1046" s="1">
        <v>44655.611111107748</v>
      </c>
      <c r="M1046" s="13"/>
    </row>
    <row r="1047" spans="2:13">
      <c r="B1047" s="5"/>
      <c r="C1047" s="6" t="e">
        <f>VLOOKUP($B1047,#REF!,5,FALSE)</f>
        <v>#REF!</v>
      </c>
      <c r="D1047" s="6" t="e">
        <f>VLOOKUP($B1047,#REF!,6,FALSE)</f>
        <v>#REF!</v>
      </c>
      <c r="E1047" s="7" t="e">
        <f>VLOOKUP($B1047,#REF!,17,FALSE)</f>
        <v>#REF!</v>
      </c>
      <c r="F1047" s="8" t="e">
        <f>VLOOKUP($B1047,#REF!,7,FALSE)</f>
        <v>#REF!</v>
      </c>
      <c r="G1047" s="8"/>
      <c r="H1047" s="8"/>
      <c r="I1047" s="9" t="e">
        <f>VLOOKUP($B1047,#REF!,19,FALSE)</f>
        <v>#REF!</v>
      </c>
      <c r="J1047" s="9" t="e">
        <f>VLOOKUP($B1047,#REF!,6,FALSE)</f>
        <v>#REF!</v>
      </c>
      <c r="L1047" s="1">
        <v>44655.614583329967</v>
      </c>
      <c r="M1047" s="13"/>
    </row>
    <row r="1048" spans="2:13">
      <c r="B1048" s="5"/>
      <c r="C1048" s="6" t="e">
        <f>VLOOKUP($B1048,#REF!,5,FALSE)</f>
        <v>#REF!</v>
      </c>
      <c r="D1048" s="6" t="e">
        <f>VLOOKUP($B1048,#REF!,6,FALSE)</f>
        <v>#REF!</v>
      </c>
      <c r="E1048" s="7" t="e">
        <f>VLOOKUP($B1048,#REF!,17,FALSE)</f>
        <v>#REF!</v>
      </c>
      <c r="F1048" s="8" t="e">
        <f>VLOOKUP($B1048,#REF!,7,FALSE)</f>
        <v>#REF!</v>
      </c>
      <c r="G1048" s="8"/>
      <c r="H1048" s="8"/>
      <c r="I1048" s="9" t="e">
        <f>VLOOKUP($B1048,#REF!,19,FALSE)</f>
        <v>#REF!</v>
      </c>
      <c r="J1048" s="9" t="e">
        <f>VLOOKUP($B1048,#REF!,6,FALSE)</f>
        <v>#REF!</v>
      </c>
      <c r="L1048" s="1">
        <v>44655.618055552186</v>
      </c>
      <c r="M1048" s="13"/>
    </row>
    <row r="1049" spans="2:13">
      <c r="B1049" s="5"/>
      <c r="C1049" s="6" t="e">
        <f>VLOOKUP($B1049,#REF!,5,FALSE)</f>
        <v>#REF!</v>
      </c>
      <c r="D1049" s="6" t="e">
        <f>VLOOKUP($B1049,#REF!,6,FALSE)</f>
        <v>#REF!</v>
      </c>
      <c r="E1049" s="7" t="e">
        <f>VLOOKUP($B1049,#REF!,17,FALSE)</f>
        <v>#REF!</v>
      </c>
      <c r="F1049" s="8" t="e">
        <f>VLOOKUP($B1049,#REF!,7,FALSE)</f>
        <v>#REF!</v>
      </c>
      <c r="G1049" s="8"/>
      <c r="H1049" s="8"/>
      <c r="I1049" s="9" t="e">
        <f>VLOOKUP($B1049,#REF!,19,FALSE)</f>
        <v>#REF!</v>
      </c>
      <c r="J1049" s="9" t="e">
        <f>VLOOKUP($B1049,#REF!,6,FALSE)</f>
        <v>#REF!</v>
      </c>
      <c r="L1049" s="1">
        <v>44655.621527774405</v>
      </c>
      <c r="M1049" s="13"/>
    </row>
    <row r="1050" spans="2:13">
      <c r="B1050" s="5"/>
      <c r="C1050" s="6" t="e">
        <f>VLOOKUP($B1050,#REF!,5,FALSE)</f>
        <v>#REF!</v>
      </c>
      <c r="D1050" s="6" t="e">
        <f>VLOOKUP($B1050,#REF!,6,FALSE)</f>
        <v>#REF!</v>
      </c>
      <c r="E1050" s="7" t="e">
        <f>VLOOKUP($B1050,#REF!,17,FALSE)</f>
        <v>#REF!</v>
      </c>
      <c r="F1050" s="8" t="e">
        <f>VLOOKUP($B1050,#REF!,7,FALSE)</f>
        <v>#REF!</v>
      </c>
      <c r="G1050" s="8"/>
      <c r="H1050" s="8"/>
      <c r="I1050" s="9" t="e">
        <f>VLOOKUP($B1050,#REF!,19,FALSE)</f>
        <v>#REF!</v>
      </c>
      <c r="J1050" s="9" t="e">
        <f>VLOOKUP($B1050,#REF!,6,FALSE)</f>
        <v>#REF!</v>
      </c>
      <c r="L1050" s="1">
        <v>44655.624999996624</v>
      </c>
      <c r="M1050" s="13"/>
    </row>
    <row r="1051" spans="2:13">
      <c r="B1051" s="5"/>
      <c r="C1051" s="6" t="e">
        <f>VLOOKUP($B1051,#REF!,5,FALSE)</f>
        <v>#REF!</v>
      </c>
      <c r="D1051" s="6" t="e">
        <f>VLOOKUP($B1051,#REF!,6,FALSE)</f>
        <v>#REF!</v>
      </c>
      <c r="E1051" s="7" t="e">
        <f>VLOOKUP($B1051,#REF!,17,FALSE)</f>
        <v>#REF!</v>
      </c>
      <c r="F1051" s="8" t="e">
        <f>VLOOKUP($B1051,#REF!,7,FALSE)</f>
        <v>#REF!</v>
      </c>
      <c r="G1051" s="8"/>
      <c r="H1051" s="8"/>
      <c r="I1051" s="9" t="e">
        <f>VLOOKUP($B1051,#REF!,19,FALSE)</f>
        <v>#REF!</v>
      </c>
      <c r="J1051" s="9" t="e">
        <f>VLOOKUP($B1051,#REF!,6,FALSE)</f>
        <v>#REF!</v>
      </c>
      <c r="L1051" s="1">
        <v>44655.628472218843</v>
      </c>
      <c r="M1051" s="13"/>
    </row>
    <row r="1052" spans="2:13">
      <c r="B1052" s="5"/>
      <c r="C1052" s="6" t="e">
        <f>VLOOKUP($B1052,#REF!,5,FALSE)</f>
        <v>#REF!</v>
      </c>
      <c r="D1052" s="6" t="e">
        <f>VLOOKUP($B1052,#REF!,6,FALSE)</f>
        <v>#REF!</v>
      </c>
      <c r="E1052" s="7" t="e">
        <f>VLOOKUP($B1052,#REF!,17,FALSE)</f>
        <v>#REF!</v>
      </c>
      <c r="F1052" s="8" t="e">
        <f>VLOOKUP($B1052,#REF!,7,FALSE)</f>
        <v>#REF!</v>
      </c>
      <c r="G1052" s="8"/>
      <c r="H1052" s="8"/>
      <c r="I1052" s="9" t="e">
        <f>VLOOKUP($B1052,#REF!,19,FALSE)</f>
        <v>#REF!</v>
      </c>
      <c r="J1052" s="9" t="e">
        <f>VLOOKUP($B1052,#REF!,6,FALSE)</f>
        <v>#REF!</v>
      </c>
      <c r="L1052" s="1">
        <v>44655.631944441062</v>
      </c>
      <c r="M1052" s="13"/>
    </row>
    <row r="1053" spans="2:13">
      <c r="B1053" s="5"/>
      <c r="C1053" s="6" t="e">
        <f>VLOOKUP($B1053,#REF!,5,FALSE)</f>
        <v>#REF!</v>
      </c>
      <c r="D1053" s="6" t="e">
        <f>VLOOKUP($B1053,#REF!,6,FALSE)</f>
        <v>#REF!</v>
      </c>
      <c r="E1053" s="7" t="e">
        <f>VLOOKUP($B1053,#REF!,17,FALSE)</f>
        <v>#REF!</v>
      </c>
      <c r="F1053" s="8" t="e">
        <f>VLOOKUP($B1053,#REF!,7,FALSE)</f>
        <v>#REF!</v>
      </c>
      <c r="G1053" s="8"/>
      <c r="H1053" s="8"/>
      <c r="I1053" s="9" t="e">
        <f>VLOOKUP($B1053,#REF!,19,FALSE)</f>
        <v>#REF!</v>
      </c>
      <c r="J1053" s="9" t="e">
        <f>VLOOKUP($B1053,#REF!,6,FALSE)</f>
        <v>#REF!</v>
      </c>
      <c r="L1053" s="1">
        <v>44655.635416663281</v>
      </c>
      <c r="M1053" s="13"/>
    </row>
    <row r="1054" spans="2:13">
      <c r="B1054" s="5"/>
      <c r="C1054" s="6" t="e">
        <f>VLOOKUP($B1054,#REF!,5,FALSE)</f>
        <v>#REF!</v>
      </c>
      <c r="D1054" s="6" t="e">
        <f>VLOOKUP($B1054,#REF!,6,FALSE)</f>
        <v>#REF!</v>
      </c>
      <c r="E1054" s="7" t="e">
        <f>VLOOKUP($B1054,#REF!,17,FALSE)</f>
        <v>#REF!</v>
      </c>
      <c r="F1054" s="8" t="e">
        <f>VLOOKUP($B1054,#REF!,7,FALSE)</f>
        <v>#REF!</v>
      </c>
      <c r="G1054" s="8"/>
      <c r="H1054" s="8"/>
      <c r="I1054" s="9" t="e">
        <f>VLOOKUP($B1054,#REF!,19,FALSE)</f>
        <v>#REF!</v>
      </c>
      <c r="J1054" s="9" t="e">
        <f>VLOOKUP($B1054,#REF!,6,FALSE)</f>
        <v>#REF!</v>
      </c>
      <c r="L1054" s="1">
        <v>44655.6388888855</v>
      </c>
      <c r="M1054" s="13"/>
    </row>
    <row r="1055" spans="2:13">
      <c r="B1055" s="5"/>
      <c r="C1055" s="6" t="e">
        <f>VLOOKUP($B1055,#REF!,5,FALSE)</f>
        <v>#REF!</v>
      </c>
      <c r="D1055" s="6" t="e">
        <f>VLOOKUP($B1055,#REF!,6,FALSE)</f>
        <v>#REF!</v>
      </c>
      <c r="E1055" s="7" t="e">
        <f>VLOOKUP($B1055,#REF!,17,FALSE)</f>
        <v>#REF!</v>
      </c>
      <c r="F1055" s="8" t="e">
        <f>VLOOKUP($B1055,#REF!,7,FALSE)</f>
        <v>#REF!</v>
      </c>
      <c r="G1055" s="8"/>
      <c r="H1055" s="8"/>
      <c r="I1055" s="9" t="e">
        <f>VLOOKUP($B1055,#REF!,19,FALSE)</f>
        <v>#REF!</v>
      </c>
      <c r="J1055" s="9" t="e">
        <f>VLOOKUP($B1055,#REF!,6,FALSE)</f>
        <v>#REF!</v>
      </c>
      <c r="L1055" s="1">
        <v>44655.642361107719</v>
      </c>
      <c r="M1055" s="13"/>
    </row>
    <row r="1056" spans="2:13">
      <c r="B1056" s="5"/>
      <c r="C1056" s="6" t="e">
        <f>VLOOKUP($B1056,#REF!,5,FALSE)</f>
        <v>#REF!</v>
      </c>
      <c r="D1056" s="6" t="e">
        <f>VLOOKUP($B1056,#REF!,6,FALSE)</f>
        <v>#REF!</v>
      </c>
      <c r="E1056" s="7" t="e">
        <f>VLOOKUP($B1056,#REF!,17,FALSE)</f>
        <v>#REF!</v>
      </c>
      <c r="F1056" s="8" t="e">
        <f>VLOOKUP($B1056,#REF!,7,FALSE)</f>
        <v>#REF!</v>
      </c>
      <c r="G1056" s="8"/>
      <c r="H1056" s="8"/>
      <c r="I1056" s="9" t="e">
        <f>VLOOKUP($B1056,#REF!,19,FALSE)</f>
        <v>#REF!</v>
      </c>
      <c r="J1056" s="9" t="e">
        <f>VLOOKUP($B1056,#REF!,6,FALSE)</f>
        <v>#REF!</v>
      </c>
      <c r="L1056" s="1">
        <v>44655.645833329938</v>
      </c>
      <c r="M1056" s="13"/>
    </row>
    <row r="1057" spans="2:13">
      <c r="B1057" s="5"/>
      <c r="C1057" s="6" t="e">
        <f>VLOOKUP($B1057,#REF!,5,FALSE)</f>
        <v>#REF!</v>
      </c>
      <c r="D1057" s="6" t="e">
        <f>VLOOKUP($B1057,#REF!,6,FALSE)</f>
        <v>#REF!</v>
      </c>
      <c r="E1057" s="7" t="e">
        <f>VLOOKUP($B1057,#REF!,17,FALSE)</f>
        <v>#REF!</v>
      </c>
      <c r="F1057" s="8" t="e">
        <f>VLOOKUP($B1057,#REF!,7,FALSE)</f>
        <v>#REF!</v>
      </c>
      <c r="G1057" s="8"/>
      <c r="H1057" s="8"/>
      <c r="I1057" s="9" t="e">
        <f>VLOOKUP($B1057,#REF!,19,FALSE)</f>
        <v>#REF!</v>
      </c>
      <c r="J1057" s="9" t="e">
        <f>VLOOKUP($B1057,#REF!,6,FALSE)</f>
        <v>#REF!</v>
      </c>
      <c r="L1057" s="1">
        <v>44655.649305552157</v>
      </c>
      <c r="M1057" s="13"/>
    </row>
    <row r="1058" spans="2:13">
      <c r="B1058" s="5"/>
      <c r="C1058" s="6" t="e">
        <f>VLOOKUP($B1058,#REF!,5,FALSE)</f>
        <v>#REF!</v>
      </c>
      <c r="D1058" s="6" t="e">
        <f>VLOOKUP($B1058,#REF!,6,FALSE)</f>
        <v>#REF!</v>
      </c>
      <c r="E1058" s="7" t="e">
        <f>VLOOKUP($B1058,#REF!,17,FALSE)</f>
        <v>#REF!</v>
      </c>
      <c r="F1058" s="8" t="e">
        <f>VLOOKUP($B1058,#REF!,7,FALSE)</f>
        <v>#REF!</v>
      </c>
      <c r="G1058" s="8"/>
      <c r="H1058" s="8"/>
      <c r="I1058" s="9" t="e">
        <f>VLOOKUP($B1058,#REF!,19,FALSE)</f>
        <v>#REF!</v>
      </c>
      <c r="J1058" s="9" t="e">
        <f>VLOOKUP($B1058,#REF!,6,FALSE)</f>
        <v>#REF!</v>
      </c>
      <c r="L1058" s="1">
        <v>44655.652777774376</v>
      </c>
      <c r="M1058" s="13"/>
    </row>
    <row r="1059" spans="2:13">
      <c r="B1059" s="5"/>
      <c r="C1059" s="6" t="e">
        <f>VLOOKUP($B1059,#REF!,5,FALSE)</f>
        <v>#REF!</v>
      </c>
      <c r="D1059" s="6" t="e">
        <f>VLOOKUP($B1059,#REF!,6,FALSE)</f>
        <v>#REF!</v>
      </c>
      <c r="E1059" s="7" t="e">
        <f>VLOOKUP($B1059,#REF!,17,FALSE)</f>
        <v>#REF!</v>
      </c>
      <c r="F1059" s="8" t="e">
        <f>VLOOKUP($B1059,#REF!,7,FALSE)</f>
        <v>#REF!</v>
      </c>
      <c r="G1059" s="8"/>
      <c r="H1059" s="8"/>
      <c r="I1059" s="9" t="e">
        <f>VLOOKUP($B1059,#REF!,19,FALSE)</f>
        <v>#REF!</v>
      </c>
      <c r="J1059" s="9" t="e">
        <f>VLOOKUP($B1059,#REF!,6,FALSE)</f>
        <v>#REF!</v>
      </c>
      <c r="L1059" s="1">
        <v>44655.656249996595</v>
      </c>
      <c r="M1059" s="13"/>
    </row>
    <row r="1060" spans="2:13">
      <c r="B1060" s="5"/>
      <c r="C1060" s="6" t="e">
        <f>VLOOKUP($B1060,#REF!,5,FALSE)</f>
        <v>#REF!</v>
      </c>
      <c r="D1060" s="6" t="e">
        <f>VLOOKUP($B1060,#REF!,6,FALSE)</f>
        <v>#REF!</v>
      </c>
      <c r="E1060" s="7" t="e">
        <f>VLOOKUP($B1060,#REF!,17,FALSE)</f>
        <v>#REF!</v>
      </c>
      <c r="F1060" s="8" t="e">
        <f>VLOOKUP($B1060,#REF!,7,FALSE)</f>
        <v>#REF!</v>
      </c>
      <c r="G1060" s="8"/>
      <c r="H1060" s="8"/>
      <c r="I1060" s="9" t="e">
        <f>VLOOKUP($B1060,#REF!,19,FALSE)</f>
        <v>#REF!</v>
      </c>
      <c r="J1060" s="9" t="e">
        <f>VLOOKUP($B1060,#REF!,6,FALSE)</f>
        <v>#REF!</v>
      </c>
      <c r="L1060" s="1">
        <v>44655.659722218814</v>
      </c>
      <c r="M1060" s="13"/>
    </row>
    <row r="1061" spans="2:13">
      <c r="B1061" s="5"/>
      <c r="C1061" s="6" t="e">
        <f>VLOOKUP($B1061,#REF!,5,FALSE)</f>
        <v>#REF!</v>
      </c>
      <c r="D1061" s="6" t="e">
        <f>VLOOKUP($B1061,#REF!,6,FALSE)</f>
        <v>#REF!</v>
      </c>
      <c r="E1061" s="7" t="e">
        <f>VLOOKUP($B1061,#REF!,17,FALSE)</f>
        <v>#REF!</v>
      </c>
      <c r="F1061" s="8" t="e">
        <f>VLOOKUP($B1061,#REF!,7,FALSE)</f>
        <v>#REF!</v>
      </c>
      <c r="G1061" s="8"/>
      <c r="H1061" s="8"/>
      <c r="I1061" s="9" t="e">
        <f>VLOOKUP($B1061,#REF!,19,FALSE)</f>
        <v>#REF!</v>
      </c>
      <c r="J1061" s="9" t="e">
        <f>VLOOKUP($B1061,#REF!,6,FALSE)</f>
        <v>#REF!</v>
      </c>
      <c r="L1061" s="1">
        <v>44655.663194441033</v>
      </c>
      <c r="M1061" s="13"/>
    </row>
    <row r="1062" spans="2:13">
      <c r="B1062" s="5"/>
      <c r="C1062" s="6" t="e">
        <f>VLOOKUP($B1062,#REF!,5,FALSE)</f>
        <v>#REF!</v>
      </c>
      <c r="D1062" s="6" t="e">
        <f>VLOOKUP($B1062,#REF!,6,FALSE)</f>
        <v>#REF!</v>
      </c>
      <c r="E1062" s="7" t="e">
        <f>VLOOKUP($B1062,#REF!,17,FALSE)</f>
        <v>#REF!</v>
      </c>
      <c r="F1062" s="8" t="e">
        <f>VLOOKUP($B1062,#REF!,7,FALSE)</f>
        <v>#REF!</v>
      </c>
      <c r="G1062" s="8"/>
      <c r="H1062" s="8"/>
      <c r="I1062" s="9" t="e">
        <f>VLOOKUP($B1062,#REF!,19,FALSE)</f>
        <v>#REF!</v>
      </c>
      <c r="J1062" s="9" t="e">
        <f>VLOOKUP($B1062,#REF!,6,FALSE)</f>
        <v>#REF!</v>
      </c>
      <c r="L1062" s="1">
        <v>44655.666666663252</v>
      </c>
      <c r="M1062" s="13"/>
    </row>
    <row r="1063" spans="2:13">
      <c r="B1063" s="5"/>
      <c r="C1063" s="6" t="e">
        <f>VLOOKUP($B1063,#REF!,5,FALSE)</f>
        <v>#REF!</v>
      </c>
      <c r="D1063" s="6" t="e">
        <f>VLOOKUP($B1063,#REF!,6,FALSE)</f>
        <v>#REF!</v>
      </c>
      <c r="E1063" s="7" t="e">
        <f>VLOOKUP($B1063,#REF!,17,FALSE)</f>
        <v>#REF!</v>
      </c>
      <c r="F1063" s="8" t="e">
        <f>VLOOKUP($B1063,#REF!,7,FALSE)</f>
        <v>#REF!</v>
      </c>
      <c r="G1063" s="8"/>
      <c r="H1063" s="8"/>
      <c r="I1063" s="9" t="e">
        <f>VLOOKUP($B1063,#REF!,19,FALSE)</f>
        <v>#REF!</v>
      </c>
      <c r="J1063" s="9" t="e">
        <f>VLOOKUP($B1063,#REF!,6,FALSE)</f>
        <v>#REF!</v>
      </c>
      <c r="L1063" s="1">
        <v>44655.670138885471</v>
      </c>
      <c r="M1063" s="13"/>
    </row>
    <row r="1064" spans="2:13">
      <c r="B1064" s="5"/>
      <c r="C1064" s="6" t="e">
        <f>VLOOKUP($B1064,#REF!,5,FALSE)</f>
        <v>#REF!</v>
      </c>
      <c r="D1064" s="6" t="e">
        <f>VLOOKUP($B1064,#REF!,6,FALSE)</f>
        <v>#REF!</v>
      </c>
      <c r="E1064" s="7" t="e">
        <f>VLOOKUP($B1064,#REF!,17,FALSE)</f>
        <v>#REF!</v>
      </c>
      <c r="F1064" s="8" t="e">
        <f>VLOOKUP($B1064,#REF!,7,FALSE)</f>
        <v>#REF!</v>
      </c>
      <c r="G1064" s="8"/>
      <c r="H1064" s="8"/>
      <c r="I1064" s="9" t="e">
        <f>VLOOKUP($B1064,#REF!,19,FALSE)</f>
        <v>#REF!</v>
      </c>
      <c r="J1064" s="9" t="e">
        <f>VLOOKUP($B1064,#REF!,6,FALSE)</f>
        <v>#REF!</v>
      </c>
      <c r="L1064" s="1">
        <v>44655.67361110769</v>
      </c>
      <c r="M1064" s="13"/>
    </row>
    <row r="1065" spans="2:13">
      <c r="B1065" s="5"/>
      <c r="C1065" s="6" t="e">
        <f>VLOOKUP($B1065,#REF!,5,FALSE)</f>
        <v>#REF!</v>
      </c>
      <c r="D1065" s="6" t="e">
        <f>VLOOKUP($B1065,#REF!,6,FALSE)</f>
        <v>#REF!</v>
      </c>
      <c r="E1065" s="7" t="e">
        <f>VLOOKUP($B1065,#REF!,17,FALSE)</f>
        <v>#REF!</v>
      </c>
      <c r="F1065" s="8" t="e">
        <f>VLOOKUP($B1065,#REF!,7,FALSE)</f>
        <v>#REF!</v>
      </c>
      <c r="G1065" s="8"/>
      <c r="H1065" s="8"/>
      <c r="I1065" s="9" t="e">
        <f>VLOOKUP($B1065,#REF!,19,FALSE)</f>
        <v>#REF!</v>
      </c>
      <c r="J1065" s="9" t="e">
        <f>VLOOKUP($B1065,#REF!,6,FALSE)</f>
        <v>#REF!</v>
      </c>
      <c r="L1065" s="1">
        <v>44655.677083329909</v>
      </c>
      <c r="M1065" s="13"/>
    </row>
    <row r="1066" spans="2:13">
      <c r="B1066" s="5"/>
      <c r="C1066" s="6" t="e">
        <f>VLOOKUP($B1066,#REF!,5,FALSE)</f>
        <v>#REF!</v>
      </c>
      <c r="D1066" s="6" t="e">
        <f>VLOOKUP($B1066,#REF!,6,FALSE)</f>
        <v>#REF!</v>
      </c>
      <c r="E1066" s="7" t="e">
        <f>VLOOKUP($B1066,#REF!,17,FALSE)</f>
        <v>#REF!</v>
      </c>
      <c r="F1066" s="8" t="e">
        <f>VLOOKUP($B1066,#REF!,7,FALSE)</f>
        <v>#REF!</v>
      </c>
      <c r="G1066" s="8"/>
      <c r="H1066" s="8"/>
      <c r="I1066" s="9" t="e">
        <f>VLOOKUP($B1066,#REF!,19,FALSE)</f>
        <v>#REF!</v>
      </c>
      <c r="J1066" s="9" t="e">
        <f>VLOOKUP($B1066,#REF!,6,FALSE)</f>
        <v>#REF!</v>
      </c>
      <c r="L1066" s="1">
        <v>44655.680555552128</v>
      </c>
      <c r="M1066" s="13"/>
    </row>
    <row r="1067" spans="2:13">
      <c r="B1067" s="5"/>
      <c r="C1067" s="6" t="e">
        <f>VLOOKUP($B1067,#REF!,5,FALSE)</f>
        <v>#REF!</v>
      </c>
      <c r="D1067" s="6" t="e">
        <f>VLOOKUP($B1067,#REF!,6,FALSE)</f>
        <v>#REF!</v>
      </c>
      <c r="E1067" s="7" t="e">
        <f>VLOOKUP($B1067,#REF!,17,FALSE)</f>
        <v>#REF!</v>
      </c>
      <c r="F1067" s="8" t="e">
        <f>VLOOKUP($B1067,#REF!,7,FALSE)</f>
        <v>#REF!</v>
      </c>
      <c r="G1067" s="8"/>
      <c r="H1067" s="8"/>
      <c r="I1067" s="9" t="e">
        <f>VLOOKUP($B1067,#REF!,19,FALSE)</f>
        <v>#REF!</v>
      </c>
      <c r="J1067" s="9" t="e">
        <f>VLOOKUP($B1067,#REF!,6,FALSE)</f>
        <v>#REF!</v>
      </c>
      <c r="L1067" s="1">
        <v>44655.684027774347</v>
      </c>
      <c r="M1067" s="13"/>
    </row>
    <row r="1068" spans="2:13">
      <c r="B1068" s="5"/>
      <c r="C1068" s="6" t="e">
        <f>VLOOKUP($B1068,#REF!,5,FALSE)</f>
        <v>#REF!</v>
      </c>
      <c r="D1068" s="6" t="e">
        <f>VLOOKUP($B1068,#REF!,6,FALSE)</f>
        <v>#REF!</v>
      </c>
      <c r="E1068" s="7" t="e">
        <f>VLOOKUP($B1068,#REF!,17,FALSE)</f>
        <v>#REF!</v>
      </c>
      <c r="F1068" s="8" t="e">
        <f>VLOOKUP($B1068,#REF!,7,FALSE)</f>
        <v>#REF!</v>
      </c>
      <c r="G1068" s="8"/>
      <c r="H1068" s="8"/>
      <c r="I1068" s="9" t="e">
        <f>VLOOKUP($B1068,#REF!,19,FALSE)</f>
        <v>#REF!</v>
      </c>
      <c r="J1068" s="9" t="e">
        <f>VLOOKUP($B1068,#REF!,6,FALSE)</f>
        <v>#REF!</v>
      </c>
      <c r="L1068" s="1">
        <v>44655.687499996566</v>
      </c>
      <c r="M1068" s="13"/>
    </row>
    <row r="1069" spans="2:13">
      <c r="B1069" s="5"/>
      <c r="C1069" s="6" t="e">
        <f>VLOOKUP($B1069,#REF!,5,FALSE)</f>
        <v>#REF!</v>
      </c>
      <c r="D1069" s="6" t="e">
        <f>VLOOKUP($B1069,#REF!,6,FALSE)</f>
        <v>#REF!</v>
      </c>
      <c r="E1069" s="7" t="e">
        <f>VLOOKUP($B1069,#REF!,17,FALSE)</f>
        <v>#REF!</v>
      </c>
      <c r="F1069" s="8" t="e">
        <f>VLOOKUP($B1069,#REF!,7,FALSE)</f>
        <v>#REF!</v>
      </c>
      <c r="G1069" s="8"/>
      <c r="H1069" s="8"/>
      <c r="I1069" s="9" t="e">
        <f>VLOOKUP($B1069,#REF!,19,FALSE)</f>
        <v>#REF!</v>
      </c>
      <c r="J1069" s="9" t="e">
        <f>VLOOKUP($B1069,#REF!,6,FALSE)</f>
        <v>#REF!</v>
      </c>
      <c r="L1069" s="1">
        <v>44655.690972218785</v>
      </c>
      <c r="M1069" s="13"/>
    </row>
    <row r="1070" spans="2:13">
      <c r="B1070" s="5"/>
      <c r="C1070" s="6" t="e">
        <f>VLOOKUP($B1070,#REF!,5,FALSE)</f>
        <v>#REF!</v>
      </c>
      <c r="D1070" s="6" t="e">
        <f>VLOOKUP($B1070,#REF!,6,FALSE)</f>
        <v>#REF!</v>
      </c>
      <c r="E1070" s="7" t="e">
        <f>VLOOKUP($B1070,#REF!,17,FALSE)</f>
        <v>#REF!</v>
      </c>
      <c r="F1070" s="8" t="e">
        <f>VLOOKUP($B1070,#REF!,7,FALSE)</f>
        <v>#REF!</v>
      </c>
      <c r="G1070" s="8"/>
      <c r="H1070" s="8"/>
      <c r="I1070" s="9" t="e">
        <f>VLOOKUP($B1070,#REF!,19,FALSE)</f>
        <v>#REF!</v>
      </c>
      <c r="J1070" s="9" t="e">
        <f>VLOOKUP($B1070,#REF!,6,FALSE)</f>
        <v>#REF!</v>
      </c>
      <c r="L1070" s="1">
        <v>44655.694444441004</v>
      </c>
      <c r="M1070" s="13"/>
    </row>
    <row r="1071" spans="2:13">
      <c r="B1071" s="5"/>
      <c r="C1071" s="6" t="e">
        <f>VLOOKUP($B1071,#REF!,5,FALSE)</f>
        <v>#REF!</v>
      </c>
      <c r="D1071" s="6" t="e">
        <f>VLOOKUP($B1071,#REF!,6,FALSE)</f>
        <v>#REF!</v>
      </c>
      <c r="E1071" s="7" t="e">
        <f>VLOOKUP($B1071,#REF!,17,FALSE)</f>
        <v>#REF!</v>
      </c>
      <c r="F1071" s="8" t="e">
        <f>VLOOKUP($B1071,#REF!,7,FALSE)</f>
        <v>#REF!</v>
      </c>
      <c r="G1071" s="8"/>
      <c r="H1071" s="8"/>
      <c r="I1071" s="9" t="e">
        <f>VLOOKUP($B1071,#REF!,19,FALSE)</f>
        <v>#REF!</v>
      </c>
      <c r="J1071" s="9" t="e">
        <f>VLOOKUP($B1071,#REF!,6,FALSE)</f>
        <v>#REF!</v>
      </c>
      <c r="L1071" s="1">
        <v>44655.697916663223</v>
      </c>
      <c r="M1071" s="13"/>
    </row>
    <row r="1072" spans="2:13">
      <c r="B1072" s="5"/>
      <c r="C1072" s="6" t="e">
        <f>VLOOKUP($B1072,#REF!,5,FALSE)</f>
        <v>#REF!</v>
      </c>
      <c r="D1072" s="6" t="e">
        <f>VLOOKUP($B1072,#REF!,6,FALSE)</f>
        <v>#REF!</v>
      </c>
      <c r="E1072" s="7" t="e">
        <f>VLOOKUP($B1072,#REF!,17,FALSE)</f>
        <v>#REF!</v>
      </c>
      <c r="F1072" s="8" t="e">
        <f>VLOOKUP($B1072,#REF!,7,FALSE)</f>
        <v>#REF!</v>
      </c>
      <c r="G1072" s="8"/>
      <c r="H1072" s="8"/>
      <c r="I1072" s="9" t="e">
        <f>VLOOKUP($B1072,#REF!,19,FALSE)</f>
        <v>#REF!</v>
      </c>
      <c r="J1072" s="9" t="e">
        <f>VLOOKUP($B1072,#REF!,6,FALSE)</f>
        <v>#REF!</v>
      </c>
      <c r="L1072" s="1">
        <v>44655.701388885442</v>
      </c>
      <c r="M1072" s="13"/>
    </row>
    <row r="1073" spans="2:13">
      <c r="B1073" s="5"/>
      <c r="C1073" s="6" t="e">
        <f>VLOOKUP($B1073,#REF!,5,FALSE)</f>
        <v>#REF!</v>
      </c>
      <c r="D1073" s="6" t="e">
        <f>VLOOKUP($B1073,#REF!,6,FALSE)</f>
        <v>#REF!</v>
      </c>
      <c r="E1073" s="7" t="e">
        <f>VLOOKUP($B1073,#REF!,17,FALSE)</f>
        <v>#REF!</v>
      </c>
      <c r="F1073" s="8" t="e">
        <f>VLOOKUP($B1073,#REF!,7,FALSE)</f>
        <v>#REF!</v>
      </c>
      <c r="G1073" s="8"/>
      <c r="H1073" s="8"/>
      <c r="I1073" s="9" t="e">
        <f>VLOOKUP($B1073,#REF!,19,FALSE)</f>
        <v>#REF!</v>
      </c>
      <c r="J1073" s="9" t="e">
        <f>VLOOKUP($B1073,#REF!,6,FALSE)</f>
        <v>#REF!</v>
      </c>
      <c r="L1073" s="1">
        <v>44655.704861107661</v>
      </c>
      <c r="M1073" s="13"/>
    </row>
    <row r="1074" spans="2:13">
      <c r="B1074" s="5"/>
      <c r="C1074" s="6" t="e">
        <f>VLOOKUP($B1074,#REF!,5,FALSE)</f>
        <v>#REF!</v>
      </c>
      <c r="D1074" s="6" t="e">
        <f>VLOOKUP($B1074,#REF!,6,FALSE)</f>
        <v>#REF!</v>
      </c>
      <c r="E1074" s="7" t="e">
        <f>VLOOKUP($B1074,#REF!,17,FALSE)</f>
        <v>#REF!</v>
      </c>
      <c r="F1074" s="8" t="e">
        <f>VLOOKUP($B1074,#REF!,7,FALSE)</f>
        <v>#REF!</v>
      </c>
      <c r="G1074" s="8"/>
      <c r="H1074" s="8"/>
      <c r="I1074" s="9" t="e">
        <f>VLOOKUP($B1074,#REF!,19,FALSE)</f>
        <v>#REF!</v>
      </c>
      <c r="J1074" s="9" t="e">
        <f>VLOOKUP($B1074,#REF!,6,FALSE)</f>
        <v>#REF!</v>
      </c>
      <c r="L1074" s="1">
        <v>44655.70833332988</v>
      </c>
      <c r="M1074" s="13"/>
    </row>
    <row r="1075" spans="2:13">
      <c r="B1075" s="5"/>
      <c r="C1075" s="6" t="e">
        <f>VLOOKUP($B1075,#REF!,5,FALSE)</f>
        <v>#REF!</v>
      </c>
      <c r="D1075" s="6" t="e">
        <f>VLOOKUP($B1075,#REF!,6,FALSE)</f>
        <v>#REF!</v>
      </c>
      <c r="E1075" s="7" t="e">
        <f>VLOOKUP($B1075,#REF!,17,FALSE)</f>
        <v>#REF!</v>
      </c>
      <c r="F1075" s="8" t="e">
        <f>VLOOKUP($B1075,#REF!,7,FALSE)</f>
        <v>#REF!</v>
      </c>
      <c r="G1075" s="8"/>
      <c r="H1075" s="8"/>
      <c r="I1075" s="9" t="e">
        <f>VLOOKUP($B1075,#REF!,19,FALSE)</f>
        <v>#REF!</v>
      </c>
      <c r="J1075" s="9" t="e">
        <f>VLOOKUP($B1075,#REF!,6,FALSE)</f>
        <v>#REF!</v>
      </c>
      <c r="L1075" s="1">
        <v>44655.711805552099</v>
      </c>
      <c r="M1075" s="13"/>
    </row>
    <row r="1076" spans="2:13">
      <c r="B1076" s="5"/>
      <c r="C1076" s="6" t="e">
        <f>VLOOKUP($B1076,#REF!,5,FALSE)</f>
        <v>#REF!</v>
      </c>
      <c r="D1076" s="6" t="e">
        <f>VLOOKUP($B1076,#REF!,6,FALSE)</f>
        <v>#REF!</v>
      </c>
      <c r="E1076" s="7" t="e">
        <f>VLOOKUP($B1076,#REF!,17,FALSE)</f>
        <v>#REF!</v>
      </c>
      <c r="F1076" s="8" t="e">
        <f>VLOOKUP($B1076,#REF!,7,FALSE)</f>
        <v>#REF!</v>
      </c>
      <c r="G1076" s="8"/>
      <c r="H1076" s="8"/>
      <c r="I1076" s="9" t="e">
        <f>VLOOKUP($B1076,#REF!,19,FALSE)</f>
        <v>#REF!</v>
      </c>
      <c r="J1076" s="9" t="e">
        <f>VLOOKUP($B1076,#REF!,6,FALSE)</f>
        <v>#REF!</v>
      </c>
      <c r="L1076" s="1">
        <v>44655.715277774318</v>
      </c>
      <c r="M1076" s="13"/>
    </row>
    <row r="1077" spans="2:13">
      <c r="B1077" s="5"/>
      <c r="C1077" s="6" t="e">
        <f>VLOOKUP($B1077,#REF!,5,FALSE)</f>
        <v>#REF!</v>
      </c>
      <c r="D1077" s="6" t="e">
        <f>VLOOKUP($B1077,#REF!,6,FALSE)</f>
        <v>#REF!</v>
      </c>
      <c r="E1077" s="7" t="e">
        <f>VLOOKUP($B1077,#REF!,17,FALSE)</f>
        <v>#REF!</v>
      </c>
      <c r="F1077" s="8" t="e">
        <f>VLOOKUP($B1077,#REF!,7,FALSE)</f>
        <v>#REF!</v>
      </c>
      <c r="G1077" s="8"/>
      <c r="H1077" s="8"/>
      <c r="I1077" s="9" t="e">
        <f>VLOOKUP($B1077,#REF!,19,FALSE)</f>
        <v>#REF!</v>
      </c>
      <c r="J1077" s="9" t="e">
        <f>VLOOKUP($B1077,#REF!,6,FALSE)</f>
        <v>#REF!</v>
      </c>
      <c r="L1077" s="1">
        <v>44655.718749996537</v>
      </c>
      <c r="M1077" s="13"/>
    </row>
    <row r="1078" spans="2:13">
      <c r="B1078" s="5"/>
      <c r="C1078" s="6" t="e">
        <f>VLOOKUP($B1078,#REF!,5,FALSE)</f>
        <v>#REF!</v>
      </c>
      <c r="D1078" s="6" t="e">
        <f>VLOOKUP($B1078,#REF!,6,FALSE)</f>
        <v>#REF!</v>
      </c>
      <c r="E1078" s="7" t="e">
        <f>VLOOKUP($B1078,#REF!,17,FALSE)</f>
        <v>#REF!</v>
      </c>
      <c r="F1078" s="8" t="e">
        <f>VLOOKUP($B1078,#REF!,7,FALSE)</f>
        <v>#REF!</v>
      </c>
      <c r="G1078" s="8"/>
      <c r="H1078" s="8"/>
      <c r="I1078" s="9" t="e">
        <f>VLOOKUP($B1078,#REF!,19,FALSE)</f>
        <v>#REF!</v>
      </c>
      <c r="J1078" s="9" t="e">
        <f>VLOOKUP($B1078,#REF!,6,FALSE)</f>
        <v>#REF!</v>
      </c>
      <c r="L1078" s="1">
        <v>44655.722222218756</v>
      </c>
      <c r="M1078" s="13"/>
    </row>
    <row r="1079" spans="2:13">
      <c r="B1079" s="5"/>
      <c r="C1079" s="6" t="e">
        <f>VLOOKUP($B1079,#REF!,5,FALSE)</f>
        <v>#REF!</v>
      </c>
      <c r="D1079" s="6" t="e">
        <f>VLOOKUP($B1079,#REF!,6,FALSE)</f>
        <v>#REF!</v>
      </c>
      <c r="E1079" s="7" t="e">
        <f>VLOOKUP($B1079,#REF!,17,FALSE)</f>
        <v>#REF!</v>
      </c>
      <c r="F1079" s="8" t="e">
        <f>VLOOKUP($B1079,#REF!,7,FALSE)</f>
        <v>#REF!</v>
      </c>
      <c r="G1079" s="8"/>
      <c r="H1079" s="8"/>
      <c r="I1079" s="9" t="e">
        <f>VLOOKUP($B1079,#REF!,19,FALSE)</f>
        <v>#REF!</v>
      </c>
      <c r="J1079" s="9" t="e">
        <f>VLOOKUP($B1079,#REF!,6,FALSE)</f>
        <v>#REF!</v>
      </c>
      <c r="L1079" s="1">
        <v>44655.725694440975</v>
      </c>
      <c r="M1079" s="13"/>
    </row>
    <row r="1080" spans="2:13">
      <c r="B1080" s="5"/>
      <c r="C1080" s="6" t="e">
        <f>VLOOKUP($B1080,#REF!,5,FALSE)</f>
        <v>#REF!</v>
      </c>
      <c r="D1080" s="6" t="e">
        <f>VLOOKUP($B1080,#REF!,6,FALSE)</f>
        <v>#REF!</v>
      </c>
      <c r="E1080" s="7" t="e">
        <f>VLOOKUP($B1080,#REF!,17,FALSE)</f>
        <v>#REF!</v>
      </c>
      <c r="F1080" s="8" t="e">
        <f>VLOOKUP($B1080,#REF!,7,FALSE)</f>
        <v>#REF!</v>
      </c>
      <c r="G1080" s="8"/>
      <c r="H1080" s="8"/>
      <c r="I1080" s="9" t="e">
        <f>VLOOKUP($B1080,#REF!,19,FALSE)</f>
        <v>#REF!</v>
      </c>
      <c r="J1080" s="9" t="e">
        <f>VLOOKUP($B1080,#REF!,6,FALSE)</f>
        <v>#REF!</v>
      </c>
      <c r="L1080" s="1">
        <v>44655.729166663194</v>
      </c>
      <c r="M1080" s="13"/>
    </row>
    <row r="1081" spans="2:13">
      <c r="B1081" s="5"/>
      <c r="C1081" s="6" t="e">
        <f>VLOOKUP($B1081,#REF!,5,FALSE)</f>
        <v>#REF!</v>
      </c>
      <c r="D1081" s="6" t="e">
        <f>VLOOKUP($B1081,#REF!,6,FALSE)</f>
        <v>#REF!</v>
      </c>
      <c r="E1081" s="7" t="e">
        <f>VLOOKUP($B1081,#REF!,17,FALSE)</f>
        <v>#REF!</v>
      </c>
      <c r="F1081" s="8" t="e">
        <f>VLOOKUP($B1081,#REF!,7,FALSE)</f>
        <v>#REF!</v>
      </c>
      <c r="G1081" s="8"/>
      <c r="H1081" s="8"/>
      <c r="I1081" s="9" t="e">
        <f>VLOOKUP($B1081,#REF!,19,FALSE)</f>
        <v>#REF!</v>
      </c>
      <c r="J1081" s="9" t="e">
        <f>VLOOKUP($B1081,#REF!,6,FALSE)</f>
        <v>#REF!</v>
      </c>
      <c r="L1081" s="1">
        <v>44655.732638885413</v>
      </c>
      <c r="M1081" s="13"/>
    </row>
    <row r="1082" spans="2:13">
      <c r="B1082" s="5"/>
      <c r="C1082" s="6" t="e">
        <f>VLOOKUP($B1082,#REF!,5,FALSE)</f>
        <v>#REF!</v>
      </c>
      <c r="D1082" s="6" t="e">
        <f>VLOOKUP($B1082,#REF!,6,FALSE)</f>
        <v>#REF!</v>
      </c>
      <c r="E1082" s="7" t="e">
        <f>VLOOKUP($B1082,#REF!,17,FALSE)</f>
        <v>#REF!</v>
      </c>
      <c r="F1082" s="8" t="e">
        <f>VLOOKUP($B1082,#REF!,7,FALSE)</f>
        <v>#REF!</v>
      </c>
      <c r="G1082" s="8"/>
      <c r="H1082" s="8"/>
      <c r="I1082" s="9" t="e">
        <f>VLOOKUP($B1082,#REF!,19,FALSE)</f>
        <v>#REF!</v>
      </c>
      <c r="J1082" s="9" t="e">
        <f>VLOOKUP($B1082,#REF!,6,FALSE)</f>
        <v>#REF!</v>
      </c>
      <c r="L1082" s="1">
        <v>44655.736111107632</v>
      </c>
      <c r="M1082" s="13"/>
    </row>
    <row r="1083" spans="2:13">
      <c r="B1083" s="5"/>
      <c r="C1083" s="11" t="e">
        <f>VLOOKUP($B1083,#REF!,5,FALSE)</f>
        <v>#REF!</v>
      </c>
      <c r="D1083" s="11" t="e">
        <f>VLOOKUP($B1083,#REF!,6,FALSE)</f>
        <v>#REF!</v>
      </c>
      <c r="E1083" s="12" t="e">
        <f>VLOOKUP($B1083,#REF!,17,FALSE)</f>
        <v>#REF!</v>
      </c>
      <c r="F1083" s="8" t="e">
        <f>VLOOKUP($B1083,#REF!,7,FALSE)</f>
        <v>#REF!</v>
      </c>
      <c r="G1083" s="8"/>
      <c r="H1083" s="8"/>
      <c r="I1083" s="9" t="e">
        <f>VLOOKUP($B1083,#REF!,19,FALSE)</f>
        <v>#REF!</v>
      </c>
      <c r="J1083" s="9" t="e">
        <f>VLOOKUP($B1083,#REF!,6,FALSE)</f>
        <v>#REF!</v>
      </c>
      <c r="L1083" s="1">
        <v>44655.739583329851</v>
      </c>
      <c r="M1083" s="13"/>
    </row>
    <row r="1084" spans="2:13">
      <c r="B1084" s="5"/>
      <c r="C1084" s="6" t="e">
        <f>VLOOKUP($B1084,#REF!,5,FALSE)</f>
        <v>#REF!</v>
      </c>
      <c r="D1084" s="6" t="e">
        <f>VLOOKUP($B1084,#REF!,6,FALSE)</f>
        <v>#REF!</v>
      </c>
      <c r="E1084" s="7" t="e">
        <f>VLOOKUP($B1084,#REF!,17,FALSE)</f>
        <v>#REF!</v>
      </c>
      <c r="F1084" s="8" t="e">
        <f>VLOOKUP($B1084,#REF!,7,FALSE)</f>
        <v>#REF!</v>
      </c>
      <c r="G1084" s="8"/>
      <c r="H1084" s="8"/>
      <c r="I1084" s="9" t="e">
        <f>VLOOKUP($B1084,#REF!,19,FALSE)</f>
        <v>#REF!</v>
      </c>
      <c r="J1084" s="9" t="e">
        <f>VLOOKUP($B1084,#REF!,6,FALSE)</f>
        <v>#REF!</v>
      </c>
      <c r="L1084" s="1">
        <v>44655.74305555207</v>
      </c>
      <c r="M1084" s="13"/>
    </row>
    <row r="1085" spans="2:13">
      <c r="B1085" s="5"/>
      <c r="C1085" s="6" t="e">
        <f>VLOOKUP($B1085,#REF!,5,FALSE)</f>
        <v>#REF!</v>
      </c>
      <c r="D1085" s="6" t="e">
        <f>VLOOKUP($B1085,#REF!,6,FALSE)</f>
        <v>#REF!</v>
      </c>
      <c r="E1085" s="7" t="e">
        <f>VLOOKUP($B1085,#REF!,17,FALSE)</f>
        <v>#REF!</v>
      </c>
      <c r="F1085" s="8" t="e">
        <f>VLOOKUP($B1085,#REF!,7,FALSE)</f>
        <v>#REF!</v>
      </c>
      <c r="G1085" s="8"/>
      <c r="H1085" s="8"/>
      <c r="I1085" s="9" t="e">
        <f>VLOOKUP($B1085,#REF!,19,FALSE)</f>
        <v>#REF!</v>
      </c>
      <c r="J1085" s="9" t="e">
        <f>VLOOKUP($B1085,#REF!,6,FALSE)</f>
        <v>#REF!</v>
      </c>
      <c r="L1085" s="1">
        <v>44655.746527774289</v>
      </c>
      <c r="M1085" s="13"/>
    </row>
    <row r="1086" spans="2:13">
      <c r="B1086" s="5"/>
      <c r="C1086" s="6" t="e">
        <f>VLOOKUP($B1086,#REF!,5,FALSE)</f>
        <v>#REF!</v>
      </c>
      <c r="D1086" s="6" t="e">
        <f>VLOOKUP($B1086,#REF!,6,FALSE)</f>
        <v>#REF!</v>
      </c>
      <c r="E1086" s="7" t="e">
        <f>VLOOKUP($B1086,#REF!,17,FALSE)</f>
        <v>#REF!</v>
      </c>
      <c r="F1086" s="8" t="e">
        <f>VLOOKUP($B1086,#REF!,7,FALSE)</f>
        <v>#REF!</v>
      </c>
      <c r="G1086" s="8"/>
      <c r="H1086" s="8"/>
      <c r="I1086" s="9" t="e">
        <f>VLOOKUP($B1086,#REF!,19,FALSE)</f>
        <v>#REF!</v>
      </c>
      <c r="J1086" s="9" t="e">
        <f>VLOOKUP($B1086,#REF!,6,FALSE)</f>
        <v>#REF!</v>
      </c>
      <c r="L1086" s="1">
        <v>44655.749999996508</v>
      </c>
      <c r="M1086" s="13"/>
    </row>
    <row r="1087" spans="2:13">
      <c r="B1087" s="5"/>
      <c r="C1087" s="6" t="e">
        <f>VLOOKUP($B1087,#REF!,5,FALSE)</f>
        <v>#REF!</v>
      </c>
      <c r="D1087" s="6" t="e">
        <f>VLOOKUP($B1087,#REF!,6,FALSE)</f>
        <v>#REF!</v>
      </c>
      <c r="E1087" s="7" t="e">
        <f>VLOOKUP($B1087,#REF!,17,FALSE)</f>
        <v>#REF!</v>
      </c>
      <c r="F1087" s="8" t="e">
        <f>VLOOKUP($B1087,#REF!,7,FALSE)</f>
        <v>#REF!</v>
      </c>
      <c r="G1087" s="8"/>
      <c r="H1087" s="8"/>
      <c r="I1087" s="9" t="e">
        <f>VLOOKUP($B1087,#REF!,19,FALSE)</f>
        <v>#REF!</v>
      </c>
      <c r="J1087" s="9" t="e">
        <f>VLOOKUP($B1087,#REF!,6,FALSE)</f>
        <v>#REF!</v>
      </c>
      <c r="L1087" s="1">
        <v>44655.753472218727</v>
      </c>
      <c r="M1087" s="13"/>
    </row>
    <row r="1088" spans="2:13">
      <c r="B1088" s="5"/>
      <c r="C1088" s="6" t="e">
        <f>VLOOKUP($B1088,#REF!,5,FALSE)</f>
        <v>#REF!</v>
      </c>
      <c r="D1088" s="6" t="e">
        <f>VLOOKUP($B1088,#REF!,6,FALSE)</f>
        <v>#REF!</v>
      </c>
      <c r="E1088" s="7" t="e">
        <f>VLOOKUP($B1088,#REF!,17,FALSE)</f>
        <v>#REF!</v>
      </c>
      <c r="F1088" s="8" t="e">
        <f>VLOOKUP($B1088,#REF!,7,FALSE)</f>
        <v>#REF!</v>
      </c>
      <c r="G1088" s="8"/>
      <c r="H1088" s="8"/>
      <c r="I1088" s="9" t="e">
        <f>VLOOKUP($B1088,#REF!,19,FALSE)</f>
        <v>#REF!</v>
      </c>
      <c r="J1088" s="9" t="e">
        <f>VLOOKUP($B1088,#REF!,6,FALSE)</f>
        <v>#REF!</v>
      </c>
      <c r="L1088" s="1">
        <v>44655.756944440946</v>
      </c>
      <c r="M1088" s="13"/>
    </row>
    <row r="1089" spans="2:13">
      <c r="B1089" s="5"/>
      <c r="C1089" s="6" t="e">
        <f>VLOOKUP($B1089,#REF!,5,FALSE)</f>
        <v>#REF!</v>
      </c>
      <c r="D1089" s="6" t="e">
        <f>VLOOKUP($B1089,#REF!,6,FALSE)</f>
        <v>#REF!</v>
      </c>
      <c r="E1089" s="7" t="e">
        <f>VLOOKUP($B1089,#REF!,17,FALSE)</f>
        <v>#REF!</v>
      </c>
      <c r="F1089" s="8" t="e">
        <f>VLOOKUP($B1089,#REF!,7,FALSE)</f>
        <v>#REF!</v>
      </c>
      <c r="G1089" s="8"/>
      <c r="H1089" s="8"/>
      <c r="I1089" s="9" t="e">
        <f>VLOOKUP($B1089,#REF!,19,FALSE)</f>
        <v>#REF!</v>
      </c>
      <c r="J1089" s="9" t="e">
        <f>VLOOKUP($B1089,#REF!,6,FALSE)</f>
        <v>#REF!</v>
      </c>
      <c r="L1089" s="1">
        <v>44655.760416663165</v>
      </c>
      <c r="M1089" s="13"/>
    </row>
    <row r="1090" spans="2:13">
      <c r="B1090" s="5"/>
      <c r="C1090" s="6" t="e">
        <f>VLOOKUP($B1090,#REF!,5,FALSE)</f>
        <v>#REF!</v>
      </c>
      <c r="D1090" s="6" t="e">
        <f>VLOOKUP($B1090,#REF!,6,FALSE)</f>
        <v>#REF!</v>
      </c>
      <c r="E1090" s="7" t="e">
        <f>VLOOKUP($B1090,#REF!,17,FALSE)</f>
        <v>#REF!</v>
      </c>
      <c r="F1090" s="8" t="e">
        <f>VLOOKUP($B1090,#REF!,7,FALSE)</f>
        <v>#REF!</v>
      </c>
      <c r="G1090" s="8"/>
      <c r="H1090" s="8"/>
      <c r="I1090" s="9" t="e">
        <f>VLOOKUP($B1090,#REF!,19,FALSE)</f>
        <v>#REF!</v>
      </c>
      <c r="J1090" s="9" t="e">
        <f>VLOOKUP($B1090,#REF!,6,FALSE)</f>
        <v>#REF!</v>
      </c>
      <c r="L1090" s="1">
        <v>44655.763888885383</v>
      </c>
      <c r="M1090" s="13"/>
    </row>
    <row r="1091" spans="2:13">
      <c r="B1091" s="5"/>
      <c r="C1091" s="6" t="e">
        <f>VLOOKUP($B1091,#REF!,5,FALSE)</f>
        <v>#REF!</v>
      </c>
      <c r="D1091" s="6" t="e">
        <f>VLOOKUP($B1091,#REF!,6,FALSE)</f>
        <v>#REF!</v>
      </c>
      <c r="E1091" s="7" t="e">
        <f>VLOOKUP($B1091,#REF!,17,FALSE)</f>
        <v>#REF!</v>
      </c>
      <c r="F1091" s="8" t="e">
        <f>VLOOKUP($B1091,#REF!,7,FALSE)</f>
        <v>#REF!</v>
      </c>
      <c r="G1091" s="8"/>
      <c r="H1091" s="8"/>
      <c r="I1091" s="9" t="e">
        <f>VLOOKUP($B1091,#REF!,19,FALSE)</f>
        <v>#REF!</v>
      </c>
      <c r="J1091" s="9" t="e">
        <f>VLOOKUP($B1091,#REF!,6,FALSE)</f>
        <v>#REF!</v>
      </c>
      <c r="L1091" s="1">
        <v>44655.767361107602</v>
      </c>
      <c r="M1091" s="13"/>
    </row>
    <row r="1092" spans="2:13">
      <c r="B1092" s="5"/>
      <c r="C1092" s="6" t="e">
        <f>VLOOKUP($B1092,#REF!,5,FALSE)</f>
        <v>#REF!</v>
      </c>
      <c r="D1092" s="6" t="e">
        <f>VLOOKUP($B1092,#REF!,6,FALSE)</f>
        <v>#REF!</v>
      </c>
      <c r="E1092" s="7" t="e">
        <f>VLOOKUP($B1092,#REF!,17,FALSE)</f>
        <v>#REF!</v>
      </c>
      <c r="F1092" s="8" t="e">
        <f>VLOOKUP($B1092,#REF!,7,FALSE)</f>
        <v>#REF!</v>
      </c>
      <c r="G1092" s="8"/>
      <c r="H1092" s="8"/>
      <c r="I1092" s="9" t="e">
        <f>VLOOKUP($B1092,#REF!,19,FALSE)</f>
        <v>#REF!</v>
      </c>
      <c r="J1092" s="9" t="e">
        <f>VLOOKUP($B1092,#REF!,6,FALSE)</f>
        <v>#REF!</v>
      </c>
      <c r="L1092" s="1">
        <v>44655.770833329821</v>
      </c>
      <c r="M1092" s="13"/>
    </row>
    <row r="1093" spans="2:13">
      <c r="B1093" s="5"/>
      <c r="C1093" s="6" t="e">
        <f>VLOOKUP($B1093,#REF!,5,FALSE)</f>
        <v>#REF!</v>
      </c>
      <c r="D1093" s="6" t="e">
        <f>VLOOKUP($B1093,#REF!,6,FALSE)</f>
        <v>#REF!</v>
      </c>
      <c r="E1093" s="7" t="e">
        <f>VLOOKUP($B1093,#REF!,17,FALSE)</f>
        <v>#REF!</v>
      </c>
      <c r="F1093" s="8" t="e">
        <f>VLOOKUP($B1093,#REF!,7,FALSE)</f>
        <v>#REF!</v>
      </c>
      <c r="G1093" s="8"/>
      <c r="H1093" s="8"/>
      <c r="I1093" s="9" t="e">
        <f>VLOOKUP($B1093,#REF!,19,FALSE)</f>
        <v>#REF!</v>
      </c>
      <c r="J1093" s="9" t="e">
        <f>VLOOKUP($B1093,#REF!,6,FALSE)</f>
        <v>#REF!</v>
      </c>
      <c r="L1093" s="1">
        <v>44655.77430555204</v>
      </c>
      <c r="M1093" s="13"/>
    </row>
    <row r="1094" spans="2:13">
      <c r="B1094" s="5"/>
      <c r="C1094" s="6" t="e">
        <f>VLOOKUP($B1094,#REF!,5,FALSE)</f>
        <v>#REF!</v>
      </c>
      <c r="D1094" s="6" t="e">
        <f>VLOOKUP($B1094,#REF!,6,FALSE)</f>
        <v>#REF!</v>
      </c>
      <c r="E1094" s="7" t="e">
        <f>VLOOKUP($B1094,#REF!,17,FALSE)</f>
        <v>#REF!</v>
      </c>
      <c r="F1094" s="8" t="e">
        <f>VLOOKUP($B1094,#REF!,7,FALSE)</f>
        <v>#REF!</v>
      </c>
      <c r="G1094" s="8"/>
      <c r="H1094" s="8"/>
      <c r="I1094" s="9" t="e">
        <f>VLOOKUP($B1094,#REF!,19,FALSE)</f>
        <v>#REF!</v>
      </c>
      <c r="J1094" s="9" t="e">
        <f>VLOOKUP($B1094,#REF!,6,FALSE)</f>
        <v>#REF!</v>
      </c>
      <c r="L1094" s="1">
        <v>44655.777777774259</v>
      </c>
      <c r="M1094" s="13"/>
    </row>
    <row r="1095" spans="2:13">
      <c r="B1095" s="5"/>
      <c r="C1095" s="6" t="e">
        <f>VLOOKUP($B1095,#REF!,5,FALSE)</f>
        <v>#REF!</v>
      </c>
      <c r="D1095" s="6" t="e">
        <f>VLOOKUP($B1095,#REF!,6,FALSE)</f>
        <v>#REF!</v>
      </c>
      <c r="E1095" s="7" t="e">
        <f>VLOOKUP($B1095,#REF!,17,FALSE)</f>
        <v>#REF!</v>
      </c>
      <c r="F1095" s="8" t="e">
        <f>VLOOKUP($B1095,#REF!,7,FALSE)</f>
        <v>#REF!</v>
      </c>
      <c r="G1095" s="8"/>
      <c r="H1095" s="8"/>
      <c r="I1095" s="9" t="e">
        <f>VLOOKUP($B1095,#REF!,19,FALSE)</f>
        <v>#REF!</v>
      </c>
      <c r="J1095" s="9" t="e">
        <f>VLOOKUP($B1095,#REF!,6,FALSE)</f>
        <v>#REF!</v>
      </c>
      <c r="L1095" s="1">
        <v>44655.781249996478</v>
      </c>
      <c r="M1095" s="13"/>
    </row>
    <row r="1096" spans="2:13">
      <c r="B1096" s="5"/>
      <c r="C1096" s="6" t="e">
        <f>VLOOKUP($B1096,#REF!,5,FALSE)</f>
        <v>#REF!</v>
      </c>
      <c r="D1096" s="6" t="e">
        <f>VLOOKUP($B1096,#REF!,6,FALSE)</f>
        <v>#REF!</v>
      </c>
      <c r="E1096" s="7" t="e">
        <f>VLOOKUP($B1096,#REF!,17,FALSE)</f>
        <v>#REF!</v>
      </c>
      <c r="F1096" s="8" t="e">
        <f>VLOOKUP($B1096,#REF!,7,FALSE)</f>
        <v>#REF!</v>
      </c>
      <c r="G1096" s="8"/>
      <c r="H1096" s="8"/>
      <c r="I1096" s="9" t="e">
        <f>VLOOKUP($B1096,#REF!,19,FALSE)</f>
        <v>#REF!</v>
      </c>
      <c r="J1096" s="9" t="e">
        <f>VLOOKUP($B1096,#REF!,6,FALSE)</f>
        <v>#REF!</v>
      </c>
      <c r="L1096" s="1">
        <v>44655.784722218697</v>
      </c>
      <c r="M1096" s="13"/>
    </row>
    <row r="1097" spans="2:13">
      <c r="B1097" s="5"/>
      <c r="C1097" s="6" t="e">
        <f>VLOOKUP($B1097,#REF!,5,FALSE)</f>
        <v>#REF!</v>
      </c>
      <c r="D1097" s="6" t="e">
        <f>VLOOKUP($B1097,#REF!,6,FALSE)</f>
        <v>#REF!</v>
      </c>
      <c r="E1097" s="7" t="e">
        <f>VLOOKUP($B1097,#REF!,17,FALSE)</f>
        <v>#REF!</v>
      </c>
      <c r="F1097" s="8" t="e">
        <f>VLOOKUP($B1097,#REF!,7,FALSE)</f>
        <v>#REF!</v>
      </c>
      <c r="G1097" s="8"/>
      <c r="H1097" s="8"/>
      <c r="I1097" s="9" t="e">
        <f>VLOOKUP($B1097,#REF!,19,FALSE)</f>
        <v>#REF!</v>
      </c>
      <c r="J1097" s="9" t="e">
        <f>VLOOKUP($B1097,#REF!,6,FALSE)</f>
        <v>#REF!</v>
      </c>
      <c r="L1097" s="1">
        <v>44655.788194440916</v>
      </c>
      <c r="M1097" s="13"/>
    </row>
    <row r="1098" spans="2:13">
      <c r="B1098" s="5"/>
      <c r="C1098" s="6" t="e">
        <f>VLOOKUP($B1098,#REF!,5,FALSE)</f>
        <v>#REF!</v>
      </c>
      <c r="D1098" s="6" t="e">
        <f>VLOOKUP($B1098,#REF!,6,FALSE)</f>
        <v>#REF!</v>
      </c>
      <c r="E1098" s="7" t="e">
        <f>VLOOKUP($B1098,#REF!,17,FALSE)</f>
        <v>#REF!</v>
      </c>
      <c r="F1098" s="8" t="e">
        <f>VLOOKUP($B1098,#REF!,7,FALSE)</f>
        <v>#REF!</v>
      </c>
      <c r="G1098" s="8"/>
      <c r="H1098" s="8"/>
      <c r="I1098" s="9" t="e">
        <f>VLOOKUP($B1098,#REF!,19,FALSE)</f>
        <v>#REF!</v>
      </c>
      <c r="J1098" s="9" t="e">
        <f>VLOOKUP($B1098,#REF!,6,FALSE)</f>
        <v>#REF!</v>
      </c>
      <c r="L1098" s="1">
        <v>44655.791666663135</v>
      </c>
      <c r="M1098" s="13"/>
    </row>
    <row r="1099" spans="2:13">
      <c r="B1099" s="5"/>
      <c r="C1099" s="6" t="e">
        <f>VLOOKUP($B1099,#REF!,5,FALSE)</f>
        <v>#REF!</v>
      </c>
      <c r="D1099" s="6" t="e">
        <f>VLOOKUP($B1099,#REF!,6,FALSE)</f>
        <v>#REF!</v>
      </c>
      <c r="E1099" s="7" t="e">
        <f>VLOOKUP($B1099,#REF!,17,FALSE)</f>
        <v>#REF!</v>
      </c>
      <c r="F1099" s="8" t="e">
        <f>VLOOKUP($B1099,#REF!,7,FALSE)</f>
        <v>#REF!</v>
      </c>
      <c r="G1099" s="8"/>
      <c r="H1099" s="8"/>
      <c r="I1099" s="9" t="e">
        <f>VLOOKUP($B1099,#REF!,19,FALSE)</f>
        <v>#REF!</v>
      </c>
      <c r="J1099" s="9" t="e">
        <f>VLOOKUP($B1099,#REF!,6,FALSE)</f>
        <v>#REF!</v>
      </c>
      <c r="L1099" s="1">
        <v>44655.795138885354</v>
      </c>
      <c r="M1099" s="13"/>
    </row>
    <row r="1100" spans="2:13">
      <c r="B1100" s="5"/>
      <c r="C1100" s="6" t="e">
        <f>VLOOKUP($B1100,#REF!,5,FALSE)</f>
        <v>#REF!</v>
      </c>
      <c r="D1100" s="6" t="e">
        <f>VLOOKUP($B1100,#REF!,6,FALSE)</f>
        <v>#REF!</v>
      </c>
      <c r="E1100" s="7" t="e">
        <f>VLOOKUP($B1100,#REF!,17,FALSE)</f>
        <v>#REF!</v>
      </c>
      <c r="F1100" s="8" t="e">
        <f>VLOOKUP($B1100,#REF!,7,FALSE)</f>
        <v>#REF!</v>
      </c>
      <c r="G1100" s="8"/>
      <c r="H1100" s="8"/>
      <c r="I1100" s="9" t="e">
        <f>VLOOKUP($B1100,#REF!,19,FALSE)</f>
        <v>#REF!</v>
      </c>
      <c r="J1100" s="9" t="e">
        <f>VLOOKUP($B1100,#REF!,6,FALSE)</f>
        <v>#REF!</v>
      </c>
      <c r="L1100" s="1">
        <v>44655.798611107573</v>
      </c>
      <c r="M1100" s="13"/>
    </row>
    <row r="1101" spans="2:13">
      <c r="B1101" s="5"/>
      <c r="C1101" s="6" t="e">
        <f>VLOOKUP($B1101,#REF!,5,FALSE)</f>
        <v>#REF!</v>
      </c>
      <c r="D1101" s="6" t="e">
        <f>VLOOKUP($B1101,#REF!,6,FALSE)</f>
        <v>#REF!</v>
      </c>
      <c r="E1101" s="7" t="e">
        <f>VLOOKUP($B1101,#REF!,17,FALSE)</f>
        <v>#REF!</v>
      </c>
      <c r="F1101" s="8" t="e">
        <f>VLOOKUP($B1101,#REF!,7,FALSE)</f>
        <v>#REF!</v>
      </c>
      <c r="G1101" s="8"/>
      <c r="H1101" s="8"/>
      <c r="I1101" s="9" t="e">
        <f>VLOOKUP($B1101,#REF!,19,FALSE)</f>
        <v>#REF!</v>
      </c>
      <c r="J1101" s="9" t="e">
        <f>VLOOKUP($B1101,#REF!,6,FALSE)</f>
        <v>#REF!</v>
      </c>
      <c r="L1101" s="1">
        <v>44655.802083329792</v>
      </c>
      <c r="M1101" s="13"/>
    </row>
    <row r="1102" spans="2:13">
      <c r="B1102" s="5"/>
      <c r="C1102" s="6" t="e">
        <f>VLOOKUP($B1102,#REF!,5,FALSE)</f>
        <v>#REF!</v>
      </c>
      <c r="D1102" s="6" t="e">
        <f>VLOOKUP($B1102,#REF!,6,FALSE)</f>
        <v>#REF!</v>
      </c>
      <c r="E1102" s="7" t="e">
        <f>VLOOKUP($B1102,#REF!,17,FALSE)</f>
        <v>#REF!</v>
      </c>
      <c r="F1102" s="8" t="e">
        <f>VLOOKUP($B1102,#REF!,7,FALSE)</f>
        <v>#REF!</v>
      </c>
      <c r="G1102" s="8"/>
      <c r="H1102" s="8"/>
      <c r="I1102" s="9" t="e">
        <f>VLOOKUP($B1102,#REF!,19,FALSE)</f>
        <v>#REF!</v>
      </c>
      <c r="J1102" s="9" t="e">
        <f>VLOOKUP($B1102,#REF!,6,FALSE)</f>
        <v>#REF!</v>
      </c>
      <c r="L1102" s="1">
        <v>44655.805555552011</v>
      </c>
      <c r="M1102" s="13"/>
    </row>
    <row r="1103" spans="2:13">
      <c r="B1103" s="5"/>
      <c r="C1103" s="6" t="e">
        <f>VLOOKUP($B1103,#REF!,5,FALSE)</f>
        <v>#REF!</v>
      </c>
      <c r="D1103" s="6" t="e">
        <f>VLOOKUP($B1103,#REF!,6,FALSE)</f>
        <v>#REF!</v>
      </c>
      <c r="E1103" s="7" t="e">
        <f>VLOOKUP($B1103,#REF!,17,FALSE)</f>
        <v>#REF!</v>
      </c>
      <c r="F1103" s="8" t="e">
        <f>VLOOKUP($B1103,#REF!,7,FALSE)</f>
        <v>#REF!</v>
      </c>
      <c r="G1103" s="8"/>
      <c r="H1103" s="8"/>
      <c r="I1103" s="9" t="e">
        <f>VLOOKUP($B1103,#REF!,19,FALSE)</f>
        <v>#REF!</v>
      </c>
      <c r="J1103" s="9" t="e">
        <f>VLOOKUP($B1103,#REF!,6,FALSE)</f>
        <v>#REF!</v>
      </c>
      <c r="L1103" s="1">
        <v>44655.80902777423</v>
      </c>
      <c r="M1103" s="13"/>
    </row>
    <row r="1104" spans="2:13">
      <c r="B1104" s="5"/>
      <c r="C1104" s="6" t="e">
        <f>VLOOKUP($B1104,#REF!,5,FALSE)</f>
        <v>#REF!</v>
      </c>
      <c r="D1104" s="6" t="e">
        <f>VLOOKUP($B1104,#REF!,6,FALSE)</f>
        <v>#REF!</v>
      </c>
      <c r="E1104" s="7" t="e">
        <f>VLOOKUP($B1104,#REF!,17,FALSE)</f>
        <v>#REF!</v>
      </c>
      <c r="F1104" s="8" t="e">
        <f>VLOOKUP($B1104,#REF!,7,FALSE)</f>
        <v>#REF!</v>
      </c>
      <c r="G1104" s="8"/>
      <c r="H1104" s="8"/>
      <c r="I1104" s="9" t="e">
        <f>VLOOKUP($B1104,#REF!,19,FALSE)</f>
        <v>#REF!</v>
      </c>
      <c r="J1104" s="9" t="e">
        <f>VLOOKUP($B1104,#REF!,6,FALSE)</f>
        <v>#REF!</v>
      </c>
      <c r="L1104" s="1">
        <v>44655.812499996449</v>
      </c>
      <c r="M1104" s="13"/>
    </row>
    <row r="1105" spans="2:13">
      <c r="B1105" s="5"/>
      <c r="C1105" s="6" t="e">
        <f>VLOOKUP($B1105,#REF!,5,FALSE)</f>
        <v>#REF!</v>
      </c>
      <c r="D1105" s="6" t="e">
        <f>VLOOKUP($B1105,#REF!,6,FALSE)</f>
        <v>#REF!</v>
      </c>
      <c r="E1105" s="7" t="e">
        <f>VLOOKUP($B1105,#REF!,17,FALSE)</f>
        <v>#REF!</v>
      </c>
      <c r="F1105" s="8" t="e">
        <f>VLOOKUP($B1105,#REF!,7,FALSE)</f>
        <v>#REF!</v>
      </c>
      <c r="G1105" s="8"/>
      <c r="H1105" s="8"/>
      <c r="I1105" s="9" t="e">
        <f>VLOOKUP($B1105,#REF!,19,FALSE)</f>
        <v>#REF!</v>
      </c>
      <c r="J1105" s="9" t="e">
        <f>VLOOKUP($B1105,#REF!,6,FALSE)</f>
        <v>#REF!</v>
      </c>
      <c r="L1105" s="1">
        <v>44655.815972218668</v>
      </c>
      <c r="M1105" s="13"/>
    </row>
    <row r="1106" spans="2:13">
      <c r="B1106" s="5"/>
      <c r="C1106" s="6" t="e">
        <f>VLOOKUP($B1106,#REF!,5,FALSE)</f>
        <v>#REF!</v>
      </c>
      <c r="D1106" s="6" t="e">
        <f>VLOOKUP($B1106,#REF!,6,FALSE)</f>
        <v>#REF!</v>
      </c>
      <c r="E1106" s="7" t="e">
        <f>VLOOKUP($B1106,#REF!,17,FALSE)</f>
        <v>#REF!</v>
      </c>
      <c r="F1106" s="8" t="e">
        <f>VLOOKUP($B1106,#REF!,7,FALSE)</f>
        <v>#REF!</v>
      </c>
      <c r="G1106" s="8"/>
      <c r="H1106" s="8"/>
      <c r="I1106" s="9" t="e">
        <f>VLOOKUP($B1106,#REF!,19,FALSE)</f>
        <v>#REF!</v>
      </c>
      <c r="J1106" s="9" t="e">
        <f>VLOOKUP($B1106,#REF!,6,FALSE)</f>
        <v>#REF!</v>
      </c>
      <c r="L1106" s="1">
        <v>44655.819444440887</v>
      </c>
      <c r="M1106" s="13"/>
    </row>
    <row r="1107" spans="2:13">
      <c r="B1107" s="5"/>
      <c r="C1107" s="6" t="e">
        <f>VLOOKUP($B1107,#REF!,5,FALSE)</f>
        <v>#REF!</v>
      </c>
      <c r="D1107" s="6" t="e">
        <f>VLOOKUP($B1107,#REF!,6,FALSE)</f>
        <v>#REF!</v>
      </c>
      <c r="E1107" s="7" t="e">
        <f>VLOOKUP($B1107,#REF!,17,FALSE)</f>
        <v>#REF!</v>
      </c>
      <c r="F1107" s="8" t="e">
        <f>VLOOKUP($B1107,#REF!,7,FALSE)</f>
        <v>#REF!</v>
      </c>
      <c r="G1107" s="8"/>
      <c r="H1107" s="8"/>
      <c r="I1107" s="9" t="e">
        <f>VLOOKUP($B1107,#REF!,19,FALSE)</f>
        <v>#REF!</v>
      </c>
      <c r="J1107" s="9" t="e">
        <f>VLOOKUP($B1107,#REF!,6,FALSE)</f>
        <v>#REF!</v>
      </c>
      <c r="L1107" s="1">
        <v>44655.822916663106</v>
      </c>
      <c r="M1107" s="13"/>
    </row>
    <row r="1108" spans="2:13">
      <c r="B1108" s="5"/>
      <c r="C1108" s="6" t="e">
        <f>VLOOKUP($B1108,#REF!,5,FALSE)</f>
        <v>#REF!</v>
      </c>
      <c r="D1108" s="6" t="e">
        <f>VLOOKUP($B1108,#REF!,6,FALSE)</f>
        <v>#REF!</v>
      </c>
      <c r="E1108" s="7" t="e">
        <f>VLOOKUP($B1108,#REF!,17,FALSE)</f>
        <v>#REF!</v>
      </c>
      <c r="F1108" s="8" t="e">
        <f>VLOOKUP($B1108,#REF!,7,FALSE)</f>
        <v>#REF!</v>
      </c>
      <c r="G1108" s="8"/>
      <c r="H1108" s="8"/>
      <c r="I1108" s="9" t="e">
        <f>VLOOKUP($B1108,#REF!,19,FALSE)</f>
        <v>#REF!</v>
      </c>
      <c r="J1108" s="9" t="e">
        <f>VLOOKUP($B1108,#REF!,6,FALSE)</f>
        <v>#REF!</v>
      </c>
      <c r="L1108" s="1">
        <v>44655.826388885325</v>
      </c>
      <c r="M1108" s="13"/>
    </row>
    <row r="1109" spans="2:13">
      <c r="B1109" s="5"/>
      <c r="C1109" s="6" t="e">
        <f>VLOOKUP($B1109,#REF!,5,FALSE)</f>
        <v>#REF!</v>
      </c>
      <c r="D1109" s="6" t="e">
        <f>VLOOKUP($B1109,#REF!,6,FALSE)</f>
        <v>#REF!</v>
      </c>
      <c r="E1109" s="7" t="e">
        <f>VLOOKUP($B1109,#REF!,17,FALSE)</f>
        <v>#REF!</v>
      </c>
      <c r="F1109" s="8" t="e">
        <f>VLOOKUP($B1109,#REF!,7,FALSE)</f>
        <v>#REF!</v>
      </c>
      <c r="G1109" s="8"/>
      <c r="H1109" s="8"/>
      <c r="I1109" s="9" t="e">
        <f>VLOOKUP($B1109,#REF!,19,FALSE)</f>
        <v>#REF!</v>
      </c>
      <c r="J1109" s="9" t="e">
        <f>VLOOKUP($B1109,#REF!,6,FALSE)</f>
        <v>#REF!</v>
      </c>
      <c r="L1109" s="1">
        <v>44655.829861107544</v>
      </c>
      <c r="M1109" s="13"/>
    </row>
    <row r="1110" spans="2:13">
      <c r="B1110" s="5"/>
      <c r="C1110" s="6" t="e">
        <f>VLOOKUP($B1110,#REF!,5,FALSE)</f>
        <v>#REF!</v>
      </c>
      <c r="D1110" s="6" t="e">
        <f>VLOOKUP($B1110,#REF!,6,FALSE)</f>
        <v>#REF!</v>
      </c>
      <c r="E1110" s="7" t="e">
        <f>VLOOKUP($B1110,#REF!,17,FALSE)</f>
        <v>#REF!</v>
      </c>
      <c r="F1110" s="8" t="e">
        <f>VLOOKUP($B1110,#REF!,7,FALSE)</f>
        <v>#REF!</v>
      </c>
      <c r="G1110" s="8"/>
      <c r="H1110" s="8"/>
      <c r="I1110" s="9" t="e">
        <f>VLOOKUP($B1110,#REF!,19,FALSE)</f>
        <v>#REF!</v>
      </c>
      <c r="J1110" s="9" t="e">
        <f>VLOOKUP($B1110,#REF!,6,FALSE)</f>
        <v>#REF!</v>
      </c>
      <c r="L1110" s="1">
        <v>44655.833333329763</v>
      </c>
      <c r="M1110" s="13"/>
    </row>
    <row r="1111" spans="2:13">
      <c r="B1111" s="5"/>
      <c r="C1111" s="6" t="e">
        <f>VLOOKUP($B1111,#REF!,5,FALSE)</f>
        <v>#REF!</v>
      </c>
      <c r="D1111" s="6" t="e">
        <f>VLOOKUP($B1111,#REF!,6,FALSE)</f>
        <v>#REF!</v>
      </c>
      <c r="E1111" s="7" t="e">
        <f>VLOOKUP($B1111,#REF!,17,FALSE)</f>
        <v>#REF!</v>
      </c>
      <c r="F1111" s="8" t="e">
        <f>VLOOKUP($B1111,#REF!,7,FALSE)</f>
        <v>#REF!</v>
      </c>
      <c r="G1111" s="8"/>
      <c r="H1111" s="8"/>
      <c r="I1111" s="9" t="e">
        <f>VLOOKUP($B1111,#REF!,19,FALSE)</f>
        <v>#REF!</v>
      </c>
      <c r="J1111" s="9" t="e">
        <f>VLOOKUP($B1111,#REF!,6,FALSE)</f>
        <v>#REF!</v>
      </c>
      <c r="L1111" s="1">
        <v>44655.836805551982</v>
      </c>
      <c r="M1111" s="13"/>
    </row>
    <row r="1112" spans="2:13">
      <c r="B1112" s="5"/>
      <c r="C1112" s="6" t="e">
        <f>VLOOKUP($B1112,#REF!,5,FALSE)</f>
        <v>#REF!</v>
      </c>
      <c r="D1112" s="6" t="e">
        <f>VLOOKUP($B1112,#REF!,6,FALSE)</f>
        <v>#REF!</v>
      </c>
      <c r="E1112" s="7" t="e">
        <f>VLOOKUP($B1112,#REF!,17,FALSE)</f>
        <v>#REF!</v>
      </c>
      <c r="F1112" s="8" t="e">
        <f>VLOOKUP($B1112,#REF!,7,FALSE)</f>
        <v>#REF!</v>
      </c>
      <c r="G1112" s="8"/>
      <c r="H1112" s="8"/>
      <c r="I1112" s="9" t="e">
        <f>VLOOKUP($B1112,#REF!,19,FALSE)</f>
        <v>#REF!</v>
      </c>
      <c r="J1112" s="9" t="e">
        <f>VLOOKUP($B1112,#REF!,6,FALSE)</f>
        <v>#REF!</v>
      </c>
      <c r="L1112" s="1">
        <v>44655.840277774201</v>
      </c>
      <c r="M1112" s="13"/>
    </row>
    <row r="1113" spans="2:13">
      <c r="B1113" s="5"/>
      <c r="C1113" s="6" t="e">
        <f>VLOOKUP($B1113,#REF!,5,FALSE)</f>
        <v>#REF!</v>
      </c>
      <c r="D1113" s="6" t="e">
        <f>VLOOKUP($B1113,#REF!,6,FALSE)</f>
        <v>#REF!</v>
      </c>
      <c r="E1113" s="7" t="e">
        <f>VLOOKUP($B1113,#REF!,17,FALSE)</f>
        <v>#REF!</v>
      </c>
      <c r="F1113" s="8" t="e">
        <f>VLOOKUP($B1113,#REF!,7,FALSE)</f>
        <v>#REF!</v>
      </c>
      <c r="G1113" s="8"/>
      <c r="H1113" s="8"/>
      <c r="I1113" s="9" t="e">
        <f>VLOOKUP($B1113,#REF!,19,FALSE)</f>
        <v>#REF!</v>
      </c>
      <c r="J1113" s="9" t="e">
        <f>VLOOKUP($B1113,#REF!,6,FALSE)</f>
        <v>#REF!</v>
      </c>
      <c r="L1113" s="1">
        <v>44655.84374999642</v>
      </c>
      <c r="M1113" s="13"/>
    </row>
    <row r="1114" spans="2:13">
      <c r="B1114" s="5"/>
      <c r="C1114" s="6" t="e">
        <f>VLOOKUP($B1114,#REF!,5,FALSE)</f>
        <v>#REF!</v>
      </c>
      <c r="D1114" s="6" t="e">
        <f>VLOOKUP($B1114,#REF!,6,FALSE)</f>
        <v>#REF!</v>
      </c>
      <c r="E1114" s="7" t="e">
        <f>VLOOKUP($B1114,#REF!,17,FALSE)</f>
        <v>#REF!</v>
      </c>
      <c r="F1114" s="8" t="e">
        <f>VLOOKUP($B1114,#REF!,7,FALSE)</f>
        <v>#REF!</v>
      </c>
      <c r="G1114" s="8"/>
      <c r="H1114" s="8"/>
      <c r="I1114" s="9" t="e">
        <f>VLOOKUP($B1114,#REF!,19,FALSE)</f>
        <v>#REF!</v>
      </c>
      <c r="J1114" s="9" t="e">
        <f>VLOOKUP($B1114,#REF!,6,FALSE)</f>
        <v>#REF!</v>
      </c>
      <c r="L1114" s="1">
        <v>44655.847222218639</v>
      </c>
      <c r="M1114" s="13"/>
    </row>
    <row r="1115" spans="2:13">
      <c r="B1115" s="5"/>
      <c r="C1115" s="6" t="e">
        <f>VLOOKUP($B1115,#REF!,5,FALSE)</f>
        <v>#REF!</v>
      </c>
      <c r="D1115" s="6" t="e">
        <f>VLOOKUP($B1115,#REF!,6,FALSE)</f>
        <v>#REF!</v>
      </c>
      <c r="E1115" s="7" t="e">
        <f>VLOOKUP($B1115,#REF!,17,FALSE)</f>
        <v>#REF!</v>
      </c>
      <c r="F1115" s="8" t="e">
        <f>VLOOKUP($B1115,#REF!,7,FALSE)</f>
        <v>#REF!</v>
      </c>
      <c r="G1115" s="8"/>
      <c r="H1115" s="8"/>
      <c r="I1115" s="9" t="e">
        <f>VLOOKUP($B1115,#REF!,19,FALSE)</f>
        <v>#REF!</v>
      </c>
      <c r="J1115" s="9" t="e">
        <f>VLOOKUP($B1115,#REF!,6,FALSE)</f>
        <v>#REF!</v>
      </c>
      <c r="L1115" s="1">
        <v>44655.850694440858</v>
      </c>
      <c r="M1115" s="13"/>
    </row>
    <row r="1116" spans="2:13">
      <c r="B1116" s="5"/>
      <c r="C1116" s="6" t="e">
        <f>VLOOKUP($B1116,#REF!,5,FALSE)</f>
        <v>#REF!</v>
      </c>
      <c r="D1116" s="6" t="e">
        <f>VLOOKUP($B1116,#REF!,6,FALSE)</f>
        <v>#REF!</v>
      </c>
      <c r="E1116" s="7" t="e">
        <f>VLOOKUP($B1116,#REF!,17,FALSE)</f>
        <v>#REF!</v>
      </c>
      <c r="F1116" s="8" t="e">
        <f>VLOOKUP($B1116,#REF!,7,FALSE)</f>
        <v>#REF!</v>
      </c>
      <c r="G1116" s="8"/>
      <c r="H1116" s="8"/>
      <c r="I1116" s="9" t="e">
        <f>VLOOKUP($B1116,#REF!,19,FALSE)</f>
        <v>#REF!</v>
      </c>
      <c r="J1116" s="9" t="e">
        <f>VLOOKUP($B1116,#REF!,6,FALSE)</f>
        <v>#REF!</v>
      </c>
      <c r="L1116" s="1">
        <v>44655.854166663077</v>
      </c>
      <c r="M1116" s="13"/>
    </row>
    <row r="1117" spans="2:13">
      <c r="B1117" s="5"/>
      <c r="C1117" s="6" t="e">
        <f>VLOOKUP($B1117,#REF!,5,FALSE)</f>
        <v>#REF!</v>
      </c>
      <c r="D1117" s="6" t="e">
        <f>VLOOKUP($B1117,#REF!,6,FALSE)</f>
        <v>#REF!</v>
      </c>
      <c r="E1117" s="7" t="e">
        <f>VLOOKUP($B1117,#REF!,17,FALSE)</f>
        <v>#REF!</v>
      </c>
      <c r="F1117" s="8" t="e">
        <f>VLOOKUP($B1117,#REF!,7,FALSE)</f>
        <v>#REF!</v>
      </c>
      <c r="G1117" s="8"/>
      <c r="H1117" s="8"/>
      <c r="I1117" s="9" t="e">
        <f>VLOOKUP($B1117,#REF!,19,FALSE)</f>
        <v>#REF!</v>
      </c>
      <c r="J1117" s="9" t="e">
        <f>VLOOKUP($B1117,#REF!,6,FALSE)</f>
        <v>#REF!</v>
      </c>
      <c r="L1117" s="1">
        <v>44655.857638885296</v>
      </c>
      <c r="M1117" s="13"/>
    </row>
    <row r="1118" spans="2:13">
      <c r="B1118" s="5"/>
      <c r="C1118" s="6" t="e">
        <f>VLOOKUP($B1118,#REF!,5,FALSE)</f>
        <v>#REF!</v>
      </c>
      <c r="D1118" s="6" t="e">
        <f>VLOOKUP($B1118,#REF!,6,FALSE)</f>
        <v>#REF!</v>
      </c>
      <c r="E1118" s="7" t="e">
        <f>VLOOKUP($B1118,#REF!,17,FALSE)</f>
        <v>#REF!</v>
      </c>
      <c r="F1118" s="8" t="e">
        <f>VLOOKUP($B1118,#REF!,7,FALSE)</f>
        <v>#REF!</v>
      </c>
      <c r="G1118" s="8"/>
      <c r="H1118" s="8"/>
      <c r="I1118" s="9" t="e">
        <f>VLOOKUP($B1118,#REF!,19,FALSE)</f>
        <v>#REF!</v>
      </c>
      <c r="J1118" s="9" t="e">
        <f>VLOOKUP($B1118,#REF!,6,FALSE)</f>
        <v>#REF!</v>
      </c>
      <c r="L1118" s="1">
        <v>44655.861111107515</v>
      </c>
      <c r="M1118" s="13"/>
    </row>
    <row r="1119" spans="2:13">
      <c r="B1119" s="5"/>
      <c r="C1119" s="6" t="e">
        <f>VLOOKUP($B1119,#REF!,5,FALSE)</f>
        <v>#REF!</v>
      </c>
      <c r="D1119" s="6" t="e">
        <f>VLOOKUP($B1119,#REF!,6,FALSE)</f>
        <v>#REF!</v>
      </c>
      <c r="E1119" s="7" t="e">
        <f>VLOOKUP($B1119,#REF!,17,FALSE)</f>
        <v>#REF!</v>
      </c>
      <c r="F1119" s="8" t="e">
        <f>VLOOKUP($B1119,#REF!,7,FALSE)</f>
        <v>#REF!</v>
      </c>
      <c r="G1119" s="8"/>
      <c r="H1119" s="8"/>
      <c r="I1119" s="9" t="e">
        <f>VLOOKUP($B1119,#REF!,19,FALSE)</f>
        <v>#REF!</v>
      </c>
      <c r="J1119" s="9" t="e">
        <f>VLOOKUP($B1119,#REF!,6,FALSE)</f>
        <v>#REF!</v>
      </c>
      <c r="L1119" s="1">
        <v>44655.864583329734</v>
      </c>
      <c r="M1119" s="13"/>
    </row>
    <row r="1120" spans="2:13">
      <c r="B1120" s="5"/>
      <c r="C1120" s="6" t="e">
        <f>VLOOKUP($B1120,#REF!,5,FALSE)</f>
        <v>#REF!</v>
      </c>
      <c r="D1120" s="6" t="e">
        <f>VLOOKUP($B1120,#REF!,6,FALSE)</f>
        <v>#REF!</v>
      </c>
      <c r="E1120" s="7" t="e">
        <f>VLOOKUP($B1120,#REF!,17,FALSE)</f>
        <v>#REF!</v>
      </c>
      <c r="F1120" s="8" t="e">
        <f>VLOOKUP($B1120,#REF!,7,FALSE)</f>
        <v>#REF!</v>
      </c>
      <c r="G1120" s="8"/>
      <c r="H1120" s="8"/>
      <c r="I1120" s="9" t="e">
        <f>VLOOKUP($B1120,#REF!,19,FALSE)</f>
        <v>#REF!</v>
      </c>
      <c r="J1120" s="9" t="e">
        <f>VLOOKUP($B1120,#REF!,6,FALSE)</f>
        <v>#REF!</v>
      </c>
      <c r="L1120" s="1">
        <v>44655.868055551953</v>
      </c>
      <c r="M1120" s="13"/>
    </row>
    <row r="1121" spans="2:13">
      <c r="B1121" s="5"/>
      <c r="C1121" s="6" t="e">
        <f>VLOOKUP($B1121,#REF!,5,FALSE)</f>
        <v>#REF!</v>
      </c>
      <c r="D1121" s="6" t="e">
        <f>VLOOKUP($B1121,#REF!,6,FALSE)</f>
        <v>#REF!</v>
      </c>
      <c r="E1121" s="7" t="e">
        <f>VLOOKUP($B1121,#REF!,17,FALSE)</f>
        <v>#REF!</v>
      </c>
      <c r="F1121" s="8" t="e">
        <f>VLOOKUP($B1121,#REF!,7,FALSE)</f>
        <v>#REF!</v>
      </c>
      <c r="G1121" s="8"/>
      <c r="H1121" s="8"/>
      <c r="I1121" s="9" t="e">
        <f>VLOOKUP($B1121,#REF!,19,FALSE)</f>
        <v>#REF!</v>
      </c>
      <c r="J1121" s="9" t="e">
        <f>VLOOKUP($B1121,#REF!,6,FALSE)</f>
        <v>#REF!</v>
      </c>
      <c r="L1121" s="1">
        <v>44655.871527774172</v>
      </c>
      <c r="M1121" s="13"/>
    </row>
    <row r="1122" spans="2:13">
      <c r="B1122" s="5"/>
      <c r="C1122" s="6" t="e">
        <f>VLOOKUP($B1122,#REF!,5,FALSE)</f>
        <v>#REF!</v>
      </c>
      <c r="D1122" s="6" t="e">
        <f>VLOOKUP($B1122,#REF!,6,FALSE)</f>
        <v>#REF!</v>
      </c>
      <c r="E1122" s="7" t="e">
        <f>VLOOKUP($B1122,#REF!,17,FALSE)</f>
        <v>#REF!</v>
      </c>
      <c r="F1122" s="8" t="e">
        <f>VLOOKUP($B1122,#REF!,7,FALSE)</f>
        <v>#REF!</v>
      </c>
      <c r="G1122" s="8"/>
      <c r="H1122" s="8"/>
      <c r="I1122" s="9" t="e">
        <f>VLOOKUP($B1122,#REF!,19,FALSE)</f>
        <v>#REF!</v>
      </c>
      <c r="J1122" s="9" t="e">
        <f>VLOOKUP($B1122,#REF!,6,FALSE)</f>
        <v>#REF!</v>
      </c>
      <c r="L1122" s="1">
        <v>44655.874999996391</v>
      </c>
      <c r="M1122" s="13"/>
    </row>
    <row r="1123" spans="2:13">
      <c r="B1123" s="5"/>
      <c r="C1123" s="6" t="e">
        <f>VLOOKUP($B1123,#REF!,5,FALSE)</f>
        <v>#REF!</v>
      </c>
      <c r="D1123" s="6" t="e">
        <f>VLOOKUP($B1123,#REF!,6,FALSE)</f>
        <v>#REF!</v>
      </c>
      <c r="E1123" s="7" t="e">
        <f>VLOOKUP($B1123,#REF!,17,FALSE)</f>
        <v>#REF!</v>
      </c>
      <c r="F1123" s="8" t="e">
        <f>VLOOKUP($B1123,#REF!,7,FALSE)</f>
        <v>#REF!</v>
      </c>
      <c r="G1123" s="8"/>
      <c r="H1123" s="8"/>
      <c r="I1123" s="9" t="e">
        <f>VLOOKUP($B1123,#REF!,19,FALSE)</f>
        <v>#REF!</v>
      </c>
      <c r="J1123" s="9" t="e">
        <f>VLOOKUP($B1123,#REF!,6,FALSE)</f>
        <v>#REF!</v>
      </c>
      <c r="L1123" s="1">
        <v>44655.87847221861</v>
      </c>
      <c r="M1123" s="13"/>
    </row>
    <row r="1124" spans="2:13">
      <c r="B1124" s="5"/>
      <c r="C1124" s="6" t="e">
        <f>VLOOKUP($B1124,#REF!,5,FALSE)</f>
        <v>#REF!</v>
      </c>
      <c r="D1124" s="6" t="e">
        <f>VLOOKUP($B1124,#REF!,6,FALSE)</f>
        <v>#REF!</v>
      </c>
      <c r="E1124" s="7" t="e">
        <f>VLOOKUP($B1124,#REF!,17,FALSE)</f>
        <v>#REF!</v>
      </c>
      <c r="F1124" s="8" t="e">
        <f>VLOOKUP($B1124,#REF!,7,FALSE)</f>
        <v>#REF!</v>
      </c>
      <c r="G1124" s="8"/>
      <c r="H1124" s="8"/>
      <c r="I1124" s="9" t="e">
        <f>VLOOKUP($B1124,#REF!,19,FALSE)</f>
        <v>#REF!</v>
      </c>
      <c r="J1124" s="9" t="e">
        <f>VLOOKUP($B1124,#REF!,6,FALSE)</f>
        <v>#REF!</v>
      </c>
      <c r="L1124" s="1">
        <v>44655.881944440829</v>
      </c>
      <c r="M1124" s="13"/>
    </row>
    <row r="1125" spans="2:13">
      <c r="B1125" s="5"/>
      <c r="C1125" s="6" t="e">
        <f>VLOOKUP($B1125,#REF!,5,FALSE)</f>
        <v>#REF!</v>
      </c>
      <c r="D1125" s="6" t="e">
        <f>VLOOKUP($B1125,#REF!,6,FALSE)</f>
        <v>#REF!</v>
      </c>
      <c r="E1125" s="7" t="e">
        <f>VLOOKUP($B1125,#REF!,17,FALSE)</f>
        <v>#REF!</v>
      </c>
      <c r="F1125" s="8" t="e">
        <f>VLOOKUP($B1125,#REF!,7,FALSE)</f>
        <v>#REF!</v>
      </c>
      <c r="G1125" s="8"/>
      <c r="H1125" s="8"/>
      <c r="I1125" s="9" t="e">
        <f>VLOOKUP($B1125,#REF!,19,FALSE)</f>
        <v>#REF!</v>
      </c>
      <c r="J1125" s="9" t="e">
        <f>VLOOKUP($B1125,#REF!,6,FALSE)</f>
        <v>#REF!</v>
      </c>
      <c r="L1125" s="1">
        <v>44655.885416663048</v>
      </c>
      <c r="M1125" s="13"/>
    </row>
    <row r="1126" spans="2:13">
      <c r="B1126" s="5"/>
      <c r="C1126" s="6" t="e">
        <f>VLOOKUP($B1126,#REF!,5,FALSE)</f>
        <v>#REF!</v>
      </c>
      <c r="D1126" s="6" t="e">
        <f>VLOOKUP($B1126,#REF!,6,FALSE)</f>
        <v>#REF!</v>
      </c>
      <c r="E1126" s="7" t="e">
        <f>VLOOKUP($B1126,#REF!,17,FALSE)</f>
        <v>#REF!</v>
      </c>
      <c r="F1126" s="8" t="e">
        <f>VLOOKUP($B1126,#REF!,7,FALSE)</f>
        <v>#REF!</v>
      </c>
      <c r="G1126" s="8"/>
      <c r="H1126" s="8"/>
      <c r="I1126" s="9" t="e">
        <f>VLOOKUP($B1126,#REF!,19,FALSE)</f>
        <v>#REF!</v>
      </c>
      <c r="J1126" s="9" t="e">
        <f>VLOOKUP($B1126,#REF!,6,FALSE)</f>
        <v>#REF!</v>
      </c>
      <c r="L1126" s="1">
        <v>44655.888888885267</v>
      </c>
      <c r="M1126" s="13"/>
    </row>
    <row r="1127" spans="2:13">
      <c r="B1127" s="5"/>
      <c r="C1127" s="6" t="e">
        <f>VLOOKUP($B1127,#REF!,5,FALSE)</f>
        <v>#REF!</v>
      </c>
      <c r="D1127" s="6" t="e">
        <f>VLOOKUP($B1127,#REF!,6,FALSE)</f>
        <v>#REF!</v>
      </c>
      <c r="E1127" s="7" t="e">
        <f>VLOOKUP($B1127,#REF!,17,FALSE)</f>
        <v>#REF!</v>
      </c>
      <c r="F1127" s="8" t="e">
        <f>VLOOKUP($B1127,#REF!,7,FALSE)</f>
        <v>#REF!</v>
      </c>
      <c r="G1127" s="8"/>
      <c r="H1127" s="8"/>
      <c r="I1127" s="9" t="e">
        <f>VLOOKUP($B1127,#REF!,19,FALSE)</f>
        <v>#REF!</v>
      </c>
      <c r="J1127" s="9" t="e">
        <f>VLOOKUP($B1127,#REF!,6,FALSE)</f>
        <v>#REF!</v>
      </c>
      <c r="L1127" s="1">
        <v>44655.892361107486</v>
      </c>
      <c r="M1127" s="13"/>
    </row>
    <row r="1128" spans="2:13">
      <c r="B1128" s="5"/>
      <c r="C1128" s="6" t="e">
        <f>VLOOKUP($B1128,#REF!,5,FALSE)</f>
        <v>#REF!</v>
      </c>
      <c r="D1128" s="6" t="e">
        <f>VLOOKUP($B1128,#REF!,6,FALSE)</f>
        <v>#REF!</v>
      </c>
      <c r="E1128" s="7" t="e">
        <f>VLOOKUP($B1128,#REF!,17,FALSE)</f>
        <v>#REF!</v>
      </c>
      <c r="F1128" s="8" t="e">
        <f>VLOOKUP($B1128,#REF!,7,FALSE)</f>
        <v>#REF!</v>
      </c>
      <c r="G1128" s="8"/>
      <c r="H1128" s="8"/>
      <c r="I1128" s="9" t="e">
        <f>VLOOKUP($B1128,#REF!,19,FALSE)</f>
        <v>#REF!</v>
      </c>
      <c r="J1128" s="9" t="e">
        <f>VLOOKUP($B1128,#REF!,6,FALSE)</f>
        <v>#REF!</v>
      </c>
      <c r="L1128" s="1">
        <v>44655.895833329705</v>
      </c>
      <c r="M1128" s="13"/>
    </row>
    <row r="1129" spans="2:13">
      <c r="B1129" s="5"/>
      <c r="C1129" s="6" t="e">
        <f>VLOOKUP($B1129,#REF!,5,FALSE)</f>
        <v>#REF!</v>
      </c>
      <c r="D1129" s="6" t="e">
        <f>VLOOKUP($B1129,#REF!,6,FALSE)</f>
        <v>#REF!</v>
      </c>
      <c r="E1129" s="7" t="e">
        <f>VLOOKUP($B1129,#REF!,17,FALSE)</f>
        <v>#REF!</v>
      </c>
      <c r="F1129" s="8" t="e">
        <f>VLOOKUP($B1129,#REF!,7,FALSE)</f>
        <v>#REF!</v>
      </c>
      <c r="G1129" s="8"/>
      <c r="H1129" s="8"/>
      <c r="I1129" s="9" t="e">
        <f>VLOOKUP($B1129,#REF!,19,FALSE)</f>
        <v>#REF!</v>
      </c>
      <c r="J1129" s="9" t="e">
        <f>VLOOKUP($B1129,#REF!,6,FALSE)</f>
        <v>#REF!</v>
      </c>
      <c r="L1129" s="1">
        <v>44655.899305551924</v>
      </c>
      <c r="M1129" s="13"/>
    </row>
    <row r="1130" spans="2:13">
      <c r="B1130" s="5"/>
      <c r="C1130" s="6" t="e">
        <f>VLOOKUP($B1130,#REF!,5,FALSE)</f>
        <v>#REF!</v>
      </c>
      <c r="D1130" s="6" t="e">
        <f>VLOOKUP($B1130,#REF!,6,FALSE)</f>
        <v>#REF!</v>
      </c>
      <c r="E1130" s="7" t="e">
        <f>VLOOKUP($B1130,#REF!,17,FALSE)</f>
        <v>#REF!</v>
      </c>
      <c r="F1130" s="8" t="e">
        <f>VLOOKUP($B1130,#REF!,7,FALSE)</f>
        <v>#REF!</v>
      </c>
      <c r="G1130" s="8"/>
      <c r="H1130" s="8"/>
      <c r="I1130" s="9" t="e">
        <f>VLOOKUP($B1130,#REF!,19,FALSE)</f>
        <v>#REF!</v>
      </c>
      <c r="J1130" s="9" t="e">
        <f>VLOOKUP($B1130,#REF!,6,FALSE)</f>
        <v>#REF!</v>
      </c>
      <c r="L1130" s="1">
        <v>44655.902777774143</v>
      </c>
      <c r="M1130" s="13"/>
    </row>
    <row r="1131" spans="2:13">
      <c r="B1131" s="5"/>
      <c r="C1131" s="6" t="e">
        <f>VLOOKUP($B1131,#REF!,5,FALSE)</f>
        <v>#REF!</v>
      </c>
      <c r="D1131" s="6" t="e">
        <f>VLOOKUP($B1131,#REF!,6,FALSE)</f>
        <v>#REF!</v>
      </c>
      <c r="E1131" s="7" t="e">
        <f>VLOOKUP($B1131,#REF!,17,FALSE)</f>
        <v>#REF!</v>
      </c>
      <c r="F1131" s="8" t="e">
        <f>VLOOKUP($B1131,#REF!,7,FALSE)</f>
        <v>#REF!</v>
      </c>
      <c r="G1131" s="8"/>
      <c r="H1131" s="8"/>
      <c r="I1131" s="9" t="e">
        <f>VLOOKUP($B1131,#REF!,19,FALSE)</f>
        <v>#REF!</v>
      </c>
      <c r="J1131" s="9" t="e">
        <f>VLOOKUP($B1131,#REF!,6,FALSE)</f>
        <v>#REF!</v>
      </c>
      <c r="L1131" s="1">
        <v>44655.906249996362</v>
      </c>
      <c r="M1131" s="13"/>
    </row>
    <row r="1132" spans="2:13">
      <c r="B1132" s="5"/>
      <c r="C1132" s="6" t="e">
        <f>VLOOKUP($B1132,#REF!,5,FALSE)</f>
        <v>#REF!</v>
      </c>
      <c r="D1132" s="6" t="e">
        <f>VLOOKUP($B1132,#REF!,6,FALSE)</f>
        <v>#REF!</v>
      </c>
      <c r="E1132" s="7" t="e">
        <f>VLOOKUP($B1132,#REF!,17,FALSE)</f>
        <v>#REF!</v>
      </c>
      <c r="F1132" s="8" t="e">
        <f>VLOOKUP($B1132,#REF!,7,FALSE)</f>
        <v>#REF!</v>
      </c>
      <c r="G1132" s="8"/>
      <c r="H1132" s="8"/>
      <c r="I1132" s="9" t="e">
        <f>VLOOKUP($B1132,#REF!,19,FALSE)</f>
        <v>#REF!</v>
      </c>
      <c r="J1132" s="9" t="e">
        <f>VLOOKUP($B1132,#REF!,6,FALSE)</f>
        <v>#REF!</v>
      </c>
      <c r="L1132" s="1">
        <v>44655.909722218581</v>
      </c>
      <c r="M1132" s="13"/>
    </row>
    <row r="1133" spans="2:13">
      <c r="B1133" s="5"/>
      <c r="C1133" s="6" t="e">
        <f>VLOOKUP($B1133,#REF!,5,FALSE)</f>
        <v>#REF!</v>
      </c>
      <c r="D1133" s="6" t="e">
        <f>VLOOKUP($B1133,#REF!,6,FALSE)</f>
        <v>#REF!</v>
      </c>
      <c r="E1133" s="7" t="e">
        <f>VLOOKUP($B1133,#REF!,17,FALSE)</f>
        <v>#REF!</v>
      </c>
      <c r="F1133" s="8" t="e">
        <f>VLOOKUP($B1133,#REF!,7,FALSE)</f>
        <v>#REF!</v>
      </c>
      <c r="G1133" s="8"/>
      <c r="H1133" s="8"/>
      <c r="I1133" s="9" t="e">
        <f>VLOOKUP($B1133,#REF!,19,FALSE)</f>
        <v>#REF!</v>
      </c>
      <c r="J1133" s="9" t="e">
        <f>VLOOKUP($B1133,#REF!,6,FALSE)</f>
        <v>#REF!</v>
      </c>
      <c r="L1133" s="1">
        <v>44655.9131944408</v>
      </c>
      <c r="M1133" s="13"/>
    </row>
    <row r="1134" spans="2:13">
      <c r="B1134" s="5"/>
      <c r="C1134" s="6" t="e">
        <f>VLOOKUP($B1134,#REF!,5,FALSE)</f>
        <v>#REF!</v>
      </c>
      <c r="D1134" s="6" t="e">
        <f>VLOOKUP($B1134,#REF!,6,FALSE)</f>
        <v>#REF!</v>
      </c>
      <c r="E1134" s="7" t="e">
        <f>VLOOKUP($B1134,#REF!,17,FALSE)</f>
        <v>#REF!</v>
      </c>
      <c r="F1134" s="8" t="e">
        <f>VLOOKUP($B1134,#REF!,7,FALSE)</f>
        <v>#REF!</v>
      </c>
      <c r="G1134" s="8"/>
      <c r="H1134" s="8"/>
      <c r="I1134" s="9" t="e">
        <f>VLOOKUP($B1134,#REF!,19,FALSE)</f>
        <v>#REF!</v>
      </c>
      <c r="J1134" s="9" t="e">
        <f>VLOOKUP($B1134,#REF!,6,FALSE)</f>
        <v>#REF!</v>
      </c>
      <c r="L1134" s="1">
        <v>44655.916666663019</v>
      </c>
      <c r="M1134" s="13"/>
    </row>
    <row r="1135" spans="2:13">
      <c r="B1135" s="5"/>
      <c r="C1135" s="6" t="e">
        <f>VLOOKUP($B1135,#REF!,5,FALSE)</f>
        <v>#REF!</v>
      </c>
      <c r="D1135" s="6" t="e">
        <f>VLOOKUP($B1135,#REF!,6,FALSE)</f>
        <v>#REF!</v>
      </c>
      <c r="E1135" s="7" t="e">
        <f>VLOOKUP($B1135,#REF!,17,FALSE)</f>
        <v>#REF!</v>
      </c>
      <c r="F1135" s="8" t="e">
        <f>VLOOKUP($B1135,#REF!,7,FALSE)</f>
        <v>#REF!</v>
      </c>
      <c r="G1135" s="8"/>
      <c r="H1135" s="8"/>
      <c r="I1135" s="9" t="e">
        <f>VLOOKUP($B1135,#REF!,19,FALSE)</f>
        <v>#REF!</v>
      </c>
      <c r="J1135" s="9" t="e">
        <f>VLOOKUP($B1135,#REF!,6,FALSE)</f>
        <v>#REF!</v>
      </c>
      <c r="L1135" s="1">
        <v>44655.920138885238</v>
      </c>
      <c r="M1135" s="13"/>
    </row>
    <row r="1136" spans="2:13">
      <c r="B1136" s="5"/>
      <c r="C1136" s="6" t="e">
        <f>VLOOKUP($B1136,#REF!,5,FALSE)</f>
        <v>#REF!</v>
      </c>
      <c r="D1136" s="6" t="e">
        <f>VLOOKUP($B1136,#REF!,6,FALSE)</f>
        <v>#REF!</v>
      </c>
      <c r="E1136" s="7" t="e">
        <f>VLOOKUP($B1136,#REF!,17,FALSE)</f>
        <v>#REF!</v>
      </c>
      <c r="F1136" s="8" t="e">
        <f>VLOOKUP($B1136,#REF!,7,FALSE)</f>
        <v>#REF!</v>
      </c>
      <c r="G1136" s="8"/>
      <c r="H1136" s="8"/>
      <c r="I1136" s="9" t="e">
        <f>VLOOKUP($B1136,#REF!,19,FALSE)</f>
        <v>#REF!</v>
      </c>
      <c r="J1136" s="9" t="e">
        <f>VLOOKUP($B1136,#REF!,6,FALSE)</f>
        <v>#REF!</v>
      </c>
      <c r="L1136" s="1">
        <v>44655.923611107457</v>
      </c>
      <c r="M1136" s="13"/>
    </row>
    <row r="1137" spans="2:13">
      <c r="B1137" s="5"/>
      <c r="C1137" s="6" t="e">
        <f>VLOOKUP($B1137,#REF!,5,FALSE)</f>
        <v>#REF!</v>
      </c>
      <c r="D1137" s="6" t="e">
        <f>VLOOKUP($B1137,#REF!,6,FALSE)</f>
        <v>#REF!</v>
      </c>
      <c r="E1137" s="7" t="e">
        <f>VLOOKUP($B1137,#REF!,17,FALSE)</f>
        <v>#REF!</v>
      </c>
      <c r="F1137" s="8" t="e">
        <f>VLOOKUP($B1137,#REF!,7,FALSE)</f>
        <v>#REF!</v>
      </c>
      <c r="G1137" s="8"/>
      <c r="H1137" s="8"/>
      <c r="I1137" s="9" t="e">
        <f>VLOOKUP($B1137,#REF!,19,FALSE)</f>
        <v>#REF!</v>
      </c>
      <c r="J1137" s="9" t="e">
        <f>VLOOKUP($B1137,#REF!,6,FALSE)</f>
        <v>#REF!</v>
      </c>
      <c r="L1137" s="1">
        <v>44655.927083329676</v>
      </c>
      <c r="M1137" s="13"/>
    </row>
    <row r="1138" spans="2:13">
      <c r="B1138" s="5"/>
      <c r="C1138" s="6" t="e">
        <f>VLOOKUP($B1138,#REF!,5,FALSE)</f>
        <v>#REF!</v>
      </c>
      <c r="D1138" s="6" t="e">
        <f>VLOOKUP($B1138,#REF!,6,FALSE)</f>
        <v>#REF!</v>
      </c>
      <c r="E1138" s="7" t="e">
        <f>VLOOKUP($B1138,#REF!,17,FALSE)</f>
        <v>#REF!</v>
      </c>
      <c r="F1138" s="8" t="e">
        <f>VLOOKUP($B1138,#REF!,7,FALSE)</f>
        <v>#REF!</v>
      </c>
      <c r="G1138" s="8"/>
      <c r="H1138" s="8"/>
      <c r="I1138" s="9" t="e">
        <f>VLOOKUP($B1138,#REF!,19,FALSE)</f>
        <v>#REF!</v>
      </c>
      <c r="J1138" s="9" t="e">
        <f>VLOOKUP($B1138,#REF!,6,FALSE)</f>
        <v>#REF!</v>
      </c>
      <c r="L1138" s="1">
        <v>44655.930555551895</v>
      </c>
      <c r="M1138" s="13"/>
    </row>
    <row r="1139" spans="2:13">
      <c r="B1139" s="5"/>
      <c r="C1139" s="6" t="e">
        <f>VLOOKUP($B1139,#REF!,5,FALSE)</f>
        <v>#REF!</v>
      </c>
      <c r="D1139" s="6" t="e">
        <f>VLOOKUP($B1139,#REF!,6,FALSE)</f>
        <v>#REF!</v>
      </c>
      <c r="E1139" s="7" t="e">
        <f>VLOOKUP($B1139,#REF!,17,FALSE)</f>
        <v>#REF!</v>
      </c>
      <c r="F1139" s="8" t="e">
        <f>VLOOKUP($B1139,#REF!,7,FALSE)</f>
        <v>#REF!</v>
      </c>
      <c r="G1139" s="8"/>
      <c r="H1139" s="8"/>
      <c r="I1139" s="9" t="e">
        <f>VLOOKUP($B1139,#REF!,19,FALSE)</f>
        <v>#REF!</v>
      </c>
      <c r="J1139" s="9" t="e">
        <f>VLOOKUP($B1139,#REF!,6,FALSE)</f>
        <v>#REF!</v>
      </c>
      <c r="L1139" s="1">
        <v>44655.934027774114</v>
      </c>
      <c r="M1139" s="13"/>
    </row>
    <row r="1140" spans="2:13">
      <c r="B1140" s="5"/>
      <c r="C1140" s="6" t="e">
        <f>VLOOKUP($B1140,#REF!,5,FALSE)</f>
        <v>#REF!</v>
      </c>
      <c r="D1140" s="6" t="e">
        <f>VLOOKUP($B1140,#REF!,6,FALSE)</f>
        <v>#REF!</v>
      </c>
      <c r="E1140" s="7" t="e">
        <f>VLOOKUP($B1140,#REF!,17,FALSE)</f>
        <v>#REF!</v>
      </c>
      <c r="F1140" s="8" t="e">
        <f>VLOOKUP($B1140,#REF!,7,FALSE)</f>
        <v>#REF!</v>
      </c>
      <c r="G1140" s="8"/>
      <c r="H1140" s="8"/>
      <c r="I1140" s="9" t="e">
        <f>VLOOKUP($B1140,#REF!,19,FALSE)</f>
        <v>#REF!</v>
      </c>
      <c r="J1140" s="9" t="e">
        <f>VLOOKUP($B1140,#REF!,6,FALSE)</f>
        <v>#REF!</v>
      </c>
      <c r="L1140" s="1">
        <v>44655.937499996333</v>
      </c>
      <c r="M1140" s="13"/>
    </row>
    <row r="1141" spans="2:13">
      <c r="B1141" s="5"/>
      <c r="C1141" s="6" t="e">
        <f>VLOOKUP($B1141,#REF!,5,FALSE)</f>
        <v>#REF!</v>
      </c>
      <c r="D1141" s="6" t="e">
        <f>VLOOKUP($B1141,#REF!,6,FALSE)</f>
        <v>#REF!</v>
      </c>
      <c r="E1141" s="7" t="e">
        <f>VLOOKUP($B1141,#REF!,17,FALSE)</f>
        <v>#REF!</v>
      </c>
      <c r="F1141" s="8" t="e">
        <f>VLOOKUP($B1141,#REF!,7,FALSE)</f>
        <v>#REF!</v>
      </c>
      <c r="G1141" s="8"/>
      <c r="H1141" s="8"/>
      <c r="I1141" s="9" t="e">
        <f>VLOOKUP($B1141,#REF!,19,FALSE)</f>
        <v>#REF!</v>
      </c>
      <c r="J1141" s="9" t="e">
        <f>VLOOKUP($B1141,#REF!,6,FALSE)</f>
        <v>#REF!</v>
      </c>
      <c r="L1141" s="1">
        <v>44655.940972218552</v>
      </c>
      <c r="M1141" s="13"/>
    </row>
    <row r="1142" spans="2:13">
      <c r="B1142" s="5"/>
      <c r="C1142" s="6" t="e">
        <f>VLOOKUP($B1142,#REF!,5,FALSE)</f>
        <v>#REF!</v>
      </c>
      <c r="D1142" s="6" t="e">
        <f>VLOOKUP($B1142,#REF!,6,FALSE)</f>
        <v>#REF!</v>
      </c>
      <c r="E1142" s="7" t="e">
        <f>VLOOKUP($B1142,#REF!,17,FALSE)</f>
        <v>#REF!</v>
      </c>
      <c r="F1142" s="8" t="e">
        <f>VLOOKUP($B1142,#REF!,7,FALSE)</f>
        <v>#REF!</v>
      </c>
      <c r="G1142" s="8"/>
      <c r="H1142" s="8"/>
      <c r="I1142" s="9" t="e">
        <f>VLOOKUP($B1142,#REF!,19,FALSE)</f>
        <v>#REF!</v>
      </c>
      <c r="J1142" s="9" t="e">
        <f>VLOOKUP($B1142,#REF!,6,FALSE)</f>
        <v>#REF!</v>
      </c>
      <c r="L1142" s="1">
        <v>44655.944444440771</v>
      </c>
      <c r="M1142" s="13"/>
    </row>
    <row r="1143" spans="2:13">
      <c r="B1143" s="5"/>
      <c r="C1143" s="6" t="e">
        <f>VLOOKUP($B1143,#REF!,5,FALSE)</f>
        <v>#REF!</v>
      </c>
      <c r="D1143" s="6" t="e">
        <f>VLOOKUP($B1143,#REF!,6,FALSE)</f>
        <v>#REF!</v>
      </c>
      <c r="E1143" s="7" t="e">
        <f>VLOOKUP($B1143,#REF!,17,FALSE)</f>
        <v>#REF!</v>
      </c>
      <c r="F1143" s="8" t="e">
        <f>VLOOKUP($B1143,#REF!,7,FALSE)</f>
        <v>#REF!</v>
      </c>
      <c r="G1143" s="8"/>
      <c r="H1143" s="8"/>
      <c r="I1143" s="9" t="e">
        <f>VLOOKUP($B1143,#REF!,19,FALSE)</f>
        <v>#REF!</v>
      </c>
      <c r="J1143" s="9" t="e">
        <f>VLOOKUP($B1143,#REF!,6,FALSE)</f>
        <v>#REF!</v>
      </c>
      <c r="L1143" s="1">
        <v>44655.94791666299</v>
      </c>
      <c r="M1143" s="13"/>
    </row>
    <row r="1144" spans="2:13">
      <c r="B1144" s="5"/>
      <c r="C1144" s="6" t="e">
        <f>VLOOKUP($B1144,#REF!,5,FALSE)</f>
        <v>#REF!</v>
      </c>
      <c r="D1144" s="6" t="e">
        <f>VLOOKUP($B1144,#REF!,6,FALSE)</f>
        <v>#REF!</v>
      </c>
      <c r="E1144" s="7" t="e">
        <f>VLOOKUP($B1144,#REF!,17,FALSE)</f>
        <v>#REF!</v>
      </c>
      <c r="F1144" s="8" t="e">
        <f>VLOOKUP($B1144,#REF!,7,FALSE)</f>
        <v>#REF!</v>
      </c>
      <c r="G1144" s="8"/>
      <c r="H1144" s="8"/>
      <c r="I1144" s="9" t="e">
        <f>VLOOKUP($B1144,#REF!,19,FALSE)</f>
        <v>#REF!</v>
      </c>
      <c r="J1144" s="9" t="e">
        <f>VLOOKUP($B1144,#REF!,6,FALSE)</f>
        <v>#REF!</v>
      </c>
      <c r="L1144" s="1">
        <v>44655.951388885209</v>
      </c>
      <c r="M1144" s="13"/>
    </row>
    <row r="1145" spans="2:13">
      <c r="B1145" s="5"/>
      <c r="C1145" s="6" t="e">
        <f>VLOOKUP($B1145,#REF!,5,FALSE)</f>
        <v>#REF!</v>
      </c>
      <c r="D1145" s="6" t="e">
        <f>VLOOKUP($B1145,#REF!,6,FALSE)</f>
        <v>#REF!</v>
      </c>
      <c r="E1145" s="7" t="e">
        <f>VLOOKUP($B1145,#REF!,17,FALSE)</f>
        <v>#REF!</v>
      </c>
      <c r="F1145" s="8" t="e">
        <f>VLOOKUP($B1145,#REF!,7,FALSE)</f>
        <v>#REF!</v>
      </c>
      <c r="G1145" s="8"/>
      <c r="H1145" s="8"/>
      <c r="I1145" s="9" t="e">
        <f>VLOOKUP($B1145,#REF!,19,FALSE)</f>
        <v>#REF!</v>
      </c>
      <c r="J1145" s="9" t="e">
        <f>VLOOKUP($B1145,#REF!,6,FALSE)</f>
        <v>#REF!</v>
      </c>
      <c r="L1145" s="1">
        <v>44655.954861107428</v>
      </c>
      <c r="M1145" s="13"/>
    </row>
    <row r="1146" spans="2:13">
      <c r="B1146" s="5"/>
      <c r="C1146" s="6" t="e">
        <f>VLOOKUP($B1146,#REF!,5,FALSE)</f>
        <v>#REF!</v>
      </c>
      <c r="D1146" s="6" t="e">
        <f>VLOOKUP($B1146,#REF!,6,FALSE)</f>
        <v>#REF!</v>
      </c>
      <c r="E1146" s="7" t="e">
        <f>VLOOKUP($B1146,#REF!,17,FALSE)</f>
        <v>#REF!</v>
      </c>
      <c r="F1146" s="8" t="e">
        <f>VLOOKUP($B1146,#REF!,7,FALSE)</f>
        <v>#REF!</v>
      </c>
      <c r="G1146" s="8"/>
      <c r="H1146" s="8"/>
      <c r="I1146" s="9" t="e">
        <f>VLOOKUP($B1146,#REF!,19,FALSE)</f>
        <v>#REF!</v>
      </c>
      <c r="J1146" s="9" t="e">
        <f>VLOOKUP($B1146,#REF!,6,FALSE)</f>
        <v>#REF!</v>
      </c>
      <c r="L1146" s="1">
        <v>44655.958333329647</v>
      </c>
      <c r="M1146" s="13"/>
    </row>
    <row r="1147" spans="2:13">
      <c r="B1147" s="5"/>
      <c r="C1147" s="6" t="e">
        <f>VLOOKUP($B1147,#REF!,5,FALSE)</f>
        <v>#REF!</v>
      </c>
      <c r="D1147" s="6" t="e">
        <f>VLOOKUP($B1147,#REF!,6,FALSE)</f>
        <v>#REF!</v>
      </c>
      <c r="E1147" s="7" t="e">
        <f>VLOOKUP($B1147,#REF!,17,FALSE)</f>
        <v>#REF!</v>
      </c>
      <c r="F1147" s="8" t="e">
        <f>VLOOKUP($B1147,#REF!,7,FALSE)</f>
        <v>#REF!</v>
      </c>
      <c r="G1147" s="8"/>
      <c r="H1147" s="8"/>
      <c r="I1147" s="9" t="e">
        <f>VLOOKUP($B1147,#REF!,19,FALSE)</f>
        <v>#REF!</v>
      </c>
      <c r="J1147" s="9" t="e">
        <f>VLOOKUP($B1147,#REF!,6,FALSE)</f>
        <v>#REF!</v>
      </c>
      <c r="L1147" s="1">
        <v>44655.961805551866</v>
      </c>
      <c r="M1147" s="13"/>
    </row>
    <row r="1148" spans="2:13">
      <c r="B1148" s="5"/>
      <c r="C1148" s="6" t="e">
        <f>VLOOKUP($B1148,#REF!,5,FALSE)</f>
        <v>#REF!</v>
      </c>
      <c r="D1148" s="6" t="e">
        <f>VLOOKUP($B1148,#REF!,6,FALSE)</f>
        <v>#REF!</v>
      </c>
      <c r="E1148" s="7" t="e">
        <f>VLOOKUP($B1148,#REF!,17,FALSE)</f>
        <v>#REF!</v>
      </c>
      <c r="F1148" s="8" t="e">
        <f>VLOOKUP($B1148,#REF!,7,FALSE)</f>
        <v>#REF!</v>
      </c>
      <c r="G1148" s="8"/>
      <c r="H1148" s="8"/>
      <c r="I1148" s="9" t="e">
        <f>VLOOKUP($B1148,#REF!,19,FALSE)</f>
        <v>#REF!</v>
      </c>
      <c r="J1148" s="9" t="e">
        <f>VLOOKUP($B1148,#REF!,6,FALSE)</f>
        <v>#REF!</v>
      </c>
      <c r="L1148" s="1">
        <v>44655.965277774085</v>
      </c>
      <c r="M1148" s="13"/>
    </row>
    <row r="1149" spans="2:13">
      <c r="B1149" s="5"/>
      <c r="C1149" s="6" t="e">
        <f>VLOOKUP($B1149,#REF!,5,FALSE)</f>
        <v>#REF!</v>
      </c>
      <c r="D1149" s="6" t="e">
        <f>VLOOKUP($B1149,#REF!,6,FALSE)</f>
        <v>#REF!</v>
      </c>
      <c r="E1149" s="7" t="e">
        <f>VLOOKUP($B1149,#REF!,17,FALSE)</f>
        <v>#REF!</v>
      </c>
      <c r="F1149" s="8" t="e">
        <f>VLOOKUP($B1149,#REF!,7,FALSE)</f>
        <v>#REF!</v>
      </c>
      <c r="G1149" s="8"/>
      <c r="H1149" s="8"/>
      <c r="I1149" s="9" t="e">
        <f>VLOOKUP($B1149,#REF!,19,FALSE)</f>
        <v>#REF!</v>
      </c>
      <c r="J1149" s="9" t="e">
        <f>VLOOKUP($B1149,#REF!,6,FALSE)</f>
        <v>#REF!</v>
      </c>
      <c r="L1149" s="1">
        <v>44655.968749996304</v>
      </c>
      <c r="M1149" s="13"/>
    </row>
    <row r="1150" spans="2:13">
      <c r="B1150" s="5"/>
      <c r="C1150" s="6" t="e">
        <f>VLOOKUP($B1150,#REF!,5,FALSE)</f>
        <v>#REF!</v>
      </c>
      <c r="D1150" s="6" t="e">
        <f>VLOOKUP($B1150,#REF!,6,FALSE)</f>
        <v>#REF!</v>
      </c>
      <c r="E1150" s="7" t="e">
        <f>VLOOKUP($B1150,#REF!,17,FALSE)</f>
        <v>#REF!</v>
      </c>
      <c r="F1150" s="8" t="e">
        <f>VLOOKUP($B1150,#REF!,7,FALSE)</f>
        <v>#REF!</v>
      </c>
      <c r="G1150" s="8"/>
      <c r="H1150" s="8"/>
      <c r="I1150" s="9" t="e">
        <f>VLOOKUP($B1150,#REF!,19,FALSE)</f>
        <v>#REF!</v>
      </c>
      <c r="J1150" s="9" t="e">
        <f>VLOOKUP($B1150,#REF!,6,FALSE)</f>
        <v>#REF!</v>
      </c>
      <c r="L1150" s="1">
        <v>44655.972222218523</v>
      </c>
      <c r="M1150" s="13"/>
    </row>
    <row r="1151" spans="2:13">
      <c r="B1151" s="5"/>
      <c r="C1151" s="6" t="e">
        <f>VLOOKUP($B1151,#REF!,5,FALSE)</f>
        <v>#REF!</v>
      </c>
      <c r="D1151" s="6" t="e">
        <f>VLOOKUP($B1151,#REF!,6,FALSE)</f>
        <v>#REF!</v>
      </c>
      <c r="E1151" s="7" t="e">
        <f>VLOOKUP($B1151,#REF!,17,FALSE)</f>
        <v>#REF!</v>
      </c>
      <c r="F1151" s="8" t="e">
        <f>VLOOKUP($B1151,#REF!,7,FALSE)</f>
        <v>#REF!</v>
      </c>
      <c r="G1151" s="8"/>
      <c r="H1151" s="8"/>
      <c r="I1151" s="9" t="e">
        <f>VLOOKUP($B1151,#REF!,19,FALSE)</f>
        <v>#REF!</v>
      </c>
      <c r="J1151" s="9" t="e">
        <f>VLOOKUP($B1151,#REF!,6,FALSE)</f>
        <v>#REF!</v>
      </c>
      <c r="L1151" s="1">
        <v>44655.975694440742</v>
      </c>
      <c r="M1151" s="13"/>
    </row>
    <row r="1152" spans="2:13">
      <c r="B1152" s="5"/>
      <c r="C1152" s="6" t="e">
        <f>VLOOKUP($B1152,#REF!,5,FALSE)</f>
        <v>#REF!</v>
      </c>
      <c r="D1152" s="6" t="e">
        <f>VLOOKUP($B1152,#REF!,6,FALSE)</f>
        <v>#REF!</v>
      </c>
      <c r="E1152" s="7" t="e">
        <f>VLOOKUP($B1152,#REF!,17,FALSE)</f>
        <v>#REF!</v>
      </c>
      <c r="F1152" s="8" t="e">
        <f>VLOOKUP($B1152,#REF!,7,FALSE)</f>
        <v>#REF!</v>
      </c>
      <c r="G1152" s="8"/>
      <c r="H1152" s="8"/>
      <c r="I1152" s="9" t="e">
        <f>VLOOKUP($B1152,#REF!,19,FALSE)</f>
        <v>#REF!</v>
      </c>
      <c r="J1152" s="9" t="e">
        <f>VLOOKUP($B1152,#REF!,6,FALSE)</f>
        <v>#REF!</v>
      </c>
      <c r="L1152" s="1">
        <v>44655.979166662961</v>
      </c>
      <c r="M1152" s="13"/>
    </row>
    <row r="1153" spans="2:13">
      <c r="B1153" s="5"/>
      <c r="C1153" s="6" t="e">
        <f>VLOOKUP($B1153,#REF!,5,FALSE)</f>
        <v>#REF!</v>
      </c>
      <c r="D1153" s="6" t="e">
        <f>VLOOKUP($B1153,#REF!,6,FALSE)</f>
        <v>#REF!</v>
      </c>
      <c r="E1153" s="7" t="e">
        <f>VLOOKUP($B1153,#REF!,17,FALSE)</f>
        <v>#REF!</v>
      </c>
      <c r="F1153" s="8" t="e">
        <f>VLOOKUP($B1153,#REF!,7,FALSE)</f>
        <v>#REF!</v>
      </c>
      <c r="G1153" s="8"/>
      <c r="H1153" s="8"/>
      <c r="I1153" s="9" t="e">
        <f>VLOOKUP($B1153,#REF!,19,FALSE)</f>
        <v>#REF!</v>
      </c>
      <c r="J1153" s="9" t="e">
        <f>VLOOKUP($B1153,#REF!,6,FALSE)</f>
        <v>#REF!</v>
      </c>
      <c r="L1153" s="1">
        <v>44655.98263888518</v>
      </c>
      <c r="M1153" s="13"/>
    </row>
    <row r="1154" spans="2:13">
      <c r="B1154" s="5"/>
      <c r="C1154" s="6" t="e">
        <f>VLOOKUP($B1154,#REF!,5,FALSE)</f>
        <v>#REF!</v>
      </c>
      <c r="D1154" s="6" t="e">
        <f>VLOOKUP($B1154,#REF!,6,FALSE)</f>
        <v>#REF!</v>
      </c>
      <c r="E1154" s="7" t="e">
        <f>VLOOKUP($B1154,#REF!,17,FALSE)</f>
        <v>#REF!</v>
      </c>
      <c r="F1154" s="8" t="e">
        <f>VLOOKUP($B1154,#REF!,7,FALSE)</f>
        <v>#REF!</v>
      </c>
      <c r="G1154" s="8"/>
      <c r="H1154" s="8"/>
      <c r="I1154" s="9" t="e">
        <f>VLOOKUP($B1154,#REF!,19,FALSE)</f>
        <v>#REF!</v>
      </c>
      <c r="J1154" s="9" t="e">
        <f>VLOOKUP($B1154,#REF!,6,FALSE)</f>
        <v>#REF!</v>
      </c>
      <c r="L1154" s="1">
        <v>44655.986111107399</v>
      </c>
      <c r="M1154" s="13"/>
    </row>
    <row r="1155" spans="2:13">
      <c r="B1155" s="5"/>
      <c r="C1155" s="6" t="e">
        <f>VLOOKUP($B1155,#REF!,5,FALSE)</f>
        <v>#REF!</v>
      </c>
      <c r="D1155" s="6" t="e">
        <f>VLOOKUP($B1155,#REF!,6,FALSE)</f>
        <v>#REF!</v>
      </c>
      <c r="E1155" s="7" t="e">
        <f>VLOOKUP($B1155,#REF!,17,FALSE)</f>
        <v>#REF!</v>
      </c>
      <c r="F1155" s="8" t="e">
        <f>VLOOKUP($B1155,#REF!,7,FALSE)</f>
        <v>#REF!</v>
      </c>
      <c r="G1155" s="8"/>
      <c r="H1155" s="8"/>
      <c r="I1155" s="9" t="e">
        <f>VLOOKUP($B1155,#REF!,19,FALSE)</f>
        <v>#REF!</v>
      </c>
      <c r="J1155" s="9" t="e">
        <f>VLOOKUP($B1155,#REF!,6,FALSE)</f>
        <v>#REF!</v>
      </c>
      <c r="L1155" s="1">
        <v>44655.989583329618</v>
      </c>
      <c r="M1155" s="13"/>
    </row>
    <row r="1156" spans="2:13">
      <c r="B1156" s="5"/>
      <c r="C1156" s="6" t="e">
        <f>VLOOKUP($B1156,#REF!,5,FALSE)</f>
        <v>#REF!</v>
      </c>
      <c r="D1156" s="6" t="e">
        <f>VLOOKUP($B1156,#REF!,6,FALSE)</f>
        <v>#REF!</v>
      </c>
      <c r="E1156" s="7" t="e">
        <f>VLOOKUP($B1156,#REF!,17,FALSE)</f>
        <v>#REF!</v>
      </c>
      <c r="F1156" s="8" t="e">
        <f>VLOOKUP($B1156,#REF!,7,FALSE)</f>
        <v>#REF!</v>
      </c>
      <c r="G1156" s="8"/>
      <c r="H1156" s="8"/>
      <c r="I1156" s="9" t="e">
        <f>VLOOKUP($B1156,#REF!,19,FALSE)</f>
        <v>#REF!</v>
      </c>
      <c r="J1156" s="9" t="e">
        <f>VLOOKUP($B1156,#REF!,6,FALSE)</f>
        <v>#REF!</v>
      </c>
      <c r="L1156" s="1">
        <v>44655.993055551837</v>
      </c>
      <c r="M1156" s="13"/>
    </row>
    <row r="1157" spans="2:13">
      <c r="B1157" s="5"/>
      <c r="C1157" s="6" t="e">
        <f>VLOOKUP($B1157,#REF!,5,FALSE)</f>
        <v>#REF!</v>
      </c>
      <c r="D1157" s="6" t="e">
        <f>VLOOKUP($B1157,#REF!,6,FALSE)</f>
        <v>#REF!</v>
      </c>
      <c r="E1157" s="7" t="e">
        <f>VLOOKUP($B1157,#REF!,17,FALSE)</f>
        <v>#REF!</v>
      </c>
      <c r="F1157" s="8" t="e">
        <f>VLOOKUP($B1157,#REF!,7,FALSE)</f>
        <v>#REF!</v>
      </c>
      <c r="G1157" s="8"/>
      <c r="H1157" s="8"/>
      <c r="I1157" s="9" t="e">
        <f>VLOOKUP($B1157,#REF!,19,FALSE)</f>
        <v>#REF!</v>
      </c>
      <c r="J1157" s="9" t="e">
        <f>VLOOKUP($B1157,#REF!,6,FALSE)</f>
        <v>#REF!</v>
      </c>
      <c r="L1157" s="1">
        <v>44655.996527774056</v>
      </c>
      <c r="M1157" s="13"/>
    </row>
    <row r="1158" spans="2:13">
      <c r="B1158" s="5"/>
      <c r="C1158" s="6" t="e">
        <f>VLOOKUP($B1158,#REF!,5,FALSE)</f>
        <v>#REF!</v>
      </c>
      <c r="D1158" s="6" t="e">
        <f>VLOOKUP($B1158,#REF!,6,FALSE)</f>
        <v>#REF!</v>
      </c>
      <c r="E1158" s="7" t="e">
        <f>VLOOKUP($B1158,#REF!,17,FALSE)</f>
        <v>#REF!</v>
      </c>
      <c r="F1158" s="8" t="e">
        <f>VLOOKUP($B1158,#REF!,7,FALSE)</f>
        <v>#REF!</v>
      </c>
      <c r="G1158" s="8"/>
      <c r="H1158" s="8"/>
      <c r="I1158" s="9" t="e">
        <f>VLOOKUP($B1158,#REF!,19,FALSE)</f>
        <v>#REF!</v>
      </c>
      <c r="J1158" s="9" t="e">
        <f>VLOOKUP($B1158,#REF!,6,FALSE)</f>
        <v>#REF!</v>
      </c>
      <c r="L1158" s="1">
        <v>44655.999999996275</v>
      </c>
      <c r="M1158" s="13"/>
    </row>
    <row r="1159" spans="2:13">
      <c r="B1159" s="5"/>
      <c r="C1159" s="6" t="e">
        <f>VLOOKUP($B1159,#REF!,5,FALSE)</f>
        <v>#REF!</v>
      </c>
      <c r="D1159" s="6" t="e">
        <f>VLOOKUP($B1159,#REF!,6,FALSE)</f>
        <v>#REF!</v>
      </c>
      <c r="E1159" s="7" t="e">
        <f>VLOOKUP($B1159,#REF!,17,FALSE)</f>
        <v>#REF!</v>
      </c>
      <c r="F1159" s="8" t="e">
        <f>VLOOKUP($B1159,#REF!,7,FALSE)</f>
        <v>#REF!</v>
      </c>
      <c r="G1159" s="8"/>
      <c r="H1159" s="8"/>
      <c r="I1159" s="9" t="e">
        <f>VLOOKUP($B1159,#REF!,19,FALSE)</f>
        <v>#REF!</v>
      </c>
      <c r="J1159" s="9" t="e">
        <f>VLOOKUP($B1159,#REF!,6,FALSE)</f>
        <v>#REF!</v>
      </c>
      <c r="L1159" s="1">
        <v>44656.003472218494</v>
      </c>
      <c r="M1159" s="13"/>
    </row>
    <row r="1160" spans="2:13">
      <c r="B1160" s="5"/>
      <c r="C1160" s="6" t="e">
        <f>VLOOKUP($B1160,#REF!,5,FALSE)</f>
        <v>#REF!</v>
      </c>
      <c r="D1160" s="6" t="e">
        <f>VLOOKUP($B1160,#REF!,6,FALSE)</f>
        <v>#REF!</v>
      </c>
      <c r="E1160" s="7" t="e">
        <f>VLOOKUP($B1160,#REF!,17,FALSE)</f>
        <v>#REF!</v>
      </c>
      <c r="F1160" s="8" t="e">
        <f>VLOOKUP($B1160,#REF!,7,FALSE)</f>
        <v>#REF!</v>
      </c>
      <c r="G1160" s="8"/>
      <c r="H1160" s="8"/>
      <c r="I1160" s="9" t="e">
        <f>VLOOKUP($B1160,#REF!,19,FALSE)</f>
        <v>#REF!</v>
      </c>
      <c r="J1160" s="9" t="e">
        <f>VLOOKUP($B1160,#REF!,6,FALSE)</f>
        <v>#REF!</v>
      </c>
      <c r="L1160" s="1">
        <v>44656.006944440713</v>
      </c>
      <c r="M1160" s="13"/>
    </row>
    <row r="1161" spans="2:13">
      <c r="B1161" s="5"/>
      <c r="C1161" s="6" t="e">
        <f>VLOOKUP($B1161,#REF!,5,FALSE)</f>
        <v>#REF!</v>
      </c>
      <c r="D1161" s="6" t="e">
        <f>VLOOKUP($B1161,#REF!,6,FALSE)</f>
        <v>#REF!</v>
      </c>
      <c r="E1161" s="7" t="e">
        <f>VLOOKUP($B1161,#REF!,17,FALSE)</f>
        <v>#REF!</v>
      </c>
      <c r="F1161" s="8" t="e">
        <f>VLOOKUP($B1161,#REF!,7,FALSE)</f>
        <v>#REF!</v>
      </c>
      <c r="G1161" s="8"/>
      <c r="H1161" s="8"/>
      <c r="I1161" s="9" t="e">
        <f>VLOOKUP($B1161,#REF!,19,FALSE)</f>
        <v>#REF!</v>
      </c>
      <c r="J1161" s="9" t="e">
        <f>VLOOKUP($B1161,#REF!,6,FALSE)</f>
        <v>#REF!</v>
      </c>
      <c r="L1161" s="1">
        <v>44656.010416662932</v>
      </c>
      <c r="M1161" s="13"/>
    </row>
    <row r="1162" spans="2:13">
      <c r="B1162" s="5"/>
      <c r="C1162" s="6" t="e">
        <f>VLOOKUP($B1162,#REF!,5,FALSE)</f>
        <v>#REF!</v>
      </c>
      <c r="D1162" s="6" t="e">
        <f>VLOOKUP($B1162,#REF!,6,FALSE)</f>
        <v>#REF!</v>
      </c>
      <c r="E1162" s="7" t="e">
        <f>VLOOKUP($B1162,#REF!,17,FALSE)</f>
        <v>#REF!</v>
      </c>
      <c r="F1162" s="8" t="e">
        <f>VLOOKUP($B1162,#REF!,7,FALSE)</f>
        <v>#REF!</v>
      </c>
      <c r="G1162" s="8"/>
      <c r="H1162" s="8"/>
      <c r="I1162" s="9" t="e">
        <f>VLOOKUP($B1162,#REF!,19,FALSE)</f>
        <v>#REF!</v>
      </c>
      <c r="J1162" s="9" t="e">
        <f>VLOOKUP($B1162,#REF!,6,FALSE)</f>
        <v>#REF!</v>
      </c>
      <c r="L1162" s="1">
        <v>44656.013888885151</v>
      </c>
      <c r="M1162" s="13"/>
    </row>
    <row r="1163" spans="2:13">
      <c r="B1163" s="5"/>
      <c r="C1163" s="6" t="e">
        <f>VLOOKUP($B1163,#REF!,5,FALSE)</f>
        <v>#REF!</v>
      </c>
      <c r="D1163" s="6" t="e">
        <f>VLOOKUP($B1163,#REF!,6,FALSE)</f>
        <v>#REF!</v>
      </c>
      <c r="E1163" s="7" t="e">
        <f>VLOOKUP($B1163,#REF!,17,FALSE)</f>
        <v>#REF!</v>
      </c>
      <c r="F1163" s="8" t="e">
        <f>VLOOKUP($B1163,#REF!,7,FALSE)</f>
        <v>#REF!</v>
      </c>
      <c r="G1163" s="8"/>
      <c r="H1163" s="8"/>
      <c r="I1163" s="9" t="e">
        <f>VLOOKUP($B1163,#REF!,19,FALSE)</f>
        <v>#REF!</v>
      </c>
      <c r="J1163" s="9" t="e">
        <f>VLOOKUP($B1163,#REF!,6,FALSE)</f>
        <v>#REF!</v>
      </c>
      <c r="L1163" s="1">
        <v>44656.01736110737</v>
      </c>
      <c r="M1163" s="13"/>
    </row>
    <row r="1164" spans="2:13">
      <c r="B1164" s="5"/>
      <c r="C1164" s="6" t="e">
        <f>VLOOKUP($B1164,#REF!,5,FALSE)</f>
        <v>#REF!</v>
      </c>
      <c r="D1164" s="6" t="e">
        <f>VLOOKUP($B1164,#REF!,6,FALSE)</f>
        <v>#REF!</v>
      </c>
      <c r="E1164" s="7" t="e">
        <f>VLOOKUP($B1164,#REF!,17,FALSE)</f>
        <v>#REF!</v>
      </c>
      <c r="F1164" s="8" t="e">
        <f>VLOOKUP($B1164,#REF!,7,FALSE)</f>
        <v>#REF!</v>
      </c>
      <c r="G1164" s="8"/>
      <c r="H1164" s="8"/>
      <c r="I1164" s="9" t="e">
        <f>VLOOKUP($B1164,#REF!,19,FALSE)</f>
        <v>#REF!</v>
      </c>
      <c r="J1164" s="9" t="e">
        <f>VLOOKUP($B1164,#REF!,6,FALSE)</f>
        <v>#REF!</v>
      </c>
      <c r="L1164" s="1">
        <v>44656.020833329589</v>
      </c>
      <c r="M1164" s="13"/>
    </row>
    <row r="1165" spans="2:13">
      <c r="B1165" s="5"/>
      <c r="C1165" s="6" t="e">
        <f>VLOOKUP($B1165,#REF!,5,FALSE)</f>
        <v>#REF!</v>
      </c>
      <c r="D1165" s="6" t="e">
        <f>VLOOKUP($B1165,#REF!,6,FALSE)</f>
        <v>#REF!</v>
      </c>
      <c r="E1165" s="7" t="e">
        <f>VLOOKUP($B1165,#REF!,17,FALSE)</f>
        <v>#REF!</v>
      </c>
      <c r="F1165" s="8" t="e">
        <f>VLOOKUP($B1165,#REF!,7,FALSE)</f>
        <v>#REF!</v>
      </c>
      <c r="G1165" s="8"/>
      <c r="H1165" s="8"/>
      <c r="I1165" s="9" t="e">
        <f>VLOOKUP($B1165,#REF!,19,FALSE)</f>
        <v>#REF!</v>
      </c>
      <c r="J1165" s="9" t="e">
        <f>VLOOKUP($B1165,#REF!,6,FALSE)</f>
        <v>#REF!</v>
      </c>
      <c r="L1165" s="1">
        <v>44656.024305551808</v>
      </c>
      <c r="M1165" s="13"/>
    </row>
    <row r="1166" spans="2:13">
      <c r="B1166" s="5"/>
      <c r="C1166" s="6" t="e">
        <f>VLOOKUP($B1166,#REF!,5,FALSE)</f>
        <v>#REF!</v>
      </c>
      <c r="D1166" s="6" t="e">
        <f>VLOOKUP($B1166,#REF!,6,FALSE)</f>
        <v>#REF!</v>
      </c>
      <c r="E1166" s="7" t="e">
        <f>VLOOKUP($B1166,#REF!,17,FALSE)</f>
        <v>#REF!</v>
      </c>
      <c r="F1166" s="8" t="e">
        <f>VLOOKUP($B1166,#REF!,7,FALSE)</f>
        <v>#REF!</v>
      </c>
      <c r="G1166" s="8"/>
      <c r="H1166" s="8"/>
      <c r="I1166" s="9" t="e">
        <f>VLOOKUP($B1166,#REF!,19,FALSE)</f>
        <v>#REF!</v>
      </c>
      <c r="J1166" s="9" t="e">
        <f>VLOOKUP($B1166,#REF!,6,FALSE)</f>
        <v>#REF!</v>
      </c>
      <c r="L1166" s="1">
        <v>44656.027777774027</v>
      </c>
      <c r="M1166" s="13"/>
    </row>
    <row r="1167" spans="2:13">
      <c r="B1167" s="5"/>
      <c r="C1167" s="6" t="e">
        <f>VLOOKUP($B1167,#REF!,5,FALSE)</f>
        <v>#REF!</v>
      </c>
      <c r="D1167" s="6" t="e">
        <f>VLOOKUP($B1167,#REF!,6,FALSE)</f>
        <v>#REF!</v>
      </c>
      <c r="E1167" s="7" t="e">
        <f>VLOOKUP($B1167,#REF!,17,FALSE)</f>
        <v>#REF!</v>
      </c>
      <c r="F1167" s="8" t="e">
        <f>VLOOKUP($B1167,#REF!,7,FALSE)</f>
        <v>#REF!</v>
      </c>
      <c r="G1167" s="8"/>
      <c r="H1167" s="8"/>
      <c r="I1167" s="9" t="e">
        <f>VLOOKUP($B1167,#REF!,19,FALSE)</f>
        <v>#REF!</v>
      </c>
      <c r="J1167" s="9" t="e">
        <f>VLOOKUP($B1167,#REF!,6,FALSE)</f>
        <v>#REF!</v>
      </c>
      <c r="L1167" s="1">
        <v>44656.031249996246</v>
      </c>
      <c r="M1167" s="13"/>
    </row>
    <row r="1168" spans="2:13">
      <c r="B1168" s="5"/>
      <c r="C1168" s="6" t="e">
        <f>VLOOKUP($B1168,#REF!,5,FALSE)</f>
        <v>#REF!</v>
      </c>
      <c r="D1168" s="6" t="e">
        <f>VLOOKUP($B1168,#REF!,6,FALSE)</f>
        <v>#REF!</v>
      </c>
      <c r="E1168" s="7" t="e">
        <f>VLOOKUP($B1168,#REF!,17,FALSE)</f>
        <v>#REF!</v>
      </c>
      <c r="F1168" s="8" t="e">
        <f>VLOOKUP($B1168,#REF!,7,FALSE)</f>
        <v>#REF!</v>
      </c>
      <c r="G1168" s="8"/>
      <c r="H1168" s="8"/>
      <c r="I1168" s="9" t="e">
        <f>VLOOKUP($B1168,#REF!,19,FALSE)</f>
        <v>#REF!</v>
      </c>
      <c r="J1168" s="9" t="e">
        <f>VLOOKUP($B1168,#REF!,6,FALSE)</f>
        <v>#REF!</v>
      </c>
      <c r="L1168" s="1">
        <v>44656.034722218465</v>
      </c>
      <c r="M1168" s="13"/>
    </row>
    <row r="1169" spans="2:13">
      <c r="B1169" s="5"/>
      <c r="C1169" s="6" t="e">
        <f>VLOOKUP($B1169,#REF!,5,FALSE)</f>
        <v>#REF!</v>
      </c>
      <c r="D1169" s="6" t="e">
        <f>VLOOKUP($B1169,#REF!,6,FALSE)</f>
        <v>#REF!</v>
      </c>
      <c r="E1169" s="7" t="e">
        <f>VLOOKUP($B1169,#REF!,17,FALSE)</f>
        <v>#REF!</v>
      </c>
      <c r="F1169" s="8" t="e">
        <f>VLOOKUP($B1169,#REF!,7,FALSE)</f>
        <v>#REF!</v>
      </c>
      <c r="G1169" s="8"/>
      <c r="H1169" s="8"/>
      <c r="I1169" s="9" t="e">
        <f>VLOOKUP($B1169,#REF!,19,FALSE)</f>
        <v>#REF!</v>
      </c>
      <c r="J1169" s="9" t="e">
        <f>VLOOKUP($B1169,#REF!,6,FALSE)</f>
        <v>#REF!</v>
      </c>
      <c r="L1169" s="1">
        <v>44656.038194440684</v>
      </c>
      <c r="M1169" s="13"/>
    </row>
    <row r="1170" spans="2:13">
      <c r="B1170" s="5"/>
      <c r="C1170" s="6" t="e">
        <f>VLOOKUP($B1170,#REF!,5,FALSE)</f>
        <v>#REF!</v>
      </c>
      <c r="D1170" s="6" t="e">
        <f>VLOOKUP($B1170,#REF!,6,FALSE)</f>
        <v>#REF!</v>
      </c>
      <c r="E1170" s="7" t="e">
        <f>VLOOKUP($B1170,#REF!,17,FALSE)</f>
        <v>#REF!</v>
      </c>
      <c r="F1170" s="8" t="e">
        <f>VLOOKUP($B1170,#REF!,7,FALSE)</f>
        <v>#REF!</v>
      </c>
      <c r="G1170" s="8"/>
      <c r="H1170" s="8"/>
      <c r="I1170" s="9" t="e">
        <f>VLOOKUP($B1170,#REF!,19,FALSE)</f>
        <v>#REF!</v>
      </c>
      <c r="J1170" s="9" t="e">
        <f>VLOOKUP($B1170,#REF!,6,FALSE)</f>
        <v>#REF!</v>
      </c>
      <c r="L1170" s="1">
        <v>44656.041666662903</v>
      </c>
      <c r="M1170" s="13"/>
    </row>
    <row r="1171" spans="2:13">
      <c r="B1171" s="5"/>
      <c r="C1171" s="6" t="e">
        <f>VLOOKUP($B1171,#REF!,5,FALSE)</f>
        <v>#REF!</v>
      </c>
      <c r="D1171" s="6" t="e">
        <f>VLOOKUP($B1171,#REF!,6,FALSE)</f>
        <v>#REF!</v>
      </c>
      <c r="E1171" s="7" t="e">
        <f>VLOOKUP($B1171,#REF!,17,FALSE)</f>
        <v>#REF!</v>
      </c>
      <c r="F1171" s="8" t="e">
        <f>VLOOKUP($B1171,#REF!,7,FALSE)</f>
        <v>#REF!</v>
      </c>
      <c r="G1171" s="8"/>
      <c r="H1171" s="8"/>
      <c r="I1171" s="9" t="e">
        <f>VLOOKUP($B1171,#REF!,19,FALSE)</f>
        <v>#REF!</v>
      </c>
      <c r="J1171" s="9" t="e">
        <f>VLOOKUP($B1171,#REF!,6,FALSE)</f>
        <v>#REF!</v>
      </c>
      <c r="L1171" s="1">
        <v>44656.045138885122</v>
      </c>
      <c r="M1171" s="13"/>
    </row>
    <row r="1172" spans="2:13">
      <c r="B1172" s="5"/>
      <c r="C1172" s="6" t="e">
        <f>VLOOKUP($B1172,#REF!,5,FALSE)</f>
        <v>#REF!</v>
      </c>
      <c r="D1172" s="6" t="e">
        <f>VLOOKUP($B1172,#REF!,6,FALSE)</f>
        <v>#REF!</v>
      </c>
      <c r="E1172" s="7" t="e">
        <f>VLOOKUP($B1172,#REF!,17,FALSE)</f>
        <v>#REF!</v>
      </c>
      <c r="F1172" s="8" t="e">
        <f>VLOOKUP($B1172,#REF!,7,FALSE)</f>
        <v>#REF!</v>
      </c>
      <c r="G1172" s="8"/>
      <c r="H1172" s="8"/>
      <c r="I1172" s="9" t="e">
        <f>VLOOKUP($B1172,#REF!,19,FALSE)</f>
        <v>#REF!</v>
      </c>
      <c r="J1172" s="9" t="e">
        <f>VLOOKUP($B1172,#REF!,6,FALSE)</f>
        <v>#REF!</v>
      </c>
      <c r="L1172" s="1">
        <v>44656.048611107341</v>
      </c>
      <c r="M1172" s="13"/>
    </row>
    <row r="1173" spans="2:13">
      <c r="B1173" s="5"/>
      <c r="C1173" s="6" t="e">
        <f>VLOOKUP($B1173,#REF!,5,FALSE)</f>
        <v>#REF!</v>
      </c>
      <c r="D1173" s="6" t="e">
        <f>VLOOKUP($B1173,#REF!,6,FALSE)</f>
        <v>#REF!</v>
      </c>
      <c r="E1173" s="7" t="e">
        <f>VLOOKUP($B1173,#REF!,17,FALSE)</f>
        <v>#REF!</v>
      </c>
      <c r="F1173" s="8" t="e">
        <f>VLOOKUP($B1173,#REF!,7,FALSE)</f>
        <v>#REF!</v>
      </c>
      <c r="G1173" s="8"/>
      <c r="H1173" s="8"/>
      <c r="I1173" s="9" t="e">
        <f>VLOOKUP($B1173,#REF!,19,FALSE)</f>
        <v>#REF!</v>
      </c>
      <c r="J1173" s="9" t="e">
        <f>VLOOKUP($B1173,#REF!,6,FALSE)</f>
        <v>#REF!</v>
      </c>
      <c r="L1173" s="1">
        <v>44656.05208332956</v>
      </c>
      <c r="M1173" s="13"/>
    </row>
    <row r="1174" spans="2:13">
      <c r="B1174" s="5"/>
      <c r="C1174" s="6" t="e">
        <f>VLOOKUP($B1174,#REF!,5,FALSE)</f>
        <v>#REF!</v>
      </c>
      <c r="D1174" s="6" t="e">
        <f>VLOOKUP($B1174,#REF!,6,FALSE)</f>
        <v>#REF!</v>
      </c>
      <c r="E1174" s="7" t="e">
        <f>VLOOKUP($B1174,#REF!,17,FALSE)</f>
        <v>#REF!</v>
      </c>
      <c r="F1174" s="8" t="e">
        <f>VLOOKUP($B1174,#REF!,7,FALSE)</f>
        <v>#REF!</v>
      </c>
      <c r="G1174" s="8"/>
      <c r="H1174" s="8"/>
      <c r="I1174" s="9" t="e">
        <f>VLOOKUP($B1174,#REF!,19,FALSE)</f>
        <v>#REF!</v>
      </c>
      <c r="J1174" s="9" t="e">
        <f>VLOOKUP($B1174,#REF!,6,FALSE)</f>
        <v>#REF!</v>
      </c>
      <c r="L1174" s="1">
        <v>44656.055555551779</v>
      </c>
      <c r="M1174" s="13"/>
    </row>
    <row r="1175" spans="2:13">
      <c r="B1175" s="5"/>
      <c r="C1175" s="6" t="e">
        <f>VLOOKUP($B1175,#REF!,5,FALSE)</f>
        <v>#REF!</v>
      </c>
      <c r="D1175" s="6" t="e">
        <f>VLOOKUP($B1175,#REF!,6,FALSE)</f>
        <v>#REF!</v>
      </c>
      <c r="E1175" s="7" t="e">
        <f>VLOOKUP($B1175,#REF!,17,FALSE)</f>
        <v>#REF!</v>
      </c>
      <c r="F1175" s="8" t="e">
        <f>VLOOKUP($B1175,#REF!,7,FALSE)</f>
        <v>#REF!</v>
      </c>
      <c r="G1175" s="8"/>
      <c r="H1175" s="8"/>
      <c r="I1175" s="9" t="e">
        <f>VLOOKUP($B1175,#REF!,19,FALSE)</f>
        <v>#REF!</v>
      </c>
      <c r="J1175" s="9" t="e">
        <f>VLOOKUP($B1175,#REF!,6,FALSE)</f>
        <v>#REF!</v>
      </c>
      <c r="L1175" s="1">
        <v>44656.059027773998</v>
      </c>
      <c r="M1175" s="13"/>
    </row>
    <row r="1176" spans="2:13">
      <c r="B1176" s="5"/>
      <c r="C1176" s="6" t="e">
        <f>VLOOKUP($B1176,#REF!,5,FALSE)</f>
        <v>#REF!</v>
      </c>
      <c r="D1176" s="6" t="e">
        <f>VLOOKUP($B1176,#REF!,6,FALSE)</f>
        <v>#REF!</v>
      </c>
      <c r="E1176" s="7" t="e">
        <f>VLOOKUP($B1176,#REF!,17,FALSE)</f>
        <v>#REF!</v>
      </c>
      <c r="F1176" s="8" t="e">
        <f>VLOOKUP($B1176,#REF!,7,FALSE)</f>
        <v>#REF!</v>
      </c>
      <c r="G1176" s="8"/>
      <c r="H1176" s="8"/>
      <c r="I1176" s="9" t="e">
        <f>VLOOKUP($B1176,#REF!,19,FALSE)</f>
        <v>#REF!</v>
      </c>
      <c r="J1176" s="9" t="e">
        <f>VLOOKUP($B1176,#REF!,6,FALSE)</f>
        <v>#REF!</v>
      </c>
      <c r="L1176" s="1">
        <v>44656.062499996217</v>
      </c>
      <c r="M1176" s="13"/>
    </row>
    <row r="1177" spans="2:13">
      <c r="B1177" s="5"/>
      <c r="C1177" s="6" t="e">
        <f>VLOOKUP($B1177,#REF!,5,FALSE)</f>
        <v>#REF!</v>
      </c>
      <c r="D1177" s="6" t="e">
        <f>VLOOKUP($B1177,#REF!,6,FALSE)</f>
        <v>#REF!</v>
      </c>
      <c r="E1177" s="7" t="e">
        <f>VLOOKUP($B1177,#REF!,17,FALSE)</f>
        <v>#REF!</v>
      </c>
      <c r="F1177" s="8" t="e">
        <f>VLOOKUP($B1177,#REF!,7,FALSE)</f>
        <v>#REF!</v>
      </c>
      <c r="G1177" s="8"/>
      <c r="H1177" s="8"/>
      <c r="I1177" s="9" t="e">
        <f>VLOOKUP($B1177,#REF!,19,FALSE)</f>
        <v>#REF!</v>
      </c>
      <c r="J1177" s="9" t="e">
        <f>VLOOKUP($B1177,#REF!,6,FALSE)</f>
        <v>#REF!</v>
      </c>
      <c r="L1177" s="1">
        <v>44656.065972218435</v>
      </c>
      <c r="M1177" s="13"/>
    </row>
    <row r="1178" spans="2:13">
      <c r="B1178" s="5"/>
      <c r="C1178" s="6" t="e">
        <f>VLOOKUP($B1178,#REF!,5,FALSE)</f>
        <v>#REF!</v>
      </c>
      <c r="D1178" s="6" t="e">
        <f>VLOOKUP($B1178,#REF!,6,FALSE)</f>
        <v>#REF!</v>
      </c>
      <c r="E1178" s="7" t="e">
        <f>VLOOKUP($B1178,#REF!,17,FALSE)</f>
        <v>#REF!</v>
      </c>
      <c r="F1178" s="8" t="e">
        <f>VLOOKUP($B1178,#REF!,7,FALSE)</f>
        <v>#REF!</v>
      </c>
      <c r="G1178" s="8"/>
      <c r="H1178" s="8"/>
      <c r="I1178" s="9" t="e">
        <f>VLOOKUP($B1178,#REF!,19,FALSE)</f>
        <v>#REF!</v>
      </c>
      <c r="J1178" s="9" t="e">
        <f>VLOOKUP($B1178,#REF!,6,FALSE)</f>
        <v>#REF!</v>
      </c>
      <c r="L1178" s="1">
        <v>44656.069444440654</v>
      </c>
      <c r="M1178" s="13"/>
    </row>
    <row r="1179" spans="2:13">
      <c r="B1179" s="5"/>
      <c r="C1179" s="6" t="e">
        <f>VLOOKUP($B1179,#REF!,5,FALSE)</f>
        <v>#REF!</v>
      </c>
      <c r="D1179" s="6" t="e">
        <f>VLOOKUP($B1179,#REF!,6,FALSE)</f>
        <v>#REF!</v>
      </c>
      <c r="E1179" s="7" t="e">
        <f>VLOOKUP($B1179,#REF!,17,FALSE)</f>
        <v>#REF!</v>
      </c>
      <c r="F1179" s="8" t="e">
        <f>VLOOKUP($B1179,#REF!,7,FALSE)</f>
        <v>#REF!</v>
      </c>
      <c r="G1179" s="8"/>
      <c r="H1179" s="8"/>
      <c r="I1179" s="9" t="e">
        <f>VLOOKUP($B1179,#REF!,19,FALSE)</f>
        <v>#REF!</v>
      </c>
      <c r="J1179" s="9" t="e">
        <f>VLOOKUP($B1179,#REF!,6,FALSE)</f>
        <v>#REF!</v>
      </c>
      <c r="L1179" s="1">
        <v>44656.072916662873</v>
      </c>
      <c r="M1179" s="13"/>
    </row>
    <row r="1180" spans="2:13">
      <c r="B1180" s="5"/>
      <c r="C1180" s="6" t="e">
        <f>VLOOKUP($B1180,#REF!,5,FALSE)</f>
        <v>#REF!</v>
      </c>
      <c r="D1180" s="6" t="e">
        <f>VLOOKUP($B1180,#REF!,6,FALSE)</f>
        <v>#REF!</v>
      </c>
      <c r="E1180" s="7" t="e">
        <f>VLOOKUP($B1180,#REF!,17,FALSE)</f>
        <v>#REF!</v>
      </c>
      <c r="F1180" s="8" t="e">
        <f>VLOOKUP($B1180,#REF!,7,FALSE)</f>
        <v>#REF!</v>
      </c>
      <c r="G1180" s="8"/>
      <c r="H1180" s="8"/>
      <c r="I1180" s="9" t="e">
        <f>VLOOKUP($B1180,#REF!,19,FALSE)</f>
        <v>#REF!</v>
      </c>
      <c r="J1180" s="9" t="e">
        <f>VLOOKUP($B1180,#REF!,6,FALSE)</f>
        <v>#REF!</v>
      </c>
      <c r="L1180" s="1">
        <v>44656.076388885092</v>
      </c>
      <c r="M1180" s="13"/>
    </row>
    <row r="1181" spans="2:13">
      <c r="B1181" s="5"/>
      <c r="C1181" s="6" t="e">
        <f>VLOOKUP($B1181,#REF!,5,FALSE)</f>
        <v>#REF!</v>
      </c>
      <c r="D1181" s="6" t="e">
        <f>VLOOKUP($B1181,#REF!,6,FALSE)</f>
        <v>#REF!</v>
      </c>
      <c r="E1181" s="7" t="e">
        <f>VLOOKUP($B1181,#REF!,17,FALSE)</f>
        <v>#REF!</v>
      </c>
      <c r="F1181" s="8" t="e">
        <f>VLOOKUP($B1181,#REF!,7,FALSE)</f>
        <v>#REF!</v>
      </c>
      <c r="G1181" s="8"/>
      <c r="H1181" s="8"/>
      <c r="I1181" s="9" t="e">
        <f>VLOOKUP($B1181,#REF!,19,FALSE)</f>
        <v>#REF!</v>
      </c>
      <c r="J1181" s="9" t="e">
        <f>VLOOKUP($B1181,#REF!,6,FALSE)</f>
        <v>#REF!</v>
      </c>
      <c r="L1181" s="1">
        <v>44656.079861107311</v>
      </c>
      <c r="M1181" s="13"/>
    </row>
    <row r="1182" spans="2:13">
      <c r="B1182" s="5"/>
      <c r="C1182" s="6" t="e">
        <f>VLOOKUP($B1182,#REF!,5,FALSE)</f>
        <v>#REF!</v>
      </c>
      <c r="D1182" s="6" t="e">
        <f>VLOOKUP($B1182,#REF!,6,FALSE)</f>
        <v>#REF!</v>
      </c>
      <c r="E1182" s="7" t="e">
        <f>VLOOKUP($B1182,#REF!,17,FALSE)</f>
        <v>#REF!</v>
      </c>
      <c r="F1182" s="8" t="e">
        <f>VLOOKUP($B1182,#REF!,7,FALSE)</f>
        <v>#REF!</v>
      </c>
      <c r="G1182" s="8"/>
      <c r="H1182" s="8"/>
      <c r="I1182" s="9" t="e">
        <f>VLOOKUP($B1182,#REF!,19,FALSE)</f>
        <v>#REF!</v>
      </c>
      <c r="J1182" s="9" t="e">
        <f>VLOOKUP($B1182,#REF!,6,FALSE)</f>
        <v>#REF!</v>
      </c>
      <c r="L1182" s="1">
        <v>44656.08333332953</v>
      </c>
      <c r="M1182" s="13"/>
    </row>
    <row r="1183" spans="2:13">
      <c r="B1183" s="5"/>
      <c r="C1183" s="6" t="e">
        <f>VLOOKUP($B1183,#REF!,5,FALSE)</f>
        <v>#REF!</v>
      </c>
      <c r="D1183" s="6" t="e">
        <f>VLOOKUP($B1183,#REF!,6,FALSE)</f>
        <v>#REF!</v>
      </c>
      <c r="E1183" s="7" t="e">
        <f>VLOOKUP($B1183,#REF!,17,FALSE)</f>
        <v>#REF!</v>
      </c>
      <c r="F1183" s="8" t="e">
        <f>VLOOKUP($B1183,#REF!,7,FALSE)</f>
        <v>#REF!</v>
      </c>
      <c r="G1183" s="8"/>
      <c r="H1183" s="8"/>
      <c r="I1183" s="9" t="e">
        <f>VLOOKUP($B1183,#REF!,19,FALSE)</f>
        <v>#REF!</v>
      </c>
      <c r="J1183" s="9" t="e">
        <f>VLOOKUP($B1183,#REF!,6,FALSE)</f>
        <v>#REF!</v>
      </c>
      <c r="L1183" s="1">
        <v>44656.086805551749</v>
      </c>
      <c r="M1183" s="13"/>
    </row>
    <row r="1184" spans="2:13">
      <c r="B1184" s="5"/>
      <c r="C1184" s="6" t="e">
        <f>VLOOKUP($B1184,#REF!,5,FALSE)</f>
        <v>#REF!</v>
      </c>
      <c r="D1184" s="6" t="e">
        <f>VLOOKUP($B1184,#REF!,6,FALSE)</f>
        <v>#REF!</v>
      </c>
      <c r="E1184" s="7" t="e">
        <f>VLOOKUP($B1184,#REF!,17,FALSE)</f>
        <v>#REF!</v>
      </c>
      <c r="F1184" s="8" t="e">
        <f>VLOOKUP($B1184,#REF!,7,FALSE)</f>
        <v>#REF!</v>
      </c>
      <c r="G1184" s="8"/>
      <c r="H1184" s="8"/>
      <c r="I1184" s="9" t="e">
        <f>VLOOKUP($B1184,#REF!,19,FALSE)</f>
        <v>#REF!</v>
      </c>
      <c r="J1184" s="9" t="e">
        <f>VLOOKUP($B1184,#REF!,6,FALSE)</f>
        <v>#REF!</v>
      </c>
      <c r="L1184" s="1">
        <v>44656.090277773968</v>
      </c>
      <c r="M1184" s="13"/>
    </row>
    <row r="1185" spans="2:13">
      <c r="B1185" s="5"/>
      <c r="C1185" s="6" t="e">
        <f>VLOOKUP($B1185,#REF!,5,FALSE)</f>
        <v>#REF!</v>
      </c>
      <c r="D1185" s="6" t="e">
        <f>VLOOKUP($B1185,#REF!,6,FALSE)</f>
        <v>#REF!</v>
      </c>
      <c r="E1185" s="7" t="e">
        <f>VLOOKUP($B1185,#REF!,17,FALSE)</f>
        <v>#REF!</v>
      </c>
      <c r="F1185" s="8" t="e">
        <f>VLOOKUP($B1185,#REF!,7,FALSE)</f>
        <v>#REF!</v>
      </c>
      <c r="G1185" s="8"/>
      <c r="H1185" s="8"/>
      <c r="I1185" s="9" t="e">
        <f>VLOOKUP($B1185,#REF!,19,FALSE)</f>
        <v>#REF!</v>
      </c>
      <c r="J1185" s="9" t="e">
        <f>VLOOKUP($B1185,#REF!,6,FALSE)</f>
        <v>#REF!</v>
      </c>
      <c r="L1185" s="1">
        <v>44656.093749996187</v>
      </c>
      <c r="M1185" s="13"/>
    </row>
    <row r="1186" spans="2:13">
      <c r="B1186" s="5"/>
      <c r="C1186" s="6" t="e">
        <f>VLOOKUP($B1186,#REF!,5,FALSE)</f>
        <v>#REF!</v>
      </c>
      <c r="D1186" s="6" t="e">
        <f>VLOOKUP($B1186,#REF!,6,FALSE)</f>
        <v>#REF!</v>
      </c>
      <c r="E1186" s="7" t="e">
        <f>VLOOKUP($B1186,#REF!,17,FALSE)</f>
        <v>#REF!</v>
      </c>
      <c r="F1186" s="8" t="e">
        <f>VLOOKUP($B1186,#REF!,7,FALSE)</f>
        <v>#REF!</v>
      </c>
      <c r="G1186" s="8"/>
      <c r="H1186" s="8"/>
      <c r="I1186" s="9" t="e">
        <f>VLOOKUP($B1186,#REF!,19,FALSE)</f>
        <v>#REF!</v>
      </c>
      <c r="J1186" s="9" t="e">
        <f>VLOOKUP($B1186,#REF!,6,FALSE)</f>
        <v>#REF!</v>
      </c>
      <c r="L1186" s="1">
        <v>44656.097222218406</v>
      </c>
      <c r="M1186" s="13"/>
    </row>
    <row r="1187" spans="2:13">
      <c r="B1187" s="5"/>
      <c r="C1187" s="6" t="e">
        <f>VLOOKUP($B1187,#REF!,5,FALSE)</f>
        <v>#REF!</v>
      </c>
      <c r="D1187" s="6" t="e">
        <f>VLOOKUP($B1187,#REF!,6,FALSE)</f>
        <v>#REF!</v>
      </c>
      <c r="E1187" s="7" t="e">
        <f>VLOOKUP($B1187,#REF!,17,FALSE)</f>
        <v>#REF!</v>
      </c>
      <c r="F1187" s="8" t="e">
        <f>VLOOKUP($B1187,#REF!,7,FALSE)</f>
        <v>#REF!</v>
      </c>
      <c r="G1187" s="8"/>
      <c r="H1187" s="8"/>
      <c r="I1187" s="9" t="e">
        <f>VLOOKUP($B1187,#REF!,19,FALSE)</f>
        <v>#REF!</v>
      </c>
      <c r="J1187" s="9" t="e">
        <f>VLOOKUP($B1187,#REF!,6,FALSE)</f>
        <v>#REF!</v>
      </c>
      <c r="L1187" s="1">
        <v>44656.100694440625</v>
      </c>
      <c r="M1187" s="13"/>
    </row>
    <row r="1188" spans="2:13">
      <c r="B1188" s="5"/>
      <c r="C1188" s="6" t="e">
        <f>VLOOKUP($B1188,#REF!,5,FALSE)</f>
        <v>#REF!</v>
      </c>
      <c r="D1188" s="6" t="e">
        <f>VLOOKUP($B1188,#REF!,6,FALSE)</f>
        <v>#REF!</v>
      </c>
      <c r="E1188" s="7" t="e">
        <f>VLOOKUP($B1188,#REF!,17,FALSE)</f>
        <v>#REF!</v>
      </c>
      <c r="F1188" s="8" t="e">
        <f>VLOOKUP($B1188,#REF!,7,FALSE)</f>
        <v>#REF!</v>
      </c>
      <c r="G1188" s="8"/>
      <c r="H1188" s="8"/>
      <c r="I1188" s="9" t="e">
        <f>VLOOKUP($B1188,#REF!,19,FALSE)</f>
        <v>#REF!</v>
      </c>
      <c r="J1188" s="9" t="e">
        <f>VLOOKUP($B1188,#REF!,6,FALSE)</f>
        <v>#REF!</v>
      </c>
      <c r="L1188" s="1">
        <v>44656.104166662844</v>
      </c>
      <c r="M1188" s="13"/>
    </row>
    <row r="1189" spans="2:13">
      <c r="B1189" s="5"/>
      <c r="C1189" s="6" t="e">
        <f>VLOOKUP($B1189,#REF!,5,FALSE)</f>
        <v>#REF!</v>
      </c>
      <c r="D1189" s="6" t="e">
        <f>VLOOKUP($B1189,#REF!,6,FALSE)</f>
        <v>#REF!</v>
      </c>
      <c r="E1189" s="7" t="e">
        <f>VLOOKUP($B1189,#REF!,17,FALSE)</f>
        <v>#REF!</v>
      </c>
      <c r="F1189" s="8" t="e">
        <f>VLOOKUP($B1189,#REF!,7,FALSE)</f>
        <v>#REF!</v>
      </c>
      <c r="G1189" s="8"/>
      <c r="H1189" s="8"/>
      <c r="I1189" s="9" t="e">
        <f>VLOOKUP($B1189,#REF!,19,FALSE)</f>
        <v>#REF!</v>
      </c>
      <c r="J1189" s="9" t="e">
        <f>VLOOKUP($B1189,#REF!,6,FALSE)</f>
        <v>#REF!</v>
      </c>
      <c r="L1189" s="1">
        <v>44656.107638885063</v>
      </c>
      <c r="M1189" s="13"/>
    </row>
    <row r="1190" spans="2:13">
      <c r="B1190" s="5"/>
      <c r="C1190" s="6" t="e">
        <f>VLOOKUP($B1190,#REF!,5,FALSE)</f>
        <v>#REF!</v>
      </c>
      <c r="D1190" s="6" t="e">
        <f>VLOOKUP($B1190,#REF!,6,FALSE)</f>
        <v>#REF!</v>
      </c>
      <c r="E1190" s="7" t="e">
        <f>VLOOKUP($B1190,#REF!,17,FALSE)</f>
        <v>#REF!</v>
      </c>
      <c r="F1190" s="8" t="e">
        <f>VLOOKUP($B1190,#REF!,7,FALSE)</f>
        <v>#REF!</v>
      </c>
      <c r="G1190" s="8"/>
      <c r="H1190" s="8"/>
      <c r="I1190" s="9" t="e">
        <f>VLOOKUP($B1190,#REF!,19,FALSE)</f>
        <v>#REF!</v>
      </c>
      <c r="J1190" s="9" t="e">
        <f>VLOOKUP($B1190,#REF!,6,FALSE)</f>
        <v>#REF!</v>
      </c>
      <c r="L1190" s="1">
        <v>44656.111111107282</v>
      </c>
      <c r="M1190" s="13"/>
    </row>
    <row r="1191" spans="2:13">
      <c r="B1191" s="5"/>
      <c r="C1191" s="6" t="e">
        <f>VLOOKUP($B1191,#REF!,5,FALSE)</f>
        <v>#REF!</v>
      </c>
      <c r="D1191" s="6" t="e">
        <f>VLOOKUP($B1191,#REF!,6,FALSE)</f>
        <v>#REF!</v>
      </c>
      <c r="E1191" s="7" t="e">
        <f>VLOOKUP($B1191,#REF!,17,FALSE)</f>
        <v>#REF!</v>
      </c>
      <c r="F1191" s="8" t="e">
        <f>VLOOKUP($B1191,#REF!,7,FALSE)</f>
        <v>#REF!</v>
      </c>
      <c r="G1191" s="8"/>
      <c r="H1191" s="8"/>
      <c r="I1191" s="9" t="e">
        <f>VLOOKUP($B1191,#REF!,19,FALSE)</f>
        <v>#REF!</v>
      </c>
      <c r="J1191" s="9" t="e">
        <f>VLOOKUP($B1191,#REF!,6,FALSE)</f>
        <v>#REF!</v>
      </c>
      <c r="L1191" s="1">
        <v>44656.114583329501</v>
      </c>
      <c r="M1191" s="13"/>
    </row>
    <row r="1192" spans="2:13">
      <c r="B1192" s="5"/>
      <c r="C1192" s="6" t="e">
        <f>VLOOKUP($B1192,#REF!,5,FALSE)</f>
        <v>#REF!</v>
      </c>
      <c r="D1192" s="6" t="e">
        <f>VLOOKUP($B1192,#REF!,6,FALSE)</f>
        <v>#REF!</v>
      </c>
      <c r="E1192" s="7" t="e">
        <f>VLOOKUP($B1192,#REF!,17,FALSE)</f>
        <v>#REF!</v>
      </c>
      <c r="F1192" s="8" t="e">
        <f>VLOOKUP($B1192,#REF!,7,FALSE)</f>
        <v>#REF!</v>
      </c>
      <c r="G1192" s="8"/>
      <c r="H1192" s="8"/>
      <c r="I1192" s="9" t="e">
        <f>VLOOKUP($B1192,#REF!,19,FALSE)</f>
        <v>#REF!</v>
      </c>
      <c r="J1192" s="9" t="e">
        <f>VLOOKUP($B1192,#REF!,6,FALSE)</f>
        <v>#REF!</v>
      </c>
      <c r="L1192" s="1">
        <v>44656.11805555172</v>
      </c>
      <c r="M1192" s="13"/>
    </row>
    <row r="1193" spans="2:13">
      <c r="B1193" s="5"/>
      <c r="C1193" s="6" t="e">
        <f>VLOOKUP($B1193,#REF!,5,FALSE)</f>
        <v>#REF!</v>
      </c>
      <c r="D1193" s="6" t="e">
        <f>VLOOKUP($B1193,#REF!,6,FALSE)</f>
        <v>#REF!</v>
      </c>
      <c r="E1193" s="7" t="e">
        <f>VLOOKUP($B1193,#REF!,17,FALSE)</f>
        <v>#REF!</v>
      </c>
      <c r="F1193" s="8" t="e">
        <f>VLOOKUP($B1193,#REF!,7,FALSE)</f>
        <v>#REF!</v>
      </c>
      <c r="G1193" s="8"/>
      <c r="H1193" s="8"/>
      <c r="I1193" s="9" t="e">
        <f>VLOOKUP($B1193,#REF!,19,FALSE)</f>
        <v>#REF!</v>
      </c>
      <c r="J1193" s="9" t="e">
        <f>VLOOKUP($B1193,#REF!,6,FALSE)</f>
        <v>#REF!</v>
      </c>
      <c r="L1193" s="1">
        <v>44656.121527773939</v>
      </c>
      <c r="M1193" s="13"/>
    </row>
    <row r="1194" spans="2:13">
      <c r="B1194" s="5"/>
      <c r="C1194" s="6" t="e">
        <f>VLOOKUP($B1194,#REF!,5,FALSE)</f>
        <v>#REF!</v>
      </c>
      <c r="D1194" s="6" t="e">
        <f>VLOOKUP($B1194,#REF!,6,FALSE)</f>
        <v>#REF!</v>
      </c>
      <c r="E1194" s="7" t="e">
        <f>VLOOKUP($B1194,#REF!,17,FALSE)</f>
        <v>#REF!</v>
      </c>
      <c r="F1194" s="8" t="e">
        <f>VLOOKUP($B1194,#REF!,7,FALSE)</f>
        <v>#REF!</v>
      </c>
      <c r="G1194" s="8"/>
      <c r="H1194" s="8"/>
      <c r="I1194" s="9" t="e">
        <f>VLOOKUP($B1194,#REF!,19,FALSE)</f>
        <v>#REF!</v>
      </c>
      <c r="J1194" s="9" t="e">
        <f>VLOOKUP($B1194,#REF!,6,FALSE)</f>
        <v>#REF!</v>
      </c>
      <c r="L1194" s="1">
        <v>44656.124999996158</v>
      </c>
      <c r="M1194" s="13"/>
    </row>
    <row r="1195" spans="2:13">
      <c r="B1195" s="5"/>
      <c r="C1195" s="6" t="e">
        <f>VLOOKUP($B1195,#REF!,5,FALSE)</f>
        <v>#REF!</v>
      </c>
      <c r="D1195" s="6" t="e">
        <f>VLOOKUP($B1195,#REF!,6,FALSE)</f>
        <v>#REF!</v>
      </c>
      <c r="E1195" s="7" t="e">
        <f>VLOOKUP($B1195,#REF!,17,FALSE)</f>
        <v>#REF!</v>
      </c>
      <c r="F1195" s="8" t="e">
        <f>VLOOKUP($B1195,#REF!,7,FALSE)</f>
        <v>#REF!</v>
      </c>
      <c r="G1195" s="8"/>
      <c r="H1195" s="8"/>
      <c r="I1195" s="9" t="e">
        <f>VLOOKUP($B1195,#REF!,19,FALSE)</f>
        <v>#REF!</v>
      </c>
      <c r="J1195" s="9" t="e">
        <f>VLOOKUP($B1195,#REF!,6,FALSE)</f>
        <v>#REF!</v>
      </c>
      <c r="L1195" s="1">
        <v>44656.128472218377</v>
      </c>
      <c r="M1195" s="13"/>
    </row>
    <row r="1196" spans="2:13">
      <c r="B1196" s="5"/>
      <c r="C1196" s="6" t="e">
        <f>VLOOKUP($B1196,#REF!,5,FALSE)</f>
        <v>#REF!</v>
      </c>
      <c r="D1196" s="6" t="e">
        <f>VLOOKUP($B1196,#REF!,6,FALSE)</f>
        <v>#REF!</v>
      </c>
      <c r="E1196" s="7" t="e">
        <f>VLOOKUP($B1196,#REF!,17,FALSE)</f>
        <v>#REF!</v>
      </c>
      <c r="F1196" s="8" t="e">
        <f>VLOOKUP($B1196,#REF!,7,FALSE)</f>
        <v>#REF!</v>
      </c>
      <c r="G1196" s="8"/>
      <c r="H1196" s="8"/>
      <c r="I1196" s="9" t="e">
        <f>VLOOKUP($B1196,#REF!,19,FALSE)</f>
        <v>#REF!</v>
      </c>
      <c r="J1196" s="9" t="e">
        <f>VLOOKUP($B1196,#REF!,6,FALSE)</f>
        <v>#REF!</v>
      </c>
      <c r="L1196" s="1">
        <v>44656.131944440596</v>
      </c>
      <c r="M1196" s="13"/>
    </row>
    <row r="1197" spans="2:13">
      <c r="B1197" s="5"/>
      <c r="C1197" s="6" t="e">
        <f>VLOOKUP($B1197,#REF!,5,FALSE)</f>
        <v>#REF!</v>
      </c>
      <c r="D1197" s="6" t="e">
        <f>VLOOKUP($B1197,#REF!,6,FALSE)</f>
        <v>#REF!</v>
      </c>
      <c r="E1197" s="7" t="e">
        <f>VLOOKUP($B1197,#REF!,17,FALSE)</f>
        <v>#REF!</v>
      </c>
      <c r="F1197" s="8" t="e">
        <f>VLOOKUP($B1197,#REF!,7,FALSE)</f>
        <v>#REF!</v>
      </c>
      <c r="G1197" s="8"/>
      <c r="H1197" s="8"/>
      <c r="I1197" s="9" t="e">
        <f>VLOOKUP($B1197,#REF!,19,FALSE)</f>
        <v>#REF!</v>
      </c>
      <c r="J1197" s="9" t="e">
        <f>VLOOKUP($B1197,#REF!,6,FALSE)</f>
        <v>#REF!</v>
      </c>
      <c r="L1197" s="1">
        <v>44656.135416662815</v>
      </c>
      <c r="M1197" s="13"/>
    </row>
    <row r="1198" spans="2:13">
      <c r="B1198" s="5"/>
      <c r="C1198" s="6" t="e">
        <f>VLOOKUP($B1198,#REF!,5,FALSE)</f>
        <v>#REF!</v>
      </c>
      <c r="D1198" s="6" t="e">
        <f>VLOOKUP($B1198,#REF!,6,FALSE)</f>
        <v>#REF!</v>
      </c>
      <c r="E1198" s="7" t="e">
        <f>VLOOKUP($B1198,#REF!,17,FALSE)</f>
        <v>#REF!</v>
      </c>
      <c r="F1198" s="8" t="e">
        <f>VLOOKUP($B1198,#REF!,7,FALSE)</f>
        <v>#REF!</v>
      </c>
      <c r="G1198" s="8"/>
      <c r="H1198" s="8"/>
      <c r="I1198" s="9" t="e">
        <f>VLOOKUP($B1198,#REF!,19,FALSE)</f>
        <v>#REF!</v>
      </c>
      <c r="J1198" s="9" t="e">
        <f>VLOOKUP($B1198,#REF!,6,FALSE)</f>
        <v>#REF!</v>
      </c>
      <c r="L1198" s="1">
        <v>44656.138888885034</v>
      </c>
      <c r="M1198" s="13"/>
    </row>
    <row r="1199" spans="2:13">
      <c r="B1199" s="5"/>
      <c r="C1199" s="6" t="e">
        <f>VLOOKUP($B1199,#REF!,5,FALSE)</f>
        <v>#REF!</v>
      </c>
      <c r="D1199" s="6" t="e">
        <f>VLOOKUP($B1199,#REF!,6,FALSE)</f>
        <v>#REF!</v>
      </c>
      <c r="E1199" s="7" t="e">
        <f>VLOOKUP($B1199,#REF!,17,FALSE)</f>
        <v>#REF!</v>
      </c>
      <c r="F1199" s="8" t="e">
        <f>VLOOKUP($B1199,#REF!,7,FALSE)</f>
        <v>#REF!</v>
      </c>
      <c r="G1199" s="8"/>
      <c r="H1199" s="8"/>
      <c r="I1199" s="9" t="e">
        <f>VLOOKUP($B1199,#REF!,19,FALSE)</f>
        <v>#REF!</v>
      </c>
      <c r="J1199" s="9" t="e">
        <f>VLOOKUP($B1199,#REF!,6,FALSE)</f>
        <v>#REF!</v>
      </c>
      <c r="L1199" s="1">
        <v>44656.142361107253</v>
      </c>
      <c r="M1199" s="13"/>
    </row>
    <row r="1200" spans="2:13">
      <c r="B1200" s="5"/>
      <c r="C1200" s="6" t="e">
        <f>VLOOKUP($B1200,#REF!,5,FALSE)</f>
        <v>#REF!</v>
      </c>
      <c r="D1200" s="6" t="e">
        <f>VLOOKUP($B1200,#REF!,6,FALSE)</f>
        <v>#REF!</v>
      </c>
      <c r="E1200" s="7" t="e">
        <f>VLOOKUP($B1200,#REF!,17,FALSE)</f>
        <v>#REF!</v>
      </c>
      <c r="F1200" s="8" t="e">
        <f>VLOOKUP($B1200,#REF!,7,FALSE)</f>
        <v>#REF!</v>
      </c>
      <c r="G1200" s="8"/>
      <c r="H1200" s="8"/>
      <c r="I1200" s="9" t="e">
        <f>VLOOKUP($B1200,#REF!,19,FALSE)</f>
        <v>#REF!</v>
      </c>
      <c r="J1200" s="9" t="e">
        <f>VLOOKUP($B1200,#REF!,6,FALSE)</f>
        <v>#REF!</v>
      </c>
      <c r="L1200" s="1">
        <v>44656.145833329472</v>
      </c>
      <c r="M1200" s="13"/>
    </row>
    <row r="1201" spans="2:13">
      <c r="B1201" s="5"/>
      <c r="C1201" s="6" t="e">
        <f>VLOOKUP($B1201,#REF!,5,FALSE)</f>
        <v>#REF!</v>
      </c>
      <c r="D1201" s="6" t="e">
        <f>VLOOKUP($B1201,#REF!,6,FALSE)</f>
        <v>#REF!</v>
      </c>
      <c r="E1201" s="7" t="e">
        <f>VLOOKUP($B1201,#REF!,17,FALSE)</f>
        <v>#REF!</v>
      </c>
      <c r="F1201" s="8" t="e">
        <f>VLOOKUP($B1201,#REF!,7,FALSE)</f>
        <v>#REF!</v>
      </c>
      <c r="G1201" s="8"/>
      <c r="H1201" s="8"/>
      <c r="I1201" s="9" t="e">
        <f>VLOOKUP($B1201,#REF!,19,FALSE)</f>
        <v>#REF!</v>
      </c>
      <c r="J1201" s="9" t="e">
        <f>VLOOKUP($B1201,#REF!,6,FALSE)</f>
        <v>#REF!</v>
      </c>
      <c r="L1201" s="1">
        <v>44656.149305551691</v>
      </c>
      <c r="M1201" s="13"/>
    </row>
    <row r="1202" spans="2:13">
      <c r="B1202" s="5"/>
      <c r="C1202" s="6" t="e">
        <f>VLOOKUP($B1202,#REF!,5,FALSE)</f>
        <v>#REF!</v>
      </c>
      <c r="D1202" s="6" t="e">
        <f>VLOOKUP($B1202,#REF!,6,FALSE)</f>
        <v>#REF!</v>
      </c>
      <c r="E1202" s="7" t="e">
        <f>VLOOKUP($B1202,#REF!,17,FALSE)</f>
        <v>#REF!</v>
      </c>
      <c r="F1202" s="8" t="e">
        <f>VLOOKUP($B1202,#REF!,7,FALSE)</f>
        <v>#REF!</v>
      </c>
      <c r="G1202" s="8"/>
      <c r="H1202" s="8"/>
      <c r="I1202" s="9" t="e">
        <f>VLOOKUP($B1202,#REF!,19,FALSE)</f>
        <v>#REF!</v>
      </c>
      <c r="J1202" s="9" t="e">
        <f>VLOOKUP($B1202,#REF!,6,FALSE)</f>
        <v>#REF!</v>
      </c>
      <c r="L1202" s="1">
        <v>44656.15277777391</v>
      </c>
      <c r="M1202" s="13"/>
    </row>
    <row r="1203" spans="2:13">
      <c r="B1203" s="5"/>
      <c r="C1203" s="6" t="e">
        <f>VLOOKUP($B1203,#REF!,5,FALSE)</f>
        <v>#REF!</v>
      </c>
      <c r="D1203" s="6" t="e">
        <f>VLOOKUP($B1203,#REF!,6,FALSE)</f>
        <v>#REF!</v>
      </c>
      <c r="E1203" s="7" t="e">
        <f>VLOOKUP($B1203,#REF!,17,FALSE)</f>
        <v>#REF!</v>
      </c>
      <c r="F1203" s="8" t="e">
        <f>VLOOKUP($B1203,#REF!,7,FALSE)</f>
        <v>#REF!</v>
      </c>
      <c r="G1203" s="8"/>
      <c r="H1203" s="8"/>
      <c r="I1203" s="9" t="e">
        <f>VLOOKUP($B1203,#REF!,19,FALSE)</f>
        <v>#REF!</v>
      </c>
      <c r="J1203" s="9" t="e">
        <f>VLOOKUP($B1203,#REF!,6,FALSE)</f>
        <v>#REF!</v>
      </c>
      <c r="L1203" s="1">
        <v>44656.156249996129</v>
      </c>
      <c r="M1203" s="13"/>
    </row>
    <row r="1204" spans="2:13">
      <c r="B1204" s="5"/>
      <c r="C1204" s="6" t="e">
        <f>VLOOKUP($B1204,#REF!,5,FALSE)</f>
        <v>#REF!</v>
      </c>
      <c r="D1204" s="6" t="e">
        <f>VLOOKUP($B1204,#REF!,6,FALSE)</f>
        <v>#REF!</v>
      </c>
      <c r="E1204" s="7" t="e">
        <f>VLOOKUP($B1204,#REF!,17,FALSE)</f>
        <v>#REF!</v>
      </c>
      <c r="F1204" s="8" t="e">
        <f>VLOOKUP($B1204,#REF!,7,FALSE)</f>
        <v>#REF!</v>
      </c>
      <c r="G1204" s="8"/>
      <c r="H1204" s="8"/>
      <c r="I1204" s="9" t="e">
        <f>VLOOKUP($B1204,#REF!,19,FALSE)</f>
        <v>#REF!</v>
      </c>
      <c r="J1204" s="9" t="e">
        <f>VLOOKUP($B1204,#REF!,6,FALSE)</f>
        <v>#REF!</v>
      </c>
      <c r="L1204" s="1">
        <v>44656.159722218348</v>
      </c>
      <c r="M1204" s="13"/>
    </row>
    <row r="1205" spans="2:13">
      <c r="B1205" s="5"/>
      <c r="C1205" s="6" t="e">
        <f>VLOOKUP($B1205,#REF!,5,FALSE)</f>
        <v>#REF!</v>
      </c>
      <c r="D1205" s="6" t="e">
        <f>VLOOKUP($B1205,#REF!,6,FALSE)</f>
        <v>#REF!</v>
      </c>
      <c r="E1205" s="7" t="e">
        <f>VLOOKUP($B1205,#REF!,17,FALSE)</f>
        <v>#REF!</v>
      </c>
      <c r="F1205" s="8" t="e">
        <f>VLOOKUP($B1205,#REF!,7,FALSE)</f>
        <v>#REF!</v>
      </c>
      <c r="G1205" s="8"/>
      <c r="H1205" s="8"/>
      <c r="I1205" s="9" t="e">
        <f>VLOOKUP($B1205,#REF!,19,FALSE)</f>
        <v>#REF!</v>
      </c>
      <c r="J1205" s="9" t="e">
        <f>VLOOKUP($B1205,#REF!,6,FALSE)</f>
        <v>#REF!</v>
      </c>
      <c r="L1205" s="1">
        <v>44656.163194440567</v>
      </c>
      <c r="M1205" s="13"/>
    </row>
    <row r="1206" spans="2:13">
      <c r="B1206" s="5"/>
      <c r="C1206" s="6" t="e">
        <f>VLOOKUP($B1206,#REF!,5,FALSE)</f>
        <v>#REF!</v>
      </c>
      <c r="D1206" s="6" t="e">
        <f>VLOOKUP($B1206,#REF!,6,FALSE)</f>
        <v>#REF!</v>
      </c>
      <c r="E1206" s="7" t="e">
        <f>VLOOKUP($B1206,#REF!,17,FALSE)</f>
        <v>#REF!</v>
      </c>
      <c r="F1206" s="8" t="e">
        <f>VLOOKUP($B1206,#REF!,7,FALSE)</f>
        <v>#REF!</v>
      </c>
      <c r="G1206" s="8"/>
      <c r="H1206" s="8"/>
      <c r="I1206" s="9" t="e">
        <f>VLOOKUP($B1206,#REF!,19,FALSE)</f>
        <v>#REF!</v>
      </c>
      <c r="J1206" s="9" t="e">
        <f>VLOOKUP($B1206,#REF!,6,FALSE)</f>
        <v>#REF!</v>
      </c>
      <c r="L1206" s="1">
        <v>44656.166666662786</v>
      </c>
      <c r="M1206" s="13"/>
    </row>
    <row r="1207" spans="2:13">
      <c r="B1207" s="5"/>
      <c r="C1207" s="6" t="e">
        <f>VLOOKUP($B1207,#REF!,5,FALSE)</f>
        <v>#REF!</v>
      </c>
      <c r="D1207" s="6" t="e">
        <f>VLOOKUP($B1207,#REF!,6,FALSE)</f>
        <v>#REF!</v>
      </c>
      <c r="E1207" s="7" t="e">
        <f>VLOOKUP($B1207,#REF!,17,FALSE)</f>
        <v>#REF!</v>
      </c>
      <c r="F1207" s="8" t="e">
        <f>VLOOKUP($B1207,#REF!,7,FALSE)</f>
        <v>#REF!</v>
      </c>
      <c r="G1207" s="8"/>
      <c r="H1207" s="8"/>
      <c r="I1207" s="9" t="e">
        <f>VLOOKUP($B1207,#REF!,19,FALSE)</f>
        <v>#REF!</v>
      </c>
      <c r="J1207" s="9" t="e">
        <f>VLOOKUP($B1207,#REF!,6,FALSE)</f>
        <v>#REF!</v>
      </c>
      <c r="L1207" s="1">
        <v>44656.170138885005</v>
      </c>
      <c r="M1207" s="13"/>
    </row>
    <row r="1208" spans="2:13">
      <c r="B1208" s="5"/>
      <c r="C1208" s="6" t="e">
        <f>VLOOKUP($B1208,#REF!,5,FALSE)</f>
        <v>#REF!</v>
      </c>
      <c r="D1208" s="6" t="e">
        <f>VLOOKUP($B1208,#REF!,6,FALSE)</f>
        <v>#REF!</v>
      </c>
      <c r="E1208" s="7" t="e">
        <f>VLOOKUP($B1208,#REF!,17,FALSE)</f>
        <v>#REF!</v>
      </c>
      <c r="F1208" s="8" t="e">
        <f>VLOOKUP($B1208,#REF!,7,FALSE)</f>
        <v>#REF!</v>
      </c>
      <c r="G1208" s="8"/>
      <c r="H1208" s="8"/>
      <c r="I1208" s="9" t="e">
        <f>VLOOKUP($B1208,#REF!,19,FALSE)</f>
        <v>#REF!</v>
      </c>
      <c r="J1208" s="9" t="e">
        <f>VLOOKUP($B1208,#REF!,6,FALSE)</f>
        <v>#REF!</v>
      </c>
      <c r="L1208" s="1">
        <v>44656.173611107224</v>
      </c>
      <c r="M1208" s="13"/>
    </row>
    <row r="1209" spans="2:13">
      <c r="B1209" s="5"/>
      <c r="C1209" s="6" t="e">
        <f>VLOOKUP($B1209,#REF!,5,FALSE)</f>
        <v>#REF!</v>
      </c>
      <c r="D1209" s="6" t="e">
        <f>VLOOKUP($B1209,#REF!,6,FALSE)</f>
        <v>#REF!</v>
      </c>
      <c r="E1209" s="7" t="e">
        <f>VLOOKUP($B1209,#REF!,17,FALSE)</f>
        <v>#REF!</v>
      </c>
      <c r="F1209" s="8" t="e">
        <f>VLOOKUP($B1209,#REF!,7,FALSE)</f>
        <v>#REF!</v>
      </c>
      <c r="G1209" s="8"/>
      <c r="H1209" s="8"/>
      <c r="I1209" s="9" t="e">
        <f>VLOOKUP($B1209,#REF!,19,FALSE)</f>
        <v>#REF!</v>
      </c>
      <c r="J1209" s="9" t="e">
        <f>VLOOKUP($B1209,#REF!,6,FALSE)</f>
        <v>#REF!</v>
      </c>
      <c r="L1209" s="1">
        <v>44656.177083329443</v>
      </c>
      <c r="M1209" s="13"/>
    </row>
    <row r="1210" spans="2:13">
      <c r="B1210" s="5"/>
      <c r="C1210" s="6" t="e">
        <f>VLOOKUP($B1210,#REF!,5,FALSE)</f>
        <v>#REF!</v>
      </c>
      <c r="D1210" s="6" t="e">
        <f>VLOOKUP($B1210,#REF!,6,FALSE)</f>
        <v>#REF!</v>
      </c>
      <c r="E1210" s="7" t="e">
        <f>VLOOKUP($B1210,#REF!,17,FALSE)</f>
        <v>#REF!</v>
      </c>
      <c r="F1210" s="8" t="e">
        <f>VLOOKUP($B1210,#REF!,7,FALSE)</f>
        <v>#REF!</v>
      </c>
      <c r="G1210" s="8"/>
      <c r="H1210" s="8"/>
      <c r="I1210" s="9" t="e">
        <f>VLOOKUP($B1210,#REF!,19,FALSE)</f>
        <v>#REF!</v>
      </c>
      <c r="J1210" s="9" t="e">
        <f>VLOOKUP($B1210,#REF!,6,FALSE)</f>
        <v>#REF!</v>
      </c>
      <c r="L1210" s="1">
        <v>44656.180555551662</v>
      </c>
      <c r="M1210" s="13"/>
    </row>
    <row r="1211" spans="2:13">
      <c r="B1211" s="5"/>
      <c r="C1211" s="6" t="e">
        <f>VLOOKUP($B1211,#REF!,5,FALSE)</f>
        <v>#REF!</v>
      </c>
      <c r="D1211" s="6" t="e">
        <f>VLOOKUP($B1211,#REF!,6,FALSE)</f>
        <v>#REF!</v>
      </c>
      <c r="E1211" s="7" t="e">
        <f>VLOOKUP($B1211,#REF!,17,FALSE)</f>
        <v>#REF!</v>
      </c>
      <c r="F1211" s="8" t="e">
        <f>VLOOKUP($B1211,#REF!,7,FALSE)</f>
        <v>#REF!</v>
      </c>
      <c r="G1211" s="8"/>
      <c r="H1211" s="8"/>
      <c r="I1211" s="9" t="e">
        <f>VLOOKUP($B1211,#REF!,19,FALSE)</f>
        <v>#REF!</v>
      </c>
      <c r="J1211" s="9" t="e">
        <f>VLOOKUP($B1211,#REF!,6,FALSE)</f>
        <v>#REF!</v>
      </c>
      <c r="L1211" s="1">
        <v>44656.184027773881</v>
      </c>
      <c r="M1211" s="13"/>
    </row>
    <row r="1212" spans="2:13">
      <c r="B1212" s="5"/>
      <c r="C1212" s="6" t="e">
        <f>VLOOKUP($B1212,#REF!,5,FALSE)</f>
        <v>#REF!</v>
      </c>
      <c r="D1212" s="6" t="e">
        <f>VLOOKUP($B1212,#REF!,6,FALSE)</f>
        <v>#REF!</v>
      </c>
      <c r="E1212" s="7" t="e">
        <f>VLOOKUP($B1212,#REF!,17,FALSE)</f>
        <v>#REF!</v>
      </c>
      <c r="F1212" s="8" t="e">
        <f>VLOOKUP($B1212,#REF!,7,FALSE)</f>
        <v>#REF!</v>
      </c>
      <c r="G1212" s="8"/>
      <c r="H1212" s="8"/>
      <c r="I1212" s="9" t="e">
        <f>VLOOKUP($B1212,#REF!,19,FALSE)</f>
        <v>#REF!</v>
      </c>
      <c r="J1212" s="9" t="e">
        <f>VLOOKUP($B1212,#REF!,6,FALSE)</f>
        <v>#REF!</v>
      </c>
      <c r="L1212" s="1">
        <v>44656.1874999961</v>
      </c>
      <c r="M1212" s="13"/>
    </row>
    <row r="1213" spans="2:13">
      <c r="B1213" s="5"/>
      <c r="C1213" s="6" t="e">
        <f>VLOOKUP($B1213,#REF!,5,FALSE)</f>
        <v>#REF!</v>
      </c>
      <c r="D1213" s="6" t="e">
        <f>VLOOKUP($B1213,#REF!,6,FALSE)</f>
        <v>#REF!</v>
      </c>
      <c r="E1213" s="7" t="e">
        <f>VLOOKUP($B1213,#REF!,17,FALSE)</f>
        <v>#REF!</v>
      </c>
      <c r="F1213" s="8" t="e">
        <f>VLOOKUP($B1213,#REF!,7,FALSE)</f>
        <v>#REF!</v>
      </c>
      <c r="G1213" s="8"/>
      <c r="H1213" s="8"/>
      <c r="I1213" s="9" t="e">
        <f>VLOOKUP($B1213,#REF!,19,FALSE)</f>
        <v>#REF!</v>
      </c>
      <c r="J1213" s="9" t="e">
        <f>VLOOKUP($B1213,#REF!,6,FALSE)</f>
        <v>#REF!</v>
      </c>
      <c r="L1213" s="1">
        <v>44656.190972218319</v>
      </c>
      <c r="M1213" s="13"/>
    </row>
    <row r="1214" spans="2:13">
      <c r="B1214" s="5"/>
      <c r="C1214" s="6" t="e">
        <f>VLOOKUP($B1214,#REF!,5,FALSE)</f>
        <v>#REF!</v>
      </c>
      <c r="D1214" s="6" t="e">
        <f>VLOOKUP($B1214,#REF!,6,FALSE)</f>
        <v>#REF!</v>
      </c>
      <c r="E1214" s="7" t="e">
        <f>VLOOKUP($B1214,#REF!,17,FALSE)</f>
        <v>#REF!</v>
      </c>
      <c r="F1214" s="8" t="e">
        <f>VLOOKUP($B1214,#REF!,7,FALSE)</f>
        <v>#REF!</v>
      </c>
      <c r="G1214" s="8"/>
      <c r="H1214" s="8"/>
      <c r="I1214" s="9" t="e">
        <f>VLOOKUP($B1214,#REF!,19,FALSE)</f>
        <v>#REF!</v>
      </c>
      <c r="J1214" s="9" t="e">
        <f>VLOOKUP($B1214,#REF!,6,FALSE)</f>
        <v>#REF!</v>
      </c>
      <c r="L1214" s="1">
        <v>44656.194444440538</v>
      </c>
      <c r="M1214" s="13"/>
    </row>
    <row r="1215" spans="2:13">
      <c r="B1215" s="5"/>
      <c r="C1215" s="6" t="e">
        <f>VLOOKUP($B1215,#REF!,5,FALSE)</f>
        <v>#REF!</v>
      </c>
      <c r="D1215" s="6" t="e">
        <f>VLOOKUP($B1215,#REF!,6,FALSE)</f>
        <v>#REF!</v>
      </c>
      <c r="E1215" s="7" t="e">
        <f>VLOOKUP($B1215,#REF!,17,FALSE)</f>
        <v>#REF!</v>
      </c>
      <c r="F1215" s="8" t="e">
        <f>VLOOKUP($B1215,#REF!,7,FALSE)</f>
        <v>#REF!</v>
      </c>
      <c r="G1215" s="8"/>
      <c r="H1215" s="8"/>
      <c r="I1215" s="9" t="e">
        <f>VLOOKUP($B1215,#REF!,19,FALSE)</f>
        <v>#REF!</v>
      </c>
      <c r="J1215" s="9" t="e">
        <f>VLOOKUP($B1215,#REF!,6,FALSE)</f>
        <v>#REF!</v>
      </c>
      <c r="L1215" s="1">
        <v>44656.197916662757</v>
      </c>
      <c r="M1215" s="13"/>
    </row>
    <row r="1216" spans="2:13">
      <c r="B1216" s="5"/>
      <c r="C1216" s="6" t="e">
        <f>VLOOKUP($B1216,#REF!,5,FALSE)</f>
        <v>#REF!</v>
      </c>
      <c r="D1216" s="6" t="e">
        <f>VLOOKUP($B1216,#REF!,6,FALSE)</f>
        <v>#REF!</v>
      </c>
      <c r="E1216" s="7" t="e">
        <f>VLOOKUP($B1216,#REF!,17,FALSE)</f>
        <v>#REF!</v>
      </c>
      <c r="F1216" s="8" t="e">
        <f>VLOOKUP($B1216,#REF!,7,FALSE)</f>
        <v>#REF!</v>
      </c>
      <c r="G1216" s="8"/>
      <c r="H1216" s="8"/>
      <c r="I1216" s="9" t="e">
        <f>VLOOKUP($B1216,#REF!,19,FALSE)</f>
        <v>#REF!</v>
      </c>
      <c r="J1216" s="9" t="e">
        <f>VLOOKUP($B1216,#REF!,6,FALSE)</f>
        <v>#REF!</v>
      </c>
      <c r="L1216" s="1">
        <v>44656.201388884976</v>
      </c>
      <c r="M1216" s="13"/>
    </row>
    <row r="1217" spans="2:13">
      <c r="B1217" s="5"/>
      <c r="C1217" s="6" t="e">
        <f>VLOOKUP($B1217,#REF!,5,FALSE)</f>
        <v>#REF!</v>
      </c>
      <c r="D1217" s="6" t="e">
        <f>VLOOKUP($B1217,#REF!,6,FALSE)</f>
        <v>#REF!</v>
      </c>
      <c r="E1217" s="7" t="e">
        <f>VLOOKUP($B1217,#REF!,17,FALSE)</f>
        <v>#REF!</v>
      </c>
      <c r="F1217" s="8" t="e">
        <f>VLOOKUP($B1217,#REF!,7,FALSE)</f>
        <v>#REF!</v>
      </c>
      <c r="G1217" s="8"/>
      <c r="H1217" s="8"/>
      <c r="I1217" s="9" t="e">
        <f>VLOOKUP($B1217,#REF!,19,FALSE)</f>
        <v>#REF!</v>
      </c>
      <c r="J1217" s="9" t="e">
        <f>VLOOKUP($B1217,#REF!,6,FALSE)</f>
        <v>#REF!</v>
      </c>
      <c r="L1217" s="1">
        <v>44656.204861107195</v>
      </c>
      <c r="M1217" s="13"/>
    </row>
    <row r="1218" spans="2:13">
      <c r="B1218" s="5"/>
      <c r="C1218" s="6" t="e">
        <f>VLOOKUP($B1218,#REF!,5,FALSE)</f>
        <v>#REF!</v>
      </c>
      <c r="D1218" s="6" t="e">
        <f>VLOOKUP($B1218,#REF!,6,FALSE)</f>
        <v>#REF!</v>
      </c>
      <c r="E1218" s="7" t="e">
        <f>VLOOKUP($B1218,#REF!,17,FALSE)</f>
        <v>#REF!</v>
      </c>
      <c r="F1218" s="8" t="e">
        <f>VLOOKUP($B1218,#REF!,7,FALSE)</f>
        <v>#REF!</v>
      </c>
      <c r="G1218" s="8"/>
      <c r="H1218" s="8"/>
      <c r="I1218" s="9" t="e">
        <f>VLOOKUP($B1218,#REF!,19,FALSE)</f>
        <v>#REF!</v>
      </c>
      <c r="J1218" s="9" t="e">
        <f>VLOOKUP($B1218,#REF!,6,FALSE)</f>
        <v>#REF!</v>
      </c>
      <c r="L1218" s="1">
        <v>44656.208333329414</v>
      </c>
      <c r="M1218" s="13"/>
    </row>
    <row r="1219" spans="2:13">
      <c r="B1219" s="5"/>
      <c r="C1219" s="6" t="e">
        <f>VLOOKUP($B1219,#REF!,5,FALSE)</f>
        <v>#REF!</v>
      </c>
      <c r="D1219" s="6" t="e">
        <f>VLOOKUP($B1219,#REF!,6,FALSE)</f>
        <v>#REF!</v>
      </c>
      <c r="E1219" s="7" t="e">
        <f>VLOOKUP($B1219,#REF!,17,FALSE)</f>
        <v>#REF!</v>
      </c>
      <c r="F1219" s="8" t="e">
        <f>VLOOKUP($B1219,#REF!,7,FALSE)</f>
        <v>#REF!</v>
      </c>
      <c r="G1219" s="8"/>
      <c r="H1219" s="8"/>
      <c r="I1219" s="9" t="e">
        <f>VLOOKUP($B1219,#REF!,19,FALSE)</f>
        <v>#REF!</v>
      </c>
      <c r="J1219" s="9" t="e">
        <f>VLOOKUP($B1219,#REF!,6,FALSE)</f>
        <v>#REF!</v>
      </c>
      <c r="L1219" s="1">
        <v>44656.211805551633</v>
      </c>
      <c r="M1219" s="13"/>
    </row>
    <row r="1220" spans="2:13">
      <c r="B1220" s="5"/>
      <c r="C1220" s="6" t="e">
        <f>VLOOKUP($B1220,#REF!,5,FALSE)</f>
        <v>#REF!</v>
      </c>
      <c r="D1220" s="6" t="e">
        <f>VLOOKUP($B1220,#REF!,6,FALSE)</f>
        <v>#REF!</v>
      </c>
      <c r="E1220" s="7" t="e">
        <f>VLOOKUP($B1220,#REF!,17,FALSE)</f>
        <v>#REF!</v>
      </c>
      <c r="F1220" s="8" t="e">
        <f>VLOOKUP($B1220,#REF!,7,FALSE)</f>
        <v>#REF!</v>
      </c>
      <c r="G1220" s="8"/>
      <c r="H1220" s="8"/>
      <c r="I1220" s="9" t="e">
        <f>VLOOKUP($B1220,#REF!,19,FALSE)</f>
        <v>#REF!</v>
      </c>
      <c r="J1220" s="9" t="e">
        <f>VLOOKUP($B1220,#REF!,6,FALSE)</f>
        <v>#REF!</v>
      </c>
      <c r="L1220" s="1">
        <v>44656.215277773852</v>
      </c>
      <c r="M1220" s="13"/>
    </row>
    <row r="1221" spans="2:13">
      <c r="B1221" s="5"/>
      <c r="C1221" s="6" t="e">
        <f>VLOOKUP($B1221,#REF!,5,FALSE)</f>
        <v>#REF!</v>
      </c>
      <c r="D1221" s="6" t="e">
        <f>VLOOKUP($B1221,#REF!,6,FALSE)</f>
        <v>#REF!</v>
      </c>
      <c r="E1221" s="7" t="e">
        <f>VLOOKUP($B1221,#REF!,17,FALSE)</f>
        <v>#REF!</v>
      </c>
      <c r="F1221" s="8" t="e">
        <f>VLOOKUP($B1221,#REF!,7,FALSE)</f>
        <v>#REF!</v>
      </c>
      <c r="G1221" s="8"/>
      <c r="H1221" s="8"/>
      <c r="I1221" s="9" t="e">
        <f>VLOOKUP($B1221,#REF!,19,FALSE)</f>
        <v>#REF!</v>
      </c>
      <c r="J1221" s="9" t="e">
        <f>VLOOKUP($B1221,#REF!,6,FALSE)</f>
        <v>#REF!</v>
      </c>
      <c r="L1221" s="1">
        <v>44656.218749996071</v>
      </c>
      <c r="M1221" s="13"/>
    </row>
    <row r="1222" spans="2:13">
      <c r="B1222" s="5"/>
      <c r="C1222" s="6" t="e">
        <f>VLOOKUP($B1222,#REF!,5,FALSE)</f>
        <v>#REF!</v>
      </c>
      <c r="D1222" s="6" t="e">
        <f>VLOOKUP($B1222,#REF!,6,FALSE)</f>
        <v>#REF!</v>
      </c>
      <c r="E1222" s="7" t="e">
        <f>VLOOKUP($B1222,#REF!,17,FALSE)</f>
        <v>#REF!</v>
      </c>
      <c r="F1222" s="8" t="e">
        <f>VLOOKUP($B1222,#REF!,7,FALSE)</f>
        <v>#REF!</v>
      </c>
      <c r="G1222" s="8"/>
      <c r="H1222" s="8"/>
      <c r="I1222" s="9" t="e">
        <f>VLOOKUP($B1222,#REF!,19,FALSE)</f>
        <v>#REF!</v>
      </c>
      <c r="J1222" s="9" t="e">
        <f>VLOOKUP($B1222,#REF!,6,FALSE)</f>
        <v>#REF!</v>
      </c>
      <c r="L1222" s="1">
        <v>44656.22222221829</v>
      </c>
      <c r="M1222" s="13"/>
    </row>
    <row r="1223" spans="2:13">
      <c r="B1223" s="5"/>
      <c r="C1223" s="6" t="e">
        <f>VLOOKUP($B1223,#REF!,5,FALSE)</f>
        <v>#REF!</v>
      </c>
      <c r="D1223" s="6" t="e">
        <f>VLOOKUP($B1223,#REF!,6,FALSE)</f>
        <v>#REF!</v>
      </c>
      <c r="E1223" s="7" t="e">
        <f>VLOOKUP($B1223,#REF!,17,FALSE)</f>
        <v>#REF!</v>
      </c>
      <c r="F1223" s="8" t="e">
        <f>VLOOKUP($B1223,#REF!,7,FALSE)</f>
        <v>#REF!</v>
      </c>
      <c r="G1223" s="8"/>
      <c r="H1223" s="8"/>
      <c r="I1223" s="9" t="e">
        <f>VLOOKUP($B1223,#REF!,19,FALSE)</f>
        <v>#REF!</v>
      </c>
      <c r="J1223" s="9" t="e">
        <f>VLOOKUP($B1223,#REF!,6,FALSE)</f>
        <v>#REF!</v>
      </c>
      <c r="L1223" s="1">
        <v>44656.225694440509</v>
      </c>
      <c r="M1223" s="13"/>
    </row>
    <row r="1224" spans="2:13">
      <c r="B1224" s="5"/>
      <c r="C1224" s="6" t="e">
        <f>VLOOKUP($B1224,#REF!,5,FALSE)</f>
        <v>#REF!</v>
      </c>
      <c r="D1224" s="6" t="e">
        <f>VLOOKUP($B1224,#REF!,6,FALSE)</f>
        <v>#REF!</v>
      </c>
      <c r="E1224" s="7" t="e">
        <f>VLOOKUP($B1224,#REF!,17,FALSE)</f>
        <v>#REF!</v>
      </c>
      <c r="F1224" s="8" t="e">
        <f>VLOOKUP($B1224,#REF!,7,FALSE)</f>
        <v>#REF!</v>
      </c>
      <c r="G1224" s="8"/>
      <c r="H1224" s="8"/>
      <c r="I1224" s="9" t="e">
        <f>VLOOKUP($B1224,#REF!,19,FALSE)</f>
        <v>#REF!</v>
      </c>
      <c r="J1224" s="9" t="e">
        <f>VLOOKUP($B1224,#REF!,6,FALSE)</f>
        <v>#REF!</v>
      </c>
      <c r="L1224" s="1">
        <v>44656.229166662728</v>
      </c>
      <c r="M1224" s="13"/>
    </row>
    <row r="1225" spans="2:13">
      <c r="B1225" s="5"/>
      <c r="C1225" s="6" t="e">
        <f>VLOOKUP($B1225,#REF!,5,FALSE)</f>
        <v>#REF!</v>
      </c>
      <c r="D1225" s="6" t="e">
        <f>VLOOKUP($B1225,#REF!,6,FALSE)</f>
        <v>#REF!</v>
      </c>
      <c r="E1225" s="7" t="e">
        <f>VLOOKUP($B1225,#REF!,17,FALSE)</f>
        <v>#REF!</v>
      </c>
      <c r="F1225" s="8" t="e">
        <f>VLOOKUP($B1225,#REF!,7,FALSE)</f>
        <v>#REF!</v>
      </c>
      <c r="G1225" s="8"/>
      <c r="H1225" s="8"/>
      <c r="I1225" s="9" t="e">
        <f>VLOOKUP($B1225,#REF!,19,FALSE)</f>
        <v>#REF!</v>
      </c>
      <c r="J1225" s="9" t="e">
        <f>VLOOKUP($B1225,#REF!,6,FALSE)</f>
        <v>#REF!</v>
      </c>
      <c r="L1225" s="1">
        <v>44656.232638884947</v>
      </c>
      <c r="M1225" s="13"/>
    </row>
    <row r="1226" spans="2:13">
      <c r="B1226" s="5"/>
      <c r="C1226" s="6" t="e">
        <f>VLOOKUP($B1226,#REF!,5,FALSE)</f>
        <v>#REF!</v>
      </c>
      <c r="D1226" s="6" t="e">
        <f>VLOOKUP($B1226,#REF!,6,FALSE)</f>
        <v>#REF!</v>
      </c>
      <c r="E1226" s="7" t="e">
        <f>VLOOKUP($B1226,#REF!,17,FALSE)</f>
        <v>#REF!</v>
      </c>
      <c r="F1226" s="8" t="e">
        <f>VLOOKUP($B1226,#REF!,7,FALSE)</f>
        <v>#REF!</v>
      </c>
      <c r="G1226" s="8"/>
      <c r="H1226" s="8"/>
      <c r="I1226" s="9" t="e">
        <f>VLOOKUP($B1226,#REF!,19,FALSE)</f>
        <v>#REF!</v>
      </c>
      <c r="J1226" s="9" t="e">
        <f>VLOOKUP($B1226,#REF!,6,FALSE)</f>
        <v>#REF!</v>
      </c>
      <c r="L1226" s="1">
        <v>44656.236111107166</v>
      </c>
      <c r="M1226" s="13"/>
    </row>
    <row r="1227" spans="2:13">
      <c r="B1227" s="5"/>
      <c r="C1227" s="6" t="e">
        <f>VLOOKUP($B1227,#REF!,5,FALSE)</f>
        <v>#REF!</v>
      </c>
      <c r="D1227" s="6" t="e">
        <f>VLOOKUP($B1227,#REF!,6,FALSE)</f>
        <v>#REF!</v>
      </c>
      <c r="E1227" s="7" t="e">
        <f>VLOOKUP($B1227,#REF!,17,FALSE)</f>
        <v>#REF!</v>
      </c>
      <c r="F1227" s="8" t="e">
        <f>VLOOKUP($B1227,#REF!,7,FALSE)</f>
        <v>#REF!</v>
      </c>
      <c r="G1227" s="8"/>
      <c r="H1227" s="8"/>
      <c r="I1227" s="9" t="e">
        <f>VLOOKUP($B1227,#REF!,19,FALSE)</f>
        <v>#REF!</v>
      </c>
      <c r="J1227" s="9" t="e">
        <f>VLOOKUP($B1227,#REF!,6,FALSE)</f>
        <v>#REF!</v>
      </c>
      <c r="L1227" s="1">
        <v>44656.239583329385</v>
      </c>
      <c r="M1227" s="13"/>
    </row>
    <row r="1228" spans="2:13">
      <c r="B1228" s="5"/>
      <c r="C1228" s="6" t="e">
        <f>VLOOKUP($B1228,#REF!,5,FALSE)</f>
        <v>#REF!</v>
      </c>
      <c r="D1228" s="6" t="e">
        <f>VLOOKUP($B1228,#REF!,6,FALSE)</f>
        <v>#REF!</v>
      </c>
      <c r="E1228" s="7" t="e">
        <f>VLOOKUP($B1228,#REF!,17,FALSE)</f>
        <v>#REF!</v>
      </c>
      <c r="F1228" s="8" t="e">
        <f>VLOOKUP($B1228,#REF!,7,FALSE)</f>
        <v>#REF!</v>
      </c>
      <c r="G1228" s="8"/>
      <c r="H1228" s="8"/>
      <c r="I1228" s="9" t="e">
        <f>VLOOKUP($B1228,#REF!,19,FALSE)</f>
        <v>#REF!</v>
      </c>
      <c r="J1228" s="9" t="e">
        <f>VLOOKUP($B1228,#REF!,6,FALSE)</f>
        <v>#REF!</v>
      </c>
      <c r="L1228" s="1">
        <v>44656.243055551604</v>
      </c>
      <c r="M1228" s="13"/>
    </row>
    <row r="1229" spans="2:13">
      <c r="B1229" s="5"/>
      <c r="C1229" s="6" t="e">
        <f>VLOOKUP($B1229,#REF!,5,FALSE)</f>
        <v>#REF!</v>
      </c>
      <c r="D1229" s="6" t="e">
        <f>VLOOKUP($B1229,#REF!,6,FALSE)</f>
        <v>#REF!</v>
      </c>
      <c r="E1229" s="7" t="e">
        <f>VLOOKUP($B1229,#REF!,17,FALSE)</f>
        <v>#REF!</v>
      </c>
      <c r="F1229" s="8" t="e">
        <f>VLOOKUP($B1229,#REF!,7,FALSE)</f>
        <v>#REF!</v>
      </c>
      <c r="G1229" s="8"/>
      <c r="H1229" s="8"/>
      <c r="I1229" s="9" t="e">
        <f>VLOOKUP($B1229,#REF!,19,FALSE)</f>
        <v>#REF!</v>
      </c>
      <c r="J1229" s="9" t="e">
        <f>VLOOKUP($B1229,#REF!,6,FALSE)</f>
        <v>#REF!</v>
      </c>
      <c r="L1229" s="1">
        <v>44656.246527773823</v>
      </c>
      <c r="M1229" s="13"/>
    </row>
    <row r="1230" spans="2:13">
      <c r="B1230" s="5"/>
      <c r="C1230" s="6" t="e">
        <f>VLOOKUP($B1230,#REF!,5,FALSE)</f>
        <v>#REF!</v>
      </c>
      <c r="D1230" s="6" t="e">
        <f>VLOOKUP($B1230,#REF!,6,FALSE)</f>
        <v>#REF!</v>
      </c>
      <c r="E1230" s="7" t="e">
        <f>VLOOKUP($B1230,#REF!,17,FALSE)</f>
        <v>#REF!</v>
      </c>
      <c r="F1230" s="8" t="e">
        <f>VLOOKUP($B1230,#REF!,7,FALSE)</f>
        <v>#REF!</v>
      </c>
      <c r="G1230" s="8"/>
      <c r="H1230" s="8"/>
      <c r="I1230" s="9" t="e">
        <f>VLOOKUP($B1230,#REF!,19,FALSE)</f>
        <v>#REF!</v>
      </c>
      <c r="J1230" s="9" t="e">
        <f>VLOOKUP($B1230,#REF!,6,FALSE)</f>
        <v>#REF!</v>
      </c>
      <c r="L1230" s="1">
        <v>44656.249999996042</v>
      </c>
      <c r="M1230" s="13"/>
    </row>
    <row r="1231" spans="2:13">
      <c r="B1231" s="5"/>
      <c r="C1231" s="6" t="e">
        <f>VLOOKUP($B1231,#REF!,5,FALSE)</f>
        <v>#REF!</v>
      </c>
      <c r="D1231" s="6" t="e">
        <f>VLOOKUP($B1231,#REF!,6,FALSE)</f>
        <v>#REF!</v>
      </c>
      <c r="E1231" s="7" t="e">
        <f>VLOOKUP($B1231,#REF!,17,FALSE)</f>
        <v>#REF!</v>
      </c>
      <c r="F1231" s="8" t="e">
        <f>VLOOKUP($B1231,#REF!,7,FALSE)</f>
        <v>#REF!</v>
      </c>
      <c r="G1231" s="8"/>
      <c r="H1231" s="8"/>
      <c r="I1231" s="9" t="e">
        <f>VLOOKUP($B1231,#REF!,19,FALSE)</f>
        <v>#REF!</v>
      </c>
      <c r="J1231" s="9" t="e">
        <f>VLOOKUP($B1231,#REF!,6,FALSE)</f>
        <v>#REF!</v>
      </c>
      <c r="L1231" s="1">
        <v>44656.253472218261</v>
      </c>
      <c r="M1231" s="13"/>
    </row>
    <row r="1232" spans="2:13">
      <c r="B1232" s="5"/>
      <c r="C1232" s="6" t="e">
        <f>VLOOKUP($B1232,#REF!,5,FALSE)</f>
        <v>#REF!</v>
      </c>
      <c r="D1232" s="6" t="e">
        <f>VLOOKUP($B1232,#REF!,6,FALSE)</f>
        <v>#REF!</v>
      </c>
      <c r="E1232" s="7" t="e">
        <f>VLOOKUP($B1232,#REF!,17,FALSE)</f>
        <v>#REF!</v>
      </c>
      <c r="F1232" s="8" t="e">
        <f>VLOOKUP($B1232,#REF!,7,FALSE)</f>
        <v>#REF!</v>
      </c>
      <c r="G1232" s="8"/>
      <c r="H1232" s="8"/>
      <c r="I1232" s="9" t="e">
        <f>VLOOKUP($B1232,#REF!,19,FALSE)</f>
        <v>#REF!</v>
      </c>
      <c r="J1232" s="9" t="e">
        <f>VLOOKUP($B1232,#REF!,6,FALSE)</f>
        <v>#REF!</v>
      </c>
      <c r="L1232" s="1">
        <v>44656.25694444048</v>
      </c>
      <c r="M1232" s="13"/>
    </row>
    <row r="1233" spans="2:13">
      <c r="B1233" s="5"/>
      <c r="C1233" s="6" t="e">
        <f>VLOOKUP($B1233,#REF!,5,FALSE)</f>
        <v>#REF!</v>
      </c>
      <c r="D1233" s="6" t="e">
        <f>VLOOKUP($B1233,#REF!,6,FALSE)</f>
        <v>#REF!</v>
      </c>
      <c r="E1233" s="7" t="e">
        <f>VLOOKUP($B1233,#REF!,17,FALSE)</f>
        <v>#REF!</v>
      </c>
      <c r="F1233" s="8" t="e">
        <f>VLOOKUP($B1233,#REF!,7,FALSE)</f>
        <v>#REF!</v>
      </c>
      <c r="G1233" s="8"/>
      <c r="H1233" s="8"/>
      <c r="I1233" s="9" t="e">
        <f>VLOOKUP($B1233,#REF!,19,FALSE)</f>
        <v>#REF!</v>
      </c>
      <c r="J1233" s="9" t="e">
        <f>VLOOKUP($B1233,#REF!,6,FALSE)</f>
        <v>#REF!</v>
      </c>
      <c r="L1233" s="1">
        <v>44656.260416662699</v>
      </c>
      <c r="M1233" s="13"/>
    </row>
    <row r="1234" spans="2:13">
      <c r="B1234" s="5"/>
      <c r="C1234" s="6" t="e">
        <f>VLOOKUP($B1234,#REF!,5,FALSE)</f>
        <v>#REF!</v>
      </c>
      <c r="D1234" s="6" t="e">
        <f>VLOOKUP($B1234,#REF!,6,FALSE)</f>
        <v>#REF!</v>
      </c>
      <c r="E1234" s="7" t="e">
        <f>VLOOKUP($B1234,#REF!,17,FALSE)</f>
        <v>#REF!</v>
      </c>
      <c r="F1234" s="8" t="e">
        <f>VLOOKUP($B1234,#REF!,7,FALSE)</f>
        <v>#REF!</v>
      </c>
      <c r="G1234" s="8"/>
      <c r="H1234" s="8"/>
      <c r="I1234" s="9" t="e">
        <f>VLOOKUP($B1234,#REF!,19,FALSE)</f>
        <v>#REF!</v>
      </c>
      <c r="J1234" s="9" t="e">
        <f>VLOOKUP($B1234,#REF!,6,FALSE)</f>
        <v>#REF!</v>
      </c>
      <c r="L1234" s="1">
        <v>44656.263888884918</v>
      </c>
      <c r="M1234" s="13"/>
    </row>
    <row r="1235" spans="2:13">
      <c r="B1235" s="5"/>
      <c r="C1235" s="6" t="e">
        <f>VLOOKUP($B1235,#REF!,5,FALSE)</f>
        <v>#REF!</v>
      </c>
      <c r="D1235" s="6" t="e">
        <f>VLOOKUP($B1235,#REF!,6,FALSE)</f>
        <v>#REF!</v>
      </c>
      <c r="E1235" s="7" t="e">
        <f>VLOOKUP($B1235,#REF!,17,FALSE)</f>
        <v>#REF!</v>
      </c>
      <c r="F1235" s="8" t="e">
        <f>VLOOKUP($B1235,#REF!,7,FALSE)</f>
        <v>#REF!</v>
      </c>
      <c r="G1235" s="8"/>
      <c r="H1235" s="8"/>
      <c r="I1235" s="9" t="e">
        <f>VLOOKUP($B1235,#REF!,19,FALSE)</f>
        <v>#REF!</v>
      </c>
      <c r="J1235" s="9" t="e">
        <f>VLOOKUP($B1235,#REF!,6,FALSE)</f>
        <v>#REF!</v>
      </c>
      <c r="L1235" s="1">
        <v>44656.267361107137</v>
      </c>
      <c r="M1235" s="13"/>
    </row>
    <row r="1236" spans="2:13">
      <c r="B1236" s="5"/>
      <c r="C1236" s="6" t="e">
        <f>VLOOKUP($B1236,#REF!,5,FALSE)</f>
        <v>#REF!</v>
      </c>
      <c r="D1236" s="6" t="e">
        <f>VLOOKUP($B1236,#REF!,6,FALSE)</f>
        <v>#REF!</v>
      </c>
      <c r="E1236" s="7" t="e">
        <f>VLOOKUP($B1236,#REF!,17,FALSE)</f>
        <v>#REF!</v>
      </c>
      <c r="F1236" s="8" t="e">
        <f>VLOOKUP($B1236,#REF!,7,FALSE)</f>
        <v>#REF!</v>
      </c>
      <c r="G1236" s="8"/>
      <c r="H1236" s="8"/>
      <c r="I1236" s="9" t="e">
        <f>VLOOKUP($B1236,#REF!,19,FALSE)</f>
        <v>#REF!</v>
      </c>
      <c r="J1236" s="9" t="e">
        <f>VLOOKUP($B1236,#REF!,6,FALSE)</f>
        <v>#REF!</v>
      </c>
      <c r="L1236" s="1">
        <v>44656.270833329356</v>
      </c>
      <c r="M1236" s="13"/>
    </row>
    <row r="1237" spans="2:13">
      <c r="B1237" s="5"/>
      <c r="C1237" s="6" t="e">
        <f>VLOOKUP($B1237,#REF!,5,FALSE)</f>
        <v>#REF!</v>
      </c>
      <c r="D1237" s="6" t="e">
        <f>VLOOKUP($B1237,#REF!,6,FALSE)</f>
        <v>#REF!</v>
      </c>
      <c r="E1237" s="7" t="e">
        <f>VLOOKUP($B1237,#REF!,17,FALSE)</f>
        <v>#REF!</v>
      </c>
      <c r="F1237" s="8" t="e">
        <f>VLOOKUP($B1237,#REF!,7,FALSE)</f>
        <v>#REF!</v>
      </c>
      <c r="G1237" s="8"/>
      <c r="H1237" s="8"/>
      <c r="I1237" s="9" t="e">
        <f>VLOOKUP($B1237,#REF!,19,FALSE)</f>
        <v>#REF!</v>
      </c>
      <c r="J1237" s="9" t="e">
        <f>VLOOKUP($B1237,#REF!,6,FALSE)</f>
        <v>#REF!</v>
      </c>
      <c r="L1237" s="1">
        <v>44656.274305551575</v>
      </c>
      <c r="M1237" s="13"/>
    </row>
    <row r="1238" spans="2:13">
      <c r="B1238" s="5"/>
      <c r="C1238" s="6" t="e">
        <f>VLOOKUP($B1238,#REF!,5,FALSE)</f>
        <v>#REF!</v>
      </c>
      <c r="D1238" s="6" t="e">
        <f>VLOOKUP($B1238,#REF!,6,FALSE)</f>
        <v>#REF!</v>
      </c>
      <c r="E1238" s="7" t="e">
        <f>VLOOKUP($B1238,#REF!,17,FALSE)</f>
        <v>#REF!</v>
      </c>
      <c r="F1238" s="8" t="e">
        <f>VLOOKUP($B1238,#REF!,7,FALSE)</f>
        <v>#REF!</v>
      </c>
      <c r="G1238" s="8"/>
      <c r="H1238" s="8"/>
      <c r="I1238" s="9" t="e">
        <f>VLOOKUP($B1238,#REF!,19,FALSE)</f>
        <v>#REF!</v>
      </c>
      <c r="J1238" s="9" t="e">
        <f>VLOOKUP($B1238,#REF!,6,FALSE)</f>
        <v>#REF!</v>
      </c>
      <c r="L1238" s="1">
        <v>44656.277777773794</v>
      </c>
      <c r="M1238" s="13"/>
    </row>
    <row r="1239" spans="2:13">
      <c r="B1239" s="5"/>
      <c r="C1239" s="6" t="e">
        <f>VLOOKUP($B1239,#REF!,5,FALSE)</f>
        <v>#REF!</v>
      </c>
      <c r="D1239" s="6" t="e">
        <f>VLOOKUP($B1239,#REF!,6,FALSE)</f>
        <v>#REF!</v>
      </c>
      <c r="E1239" s="7" t="e">
        <f>VLOOKUP($B1239,#REF!,17,FALSE)</f>
        <v>#REF!</v>
      </c>
      <c r="F1239" s="8" t="e">
        <f>VLOOKUP($B1239,#REF!,7,FALSE)</f>
        <v>#REF!</v>
      </c>
      <c r="G1239" s="8"/>
      <c r="H1239" s="8"/>
      <c r="I1239" s="9" t="e">
        <f>VLOOKUP($B1239,#REF!,19,FALSE)</f>
        <v>#REF!</v>
      </c>
      <c r="J1239" s="9" t="e">
        <f>VLOOKUP($B1239,#REF!,6,FALSE)</f>
        <v>#REF!</v>
      </c>
      <c r="L1239" s="1">
        <v>44656.281249996013</v>
      </c>
      <c r="M1239" s="13"/>
    </row>
    <row r="1240" spans="2:13">
      <c r="B1240" s="5"/>
      <c r="C1240" s="6" t="e">
        <f>VLOOKUP($B1240,#REF!,5,FALSE)</f>
        <v>#REF!</v>
      </c>
      <c r="D1240" s="6" t="e">
        <f>VLOOKUP($B1240,#REF!,6,FALSE)</f>
        <v>#REF!</v>
      </c>
      <c r="E1240" s="7" t="e">
        <f>VLOOKUP($B1240,#REF!,17,FALSE)</f>
        <v>#REF!</v>
      </c>
      <c r="F1240" s="8" t="e">
        <f>VLOOKUP($B1240,#REF!,7,FALSE)</f>
        <v>#REF!</v>
      </c>
      <c r="G1240" s="8"/>
      <c r="H1240" s="8"/>
      <c r="I1240" s="9" t="e">
        <f>VLOOKUP($B1240,#REF!,19,FALSE)</f>
        <v>#REF!</v>
      </c>
      <c r="J1240" s="9" t="e">
        <f>VLOOKUP($B1240,#REF!,6,FALSE)</f>
        <v>#REF!</v>
      </c>
      <c r="L1240" s="1">
        <v>44656.284722218232</v>
      </c>
      <c r="M1240" s="13"/>
    </row>
    <row r="1241" spans="2:13">
      <c r="B1241" s="5"/>
      <c r="C1241" s="6" t="e">
        <f>VLOOKUP($B1241,#REF!,5,FALSE)</f>
        <v>#REF!</v>
      </c>
      <c r="D1241" s="6" t="e">
        <f>VLOOKUP($B1241,#REF!,6,FALSE)</f>
        <v>#REF!</v>
      </c>
      <c r="E1241" s="7" t="e">
        <f>VLOOKUP($B1241,#REF!,17,FALSE)</f>
        <v>#REF!</v>
      </c>
      <c r="F1241" s="8" t="e">
        <f>VLOOKUP($B1241,#REF!,7,FALSE)</f>
        <v>#REF!</v>
      </c>
      <c r="G1241" s="8"/>
      <c r="H1241" s="8"/>
      <c r="I1241" s="9" t="e">
        <f>VLOOKUP($B1241,#REF!,19,FALSE)</f>
        <v>#REF!</v>
      </c>
      <c r="J1241" s="9" t="e">
        <f>VLOOKUP($B1241,#REF!,6,FALSE)</f>
        <v>#REF!</v>
      </c>
      <c r="L1241" s="1">
        <v>44656.288194440451</v>
      </c>
      <c r="M1241" s="13"/>
    </row>
    <row r="1242" spans="2:13">
      <c r="B1242" s="5"/>
      <c r="C1242" s="6" t="e">
        <f>VLOOKUP($B1242,#REF!,5,FALSE)</f>
        <v>#REF!</v>
      </c>
      <c r="D1242" s="6" t="e">
        <f>VLOOKUP($B1242,#REF!,6,FALSE)</f>
        <v>#REF!</v>
      </c>
      <c r="E1242" s="7" t="e">
        <f>VLOOKUP($B1242,#REF!,17,FALSE)</f>
        <v>#REF!</v>
      </c>
      <c r="F1242" s="8" t="e">
        <f>VLOOKUP($B1242,#REF!,7,FALSE)</f>
        <v>#REF!</v>
      </c>
      <c r="G1242" s="8"/>
      <c r="H1242" s="8"/>
      <c r="I1242" s="9" t="e">
        <f>VLOOKUP($B1242,#REF!,19,FALSE)</f>
        <v>#REF!</v>
      </c>
      <c r="J1242" s="9" t="e">
        <f>VLOOKUP($B1242,#REF!,6,FALSE)</f>
        <v>#REF!</v>
      </c>
      <c r="L1242" s="1">
        <v>44656.29166666267</v>
      </c>
      <c r="M1242" s="13"/>
    </row>
    <row r="1243" spans="2:13">
      <c r="B1243" s="5"/>
      <c r="C1243" s="6" t="e">
        <f>VLOOKUP($B1243,#REF!,5,FALSE)</f>
        <v>#REF!</v>
      </c>
      <c r="D1243" s="6" t="e">
        <f>VLOOKUP($B1243,#REF!,6,FALSE)</f>
        <v>#REF!</v>
      </c>
      <c r="E1243" s="7" t="e">
        <f>VLOOKUP($B1243,#REF!,17,FALSE)</f>
        <v>#REF!</v>
      </c>
      <c r="F1243" s="8" t="e">
        <f>VLOOKUP($B1243,#REF!,7,FALSE)</f>
        <v>#REF!</v>
      </c>
      <c r="G1243" s="8"/>
      <c r="H1243" s="8"/>
      <c r="I1243" s="9" t="e">
        <f>VLOOKUP($B1243,#REF!,19,FALSE)</f>
        <v>#REF!</v>
      </c>
      <c r="J1243" s="9" t="e">
        <f>VLOOKUP($B1243,#REF!,6,FALSE)</f>
        <v>#REF!</v>
      </c>
      <c r="L1243" s="1">
        <v>44656.295138884889</v>
      </c>
      <c r="M1243" s="13"/>
    </row>
    <row r="1244" spans="2:13">
      <c r="B1244" s="5"/>
      <c r="C1244" s="6" t="e">
        <f>VLOOKUP($B1244,#REF!,5,FALSE)</f>
        <v>#REF!</v>
      </c>
      <c r="D1244" s="6" t="e">
        <f>VLOOKUP($B1244,#REF!,6,FALSE)</f>
        <v>#REF!</v>
      </c>
      <c r="E1244" s="7" t="e">
        <f>VLOOKUP($B1244,#REF!,17,FALSE)</f>
        <v>#REF!</v>
      </c>
      <c r="F1244" s="8" t="e">
        <f>VLOOKUP($B1244,#REF!,7,FALSE)</f>
        <v>#REF!</v>
      </c>
      <c r="G1244" s="8"/>
      <c r="H1244" s="8"/>
      <c r="I1244" s="9" t="e">
        <f>VLOOKUP($B1244,#REF!,19,FALSE)</f>
        <v>#REF!</v>
      </c>
      <c r="J1244" s="9" t="e">
        <f>VLOOKUP($B1244,#REF!,6,FALSE)</f>
        <v>#REF!</v>
      </c>
      <c r="L1244" s="1">
        <v>44656.298611107108</v>
      </c>
      <c r="M1244" s="13"/>
    </row>
    <row r="1245" spans="2:13">
      <c r="B1245" s="5"/>
      <c r="C1245" s="6" t="e">
        <f>VLOOKUP($B1245,#REF!,5,FALSE)</f>
        <v>#REF!</v>
      </c>
      <c r="D1245" s="6" t="e">
        <f>VLOOKUP($B1245,#REF!,6,FALSE)</f>
        <v>#REF!</v>
      </c>
      <c r="E1245" s="7" t="e">
        <f>VLOOKUP($B1245,#REF!,17,FALSE)</f>
        <v>#REF!</v>
      </c>
      <c r="F1245" s="8" t="e">
        <f>VLOOKUP($B1245,#REF!,7,FALSE)</f>
        <v>#REF!</v>
      </c>
      <c r="G1245" s="8"/>
      <c r="H1245" s="8"/>
      <c r="I1245" s="9" t="e">
        <f>VLOOKUP($B1245,#REF!,19,FALSE)</f>
        <v>#REF!</v>
      </c>
      <c r="J1245" s="9" t="e">
        <f>VLOOKUP($B1245,#REF!,6,FALSE)</f>
        <v>#REF!</v>
      </c>
      <c r="L1245" s="1">
        <v>44656.302083329327</v>
      </c>
      <c r="M1245" s="13"/>
    </row>
    <row r="1246" spans="2:13">
      <c r="B1246" s="5"/>
      <c r="C1246" s="6" t="e">
        <f>VLOOKUP($B1246,#REF!,5,FALSE)</f>
        <v>#REF!</v>
      </c>
      <c r="D1246" s="6" t="e">
        <f>VLOOKUP($B1246,#REF!,6,FALSE)</f>
        <v>#REF!</v>
      </c>
      <c r="E1246" s="7" t="e">
        <f>VLOOKUP($B1246,#REF!,17,FALSE)</f>
        <v>#REF!</v>
      </c>
      <c r="F1246" s="8" t="e">
        <f>VLOOKUP($B1246,#REF!,7,FALSE)</f>
        <v>#REF!</v>
      </c>
      <c r="G1246" s="8"/>
      <c r="H1246" s="8"/>
      <c r="I1246" s="9" t="e">
        <f>VLOOKUP($B1246,#REF!,19,FALSE)</f>
        <v>#REF!</v>
      </c>
      <c r="J1246" s="9" t="e">
        <f>VLOOKUP($B1246,#REF!,6,FALSE)</f>
        <v>#REF!</v>
      </c>
      <c r="L1246" s="1">
        <v>44656.305555551546</v>
      </c>
      <c r="M1246" s="13"/>
    </row>
    <row r="1247" spans="2:13">
      <c r="B1247" s="5"/>
      <c r="C1247" s="6" t="e">
        <f>VLOOKUP($B1247,#REF!,5,FALSE)</f>
        <v>#REF!</v>
      </c>
      <c r="D1247" s="6" t="e">
        <f>VLOOKUP($B1247,#REF!,6,FALSE)</f>
        <v>#REF!</v>
      </c>
      <c r="E1247" s="7" t="e">
        <f>VLOOKUP($B1247,#REF!,17,FALSE)</f>
        <v>#REF!</v>
      </c>
      <c r="F1247" s="8" t="e">
        <f>VLOOKUP($B1247,#REF!,7,FALSE)</f>
        <v>#REF!</v>
      </c>
      <c r="G1247" s="8"/>
      <c r="H1247" s="8"/>
      <c r="I1247" s="9" t="e">
        <f>VLOOKUP($B1247,#REF!,19,FALSE)</f>
        <v>#REF!</v>
      </c>
      <c r="J1247" s="9" t="e">
        <f>VLOOKUP($B1247,#REF!,6,FALSE)</f>
        <v>#REF!</v>
      </c>
      <c r="L1247" s="1">
        <v>44656.309027773765</v>
      </c>
      <c r="M1247" s="13"/>
    </row>
    <row r="1248" spans="2:13">
      <c r="B1248" s="5"/>
      <c r="C1248" s="6" t="e">
        <f>VLOOKUP($B1248,#REF!,5,FALSE)</f>
        <v>#REF!</v>
      </c>
      <c r="D1248" s="6" t="e">
        <f>VLOOKUP($B1248,#REF!,6,FALSE)</f>
        <v>#REF!</v>
      </c>
      <c r="E1248" s="7" t="e">
        <f>VLOOKUP($B1248,#REF!,17,FALSE)</f>
        <v>#REF!</v>
      </c>
      <c r="F1248" s="8" t="e">
        <f>VLOOKUP($B1248,#REF!,7,FALSE)</f>
        <v>#REF!</v>
      </c>
      <c r="G1248" s="8"/>
      <c r="H1248" s="8"/>
      <c r="I1248" s="9" t="e">
        <f>VLOOKUP($B1248,#REF!,19,FALSE)</f>
        <v>#REF!</v>
      </c>
      <c r="J1248" s="9" t="e">
        <f>VLOOKUP($B1248,#REF!,6,FALSE)</f>
        <v>#REF!</v>
      </c>
      <c r="L1248" s="1">
        <v>44656.312499995984</v>
      </c>
      <c r="M1248" s="13"/>
    </row>
    <row r="1249" spans="2:13">
      <c r="B1249" s="5"/>
      <c r="C1249" s="6" t="e">
        <f>VLOOKUP($B1249,#REF!,5,FALSE)</f>
        <v>#REF!</v>
      </c>
      <c r="D1249" s="6" t="e">
        <f>VLOOKUP($B1249,#REF!,6,FALSE)</f>
        <v>#REF!</v>
      </c>
      <c r="E1249" s="7" t="e">
        <f>VLOOKUP($B1249,#REF!,17,FALSE)</f>
        <v>#REF!</v>
      </c>
      <c r="F1249" s="8" t="e">
        <f>VLOOKUP($B1249,#REF!,7,FALSE)</f>
        <v>#REF!</v>
      </c>
      <c r="G1249" s="8"/>
      <c r="H1249" s="8"/>
      <c r="I1249" s="9" t="e">
        <f>VLOOKUP($B1249,#REF!,19,FALSE)</f>
        <v>#REF!</v>
      </c>
      <c r="J1249" s="9" t="e">
        <f>VLOOKUP($B1249,#REF!,6,FALSE)</f>
        <v>#REF!</v>
      </c>
      <c r="L1249" s="1">
        <v>44656.315972218203</v>
      </c>
      <c r="M1249" s="13"/>
    </row>
    <row r="1250" spans="2:13">
      <c r="B1250" s="5"/>
      <c r="C1250" s="6" t="e">
        <f>VLOOKUP($B1250,#REF!,5,FALSE)</f>
        <v>#REF!</v>
      </c>
      <c r="D1250" s="6" t="e">
        <f>VLOOKUP($B1250,#REF!,6,FALSE)</f>
        <v>#REF!</v>
      </c>
      <c r="E1250" s="7" t="e">
        <f>VLOOKUP($B1250,#REF!,17,FALSE)</f>
        <v>#REF!</v>
      </c>
      <c r="F1250" s="8" t="e">
        <f>VLOOKUP($B1250,#REF!,7,FALSE)</f>
        <v>#REF!</v>
      </c>
      <c r="G1250" s="8"/>
      <c r="H1250" s="8"/>
      <c r="I1250" s="9" t="e">
        <f>VLOOKUP($B1250,#REF!,19,FALSE)</f>
        <v>#REF!</v>
      </c>
      <c r="J1250" s="9" t="e">
        <f>VLOOKUP($B1250,#REF!,6,FALSE)</f>
        <v>#REF!</v>
      </c>
      <c r="L1250" s="1">
        <v>44656.319444440422</v>
      </c>
      <c r="M1250" s="13"/>
    </row>
    <row r="1251" spans="2:13">
      <c r="B1251" s="5"/>
      <c r="C1251" s="6" t="e">
        <f>VLOOKUP($B1251,#REF!,5,FALSE)</f>
        <v>#REF!</v>
      </c>
      <c r="D1251" s="6" t="e">
        <f>VLOOKUP($B1251,#REF!,6,FALSE)</f>
        <v>#REF!</v>
      </c>
      <c r="E1251" s="7" t="e">
        <f>VLOOKUP($B1251,#REF!,17,FALSE)</f>
        <v>#REF!</v>
      </c>
      <c r="F1251" s="8" t="e">
        <f>VLOOKUP($B1251,#REF!,7,FALSE)</f>
        <v>#REF!</v>
      </c>
      <c r="G1251" s="8"/>
      <c r="H1251" s="8"/>
      <c r="I1251" s="9" t="e">
        <f>VLOOKUP($B1251,#REF!,19,FALSE)</f>
        <v>#REF!</v>
      </c>
      <c r="J1251" s="9" t="e">
        <f>VLOOKUP($B1251,#REF!,6,FALSE)</f>
        <v>#REF!</v>
      </c>
      <c r="L1251" s="1">
        <v>44656.322916662641</v>
      </c>
      <c r="M1251" s="13"/>
    </row>
    <row r="1252" spans="2:13">
      <c r="B1252" s="5"/>
      <c r="C1252" s="6" t="e">
        <f>VLOOKUP($B1252,#REF!,5,FALSE)</f>
        <v>#REF!</v>
      </c>
      <c r="D1252" s="6" t="e">
        <f>VLOOKUP($B1252,#REF!,6,FALSE)</f>
        <v>#REF!</v>
      </c>
      <c r="E1252" s="7" t="e">
        <f>VLOOKUP($B1252,#REF!,17,FALSE)</f>
        <v>#REF!</v>
      </c>
      <c r="F1252" s="8" t="e">
        <f>VLOOKUP($B1252,#REF!,7,FALSE)</f>
        <v>#REF!</v>
      </c>
      <c r="G1252" s="8"/>
      <c r="H1252" s="8"/>
      <c r="I1252" s="9" t="e">
        <f>VLOOKUP($B1252,#REF!,19,FALSE)</f>
        <v>#REF!</v>
      </c>
      <c r="J1252" s="9" t="e">
        <f>VLOOKUP($B1252,#REF!,6,FALSE)</f>
        <v>#REF!</v>
      </c>
      <c r="L1252" s="1">
        <v>44656.32638888486</v>
      </c>
      <c r="M1252" s="13"/>
    </row>
    <row r="1253" spans="2:13">
      <c r="B1253" s="5"/>
      <c r="C1253" s="6" t="e">
        <f>VLOOKUP($B1253,#REF!,5,FALSE)</f>
        <v>#REF!</v>
      </c>
      <c r="D1253" s="6" t="e">
        <f>VLOOKUP($B1253,#REF!,6,FALSE)</f>
        <v>#REF!</v>
      </c>
      <c r="E1253" s="7" t="e">
        <f>VLOOKUP($B1253,#REF!,17,FALSE)</f>
        <v>#REF!</v>
      </c>
      <c r="F1253" s="8" t="e">
        <f>VLOOKUP($B1253,#REF!,7,FALSE)</f>
        <v>#REF!</v>
      </c>
      <c r="G1253" s="8"/>
      <c r="H1253" s="8"/>
      <c r="I1253" s="9" t="e">
        <f>VLOOKUP($B1253,#REF!,19,FALSE)</f>
        <v>#REF!</v>
      </c>
      <c r="J1253" s="9" t="e">
        <f>VLOOKUP($B1253,#REF!,6,FALSE)</f>
        <v>#REF!</v>
      </c>
      <c r="L1253" s="1">
        <v>44656.329861107079</v>
      </c>
      <c r="M1253" s="13"/>
    </row>
    <row r="1254" spans="2:13">
      <c r="B1254" s="5"/>
      <c r="C1254" s="6" t="e">
        <f>VLOOKUP($B1254,#REF!,5,FALSE)</f>
        <v>#REF!</v>
      </c>
      <c r="D1254" s="6" t="e">
        <f>VLOOKUP($B1254,#REF!,6,FALSE)</f>
        <v>#REF!</v>
      </c>
      <c r="E1254" s="7" t="e">
        <f>VLOOKUP($B1254,#REF!,17,FALSE)</f>
        <v>#REF!</v>
      </c>
      <c r="F1254" s="8" t="e">
        <f>VLOOKUP($B1254,#REF!,7,FALSE)</f>
        <v>#REF!</v>
      </c>
      <c r="G1254" s="8"/>
      <c r="H1254" s="8"/>
      <c r="I1254" s="9" t="e">
        <f>VLOOKUP($B1254,#REF!,19,FALSE)</f>
        <v>#REF!</v>
      </c>
      <c r="J1254" s="9" t="e">
        <f>VLOOKUP($B1254,#REF!,6,FALSE)</f>
        <v>#REF!</v>
      </c>
      <c r="L1254" s="1">
        <v>44656.333333329298</v>
      </c>
      <c r="M1254" s="13"/>
    </row>
    <row r="1255" spans="2:13">
      <c r="B1255" s="5"/>
      <c r="C1255" s="6" t="e">
        <f>VLOOKUP($B1255,#REF!,5,FALSE)</f>
        <v>#REF!</v>
      </c>
      <c r="D1255" s="6" t="e">
        <f>VLOOKUP($B1255,#REF!,6,FALSE)</f>
        <v>#REF!</v>
      </c>
      <c r="E1255" s="7" t="e">
        <f>VLOOKUP($B1255,#REF!,17,FALSE)</f>
        <v>#REF!</v>
      </c>
      <c r="F1255" s="8" t="e">
        <f>VLOOKUP($B1255,#REF!,7,FALSE)</f>
        <v>#REF!</v>
      </c>
      <c r="G1255" s="8"/>
      <c r="H1255" s="8"/>
      <c r="I1255" s="9" t="e">
        <f>VLOOKUP($B1255,#REF!,19,FALSE)</f>
        <v>#REF!</v>
      </c>
      <c r="J1255" s="9" t="e">
        <f>VLOOKUP($B1255,#REF!,6,FALSE)</f>
        <v>#REF!</v>
      </c>
      <c r="L1255" s="1">
        <v>44656.336805551517</v>
      </c>
      <c r="M1255" s="13"/>
    </row>
    <row r="1256" spans="2:13">
      <c r="B1256" s="5"/>
      <c r="C1256" s="6" t="e">
        <f>VLOOKUP($B1256,#REF!,5,FALSE)</f>
        <v>#REF!</v>
      </c>
      <c r="D1256" s="6" t="e">
        <f>VLOOKUP($B1256,#REF!,6,FALSE)</f>
        <v>#REF!</v>
      </c>
      <c r="E1256" s="7" t="e">
        <f>VLOOKUP($B1256,#REF!,17,FALSE)</f>
        <v>#REF!</v>
      </c>
      <c r="F1256" s="8" t="e">
        <f>VLOOKUP($B1256,#REF!,7,FALSE)</f>
        <v>#REF!</v>
      </c>
      <c r="G1256" s="8"/>
      <c r="H1256" s="8"/>
      <c r="I1256" s="9" t="e">
        <f>VLOOKUP($B1256,#REF!,19,FALSE)</f>
        <v>#REF!</v>
      </c>
      <c r="J1256" s="9" t="e">
        <f>VLOOKUP($B1256,#REF!,6,FALSE)</f>
        <v>#REF!</v>
      </c>
      <c r="L1256" s="1">
        <v>44656.340277773736</v>
      </c>
      <c r="M1256" s="13"/>
    </row>
    <row r="1257" spans="2:13">
      <c r="B1257" s="5"/>
      <c r="C1257" s="6" t="e">
        <f>VLOOKUP($B1257,#REF!,5,FALSE)</f>
        <v>#REF!</v>
      </c>
      <c r="D1257" s="6" t="e">
        <f>VLOOKUP($B1257,#REF!,6,FALSE)</f>
        <v>#REF!</v>
      </c>
      <c r="E1257" s="7" t="e">
        <f>VLOOKUP($B1257,#REF!,17,FALSE)</f>
        <v>#REF!</v>
      </c>
      <c r="F1257" s="8" t="e">
        <f>VLOOKUP($B1257,#REF!,7,FALSE)</f>
        <v>#REF!</v>
      </c>
      <c r="G1257" s="8"/>
      <c r="H1257" s="8"/>
      <c r="I1257" s="9" t="e">
        <f>VLOOKUP($B1257,#REF!,19,FALSE)</f>
        <v>#REF!</v>
      </c>
      <c r="J1257" s="9" t="e">
        <f>VLOOKUP($B1257,#REF!,6,FALSE)</f>
        <v>#REF!</v>
      </c>
      <c r="L1257" s="1">
        <v>44656.343749995955</v>
      </c>
      <c r="M1257" s="13"/>
    </row>
    <row r="1258" spans="2:13">
      <c r="B1258" s="5"/>
      <c r="C1258" s="6" t="e">
        <f>VLOOKUP($B1258,#REF!,5,FALSE)</f>
        <v>#REF!</v>
      </c>
      <c r="D1258" s="6" t="e">
        <f>VLOOKUP($B1258,#REF!,6,FALSE)</f>
        <v>#REF!</v>
      </c>
      <c r="E1258" s="7" t="e">
        <f>VLOOKUP($B1258,#REF!,17,FALSE)</f>
        <v>#REF!</v>
      </c>
      <c r="F1258" s="8" t="e">
        <f>VLOOKUP($B1258,#REF!,7,FALSE)</f>
        <v>#REF!</v>
      </c>
      <c r="G1258" s="8"/>
      <c r="H1258" s="8"/>
      <c r="I1258" s="9" t="e">
        <f>VLOOKUP($B1258,#REF!,19,FALSE)</f>
        <v>#REF!</v>
      </c>
      <c r="J1258" s="9" t="e">
        <f>VLOOKUP($B1258,#REF!,6,FALSE)</f>
        <v>#REF!</v>
      </c>
      <c r="L1258" s="1">
        <v>44656.347222218174</v>
      </c>
      <c r="M1258" s="13"/>
    </row>
    <row r="1259" spans="2:13">
      <c r="B1259" s="5"/>
      <c r="C1259" s="6" t="e">
        <f>VLOOKUP($B1259,#REF!,5,FALSE)</f>
        <v>#REF!</v>
      </c>
      <c r="D1259" s="6" t="e">
        <f>VLOOKUP($B1259,#REF!,6,FALSE)</f>
        <v>#REF!</v>
      </c>
      <c r="E1259" s="7" t="e">
        <f>VLOOKUP($B1259,#REF!,17,FALSE)</f>
        <v>#REF!</v>
      </c>
      <c r="F1259" s="8" t="e">
        <f>VLOOKUP($B1259,#REF!,7,FALSE)</f>
        <v>#REF!</v>
      </c>
      <c r="G1259" s="8"/>
      <c r="H1259" s="8"/>
      <c r="I1259" s="9" t="e">
        <f>VLOOKUP($B1259,#REF!,19,FALSE)</f>
        <v>#REF!</v>
      </c>
      <c r="J1259" s="9" t="e">
        <f>VLOOKUP($B1259,#REF!,6,FALSE)</f>
        <v>#REF!</v>
      </c>
      <c r="L1259" s="1">
        <v>44656.350694440393</v>
      </c>
      <c r="M1259" s="13"/>
    </row>
    <row r="1260" spans="2:13">
      <c r="B1260" s="5"/>
      <c r="C1260" s="6" t="e">
        <f>VLOOKUP($B1260,#REF!,5,FALSE)</f>
        <v>#REF!</v>
      </c>
      <c r="D1260" s="6" t="e">
        <f>VLOOKUP($B1260,#REF!,6,FALSE)</f>
        <v>#REF!</v>
      </c>
      <c r="E1260" s="7" t="e">
        <f>VLOOKUP($B1260,#REF!,17,FALSE)</f>
        <v>#REF!</v>
      </c>
      <c r="F1260" s="8" t="e">
        <f>VLOOKUP($B1260,#REF!,7,FALSE)</f>
        <v>#REF!</v>
      </c>
      <c r="G1260" s="8"/>
      <c r="H1260" s="8"/>
      <c r="I1260" s="9" t="e">
        <f>VLOOKUP($B1260,#REF!,19,FALSE)</f>
        <v>#REF!</v>
      </c>
      <c r="J1260" s="9" t="e">
        <f>VLOOKUP($B1260,#REF!,6,FALSE)</f>
        <v>#REF!</v>
      </c>
      <c r="L1260" s="1">
        <v>44656.354166662612</v>
      </c>
      <c r="M1260" s="13"/>
    </row>
    <row r="1261" spans="2:13">
      <c r="B1261" s="5"/>
      <c r="C1261" s="6" t="e">
        <f>VLOOKUP($B1261,#REF!,5,FALSE)</f>
        <v>#REF!</v>
      </c>
      <c r="D1261" s="6" t="e">
        <f>VLOOKUP($B1261,#REF!,6,FALSE)</f>
        <v>#REF!</v>
      </c>
      <c r="E1261" s="7" t="e">
        <f>VLOOKUP($B1261,#REF!,17,FALSE)</f>
        <v>#REF!</v>
      </c>
      <c r="F1261" s="8" t="e">
        <f>VLOOKUP($B1261,#REF!,7,FALSE)</f>
        <v>#REF!</v>
      </c>
      <c r="G1261" s="8"/>
      <c r="H1261" s="8"/>
      <c r="I1261" s="9" t="e">
        <f>VLOOKUP($B1261,#REF!,19,FALSE)</f>
        <v>#REF!</v>
      </c>
      <c r="J1261" s="9" t="e">
        <f>VLOOKUP($B1261,#REF!,6,FALSE)</f>
        <v>#REF!</v>
      </c>
      <c r="L1261" s="1">
        <v>44656.357638884831</v>
      </c>
      <c r="M1261" s="13"/>
    </row>
    <row r="1262" spans="2:13">
      <c r="B1262" s="5"/>
      <c r="C1262" s="6" t="e">
        <f>VLOOKUP($B1262,#REF!,5,FALSE)</f>
        <v>#REF!</v>
      </c>
      <c r="D1262" s="6" t="e">
        <f>VLOOKUP($B1262,#REF!,6,FALSE)</f>
        <v>#REF!</v>
      </c>
      <c r="E1262" s="7" t="e">
        <f>VLOOKUP($B1262,#REF!,17,FALSE)</f>
        <v>#REF!</v>
      </c>
      <c r="F1262" s="8" t="e">
        <f>VLOOKUP($B1262,#REF!,7,FALSE)</f>
        <v>#REF!</v>
      </c>
      <c r="G1262" s="8"/>
      <c r="H1262" s="8"/>
      <c r="I1262" s="9" t="e">
        <f>VLOOKUP($B1262,#REF!,19,FALSE)</f>
        <v>#REF!</v>
      </c>
      <c r="J1262" s="9" t="e">
        <f>VLOOKUP($B1262,#REF!,6,FALSE)</f>
        <v>#REF!</v>
      </c>
      <c r="L1262" s="1">
        <v>44656.36111110705</v>
      </c>
      <c r="M1262" s="13"/>
    </row>
    <row r="1263" spans="2:13">
      <c r="B1263" s="5"/>
      <c r="C1263" s="6" t="e">
        <f>VLOOKUP($B1263,#REF!,5,FALSE)</f>
        <v>#REF!</v>
      </c>
      <c r="D1263" s="6" t="e">
        <f>VLOOKUP($B1263,#REF!,6,FALSE)</f>
        <v>#REF!</v>
      </c>
      <c r="E1263" s="7" t="e">
        <f>VLOOKUP($B1263,#REF!,17,FALSE)</f>
        <v>#REF!</v>
      </c>
      <c r="F1263" s="8" t="e">
        <f>VLOOKUP($B1263,#REF!,7,FALSE)</f>
        <v>#REF!</v>
      </c>
      <c r="G1263" s="8"/>
      <c r="H1263" s="8"/>
      <c r="I1263" s="9" t="e">
        <f>VLOOKUP($B1263,#REF!,19,FALSE)</f>
        <v>#REF!</v>
      </c>
      <c r="J1263" s="9" t="e">
        <f>VLOOKUP($B1263,#REF!,6,FALSE)</f>
        <v>#REF!</v>
      </c>
      <c r="L1263" s="1">
        <v>44656.364583329268</v>
      </c>
      <c r="M1263" s="13"/>
    </row>
    <row r="1264" spans="2:13">
      <c r="B1264" s="5"/>
      <c r="C1264" s="6" t="e">
        <f>VLOOKUP($B1264,#REF!,5,FALSE)</f>
        <v>#REF!</v>
      </c>
      <c r="D1264" s="6" t="e">
        <f>VLOOKUP($B1264,#REF!,6,FALSE)</f>
        <v>#REF!</v>
      </c>
      <c r="E1264" s="7" t="e">
        <f>VLOOKUP($B1264,#REF!,17,FALSE)</f>
        <v>#REF!</v>
      </c>
      <c r="F1264" s="8" t="e">
        <f>VLOOKUP($B1264,#REF!,7,FALSE)</f>
        <v>#REF!</v>
      </c>
      <c r="G1264" s="8"/>
      <c r="H1264" s="8"/>
      <c r="I1264" s="9" t="e">
        <f>VLOOKUP($B1264,#REF!,19,FALSE)</f>
        <v>#REF!</v>
      </c>
      <c r="J1264" s="9" t="e">
        <f>VLOOKUP($B1264,#REF!,6,FALSE)</f>
        <v>#REF!</v>
      </c>
      <c r="L1264" s="1">
        <v>44656.368055551487</v>
      </c>
      <c r="M1264" s="13"/>
    </row>
    <row r="1265" spans="2:13">
      <c r="B1265" s="5"/>
      <c r="C1265" s="6" t="e">
        <f>VLOOKUP($B1265,#REF!,5,FALSE)</f>
        <v>#REF!</v>
      </c>
      <c r="D1265" s="6" t="e">
        <f>VLOOKUP($B1265,#REF!,6,FALSE)</f>
        <v>#REF!</v>
      </c>
      <c r="E1265" s="7" t="e">
        <f>VLOOKUP($B1265,#REF!,17,FALSE)</f>
        <v>#REF!</v>
      </c>
      <c r="F1265" s="8" t="e">
        <f>VLOOKUP($B1265,#REF!,7,FALSE)</f>
        <v>#REF!</v>
      </c>
      <c r="G1265" s="8"/>
      <c r="H1265" s="8"/>
      <c r="I1265" s="9" t="e">
        <f>VLOOKUP($B1265,#REF!,19,FALSE)</f>
        <v>#REF!</v>
      </c>
      <c r="J1265" s="9" t="e">
        <f>VLOOKUP($B1265,#REF!,6,FALSE)</f>
        <v>#REF!</v>
      </c>
      <c r="L1265" s="1">
        <v>44656.371527773706</v>
      </c>
      <c r="M1265" s="13"/>
    </row>
    <row r="1266" spans="2:13">
      <c r="B1266" s="5"/>
      <c r="C1266" s="6" t="e">
        <f>VLOOKUP($B1266,#REF!,5,FALSE)</f>
        <v>#REF!</v>
      </c>
      <c r="D1266" s="6" t="e">
        <f>VLOOKUP($B1266,#REF!,6,FALSE)</f>
        <v>#REF!</v>
      </c>
      <c r="E1266" s="7" t="e">
        <f>VLOOKUP($B1266,#REF!,17,FALSE)</f>
        <v>#REF!</v>
      </c>
      <c r="F1266" s="8" t="e">
        <f>VLOOKUP($B1266,#REF!,7,FALSE)</f>
        <v>#REF!</v>
      </c>
      <c r="G1266" s="8"/>
      <c r="H1266" s="8"/>
      <c r="I1266" s="9" t="e">
        <f>VLOOKUP($B1266,#REF!,19,FALSE)</f>
        <v>#REF!</v>
      </c>
      <c r="J1266" s="9" t="e">
        <f>VLOOKUP($B1266,#REF!,6,FALSE)</f>
        <v>#REF!</v>
      </c>
      <c r="L1266" s="1">
        <v>44656.374999995925</v>
      </c>
      <c r="M1266" s="13"/>
    </row>
    <row r="1267" spans="2:13">
      <c r="B1267" s="5"/>
      <c r="C1267" s="6" t="e">
        <f>VLOOKUP($B1267,#REF!,5,FALSE)</f>
        <v>#REF!</v>
      </c>
      <c r="D1267" s="6" t="e">
        <f>VLOOKUP($B1267,#REF!,6,FALSE)</f>
        <v>#REF!</v>
      </c>
      <c r="E1267" s="7" t="e">
        <f>VLOOKUP($B1267,#REF!,17,FALSE)</f>
        <v>#REF!</v>
      </c>
      <c r="F1267" s="8" t="e">
        <f>VLOOKUP($B1267,#REF!,7,FALSE)</f>
        <v>#REF!</v>
      </c>
      <c r="G1267" s="8"/>
      <c r="H1267" s="8"/>
      <c r="I1267" s="9" t="e">
        <f>VLOOKUP($B1267,#REF!,19,FALSE)</f>
        <v>#REF!</v>
      </c>
      <c r="J1267" s="9" t="e">
        <f>VLOOKUP($B1267,#REF!,6,FALSE)</f>
        <v>#REF!</v>
      </c>
      <c r="L1267" s="1">
        <v>44656.378472218144</v>
      </c>
      <c r="M1267" s="13"/>
    </row>
    <row r="1268" spans="2:13">
      <c r="B1268" s="5"/>
      <c r="C1268" s="6" t="e">
        <f>VLOOKUP($B1268,#REF!,5,FALSE)</f>
        <v>#REF!</v>
      </c>
      <c r="D1268" s="6" t="e">
        <f>VLOOKUP($B1268,#REF!,6,FALSE)</f>
        <v>#REF!</v>
      </c>
      <c r="E1268" s="7" t="e">
        <f>VLOOKUP($B1268,#REF!,17,FALSE)</f>
        <v>#REF!</v>
      </c>
      <c r="F1268" s="8" t="e">
        <f>VLOOKUP($B1268,#REF!,7,FALSE)</f>
        <v>#REF!</v>
      </c>
      <c r="G1268" s="8"/>
      <c r="H1268" s="8"/>
      <c r="I1268" s="9" t="e">
        <f>VLOOKUP($B1268,#REF!,19,FALSE)</f>
        <v>#REF!</v>
      </c>
      <c r="J1268" s="9" t="e">
        <f>VLOOKUP($B1268,#REF!,6,FALSE)</f>
        <v>#REF!</v>
      </c>
      <c r="L1268" s="1">
        <v>44656.381944440363</v>
      </c>
      <c r="M1268" s="13"/>
    </row>
    <row r="1269" spans="2:13">
      <c r="B1269" s="5"/>
      <c r="C1269" s="6" t="e">
        <f>VLOOKUP($B1269,#REF!,5,FALSE)</f>
        <v>#REF!</v>
      </c>
      <c r="D1269" s="6" t="e">
        <f>VLOOKUP($B1269,#REF!,6,FALSE)</f>
        <v>#REF!</v>
      </c>
      <c r="E1269" s="7" t="e">
        <f>VLOOKUP($B1269,#REF!,17,FALSE)</f>
        <v>#REF!</v>
      </c>
      <c r="F1269" s="8" t="e">
        <f>VLOOKUP($B1269,#REF!,7,FALSE)</f>
        <v>#REF!</v>
      </c>
      <c r="G1269" s="8"/>
      <c r="H1269" s="8"/>
      <c r="I1269" s="9" t="e">
        <f>VLOOKUP($B1269,#REF!,19,FALSE)</f>
        <v>#REF!</v>
      </c>
      <c r="J1269" s="9" t="e">
        <f>VLOOKUP($B1269,#REF!,6,FALSE)</f>
        <v>#REF!</v>
      </c>
      <c r="L1269" s="1">
        <v>44656.385416662582</v>
      </c>
      <c r="M1269" s="13"/>
    </row>
    <row r="1270" spans="2:13">
      <c r="B1270" s="5"/>
      <c r="C1270" s="6" t="e">
        <f>VLOOKUP($B1270,#REF!,5,FALSE)</f>
        <v>#REF!</v>
      </c>
      <c r="D1270" s="6" t="e">
        <f>VLOOKUP($B1270,#REF!,6,FALSE)</f>
        <v>#REF!</v>
      </c>
      <c r="E1270" s="7" t="e">
        <f>VLOOKUP($B1270,#REF!,17,FALSE)</f>
        <v>#REF!</v>
      </c>
      <c r="F1270" s="8" t="e">
        <f>VLOOKUP($B1270,#REF!,7,FALSE)</f>
        <v>#REF!</v>
      </c>
      <c r="G1270" s="8"/>
      <c r="H1270" s="8"/>
      <c r="I1270" s="9" t="e">
        <f>VLOOKUP($B1270,#REF!,19,FALSE)</f>
        <v>#REF!</v>
      </c>
      <c r="J1270" s="9" t="e">
        <f>VLOOKUP($B1270,#REF!,6,FALSE)</f>
        <v>#REF!</v>
      </c>
      <c r="L1270" s="1">
        <v>44656.388888884801</v>
      </c>
      <c r="M1270" s="13"/>
    </row>
    <row r="1271" spans="2:13">
      <c r="B1271" s="5"/>
      <c r="C1271" s="6" t="e">
        <f>VLOOKUP($B1271,#REF!,5,FALSE)</f>
        <v>#REF!</v>
      </c>
      <c r="D1271" s="6" t="e">
        <f>VLOOKUP($B1271,#REF!,6,FALSE)</f>
        <v>#REF!</v>
      </c>
      <c r="E1271" s="7" t="e">
        <f>VLOOKUP($B1271,#REF!,17,FALSE)</f>
        <v>#REF!</v>
      </c>
      <c r="F1271" s="8" t="e">
        <f>VLOOKUP($B1271,#REF!,7,FALSE)</f>
        <v>#REF!</v>
      </c>
      <c r="G1271" s="8"/>
      <c r="H1271" s="8"/>
      <c r="I1271" s="9" t="e">
        <f>VLOOKUP($B1271,#REF!,19,FALSE)</f>
        <v>#REF!</v>
      </c>
      <c r="J1271" s="9" t="e">
        <f>VLOOKUP($B1271,#REF!,6,FALSE)</f>
        <v>#REF!</v>
      </c>
      <c r="L1271" s="1">
        <v>44656.39236110702</v>
      </c>
      <c r="M1271" s="13"/>
    </row>
    <row r="1272" spans="2:13">
      <c r="B1272" s="5"/>
      <c r="C1272" s="6" t="e">
        <f>VLOOKUP($B1272,#REF!,5,FALSE)</f>
        <v>#REF!</v>
      </c>
      <c r="D1272" s="6" t="e">
        <f>VLOOKUP($B1272,#REF!,6,FALSE)</f>
        <v>#REF!</v>
      </c>
      <c r="E1272" s="7" t="e">
        <f>VLOOKUP($B1272,#REF!,17,FALSE)</f>
        <v>#REF!</v>
      </c>
      <c r="F1272" s="8" t="e">
        <f>VLOOKUP($B1272,#REF!,7,FALSE)</f>
        <v>#REF!</v>
      </c>
      <c r="G1272" s="8"/>
      <c r="H1272" s="8"/>
      <c r="I1272" s="9" t="e">
        <f>VLOOKUP($B1272,#REF!,19,FALSE)</f>
        <v>#REF!</v>
      </c>
      <c r="J1272" s="9" t="e">
        <f>VLOOKUP($B1272,#REF!,6,FALSE)</f>
        <v>#REF!</v>
      </c>
      <c r="L1272" s="1">
        <v>44656.395833329239</v>
      </c>
      <c r="M1272" s="13"/>
    </row>
    <row r="1273" spans="2:13">
      <c r="B1273" s="5"/>
      <c r="C1273" s="6" t="e">
        <f>VLOOKUP($B1273,#REF!,5,FALSE)</f>
        <v>#REF!</v>
      </c>
      <c r="D1273" s="6" t="e">
        <f>VLOOKUP($B1273,#REF!,6,FALSE)</f>
        <v>#REF!</v>
      </c>
      <c r="E1273" s="7" t="e">
        <f>VLOOKUP($B1273,#REF!,17,FALSE)</f>
        <v>#REF!</v>
      </c>
      <c r="F1273" s="8" t="e">
        <f>VLOOKUP($B1273,#REF!,7,FALSE)</f>
        <v>#REF!</v>
      </c>
      <c r="G1273" s="8"/>
      <c r="H1273" s="8"/>
      <c r="I1273" s="9" t="e">
        <f>VLOOKUP($B1273,#REF!,19,FALSE)</f>
        <v>#REF!</v>
      </c>
      <c r="J1273" s="9" t="e">
        <f>VLOOKUP($B1273,#REF!,6,FALSE)</f>
        <v>#REF!</v>
      </c>
      <c r="L1273" s="1">
        <v>44656.399305551458</v>
      </c>
      <c r="M1273" s="13"/>
    </row>
    <row r="1274" spans="2:13">
      <c r="B1274" s="5"/>
      <c r="C1274" s="6" t="e">
        <f>VLOOKUP($B1274,#REF!,5,FALSE)</f>
        <v>#REF!</v>
      </c>
      <c r="D1274" s="6" t="e">
        <f>VLOOKUP($B1274,#REF!,6,FALSE)</f>
        <v>#REF!</v>
      </c>
      <c r="E1274" s="7" t="e">
        <f>VLOOKUP($B1274,#REF!,17,FALSE)</f>
        <v>#REF!</v>
      </c>
      <c r="F1274" s="8" t="e">
        <f>VLOOKUP($B1274,#REF!,7,FALSE)</f>
        <v>#REF!</v>
      </c>
      <c r="G1274" s="8"/>
      <c r="H1274" s="8"/>
      <c r="I1274" s="9" t="e">
        <f>VLOOKUP($B1274,#REF!,19,FALSE)</f>
        <v>#REF!</v>
      </c>
      <c r="J1274" s="9" t="e">
        <f>VLOOKUP($B1274,#REF!,6,FALSE)</f>
        <v>#REF!</v>
      </c>
      <c r="L1274" s="1">
        <v>44656.402777773677</v>
      </c>
      <c r="M1274" s="13"/>
    </row>
    <row r="1275" spans="2:13">
      <c r="B1275" s="5"/>
      <c r="C1275" s="6" t="e">
        <f>VLOOKUP($B1275,#REF!,5,FALSE)</f>
        <v>#REF!</v>
      </c>
      <c r="D1275" s="6" t="e">
        <f>VLOOKUP($B1275,#REF!,6,FALSE)</f>
        <v>#REF!</v>
      </c>
      <c r="E1275" s="7" t="e">
        <f>VLOOKUP($B1275,#REF!,17,FALSE)</f>
        <v>#REF!</v>
      </c>
      <c r="F1275" s="8" t="e">
        <f>VLOOKUP($B1275,#REF!,7,FALSE)</f>
        <v>#REF!</v>
      </c>
      <c r="G1275" s="8"/>
      <c r="H1275" s="8"/>
      <c r="I1275" s="9" t="e">
        <f>VLOOKUP($B1275,#REF!,19,FALSE)</f>
        <v>#REF!</v>
      </c>
      <c r="J1275" s="9" t="e">
        <f>VLOOKUP($B1275,#REF!,6,FALSE)</f>
        <v>#REF!</v>
      </c>
      <c r="L1275" s="1">
        <v>44656.406249995896</v>
      </c>
      <c r="M1275" s="13"/>
    </row>
    <row r="1276" spans="2:13">
      <c r="B1276" s="5"/>
      <c r="C1276" s="6" t="e">
        <f>VLOOKUP($B1276,#REF!,5,FALSE)</f>
        <v>#REF!</v>
      </c>
      <c r="D1276" s="6" t="e">
        <f>VLOOKUP($B1276,#REF!,6,FALSE)</f>
        <v>#REF!</v>
      </c>
      <c r="E1276" s="7" t="e">
        <f>VLOOKUP($B1276,#REF!,17,FALSE)</f>
        <v>#REF!</v>
      </c>
      <c r="F1276" s="8" t="e">
        <f>VLOOKUP($B1276,#REF!,7,FALSE)</f>
        <v>#REF!</v>
      </c>
      <c r="G1276" s="8"/>
      <c r="H1276" s="8"/>
      <c r="I1276" s="9" t="e">
        <f>VLOOKUP($B1276,#REF!,19,FALSE)</f>
        <v>#REF!</v>
      </c>
      <c r="J1276" s="9" t="e">
        <f>VLOOKUP($B1276,#REF!,6,FALSE)</f>
        <v>#REF!</v>
      </c>
      <c r="L1276" s="1">
        <v>44656.409722218115</v>
      </c>
      <c r="M1276" s="13"/>
    </row>
    <row r="1277" spans="2:13">
      <c r="B1277" s="5"/>
      <c r="C1277" s="6" t="e">
        <f>VLOOKUP($B1277,#REF!,5,FALSE)</f>
        <v>#REF!</v>
      </c>
      <c r="D1277" s="6" t="e">
        <f>VLOOKUP($B1277,#REF!,6,FALSE)</f>
        <v>#REF!</v>
      </c>
      <c r="E1277" s="7" t="e">
        <f>VLOOKUP($B1277,#REF!,17,FALSE)</f>
        <v>#REF!</v>
      </c>
      <c r="F1277" s="8" t="e">
        <f>VLOOKUP($B1277,#REF!,7,FALSE)</f>
        <v>#REF!</v>
      </c>
      <c r="G1277" s="8"/>
      <c r="H1277" s="8"/>
      <c r="I1277" s="9" t="e">
        <f>VLOOKUP($B1277,#REF!,19,FALSE)</f>
        <v>#REF!</v>
      </c>
      <c r="J1277" s="9" t="e">
        <f>VLOOKUP($B1277,#REF!,6,FALSE)</f>
        <v>#REF!</v>
      </c>
      <c r="L1277" s="1">
        <v>44656.413194440334</v>
      </c>
      <c r="M1277" s="13"/>
    </row>
    <row r="1278" spans="2:13">
      <c r="B1278" s="5"/>
      <c r="C1278" s="6" t="e">
        <f>VLOOKUP($B1278,#REF!,5,FALSE)</f>
        <v>#REF!</v>
      </c>
      <c r="D1278" s="6" t="e">
        <f>VLOOKUP($B1278,#REF!,6,FALSE)</f>
        <v>#REF!</v>
      </c>
      <c r="E1278" s="7" t="e">
        <f>VLOOKUP($B1278,#REF!,17,FALSE)</f>
        <v>#REF!</v>
      </c>
      <c r="F1278" s="8" t="e">
        <f>VLOOKUP($B1278,#REF!,7,FALSE)</f>
        <v>#REF!</v>
      </c>
      <c r="G1278" s="8"/>
      <c r="H1278" s="8"/>
      <c r="I1278" s="9" t="e">
        <f>VLOOKUP($B1278,#REF!,19,FALSE)</f>
        <v>#REF!</v>
      </c>
      <c r="J1278" s="9" t="e">
        <f>VLOOKUP($B1278,#REF!,6,FALSE)</f>
        <v>#REF!</v>
      </c>
      <c r="L1278" s="1">
        <v>44656.416666662553</v>
      </c>
      <c r="M1278" s="13"/>
    </row>
    <row r="1279" spans="2:13">
      <c r="B1279" s="5"/>
      <c r="C1279" s="6" t="e">
        <f>VLOOKUP($B1279,#REF!,5,FALSE)</f>
        <v>#REF!</v>
      </c>
      <c r="D1279" s="6" t="e">
        <f>VLOOKUP($B1279,#REF!,6,FALSE)</f>
        <v>#REF!</v>
      </c>
      <c r="E1279" s="7" t="e">
        <f>VLOOKUP($B1279,#REF!,17,FALSE)</f>
        <v>#REF!</v>
      </c>
      <c r="F1279" s="8" t="e">
        <f>VLOOKUP($B1279,#REF!,7,FALSE)</f>
        <v>#REF!</v>
      </c>
      <c r="G1279" s="8"/>
      <c r="H1279" s="8"/>
      <c r="I1279" s="9" t="e">
        <f>VLOOKUP($B1279,#REF!,19,FALSE)</f>
        <v>#REF!</v>
      </c>
      <c r="J1279" s="9" t="e">
        <f>VLOOKUP($B1279,#REF!,6,FALSE)</f>
        <v>#REF!</v>
      </c>
      <c r="L1279" s="1">
        <v>44656.420138884772</v>
      </c>
      <c r="M1279" s="13"/>
    </row>
    <row r="1280" spans="2:13">
      <c r="B1280" s="5"/>
      <c r="C1280" s="6" t="e">
        <f>VLOOKUP($B1280,#REF!,5,FALSE)</f>
        <v>#REF!</v>
      </c>
      <c r="D1280" s="6" t="e">
        <f>VLOOKUP($B1280,#REF!,6,FALSE)</f>
        <v>#REF!</v>
      </c>
      <c r="E1280" s="7" t="e">
        <f>VLOOKUP($B1280,#REF!,17,FALSE)</f>
        <v>#REF!</v>
      </c>
      <c r="F1280" s="8" t="e">
        <f>VLOOKUP($B1280,#REF!,7,FALSE)</f>
        <v>#REF!</v>
      </c>
      <c r="G1280" s="8"/>
      <c r="H1280" s="8"/>
      <c r="I1280" s="9" t="e">
        <f>VLOOKUP($B1280,#REF!,19,FALSE)</f>
        <v>#REF!</v>
      </c>
      <c r="J1280" s="9" t="e">
        <f>VLOOKUP($B1280,#REF!,6,FALSE)</f>
        <v>#REF!</v>
      </c>
      <c r="L1280" s="1">
        <v>44656.423611106991</v>
      </c>
      <c r="M1280" s="13"/>
    </row>
    <row r="1281" spans="2:13">
      <c r="B1281" s="5"/>
      <c r="C1281" s="6" t="e">
        <f>VLOOKUP($B1281,#REF!,5,FALSE)</f>
        <v>#REF!</v>
      </c>
      <c r="D1281" s="6" t="e">
        <f>VLOOKUP($B1281,#REF!,6,FALSE)</f>
        <v>#REF!</v>
      </c>
      <c r="E1281" s="7" t="e">
        <f>VLOOKUP($B1281,#REF!,17,FALSE)</f>
        <v>#REF!</v>
      </c>
      <c r="F1281" s="8" t="e">
        <f>VLOOKUP($B1281,#REF!,7,FALSE)</f>
        <v>#REF!</v>
      </c>
      <c r="G1281" s="8"/>
      <c r="H1281" s="8"/>
      <c r="I1281" s="9" t="e">
        <f>VLOOKUP($B1281,#REF!,19,FALSE)</f>
        <v>#REF!</v>
      </c>
      <c r="J1281" s="9" t="e">
        <f>VLOOKUP($B1281,#REF!,6,FALSE)</f>
        <v>#REF!</v>
      </c>
      <c r="L1281" s="1">
        <v>44656.42708332921</v>
      </c>
      <c r="M1281" s="13"/>
    </row>
    <row r="1282" spans="2:13">
      <c r="B1282" s="5"/>
      <c r="C1282" s="6" t="e">
        <f>VLOOKUP($B1282,#REF!,5,FALSE)</f>
        <v>#REF!</v>
      </c>
      <c r="D1282" s="6" t="e">
        <f>VLOOKUP($B1282,#REF!,6,FALSE)</f>
        <v>#REF!</v>
      </c>
      <c r="E1282" s="7" t="e">
        <f>VLOOKUP($B1282,#REF!,17,FALSE)</f>
        <v>#REF!</v>
      </c>
      <c r="F1282" s="8" t="e">
        <f>VLOOKUP($B1282,#REF!,7,FALSE)</f>
        <v>#REF!</v>
      </c>
      <c r="G1282" s="8"/>
      <c r="H1282" s="8"/>
      <c r="I1282" s="9" t="e">
        <f>VLOOKUP($B1282,#REF!,19,FALSE)</f>
        <v>#REF!</v>
      </c>
      <c r="J1282" s="9" t="e">
        <f>VLOOKUP($B1282,#REF!,6,FALSE)</f>
        <v>#REF!</v>
      </c>
      <c r="L1282" s="1">
        <v>44656.430555551429</v>
      </c>
      <c r="M1282" s="13"/>
    </row>
    <row r="1283" spans="2:13">
      <c r="B1283" s="5"/>
      <c r="C1283" s="6" t="e">
        <f>VLOOKUP($B1283,#REF!,5,FALSE)</f>
        <v>#REF!</v>
      </c>
      <c r="D1283" s="6" t="e">
        <f>VLOOKUP($B1283,#REF!,6,FALSE)</f>
        <v>#REF!</v>
      </c>
      <c r="E1283" s="7" t="e">
        <f>VLOOKUP($B1283,#REF!,17,FALSE)</f>
        <v>#REF!</v>
      </c>
      <c r="F1283" s="8" t="e">
        <f>VLOOKUP($B1283,#REF!,7,FALSE)</f>
        <v>#REF!</v>
      </c>
      <c r="G1283" s="8"/>
      <c r="H1283" s="8"/>
      <c r="I1283" s="9" t="e">
        <f>VLOOKUP($B1283,#REF!,19,FALSE)</f>
        <v>#REF!</v>
      </c>
      <c r="J1283" s="9" t="e">
        <f>VLOOKUP($B1283,#REF!,6,FALSE)</f>
        <v>#REF!</v>
      </c>
      <c r="L1283" s="1">
        <v>44656.434027773648</v>
      </c>
      <c r="M1283" s="13"/>
    </row>
    <row r="1284" spans="2:13">
      <c r="B1284" s="5"/>
      <c r="C1284" s="6" t="e">
        <f>VLOOKUP($B1284,#REF!,5,FALSE)</f>
        <v>#REF!</v>
      </c>
      <c r="D1284" s="6" t="e">
        <f>VLOOKUP($B1284,#REF!,6,FALSE)</f>
        <v>#REF!</v>
      </c>
      <c r="E1284" s="7" t="e">
        <f>VLOOKUP($B1284,#REF!,17,FALSE)</f>
        <v>#REF!</v>
      </c>
      <c r="F1284" s="8" t="e">
        <f>VLOOKUP($B1284,#REF!,7,FALSE)</f>
        <v>#REF!</v>
      </c>
      <c r="G1284" s="8"/>
      <c r="H1284" s="8"/>
      <c r="I1284" s="9" t="e">
        <f>VLOOKUP($B1284,#REF!,19,FALSE)</f>
        <v>#REF!</v>
      </c>
      <c r="J1284" s="9" t="e">
        <f>VLOOKUP($B1284,#REF!,6,FALSE)</f>
        <v>#REF!</v>
      </c>
      <c r="L1284" s="1">
        <v>44656.437499995867</v>
      </c>
      <c r="M1284" s="13"/>
    </row>
    <row r="1285" spans="2:13">
      <c r="B1285" s="5"/>
      <c r="C1285" s="6" t="e">
        <f>VLOOKUP($B1285,#REF!,5,FALSE)</f>
        <v>#REF!</v>
      </c>
      <c r="D1285" s="6" t="e">
        <f>VLOOKUP($B1285,#REF!,6,FALSE)</f>
        <v>#REF!</v>
      </c>
      <c r="E1285" s="7" t="e">
        <f>VLOOKUP($B1285,#REF!,17,FALSE)</f>
        <v>#REF!</v>
      </c>
      <c r="F1285" s="8" t="e">
        <f>VLOOKUP($B1285,#REF!,7,FALSE)</f>
        <v>#REF!</v>
      </c>
      <c r="G1285" s="8"/>
      <c r="H1285" s="8"/>
      <c r="I1285" s="9" t="e">
        <f>VLOOKUP($B1285,#REF!,19,FALSE)</f>
        <v>#REF!</v>
      </c>
      <c r="J1285" s="9" t="e">
        <f>VLOOKUP($B1285,#REF!,6,FALSE)</f>
        <v>#REF!</v>
      </c>
      <c r="L1285" s="1">
        <v>44656.440972218086</v>
      </c>
      <c r="M1285" s="13"/>
    </row>
    <row r="1286" spans="2:13">
      <c r="B1286" s="5"/>
      <c r="C1286" s="6" t="e">
        <f>VLOOKUP($B1286,#REF!,5,FALSE)</f>
        <v>#REF!</v>
      </c>
      <c r="D1286" s="6" t="e">
        <f>VLOOKUP($B1286,#REF!,6,FALSE)</f>
        <v>#REF!</v>
      </c>
      <c r="E1286" s="7" t="e">
        <f>VLOOKUP($B1286,#REF!,17,FALSE)</f>
        <v>#REF!</v>
      </c>
      <c r="F1286" s="8" t="e">
        <f>VLOOKUP($B1286,#REF!,7,FALSE)</f>
        <v>#REF!</v>
      </c>
      <c r="G1286" s="8"/>
      <c r="H1286" s="8"/>
      <c r="I1286" s="9" t="e">
        <f>VLOOKUP($B1286,#REF!,19,FALSE)</f>
        <v>#REF!</v>
      </c>
      <c r="J1286" s="9" t="e">
        <f>VLOOKUP($B1286,#REF!,6,FALSE)</f>
        <v>#REF!</v>
      </c>
      <c r="L1286" s="1">
        <v>44656.444444440305</v>
      </c>
      <c r="M1286" s="13"/>
    </row>
    <row r="1287" spans="2:13">
      <c r="B1287" s="5"/>
      <c r="C1287" s="6" t="e">
        <f>VLOOKUP($B1287,#REF!,5,FALSE)</f>
        <v>#REF!</v>
      </c>
      <c r="D1287" s="6" t="e">
        <f>VLOOKUP($B1287,#REF!,6,FALSE)</f>
        <v>#REF!</v>
      </c>
      <c r="E1287" s="7" t="e">
        <f>VLOOKUP($B1287,#REF!,17,FALSE)</f>
        <v>#REF!</v>
      </c>
      <c r="F1287" s="8" t="e">
        <f>VLOOKUP($B1287,#REF!,7,FALSE)</f>
        <v>#REF!</v>
      </c>
      <c r="G1287" s="8"/>
      <c r="H1287" s="8"/>
      <c r="I1287" s="9" t="e">
        <f>VLOOKUP($B1287,#REF!,19,FALSE)</f>
        <v>#REF!</v>
      </c>
      <c r="J1287" s="9" t="e">
        <f>VLOOKUP($B1287,#REF!,6,FALSE)</f>
        <v>#REF!</v>
      </c>
      <c r="L1287" s="1">
        <v>44656.447916662524</v>
      </c>
      <c r="M1287" s="13"/>
    </row>
    <row r="1288" spans="2:13">
      <c r="B1288" s="5"/>
      <c r="C1288" s="6" t="e">
        <f>VLOOKUP($B1288,#REF!,5,FALSE)</f>
        <v>#REF!</v>
      </c>
      <c r="D1288" s="6" t="e">
        <f>VLOOKUP($B1288,#REF!,6,FALSE)</f>
        <v>#REF!</v>
      </c>
      <c r="E1288" s="7" t="e">
        <f>VLOOKUP($B1288,#REF!,17,FALSE)</f>
        <v>#REF!</v>
      </c>
      <c r="F1288" s="8" t="e">
        <f>VLOOKUP($B1288,#REF!,7,FALSE)</f>
        <v>#REF!</v>
      </c>
      <c r="G1288" s="8"/>
      <c r="H1288" s="8"/>
      <c r="I1288" s="9" t="e">
        <f>VLOOKUP($B1288,#REF!,19,FALSE)</f>
        <v>#REF!</v>
      </c>
      <c r="J1288" s="9" t="e">
        <f>VLOOKUP($B1288,#REF!,6,FALSE)</f>
        <v>#REF!</v>
      </c>
      <c r="L1288" s="1">
        <v>44656.451388884743</v>
      </c>
      <c r="M1288" s="13"/>
    </row>
    <row r="1289" spans="2:13">
      <c r="B1289" s="5"/>
      <c r="C1289" s="6" t="e">
        <f>VLOOKUP($B1289,#REF!,5,FALSE)</f>
        <v>#REF!</v>
      </c>
      <c r="D1289" s="6" t="e">
        <f>VLOOKUP($B1289,#REF!,6,FALSE)</f>
        <v>#REF!</v>
      </c>
      <c r="E1289" s="7" t="e">
        <f>VLOOKUP($B1289,#REF!,17,FALSE)</f>
        <v>#REF!</v>
      </c>
      <c r="F1289" s="8" t="e">
        <f>VLOOKUP($B1289,#REF!,7,FALSE)</f>
        <v>#REF!</v>
      </c>
      <c r="G1289" s="8"/>
      <c r="H1289" s="8"/>
      <c r="I1289" s="9" t="e">
        <f>VLOOKUP($B1289,#REF!,19,FALSE)</f>
        <v>#REF!</v>
      </c>
      <c r="J1289" s="9" t="e">
        <f>VLOOKUP($B1289,#REF!,6,FALSE)</f>
        <v>#REF!</v>
      </c>
      <c r="L1289" s="1">
        <v>44656.454861106962</v>
      </c>
      <c r="M1289" s="13"/>
    </row>
    <row r="1290" spans="2:13">
      <c r="B1290" s="5"/>
      <c r="C1290" s="6" t="e">
        <f>VLOOKUP($B1290,#REF!,5,FALSE)</f>
        <v>#REF!</v>
      </c>
      <c r="D1290" s="6" t="e">
        <f>VLOOKUP($B1290,#REF!,6,FALSE)</f>
        <v>#REF!</v>
      </c>
      <c r="E1290" s="7" t="e">
        <f>VLOOKUP($B1290,#REF!,17,FALSE)</f>
        <v>#REF!</v>
      </c>
      <c r="F1290" s="8" t="e">
        <f>VLOOKUP($B1290,#REF!,7,FALSE)</f>
        <v>#REF!</v>
      </c>
      <c r="G1290" s="8"/>
      <c r="H1290" s="8"/>
      <c r="I1290" s="9" t="e">
        <f>VLOOKUP($B1290,#REF!,19,FALSE)</f>
        <v>#REF!</v>
      </c>
      <c r="J1290" s="9" t="e">
        <f>VLOOKUP($B1290,#REF!,6,FALSE)</f>
        <v>#REF!</v>
      </c>
      <c r="L1290" s="1">
        <v>44656.458333329181</v>
      </c>
      <c r="M1290" s="13"/>
    </row>
    <row r="1291" spans="2:13">
      <c r="B1291" s="5"/>
      <c r="C1291" s="6" t="e">
        <f>VLOOKUP($B1291,#REF!,5,FALSE)</f>
        <v>#REF!</v>
      </c>
      <c r="D1291" s="6" t="e">
        <f>VLOOKUP($B1291,#REF!,6,FALSE)</f>
        <v>#REF!</v>
      </c>
      <c r="E1291" s="7" t="e">
        <f>VLOOKUP($B1291,#REF!,17,FALSE)</f>
        <v>#REF!</v>
      </c>
      <c r="F1291" s="8" t="e">
        <f>VLOOKUP($B1291,#REF!,7,FALSE)</f>
        <v>#REF!</v>
      </c>
      <c r="G1291" s="8"/>
      <c r="H1291" s="8"/>
      <c r="I1291" s="9" t="e">
        <f>VLOOKUP($B1291,#REF!,19,FALSE)</f>
        <v>#REF!</v>
      </c>
      <c r="J1291" s="9" t="e">
        <f>VLOOKUP($B1291,#REF!,6,FALSE)</f>
        <v>#REF!</v>
      </c>
      <c r="L1291" s="1">
        <v>44656.4618055514</v>
      </c>
      <c r="M1291" s="13"/>
    </row>
    <row r="1292" spans="2:13">
      <c r="B1292" s="5"/>
      <c r="C1292" s="6" t="e">
        <f>VLOOKUP($B1292,#REF!,5,FALSE)</f>
        <v>#REF!</v>
      </c>
      <c r="D1292" s="6" t="e">
        <f>VLOOKUP($B1292,#REF!,6,FALSE)</f>
        <v>#REF!</v>
      </c>
      <c r="E1292" s="7" t="e">
        <f>VLOOKUP($B1292,#REF!,17,FALSE)</f>
        <v>#REF!</v>
      </c>
      <c r="F1292" s="8" t="e">
        <f>VLOOKUP($B1292,#REF!,7,FALSE)</f>
        <v>#REF!</v>
      </c>
      <c r="G1292" s="8"/>
      <c r="H1292" s="8"/>
      <c r="I1292" s="9" t="e">
        <f>VLOOKUP($B1292,#REF!,19,FALSE)</f>
        <v>#REF!</v>
      </c>
      <c r="J1292" s="9" t="e">
        <f>VLOOKUP($B1292,#REF!,6,FALSE)</f>
        <v>#REF!</v>
      </c>
      <c r="L1292" s="1">
        <v>44656.465277773619</v>
      </c>
      <c r="M1292" s="13"/>
    </row>
    <row r="1293" spans="2:13">
      <c r="B1293" s="5"/>
      <c r="C1293" s="6" t="e">
        <f>VLOOKUP($B1293,#REF!,5,FALSE)</f>
        <v>#REF!</v>
      </c>
      <c r="D1293" s="6" t="e">
        <f>VLOOKUP($B1293,#REF!,6,FALSE)</f>
        <v>#REF!</v>
      </c>
      <c r="E1293" s="7" t="e">
        <f>VLOOKUP($B1293,#REF!,17,FALSE)</f>
        <v>#REF!</v>
      </c>
      <c r="F1293" s="8" t="e">
        <f>VLOOKUP($B1293,#REF!,7,FALSE)</f>
        <v>#REF!</v>
      </c>
      <c r="G1293" s="8"/>
      <c r="H1293" s="8"/>
      <c r="I1293" s="9" t="e">
        <f>VLOOKUP($B1293,#REF!,19,FALSE)</f>
        <v>#REF!</v>
      </c>
      <c r="J1293" s="9" t="e">
        <f>VLOOKUP($B1293,#REF!,6,FALSE)</f>
        <v>#REF!</v>
      </c>
      <c r="L1293" s="1">
        <v>44656.468749995838</v>
      </c>
      <c r="M1293" s="13"/>
    </row>
    <row r="1294" spans="2:13">
      <c r="B1294" s="5"/>
      <c r="C1294" s="6" t="e">
        <f>VLOOKUP($B1294,#REF!,5,FALSE)</f>
        <v>#REF!</v>
      </c>
      <c r="D1294" s="6" t="e">
        <f>VLOOKUP($B1294,#REF!,6,FALSE)</f>
        <v>#REF!</v>
      </c>
      <c r="E1294" s="7" t="e">
        <f>VLOOKUP($B1294,#REF!,17,FALSE)</f>
        <v>#REF!</v>
      </c>
      <c r="F1294" s="8" t="e">
        <f>VLOOKUP($B1294,#REF!,7,FALSE)</f>
        <v>#REF!</v>
      </c>
      <c r="G1294" s="8"/>
      <c r="H1294" s="8"/>
      <c r="I1294" s="9" t="e">
        <f>VLOOKUP($B1294,#REF!,19,FALSE)</f>
        <v>#REF!</v>
      </c>
      <c r="J1294" s="9" t="e">
        <f>VLOOKUP($B1294,#REF!,6,FALSE)</f>
        <v>#REF!</v>
      </c>
      <c r="L1294" s="1">
        <v>44656.472222218057</v>
      </c>
      <c r="M1294" s="13"/>
    </row>
    <row r="1295" spans="2:13">
      <c r="B1295" s="5"/>
      <c r="C1295" s="6" t="e">
        <f>VLOOKUP($B1295,#REF!,5,FALSE)</f>
        <v>#REF!</v>
      </c>
      <c r="D1295" s="6" t="e">
        <f>VLOOKUP($B1295,#REF!,6,FALSE)</f>
        <v>#REF!</v>
      </c>
      <c r="E1295" s="7" t="e">
        <f>VLOOKUP($B1295,#REF!,17,FALSE)</f>
        <v>#REF!</v>
      </c>
      <c r="F1295" s="8" t="e">
        <f>VLOOKUP($B1295,#REF!,7,FALSE)</f>
        <v>#REF!</v>
      </c>
      <c r="G1295" s="8"/>
      <c r="H1295" s="8"/>
      <c r="I1295" s="9" t="e">
        <f>VLOOKUP($B1295,#REF!,19,FALSE)</f>
        <v>#REF!</v>
      </c>
      <c r="J1295" s="9" t="e">
        <f>VLOOKUP($B1295,#REF!,6,FALSE)</f>
        <v>#REF!</v>
      </c>
      <c r="L1295" s="1">
        <v>44656.475694440276</v>
      </c>
      <c r="M1295" s="13"/>
    </row>
    <row r="1296" spans="2:13">
      <c r="B1296" s="5"/>
      <c r="C1296" s="6" t="e">
        <f>VLOOKUP($B1296,#REF!,5,FALSE)</f>
        <v>#REF!</v>
      </c>
      <c r="D1296" s="6" t="e">
        <f>VLOOKUP($B1296,#REF!,6,FALSE)</f>
        <v>#REF!</v>
      </c>
      <c r="E1296" s="7" t="e">
        <f>VLOOKUP($B1296,#REF!,17,FALSE)</f>
        <v>#REF!</v>
      </c>
      <c r="F1296" s="8" t="e">
        <f>VLOOKUP($B1296,#REF!,7,FALSE)</f>
        <v>#REF!</v>
      </c>
      <c r="G1296" s="8"/>
      <c r="H1296" s="8"/>
      <c r="I1296" s="9" t="e">
        <f>VLOOKUP($B1296,#REF!,19,FALSE)</f>
        <v>#REF!</v>
      </c>
      <c r="J1296" s="9" t="e">
        <f>VLOOKUP($B1296,#REF!,6,FALSE)</f>
        <v>#REF!</v>
      </c>
      <c r="L1296" s="1">
        <v>44656.479166662495</v>
      </c>
      <c r="M1296" s="13"/>
    </row>
    <row r="1297" spans="2:13">
      <c r="B1297" s="5"/>
      <c r="C1297" s="6" t="e">
        <f>VLOOKUP($B1297,#REF!,5,FALSE)</f>
        <v>#REF!</v>
      </c>
      <c r="D1297" s="6" t="e">
        <f>VLOOKUP($B1297,#REF!,6,FALSE)</f>
        <v>#REF!</v>
      </c>
      <c r="E1297" s="7" t="e">
        <f>VLOOKUP($B1297,#REF!,17,FALSE)</f>
        <v>#REF!</v>
      </c>
      <c r="F1297" s="8" t="e">
        <f>VLOOKUP($B1297,#REF!,7,FALSE)</f>
        <v>#REF!</v>
      </c>
      <c r="G1297" s="8"/>
      <c r="H1297" s="8"/>
      <c r="I1297" s="9" t="e">
        <f>VLOOKUP($B1297,#REF!,19,FALSE)</f>
        <v>#REF!</v>
      </c>
      <c r="J1297" s="9" t="e">
        <f>VLOOKUP($B1297,#REF!,6,FALSE)</f>
        <v>#REF!</v>
      </c>
      <c r="L1297" s="1">
        <v>44656.482638884714</v>
      </c>
      <c r="M1297" s="13"/>
    </row>
    <row r="1298" spans="2:13">
      <c r="B1298" s="5"/>
      <c r="C1298" s="6" t="e">
        <f>VLOOKUP($B1298,#REF!,5,FALSE)</f>
        <v>#REF!</v>
      </c>
      <c r="D1298" s="6" t="e">
        <f>VLOOKUP($B1298,#REF!,6,FALSE)</f>
        <v>#REF!</v>
      </c>
      <c r="E1298" s="7" t="e">
        <f>VLOOKUP($B1298,#REF!,17,FALSE)</f>
        <v>#REF!</v>
      </c>
      <c r="F1298" s="8" t="e">
        <f>VLOOKUP($B1298,#REF!,7,FALSE)</f>
        <v>#REF!</v>
      </c>
      <c r="G1298" s="8"/>
      <c r="H1298" s="8"/>
      <c r="I1298" s="9" t="e">
        <f>VLOOKUP($B1298,#REF!,19,FALSE)</f>
        <v>#REF!</v>
      </c>
      <c r="J1298" s="9" t="e">
        <f>VLOOKUP($B1298,#REF!,6,FALSE)</f>
        <v>#REF!</v>
      </c>
      <c r="L1298" s="1">
        <v>44656.486111106933</v>
      </c>
      <c r="M1298" s="13"/>
    </row>
    <row r="1299" spans="2:13">
      <c r="B1299" s="5"/>
      <c r="C1299" s="6" t="e">
        <f>VLOOKUP($B1299,#REF!,5,FALSE)</f>
        <v>#REF!</v>
      </c>
      <c r="D1299" s="6" t="e">
        <f>VLOOKUP($B1299,#REF!,6,FALSE)</f>
        <v>#REF!</v>
      </c>
      <c r="E1299" s="7" t="e">
        <f>VLOOKUP($B1299,#REF!,17,FALSE)</f>
        <v>#REF!</v>
      </c>
      <c r="F1299" s="8" t="e">
        <f>VLOOKUP($B1299,#REF!,7,FALSE)</f>
        <v>#REF!</v>
      </c>
      <c r="G1299" s="8"/>
      <c r="H1299" s="8"/>
      <c r="I1299" s="9" t="e">
        <f>VLOOKUP($B1299,#REF!,19,FALSE)</f>
        <v>#REF!</v>
      </c>
      <c r="J1299" s="9" t="e">
        <f>VLOOKUP($B1299,#REF!,6,FALSE)</f>
        <v>#REF!</v>
      </c>
      <c r="L1299" s="1">
        <v>44656.489583329152</v>
      </c>
      <c r="M1299" s="13"/>
    </row>
    <row r="1300" spans="2:13">
      <c r="B1300" s="5"/>
      <c r="C1300" s="6" t="e">
        <f>VLOOKUP($B1300,#REF!,5,FALSE)</f>
        <v>#REF!</v>
      </c>
      <c r="D1300" s="6" t="e">
        <f>VLOOKUP($B1300,#REF!,6,FALSE)</f>
        <v>#REF!</v>
      </c>
      <c r="E1300" s="7" t="e">
        <f>VLOOKUP($B1300,#REF!,17,FALSE)</f>
        <v>#REF!</v>
      </c>
      <c r="F1300" s="8" t="e">
        <f>VLOOKUP($B1300,#REF!,7,FALSE)</f>
        <v>#REF!</v>
      </c>
      <c r="G1300" s="8"/>
      <c r="H1300" s="8"/>
      <c r="I1300" s="9" t="e">
        <f>VLOOKUP($B1300,#REF!,19,FALSE)</f>
        <v>#REF!</v>
      </c>
      <c r="J1300" s="9" t="e">
        <f>VLOOKUP($B1300,#REF!,6,FALSE)</f>
        <v>#REF!</v>
      </c>
      <c r="L1300" s="1">
        <v>44656.493055551371</v>
      </c>
      <c r="M1300" s="13"/>
    </row>
    <row r="1301" spans="2:13">
      <c r="B1301" s="5"/>
      <c r="C1301" s="6" t="e">
        <f>VLOOKUP($B1301,#REF!,5,FALSE)</f>
        <v>#REF!</v>
      </c>
      <c r="D1301" s="6" t="e">
        <f>VLOOKUP($B1301,#REF!,6,FALSE)</f>
        <v>#REF!</v>
      </c>
      <c r="E1301" s="7" t="e">
        <f>VLOOKUP($B1301,#REF!,17,FALSE)</f>
        <v>#REF!</v>
      </c>
      <c r="F1301" s="8" t="e">
        <f>VLOOKUP($B1301,#REF!,7,FALSE)</f>
        <v>#REF!</v>
      </c>
      <c r="G1301" s="8"/>
      <c r="H1301" s="8"/>
      <c r="I1301" s="9" t="e">
        <f>VLOOKUP($B1301,#REF!,19,FALSE)</f>
        <v>#REF!</v>
      </c>
      <c r="J1301" s="9" t="e">
        <f>VLOOKUP($B1301,#REF!,6,FALSE)</f>
        <v>#REF!</v>
      </c>
      <c r="L1301" s="1">
        <v>44656.49652777359</v>
      </c>
      <c r="M1301" s="13"/>
    </row>
    <row r="1302" spans="2:13">
      <c r="B1302" s="5"/>
      <c r="C1302" s="6" t="e">
        <f>VLOOKUP($B1302,#REF!,5,FALSE)</f>
        <v>#REF!</v>
      </c>
      <c r="D1302" s="6" t="e">
        <f>VLOOKUP($B1302,#REF!,6,FALSE)</f>
        <v>#REF!</v>
      </c>
      <c r="E1302" s="7" t="e">
        <f>VLOOKUP($B1302,#REF!,17,FALSE)</f>
        <v>#REF!</v>
      </c>
      <c r="F1302" s="8" t="e">
        <f>VLOOKUP($B1302,#REF!,7,FALSE)</f>
        <v>#REF!</v>
      </c>
      <c r="G1302" s="8"/>
      <c r="H1302" s="8"/>
      <c r="I1302" s="9" t="e">
        <f>VLOOKUP($B1302,#REF!,19,FALSE)</f>
        <v>#REF!</v>
      </c>
      <c r="J1302" s="9" t="e">
        <f>VLOOKUP($B1302,#REF!,6,FALSE)</f>
        <v>#REF!</v>
      </c>
      <c r="L1302" s="1">
        <v>44656.499999995809</v>
      </c>
      <c r="M1302" s="13"/>
    </row>
    <row r="1303" spans="2:13">
      <c r="B1303" s="5"/>
      <c r="C1303" s="6" t="e">
        <f>VLOOKUP($B1303,#REF!,5,FALSE)</f>
        <v>#REF!</v>
      </c>
      <c r="D1303" s="6" t="e">
        <f>VLOOKUP($B1303,#REF!,6,FALSE)</f>
        <v>#REF!</v>
      </c>
      <c r="E1303" s="7" t="e">
        <f>VLOOKUP($B1303,#REF!,17,FALSE)</f>
        <v>#REF!</v>
      </c>
      <c r="F1303" s="8" t="e">
        <f>VLOOKUP($B1303,#REF!,7,FALSE)</f>
        <v>#REF!</v>
      </c>
      <c r="G1303" s="8"/>
      <c r="H1303" s="8"/>
      <c r="I1303" s="9" t="e">
        <f>VLOOKUP($B1303,#REF!,19,FALSE)</f>
        <v>#REF!</v>
      </c>
      <c r="J1303" s="9" t="e">
        <f>VLOOKUP($B1303,#REF!,6,FALSE)</f>
        <v>#REF!</v>
      </c>
      <c r="L1303" s="1">
        <v>44656.503472218028</v>
      </c>
      <c r="M1303" s="13"/>
    </row>
    <row r="1304" spans="2:13">
      <c r="B1304" s="5"/>
      <c r="C1304" s="6" t="e">
        <f>VLOOKUP($B1304,#REF!,5,FALSE)</f>
        <v>#REF!</v>
      </c>
      <c r="D1304" s="6" t="e">
        <f>VLOOKUP($B1304,#REF!,6,FALSE)</f>
        <v>#REF!</v>
      </c>
      <c r="E1304" s="7" t="e">
        <f>VLOOKUP($B1304,#REF!,17,FALSE)</f>
        <v>#REF!</v>
      </c>
      <c r="F1304" s="8" t="e">
        <f>VLOOKUP($B1304,#REF!,7,FALSE)</f>
        <v>#REF!</v>
      </c>
      <c r="G1304" s="8"/>
      <c r="H1304" s="8"/>
      <c r="I1304" s="9" t="e">
        <f>VLOOKUP($B1304,#REF!,19,FALSE)</f>
        <v>#REF!</v>
      </c>
      <c r="J1304" s="9" t="e">
        <f>VLOOKUP($B1304,#REF!,6,FALSE)</f>
        <v>#REF!</v>
      </c>
      <c r="L1304" s="1">
        <v>44656.506944440247</v>
      </c>
      <c r="M1304" s="13"/>
    </row>
    <row r="1305" spans="2:13">
      <c r="B1305" s="5"/>
      <c r="C1305" s="6" t="e">
        <f>VLOOKUP($B1305,#REF!,5,FALSE)</f>
        <v>#REF!</v>
      </c>
      <c r="D1305" s="6" t="e">
        <f>VLOOKUP($B1305,#REF!,6,FALSE)</f>
        <v>#REF!</v>
      </c>
      <c r="E1305" s="7" t="e">
        <f>VLOOKUP($B1305,#REF!,17,FALSE)</f>
        <v>#REF!</v>
      </c>
      <c r="F1305" s="8" t="e">
        <f>VLOOKUP($B1305,#REF!,7,FALSE)</f>
        <v>#REF!</v>
      </c>
      <c r="G1305" s="8"/>
      <c r="H1305" s="8"/>
      <c r="I1305" s="9" t="e">
        <f>VLOOKUP($B1305,#REF!,19,FALSE)</f>
        <v>#REF!</v>
      </c>
      <c r="J1305" s="9" t="e">
        <f>VLOOKUP($B1305,#REF!,6,FALSE)</f>
        <v>#REF!</v>
      </c>
      <c r="L1305" s="1">
        <v>44656.510416662466</v>
      </c>
      <c r="M1305" s="13"/>
    </row>
    <row r="1306" spans="2:13">
      <c r="B1306" s="5"/>
      <c r="C1306" s="6" t="e">
        <f>VLOOKUP($B1306,#REF!,5,FALSE)</f>
        <v>#REF!</v>
      </c>
      <c r="D1306" s="6" t="e">
        <f>VLOOKUP($B1306,#REF!,6,FALSE)</f>
        <v>#REF!</v>
      </c>
      <c r="E1306" s="7" t="e">
        <f>VLOOKUP($B1306,#REF!,17,FALSE)</f>
        <v>#REF!</v>
      </c>
      <c r="F1306" s="8" t="e">
        <f>VLOOKUP($B1306,#REF!,7,FALSE)</f>
        <v>#REF!</v>
      </c>
      <c r="G1306" s="8"/>
      <c r="H1306" s="8"/>
      <c r="I1306" s="9" t="e">
        <f>VLOOKUP($B1306,#REF!,19,FALSE)</f>
        <v>#REF!</v>
      </c>
      <c r="J1306" s="9" t="e">
        <f>VLOOKUP($B1306,#REF!,6,FALSE)</f>
        <v>#REF!</v>
      </c>
      <c r="L1306" s="1">
        <v>44656.513888884685</v>
      </c>
      <c r="M1306" s="13"/>
    </row>
    <row r="1307" spans="2:13">
      <c r="B1307" s="5"/>
      <c r="C1307" s="6" t="e">
        <f>VLOOKUP($B1307,#REF!,5,FALSE)</f>
        <v>#REF!</v>
      </c>
      <c r="D1307" s="6" t="e">
        <f>VLOOKUP($B1307,#REF!,6,FALSE)</f>
        <v>#REF!</v>
      </c>
      <c r="E1307" s="7" t="e">
        <f>VLOOKUP($B1307,#REF!,17,FALSE)</f>
        <v>#REF!</v>
      </c>
      <c r="F1307" s="8" t="e">
        <f>VLOOKUP($B1307,#REF!,7,FALSE)</f>
        <v>#REF!</v>
      </c>
      <c r="G1307" s="8"/>
      <c r="H1307" s="8"/>
      <c r="I1307" s="9" t="e">
        <f>VLOOKUP($B1307,#REF!,19,FALSE)</f>
        <v>#REF!</v>
      </c>
      <c r="J1307" s="9" t="e">
        <f>VLOOKUP($B1307,#REF!,6,FALSE)</f>
        <v>#REF!</v>
      </c>
      <c r="L1307" s="1">
        <v>44656.517361106904</v>
      </c>
      <c r="M1307" s="13"/>
    </row>
    <row r="1308" spans="2:13">
      <c r="B1308" s="5"/>
      <c r="C1308" s="6" t="e">
        <f>VLOOKUP($B1308,#REF!,5,FALSE)</f>
        <v>#REF!</v>
      </c>
      <c r="D1308" s="6" t="e">
        <f>VLOOKUP($B1308,#REF!,6,FALSE)</f>
        <v>#REF!</v>
      </c>
      <c r="E1308" s="7" t="e">
        <f>VLOOKUP($B1308,#REF!,17,FALSE)</f>
        <v>#REF!</v>
      </c>
      <c r="F1308" s="8" t="e">
        <f>VLOOKUP($B1308,#REF!,7,FALSE)</f>
        <v>#REF!</v>
      </c>
      <c r="G1308" s="8"/>
      <c r="H1308" s="8"/>
      <c r="I1308" s="9" t="e">
        <f>VLOOKUP($B1308,#REF!,19,FALSE)</f>
        <v>#REF!</v>
      </c>
      <c r="J1308" s="9" t="e">
        <f>VLOOKUP($B1308,#REF!,6,FALSE)</f>
        <v>#REF!</v>
      </c>
      <c r="L1308" s="1">
        <v>44656.520833329123</v>
      </c>
      <c r="M1308" s="13"/>
    </row>
    <row r="1309" spans="2:13">
      <c r="B1309" s="5"/>
      <c r="C1309" s="6" t="e">
        <f>VLOOKUP($B1309,#REF!,5,FALSE)</f>
        <v>#REF!</v>
      </c>
      <c r="D1309" s="6" t="e">
        <f>VLOOKUP($B1309,#REF!,6,FALSE)</f>
        <v>#REF!</v>
      </c>
      <c r="E1309" s="7" t="e">
        <f>VLOOKUP($B1309,#REF!,17,FALSE)</f>
        <v>#REF!</v>
      </c>
      <c r="F1309" s="8" t="e">
        <f>VLOOKUP($B1309,#REF!,7,FALSE)</f>
        <v>#REF!</v>
      </c>
      <c r="G1309" s="8"/>
      <c r="H1309" s="8"/>
      <c r="I1309" s="9" t="e">
        <f>VLOOKUP($B1309,#REF!,19,FALSE)</f>
        <v>#REF!</v>
      </c>
      <c r="J1309" s="9" t="e">
        <f>VLOOKUP($B1309,#REF!,6,FALSE)</f>
        <v>#REF!</v>
      </c>
      <c r="L1309" s="1">
        <v>44656.524305551342</v>
      </c>
      <c r="M1309" s="13"/>
    </row>
    <row r="1310" spans="2:13">
      <c r="B1310" s="5"/>
      <c r="C1310" s="6" t="e">
        <f>VLOOKUP($B1310,#REF!,5,FALSE)</f>
        <v>#REF!</v>
      </c>
      <c r="D1310" s="6" t="e">
        <f>VLOOKUP($B1310,#REF!,6,FALSE)</f>
        <v>#REF!</v>
      </c>
      <c r="E1310" s="7" t="e">
        <f>VLOOKUP($B1310,#REF!,17,FALSE)</f>
        <v>#REF!</v>
      </c>
      <c r="F1310" s="8" t="e">
        <f>VLOOKUP($B1310,#REF!,7,FALSE)</f>
        <v>#REF!</v>
      </c>
      <c r="G1310" s="8"/>
      <c r="H1310" s="8"/>
      <c r="I1310" s="9" t="e">
        <f>VLOOKUP($B1310,#REF!,19,FALSE)</f>
        <v>#REF!</v>
      </c>
      <c r="J1310" s="9" t="e">
        <f>VLOOKUP($B1310,#REF!,6,FALSE)</f>
        <v>#REF!</v>
      </c>
      <c r="L1310" s="1">
        <v>44656.527777773561</v>
      </c>
      <c r="M1310" s="13"/>
    </row>
    <row r="1311" spans="2:13">
      <c r="B1311" s="5"/>
      <c r="C1311" s="6" t="e">
        <f>VLOOKUP($B1311,#REF!,5,FALSE)</f>
        <v>#REF!</v>
      </c>
      <c r="D1311" s="6" t="e">
        <f>VLOOKUP($B1311,#REF!,6,FALSE)</f>
        <v>#REF!</v>
      </c>
      <c r="E1311" s="7" t="e">
        <f>VLOOKUP($B1311,#REF!,17,FALSE)</f>
        <v>#REF!</v>
      </c>
      <c r="F1311" s="8" t="e">
        <f>VLOOKUP($B1311,#REF!,7,FALSE)</f>
        <v>#REF!</v>
      </c>
      <c r="G1311" s="8"/>
      <c r="H1311" s="8"/>
      <c r="I1311" s="9" t="e">
        <f>VLOOKUP($B1311,#REF!,19,FALSE)</f>
        <v>#REF!</v>
      </c>
      <c r="J1311" s="9" t="e">
        <f>VLOOKUP($B1311,#REF!,6,FALSE)</f>
        <v>#REF!</v>
      </c>
      <c r="L1311" s="1">
        <v>44656.53124999578</v>
      </c>
      <c r="M1311" s="13"/>
    </row>
    <row r="1312" spans="2:13">
      <c r="B1312" s="5"/>
      <c r="C1312" s="6" t="e">
        <f>VLOOKUP($B1312,#REF!,5,FALSE)</f>
        <v>#REF!</v>
      </c>
      <c r="D1312" s="6" t="e">
        <f>VLOOKUP($B1312,#REF!,6,FALSE)</f>
        <v>#REF!</v>
      </c>
      <c r="E1312" s="7" t="e">
        <f>VLOOKUP($B1312,#REF!,17,FALSE)</f>
        <v>#REF!</v>
      </c>
      <c r="F1312" s="8" t="e">
        <f>VLOOKUP($B1312,#REF!,7,FALSE)</f>
        <v>#REF!</v>
      </c>
      <c r="G1312" s="8"/>
      <c r="H1312" s="8"/>
      <c r="I1312" s="9" t="e">
        <f>VLOOKUP($B1312,#REF!,19,FALSE)</f>
        <v>#REF!</v>
      </c>
      <c r="J1312" s="9" t="e">
        <f>VLOOKUP($B1312,#REF!,6,FALSE)</f>
        <v>#REF!</v>
      </c>
      <c r="L1312" s="1">
        <v>44656.534722217999</v>
      </c>
      <c r="M1312" s="13"/>
    </row>
    <row r="1313" spans="2:13">
      <c r="B1313" s="5"/>
      <c r="C1313" s="6" t="e">
        <f>VLOOKUP($B1313,#REF!,5,FALSE)</f>
        <v>#REF!</v>
      </c>
      <c r="D1313" s="6" t="e">
        <f>VLOOKUP($B1313,#REF!,6,FALSE)</f>
        <v>#REF!</v>
      </c>
      <c r="E1313" s="7" t="e">
        <f>VLOOKUP($B1313,#REF!,17,FALSE)</f>
        <v>#REF!</v>
      </c>
      <c r="F1313" s="8" t="e">
        <f>VLOOKUP($B1313,#REF!,7,FALSE)</f>
        <v>#REF!</v>
      </c>
      <c r="G1313" s="8"/>
      <c r="H1313" s="8"/>
      <c r="I1313" s="9" t="e">
        <f>VLOOKUP($B1313,#REF!,19,FALSE)</f>
        <v>#REF!</v>
      </c>
      <c r="J1313" s="9" t="e">
        <f>VLOOKUP($B1313,#REF!,6,FALSE)</f>
        <v>#REF!</v>
      </c>
      <c r="L1313" s="1">
        <v>44656.538194440218</v>
      </c>
      <c r="M1313" s="13"/>
    </row>
    <row r="1314" spans="2:13">
      <c r="B1314" s="5"/>
      <c r="C1314" s="6" t="e">
        <f>VLOOKUP($B1314,#REF!,5,FALSE)</f>
        <v>#REF!</v>
      </c>
      <c r="D1314" s="6" t="e">
        <f>VLOOKUP($B1314,#REF!,6,FALSE)</f>
        <v>#REF!</v>
      </c>
      <c r="E1314" s="7" t="e">
        <f>VLOOKUP($B1314,#REF!,17,FALSE)</f>
        <v>#REF!</v>
      </c>
      <c r="F1314" s="8" t="e">
        <f>VLOOKUP($B1314,#REF!,7,FALSE)</f>
        <v>#REF!</v>
      </c>
      <c r="G1314" s="8"/>
      <c r="H1314" s="8"/>
      <c r="I1314" s="9" t="e">
        <f>VLOOKUP($B1314,#REF!,19,FALSE)</f>
        <v>#REF!</v>
      </c>
      <c r="J1314" s="9" t="e">
        <f>VLOOKUP($B1314,#REF!,6,FALSE)</f>
        <v>#REF!</v>
      </c>
      <c r="L1314" s="1">
        <v>44656.541666662437</v>
      </c>
      <c r="M1314" s="13"/>
    </row>
    <row r="1315" spans="2:13">
      <c r="B1315" s="5"/>
      <c r="C1315" s="6" t="e">
        <f>VLOOKUP($B1315,#REF!,5,FALSE)</f>
        <v>#REF!</v>
      </c>
      <c r="D1315" s="6" t="e">
        <f>VLOOKUP($B1315,#REF!,6,FALSE)</f>
        <v>#REF!</v>
      </c>
      <c r="E1315" s="7" t="e">
        <f>VLOOKUP($B1315,#REF!,17,FALSE)</f>
        <v>#REF!</v>
      </c>
      <c r="F1315" s="8" t="e">
        <f>VLOOKUP($B1315,#REF!,7,FALSE)</f>
        <v>#REF!</v>
      </c>
      <c r="G1315" s="8"/>
      <c r="H1315" s="8"/>
      <c r="I1315" s="9" t="e">
        <f>VLOOKUP($B1315,#REF!,19,FALSE)</f>
        <v>#REF!</v>
      </c>
      <c r="J1315" s="9" t="e">
        <f>VLOOKUP($B1315,#REF!,6,FALSE)</f>
        <v>#REF!</v>
      </c>
      <c r="L1315" s="1">
        <v>44656.545138884656</v>
      </c>
      <c r="M1315" s="13"/>
    </row>
    <row r="1316" spans="2:13">
      <c r="B1316" s="5"/>
      <c r="C1316" s="6" t="e">
        <f>VLOOKUP($B1316,#REF!,5,FALSE)</f>
        <v>#REF!</v>
      </c>
      <c r="D1316" s="6" t="e">
        <f>VLOOKUP($B1316,#REF!,6,FALSE)</f>
        <v>#REF!</v>
      </c>
      <c r="E1316" s="7" t="e">
        <f>VLOOKUP($B1316,#REF!,17,FALSE)</f>
        <v>#REF!</v>
      </c>
      <c r="F1316" s="8" t="e">
        <f>VLOOKUP($B1316,#REF!,7,FALSE)</f>
        <v>#REF!</v>
      </c>
      <c r="G1316" s="8"/>
      <c r="H1316" s="8"/>
      <c r="I1316" s="9" t="e">
        <f>VLOOKUP($B1316,#REF!,19,FALSE)</f>
        <v>#REF!</v>
      </c>
      <c r="J1316" s="9" t="e">
        <f>VLOOKUP($B1316,#REF!,6,FALSE)</f>
        <v>#REF!</v>
      </c>
      <c r="L1316" s="1">
        <v>44656.548611106875</v>
      </c>
      <c r="M1316" s="13"/>
    </row>
    <row r="1317" spans="2:13">
      <c r="B1317" s="5"/>
      <c r="C1317" s="6" t="e">
        <f>VLOOKUP($B1317,#REF!,5,FALSE)</f>
        <v>#REF!</v>
      </c>
      <c r="D1317" s="6" t="e">
        <f>VLOOKUP($B1317,#REF!,6,FALSE)</f>
        <v>#REF!</v>
      </c>
      <c r="E1317" s="7" t="e">
        <f>VLOOKUP($B1317,#REF!,17,FALSE)</f>
        <v>#REF!</v>
      </c>
      <c r="F1317" s="8" t="e">
        <f>VLOOKUP($B1317,#REF!,7,FALSE)</f>
        <v>#REF!</v>
      </c>
      <c r="G1317" s="8"/>
      <c r="H1317" s="8"/>
      <c r="I1317" s="9" t="e">
        <f>VLOOKUP($B1317,#REF!,19,FALSE)</f>
        <v>#REF!</v>
      </c>
      <c r="J1317" s="9" t="e">
        <f>VLOOKUP($B1317,#REF!,6,FALSE)</f>
        <v>#REF!</v>
      </c>
      <c r="L1317" s="1">
        <v>44656.552083329094</v>
      </c>
      <c r="M1317" s="13"/>
    </row>
    <row r="1318" spans="2:13">
      <c r="B1318" s="5"/>
      <c r="C1318" s="6" t="e">
        <f>VLOOKUP($B1318,#REF!,5,FALSE)</f>
        <v>#REF!</v>
      </c>
      <c r="D1318" s="6" t="e">
        <f>VLOOKUP($B1318,#REF!,6,FALSE)</f>
        <v>#REF!</v>
      </c>
      <c r="E1318" s="7" t="e">
        <f>VLOOKUP($B1318,#REF!,17,FALSE)</f>
        <v>#REF!</v>
      </c>
      <c r="F1318" s="8" t="e">
        <f>VLOOKUP($B1318,#REF!,7,FALSE)</f>
        <v>#REF!</v>
      </c>
      <c r="G1318" s="8"/>
      <c r="H1318" s="8"/>
      <c r="I1318" s="9" t="e">
        <f>VLOOKUP($B1318,#REF!,19,FALSE)</f>
        <v>#REF!</v>
      </c>
      <c r="J1318" s="9" t="e">
        <f>VLOOKUP($B1318,#REF!,6,FALSE)</f>
        <v>#REF!</v>
      </c>
      <c r="L1318" s="1">
        <v>44656.555555551313</v>
      </c>
      <c r="M1318" s="13"/>
    </row>
    <row r="1319" spans="2:13">
      <c r="B1319" s="5"/>
      <c r="C1319" s="6" t="e">
        <f>VLOOKUP($B1319,#REF!,5,FALSE)</f>
        <v>#REF!</v>
      </c>
      <c r="D1319" s="6" t="e">
        <f>VLOOKUP($B1319,#REF!,6,FALSE)</f>
        <v>#REF!</v>
      </c>
      <c r="E1319" s="7" t="e">
        <f>VLOOKUP($B1319,#REF!,17,FALSE)</f>
        <v>#REF!</v>
      </c>
      <c r="F1319" s="8" t="e">
        <f>VLOOKUP($B1319,#REF!,7,FALSE)</f>
        <v>#REF!</v>
      </c>
      <c r="G1319" s="8"/>
      <c r="H1319" s="8"/>
      <c r="I1319" s="9" t="e">
        <f>VLOOKUP($B1319,#REF!,19,FALSE)</f>
        <v>#REF!</v>
      </c>
      <c r="J1319" s="9" t="e">
        <f>VLOOKUP($B1319,#REF!,6,FALSE)</f>
        <v>#REF!</v>
      </c>
      <c r="L1319" s="1">
        <v>44656.559027773532</v>
      </c>
      <c r="M1319" s="13"/>
    </row>
    <row r="1320" spans="2:13">
      <c r="B1320" s="5"/>
      <c r="C1320" s="6" t="e">
        <f>VLOOKUP($B1320,#REF!,5,FALSE)</f>
        <v>#REF!</v>
      </c>
      <c r="D1320" s="6" t="e">
        <f>VLOOKUP($B1320,#REF!,6,FALSE)</f>
        <v>#REF!</v>
      </c>
      <c r="E1320" s="7" t="e">
        <f>VLOOKUP($B1320,#REF!,17,FALSE)</f>
        <v>#REF!</v>
      </c>
      <c r="F1320" s="8" t="e">
        <f>VLOOKUP($B1320,#REF!,7,FALSE)</f>
        <v>#REF!</v>
      </c>
      <c r="G1320" s="8"/>
      <c r="H1320" s="8"/>
      <c r="I1320" s="9" t="e">
        <f>VLOOKUP($B1320,#REF!,19,FALSE)</f>
        <v>#REF!</v>
      </c>
      <c r="J1320" s="9" t="e">
        <f>VLOOKUP($B1320,#REF!,6,FALSE)</f>
        <v>#REF!</v>
      </c>
      <c r="L1320" s="1">
        <v>44656.562499995751</v>
      </c>
      <c r="M1320" s="13"/>
    </row>
    <row r="1321" spans="2:13">
      <c r="B1321" s="5"/>
      <c r="C1321" s="6" t="e">
        <f>VLOOKUP($B1321,#REF!,5,FALSE)</f>
        <v>#REF!</v>
      </c>
      <c r="D1321" s="6" t="e">
        <f>VLOOKUP($B1321,#REF!,6,FALSE)</f>
        <v>#REF!</v>
      </c>
      <c r="E1321" s="7" t="e">
        <f>VLOOKUP($B1321,#REF!,17,FALSE)</f>
        <v>#REF!</v>
      </c>
      <c r="F1321" s="8" t="e">
        <f>VLOOKUP($B1321,#REF!,7,FALSE)</f>
        <v>#REF!</v>
      </c>
      <c r="G1321" s="8"/>
      <c r="H1321" s="8"/>
      <c r="I1321" s="9" t="e">
        <f>VLOOKUP($B1321,#REF!,19,FALSE)</f>
        <v>#REF!</v>
      </c>
      <c r="J1321" s="9" t="e">
        <f>VLOOKUP($B1321,#REF!,6,FALSE)</f>
        <v>#REF!</v>
      </c>
      <c r="L1321" s="1">
        <v>44656.56597221797</v>
      </c>
      <c r="M1321" s="13"/>
    </row>
    <row r="1322" spans="2:13">
      <c r="B1322" s="5"/>
      <c r="C1322" s="6" t="e">
        <f>VLOOKUP($B1322,#REF!,5,FALSE)</f>
        <v>#REF!</v>
      </c>
      <c r="D1322" s="6" t="e">
        <f>VLOOKUP($B1322,#REF!,6,FALSE)</f>
        <v>#REF!</v>
      </c>
      <c r="E1322" s="7" t="e">
        <f>VLOOKUP($B1322,#REF!,17,FALSE)</f>
        <v>#REF!</v>
      </c>
      <c r="F1322" s="8" t="e">
        <f>VLOOKUP($B1322,#REF!,7,FALSE)</f>
        <v>#REF!</v>
      </c>
      <c r="G1322" s="8"/>
      <c r="H1322" s="8"/>
      <c r="I1322" s="9" t="e">
        <f>VLOOKUP($B1322,#REF!,19,FALSE)</f>
        <v>#REF!</v>
      </c>
      <c r="J1322" s="9" t="e">
        <f>VLOOKUP($B1322,#REF!,6,FALSE)</f>
        <v>#REF!</v>
      </c>
      <c r="L1322" s="1">
        <v>44656.569444440189</v>
      </c>
      <c r="M1322" s="13"/>
    </row>
    <row r="1323" spans="2:13">
      <c r="B1323" s="5"/>
      <c r="C1323" s="6" t="e">
        <f>VLOOKUP($B1323,#REF!,5,FALSE)</f>
        <v>#REF!</v>
      </c>
      <c r="D1323" s="6" t="e">
        <f>VLOOKUP($B1323,#REF!,6,FALSE)</f>
        <v>#REF!</v>
      </c>
      <c r="E1323" s="7" t="e">
        <f>VLOOKUP($B1323,#REF!,17,FALSE)</f>
        <v>#REF!</v>
      </c>
      <c r="F1323" s="8" t="e">
        <f>VLOOKUP($B1323,#REF!,7,FALSE)</f>
        <v>#REF!</v>
      </c>
      <c r="G1323" s="8"/>
      <c r="H1323" s="8"/>
      <c r="I1323" s="9" t="e">
        <f>VLOOKUP($B1323,#REF!,19,FALSE)</f>
        <v>#REF!</v>
      </c>
      <c r="J1323" s="9" t="e">
        <f>VLOOKUP($B1323,#REF!,6,FALSE)</f>
        <v>#REF!</v>
      </c>
      <c r="L1323" s="1">
        <v>44656.572916662408</v>
      </c>
      <c r="M1323" s="13"/>
    </row>
    <row r="1324" spans="2:13">
      <c r="B1324" s="5"/>
      <c r="C1324" s="6" t="e">
        <f>VLOOKUP($B1324,#REF!,5,FALSE)</f>
        <v>#REF!</v>
      </c>
      <c r="D1324" s="6" t="e">
        <f>VLOOKUP($B1324,#REF!,6,FALSE)</f>
        <v>#REF!</v>
      </c>
      <c r="E1324" s="7" t="e">
        <f>VLOOKUP($B1324,#REF!,17,FALSE)</f>
        <v>#REF!</v>
      </c>
      <c r="F1324" s="8" t="e">
        <f>VLOOKUP($B1324,#REF!,7,FALSE)</f>
        <v>#REF!</v>
      </c>
      <c r="G1324" s="8"/>
      <c r="H1324" s="8"/>
      <c r="I1324" s="9" t="e">
        <f>VLOOKUP($B1324,#REF!,19,FALSE)</f>
        <v>#REF!</v>
      </c>
      <c r="J1324" s="9" t="e">
        <f>VLOOKUP($B1324,#REF!,6,FALSE)</f>
        <v>#REF!</v>
      </c>
      <c r="L1324" s="1">
        <v>44656.576388884627</v>
      </c>
      <c r="M1324" s="13"/>
    </row>
    <row r="1325" spans="2:13">
      <c r="B1325" s="5"/>
      <c r="C1325" s="6" t="e">
        <f>VLOOKUP($B1325,#REF!,5,FALSE)</f>
        <v>#REF!</v>
      </c>
      <c r="D1325" s="6" t="e">
        <f>VLOOKUP($B1325,#REF!,6,FALSE)</f>
        <v>#REF!</v>
      </c>
      <c r="E1325" s="7" t="e">
        <f>VLOOKUP($B1325,#REF!,17,FALSE)</f>
        <v>#REF!</v>
      </c>
      <c r="F1325" s="8" t="e">
        <f>VLOOKUP($B1325,#REF!,7,FALSE)</f>
        <v>#REF!</v>
      </c>
      <c r="G1325" s="8"/>
      <c r="H1325" s="8"/>
      <c r="I1325" s="9" t="e">
        <f>VLOOKUP($B1325,#REF!,19,FALSE)</f>
        <v>#REF!</v>
      </c>
      <c r="J1325" s="9" t="e">
        <f>VLOOKUP($B1325,#REF!,6,FALSE)</f>
        <v>#REF!</v>
      </c>
      <c r="L1325" s="1">
        <v>44656.579861106846</v>
      </c>
      <c r="M1325" s="13"/>
    </row>
    <row r="1326" spans="2:13">
      <c r="B1326" s="5"/>
      <c r="C1326" s="6" t="e">
        <f>VLOOKUP($B1326,#REF!,5,FALSE)</f>
        <v>#REF!</v>
      </c>
      <c r="D1326" s="6" t="e">
        <f>VLOOKUP($B1326,#REF!,6,FALSE)</f>
        <v>#REF!</v>
      </c>
      <c r="E1326" s="7" t="e">
        <f>VLOOKUP($B1326,#REF!,17,FALSE)</f>
        <v>#REF!</v>
      </c>
      <c r="F1326" s="8" t="e">
        <f>VLOOKUP($B1326,#REF!,7,FALSE)</f>
        <v>#REF!</v>
      </c>
      <c r="G1326" s="8"/>
      <c r="H1326" s="8"/>
      <c r="I1326" s="9" t="e">
        <f>VLOOKUP($B1326,#REF!,19,FALSE)</f>
        <v>#REF!</v>
      </c>
      <c r="J1326" s="9" t="e">
        <f>VLOOKUP($B1326,#REF!,6,FALSE)</f>
        <v>#REF!</v>
      </c>
      <c r="L1326" s="1">
        <v>44656.583333329065</v>
      </c>
      <c r="M1326" s="13"/>
    </row>
    <row r="1327" spans="2:13">
      <c r="B1327" s="5"/>
      <c r="C1327" s="6" t="e">
        <f>VLOOKUP($B1327,#REF!,5,FALSE)</f>
        <v>#REF!</v>
      </c>
      <c r="D1327" s="6" t="e">
        <f>VLOOKUP($B1327,#REF!,6,FALSE)</f>
        <v>#REF!</v>
      </c>
      <c r="E1327" s="7" t="e">
        <f>VLOOKUP($B1327,#REF!,17,FALSE)</f>
        <v>#REF!</v>
      </c>
      <c r="F1327" s="8" t="e">
        <f>VLOOKUP($B1327,#REF!,7,FALSE)</f>
        <v>#REF!</v>
      </c>
      <c r="G1327" s="8"/>
      <c r="H1327" s="8"/>
      <c r="I1327" s="9" t="e">
        <f>VLOOKUP($B1327,#REF!,19,FALSE)</f>
        <v>#REF!</v>
      </c>
      <c r="J1327" s="9" t="e">
        <f>VLOOKUP($B1327,#REF!,6,FALSE)</f>
        <v>#REF!</v>
      </c>
      <c r="L1327" s="1">
        <v>44656.586805551284</v>
      </c>
      <c r="M1327" s="13"/>
    </row>
    <row r="1328" spans="2:13">
      <c r="B1328" s="5"/>
      <c r="C1328" s="6" t="e">
        <f>VLOOKUP($B1328,#REF!,5,FALSE)</f>
        <v>#REF!</v>
      </c>
      <c r="D1328" s="6" t="e">
        <f>VLOOKUP($B1328,#REF!,6,FALSE)</f>
        <v>#REF!</v>
      </c>
      <c r="E1328" s="7" t="e">
        <f>VLOOKUP($B1328,#REF!,17,FALSE)</f>
        <v>#REF!</v>
      </c>
      <c r="F1328" s="8" t="e">
        <f>VLOOKUP($B1328,#REF!,7,FALSE)</f>
        <v>#REF!</v>
      </c>
      <c r="G1328" s="8"/>
      <c r="H1328" s="8"/>
      <c r="I1328" s="9" t="e">
        <f>VLOOKUP($B1328,#REF!,19,FALSE)</f>
        <v>#REF!</v>
      </c>
      <c r="J1328" s="9" t="e">
        <f>VLOOKUP($B1328,#REF!,6,FALSE)</f>
        <v>#REF!</v>
      </c>
      <c r="L1328" s="1">
        <v>44656.590277773503</v>
      </c>
      <c r="M1328" s="13"/>
    </row>
    <row r="1329" spans="2:13">
      <c r="B1329" s="5"/>
      <c r="C1329" s="6" t="e">
        <f>VLOOKUP($B1329,#REF!,5,FALSE)</f>
        <v>#REF!</v>
      </c>
      <c r="D1329" s="6" t="e">
        <f>VLOOKUP($B1329,#REF!,6,FALSE)</f>
        <v>#REF!</v>
      </c>
      <c r="E1329" s="7" t="e">
        <f>VLOOKUP($B1329,#REF!,17,FALSE)</f>
        <v>#REF!</v>
      </c>
      <c r="F1329" s="8" t="e">
        <f>VLOOKUP($B1329,#REF!,7,FALSE)</f>
        <v>#REF!</v>
      </c>
      <c r="G1329" s="8"/>
      <c r="H1329" s="8"/>
      <c r="I1329" s="9" t="e">
        <f>VLOOKUP($B1329,#REF!,19,FALSE)</f>
        <v>#REF!</v>
      </c>
      <c r="J1329" s="9" t="e">
        <f>VLOOKUP($B1329,#REF!,6,FALSE)</f>
        <v>#REF!</v>
      </c>
      <c r="L1329" s="1">
        <v>44656.593749995722</v>
      </c>
      <c r="M1329" s="13"/>
    </row>
    <row r="1330" spans="2:13">
      <c r="B1330" s="5"/>
      <c r="C1330" s="6" t="e">
        <f>VLOOKUP($B1330,#REF!,5,FALSE)</f>
        <v>#REF!</v>
      </c>
      <c r="D1330" s="6" t="e">
        <f>VLOOKUP($B1330,#REF!,6,FALSE)</f>
        <v>#REF!</v>
      </c>
      <c r="E1330" s="7" t="e">
        <f>VLOOKUP($B1330,#REF!,17,FALSE)</f>
        <v>#REF!</v>
      </c>
      <c r="F1330" s="8" t="e">
        <f>VLOOKUP($B1330,#REF!,7,FALSE)</f>
        <v>#REF!</v>
      </c>
      <c r="G1330" s="8"/>
      <c r="H1330" s="8"/>
      <c r="I1330" s="9" t="e">
        <f>VLOOKUP($B1330,#REF!,19,FALSE)</f>
        <v>#REF!</v>
      </c>
      <c r="J1330" s="9" t="e">
        <f>VLOOKUP($B1330,#REF!,6,FALSE)</f>
        <v>#REF!</v>
      </c>
      <c r="L1330" s="1">
        <v>44656.597222217941</v>
      </c>
      <c r="M1330" s="13"/>
    </row>
    <row r="1331" spans="2:13">
      <c r="B1331" s="5"/>
      <c r="C1331" s="6" t="e">
        <f>VLOOKUP($B1331,#REF!,5,FALSE)</f>
        <v>#REF!</v>
      </c>
      <c r="D1331" s="6" t="e">
        <f>VLOOKUP($B1331,#REF!,6,FALSE)</f>
        <v>#REF!</v>
      </c>
      <c r="E1331" s="7" t="e">
        <f>VLOOKUP($B1331,#REF!,17,FALSE)</f>
        <v>#REF!</v>
      </c>
      <c r="F1331" s="8" t="e">
        <f>VLOOKUP($B1331,#REF!,7,FALSE)</f>
        <v>#REF!</v>
      </c>
      <c r="G1331" s="8"/>
      <c r="H1331" s="8"/>
      <c r="I1331" s="9" t="e">
        <f>VLOOKUP($B1331,#REF!,19,FALSE)</f>
        <v>#REF!</v>
      </c>
      <c r="J1331" s="9" t="e">
        <f>VLOOKUP($B1331,#REF!,6,FALSE)</f>
        <v>#REF!</v>
      </c>
      <c r="L1331" s="1">
        <v>44656.60069444016</v>
      </c>
      <c r="M1331" s="13"/>
    </row>
    <row r="1332" spans="2:13">
      <c r="B1332" s="5"/>
      <c r="C1332" s="6" t="e">
        <f>VLOOKUP($B1332,#REF!,5,FALSE)</f>
        <v>#REF!</v>
      </c>
      <c r="D1332" s="6" t="e">
        <f>VLOOKUP($B1332,#REF!,6,FALSE)</f>
        <v>#REF!</v>
      </c>
      <c r="E1332" s="7" t="e">
        <f>VLOOKUP($B1332,#REF!,17,FALSE)</f>
        <v>#REF!</v>
      </c>
      <c r="F1332" s="8" t="e">
        <f>VLOOKUP($B1332,#REF!,7,FALSE)</f>
        <v>#REF!</v>
      </c>
      <c r="G1332" s="8"/>
      <c r="H1332" s="8"/>
      <c r="I1332" s="9" t="e">
        <f>VLOOKUP($B1332,#REF!,19,FALSE)</f>
        <v>#REF!</v>
      </c>
      <c r="J1332" s="9" t="e">
        <f>VLOOKUP($B1332,#REF!,6,FALSE)</f>
        <v>#REF!</v>
      </c>
      <c r="L1332" s="1">
        <v>44656.604166662379</v>
      </c>
      <c r="M1332" s="13"/>
    </row>
    <row r="1333" spans="2:13">
      <c r="B1333" s="5"/>
      <c r="C1333" s="6" t="e">
        <f>VLOOKUP($B1333,#REF!,5,FALSE)</f>
        <v>#REF!</v>
      </c>
      <c r="D1333" s="6" t="e">
        <f>VLOOKUP($B1333,#REF!,6,FALSE)</f>
        <v>#REF!</v>
      </c>
      <c r="E1333" s="7" t="e">
        <f>VLOOKUP($B1333,#REF!,17,FALSE)</f>
        <v>#REF!</v>
      </c>
      <c r="F1333" s="8" t="e">
        <f>VLOOKUP($B1333,#REF!,7,FALSE)</f>
        <v>#REF!</v>
      </c>
      <c r="G1333" s="8"/>
      <c r="H1333" s="8"/>
      <c r="I1333" s="9" t="e">
        <f>VLOOKUP($B1333,#REF!,19,FALSE)</f>
        <v>#REF!</v>
      </c>
      <c r="J1333" s="9" t="e">
        <f>VLOOKUP($B1333,#REF!,6,FALSE)</f>
        <v>#REF!</v>
      </c>
      <c r="L1333" s="1">
        <v>44656.607638884598</v>
      </c>
      <c r="M1333" s="13"/>
    </row>
    <row r="1334" spans="2:13">
      <c r="B1334" s="5"/>
      <c r="C1334" s="6" t="e">
        <f>VLOOKUP($B1334,#REF!,5,FALSE)</f>
        <v>#REF!</v>
      </c>
      <c r="D1334" s="6" t="e">
        <f>VLOOKUP($B1334,#REF!,6,FALSE)</f>
        <v>#REF!</v>
      </c>
      <c r="E1334" s="7" t="e">
        <f>VLOOKUP($B1334,#REF!,17,FALSE)</f>
        <v>#REF!</v>
      </c>
      <c r="F1334" s="8" t="e">
        <f>VLOOKUP($B1334,#REF!,7,FALSE)</f>
        <v>#REF!</v>
      </c>
      <c r="G1334" s="8"/>
      <c r="H1334" s="8"/>
      <c r="I1334" s="9" t="e">
        <f>VLOOKUP($B1334,#REF!,19,FALSE)</f>
        <v>#REF!</v>
      </c>
      <c r="J1334" s="9" t="e">
        <f>VLOOKUP($B1334,#REF!,6,FALSE)</f>
        <v>#REF!</v>
      </c>
      <c r="L1334" s="1">
        <v>44656.611111106817</v>
      </c>
      <c r="M1334" s="13"/>
    </row>
    <row r="1335" spans="2:13">
      <c r="B1335" s="5"/>
      <c r="C1335" s="6" t="e">
        <f>VLOOKUP($B1335,#REF!,5,FALSE)</f>
        <v>#REF!</v>
      </c>
      <c r="D1335" s="6" t="e">
        <f>VLOOKUP($B1335,#REF!,6,FALSE)</f>
        <v>#REF!</v>
      </c>
      <c r="E1335" s="7" t="e">
        <f>VLOOKUP($B1335,#REF!,17,FALSE)</f>
        <v>#REF!</v>
      </c>
      <c r="F1335" s="8" t="e">
        <f>VLOOKUP($B1335,#REF!,7,FALSE)</f>
        <v>#REF!</v>
      </c>
      <c r="G1335" s="8"/>
      <c r="H1335" s="8"/>
      <c r="I1335" s="9" t="e">
        <f>VLOOKUP($B1335,#REF!,19,FALSE)</f>
        <v>#REF!</v>
      </c>
      <c r="J1335" s="9" t="e">
        <f>VLOOKUP($B1335,#REF!,6,FALSE)</f>
        <v>#REF!</v>
      </c>
      <c r="L1335" s="1">
        <v>44656.614583329036</v>
      </c>
      <c r="M1335" s="13"/>
    </row>
    <row r="1336" spans="2:13">
      <c r="B1336" s="5"/>
      <c r="C1336" s="6" t="e">
        <f>VLOOKUP($B1336,#REF!,5,FALSE)</f>
        <v>#REF!</v>
      </c>
      <c r="D1336" s="6" t="e">
        <f>VLOOKUP($B1336,#REF!,6,FALSE)</f>
        <v>#REF!</v>
      </c>
      <c r="E1336" s="7" t="e">
        <f>VLOOKUP($B1336,#REF!,17,FALSE)</f>
        <v>#REF!</v>
      </c>
      <c r="F1336" s="8" t="e">
        <f>VLOOKUP($B1336,#REF!,7,FALSE)</f>
        <v>#REF!</v>
      </c>
      <c r="G1336" s="8"/>
      <c r="H1336" s="8"/>
      <c r="I1336" s="9" t="e">
        <f>VLOOKUP($B1336,#REF!,19,FALSE)</f>
        <v>#REF!</v>
      </c>
      <c r="J1336" s="9" t="e">
        <f>VLOOKUP($B1336,#REF!,6,FALSE)</f>
        <v>#REF!</v>
      </c>
      <c r="L1336" s="1">
        <v>44656.618055551255</v>
      </c>
      <c r="M1336" s="13"/>
    </row>
    <row r="1337" spans="2:13">
      <c r="B1337" s="5"/>
      <c r="C1337" s="6" t="e">
        <f>VLOOKUP($B1337,#REF!,5,FALSE)</f>
        <v>#REF!</v>
      </c>
      <c r="D1337" s="6" t="e">
        <f>VLOOKUP($B1337,#REF!,6,FALSE)</f>
        <v>#REF!</v>
      </c>
      <c r="E1337" s="7" t="e">
        <f>VLOOKUP($B1337,#REF!,17,FALSE)</f>
        <v>#REF!</v>
      </c>
      <c r="F1337" s="8" t="e">
        <f>VLOOKUP($B1337,#REF!,7,FALSE)</f>
        <v>#REF!</v>
      </c>
      <c r="G1337" s="8"/>
      <c r="H1337" s="8"/>
      <c r="I1337" s="9" t="e">
        <f>VLOOKUP($B1337,#REF!,19,FALSE)</f>
        <v>#REF!</v>
      </c>
      <c r="J1337" s="9" t="e">
        <f>VLOOKUP($B1337,#REF!,6,FALSE)</f>
        <v>#REF!</v>
      </c>
      <c r="L1337" s="1">
        <v>44656.621527773474</v>
      </c>
      <c r="M1337" s="13"/>
    </row>
    <row r="1338" spans="2:13">
      <c r="B1338" s="5"/>
      <c r="C1338" s="6" t="e">
        <f>VLOOKUP($B1338,#REF!,5,FALSE)</f>
        <v>#REF!</v>
      </c>
      <c r="D1338" s="6" t="e">
        <f>VLOOKUP($B1338,#REF!,6,FALSE)</f>
        <v>#REF!</v>
      </c>
      <c r="E1338" s="7" t="e">
        <f>VLOOKUP($B1338,#REF!,17,FALSE)</f>
        <v>#REF!</v>
      </c>
      <c r="F1338" s="8" t="e">
        <f>VLOOKUP($B1338,#REF!,7,FALSE)</f>
        <v>#REF!</v>
      </c>
      <c r="G1338" s="8"/>
      <c r="H1338" s="8"/>
      <c r="I1338" s="9" t="e">
        <f>VLOOKUP($B1338,#REF!,19,FALSE)</f>
        <v>#REF!</v>
      </c>
      <c r="J1338" s="9" t="e">
        <f>VLOOKUP($B1338,#REF!,6,FALSE)</f>
        <v>#REF!</v>
      </c>
      <c r="L1338" s="1">
        <v>44656.624999995693</v>
      </c>
      <c r="M1338" s="13"/>
    </row>
    <row r="1339" spans="2:13">
      <c r="B1339" s="5"/>
      <c r="C1339" s="6" t="e">
        <f>VLOOKUP($B1339,#REF!,5,FALSE)</f>
        <v>#REF!</v>
      </c>
      <c r="D1339" s="6" t="e">
        <f>VLOOKUP($B1339,#REF!,6,FALSE)</f>
        <v>#REF!</v>
      </c>
      <c r="E1339" s="7" t="e">
        <f>VLOOKUP($B1339,#REF!,17,FALSE)</f>
        <v>#REF!</v>
      </c>
      <c r="F1339" s="8" t="e">
        <f>VLOOKUP($B1339,#REF!,7,FALSE)</f>
        <v>#REF!</v>
      </c>
      <c r="G1339" s="8"/>
      <c r="H1339" s="8"/>
      <c r="I1339" s="9" t="e">
        <f>VLOOKUP($B1339,#REF!,19,FALSE)</f>
        <v>#REF!</v>
      </c>
      <c r="J1339" s="9" t="e">
        <f>VLOOKUP($B1339,#REF!,6,FALSE)</f>
        <v>#REF!</v>
      </c>
      <c r="L1339" s="1">
        <v>44656.628472217912</v>
      </c>
      <c r="M1339" s="13"/>
    </row>
    <row r="1340" spans="2:13">
      <c r="B1340" s="5"/>
      <c r="C1340" s="6" t="e">
        <f>VLOOKUP($B1340,#REF!,5,FALSE)</f>
        <v>#REF!</v>
      </c>
      <c r="D1340" s="6" t="e">
        <f>VLOOKUP($B1340,#REF!,6,FALSE)</f>
        <v>#REF!</v>
      </c>
      <c r="E1340" s="7" t="e">
        <f>VLOOKUP($B1340,#REF!,17,FALSE)</f>
        <v>#REF!</v>
      </c>
      <c r="F1340" s="8" t="e">
        <f>VLOOKUP($B1340,#REF!,7,FALSE)</f>
        <v>#REF!</v>
      </c>
      <c r="G1340" s="8"/>
      <c r="H1340" s="8"/>
      <c r="I1340" s="9" t="e">
        <f>VLOOKUP($B1340,#REF!,19,FALSE)</f>
        <v>#REF!</v>
      </c>
      <c r="J1340" s="9" t="e">
        <f>VLOOKUP($B1340,#REF!,6,FALSE)</f>
        <v>#REF!</v>
      </c>
      <c r="L1340" s="1">
        <v>44656.631944440131</v>
      </c>
      <c r="M1340" s="13"/>
    </row>
    <row r="1341" spans="2:13">
      <c r="B1341" s="5"/>
      <c r="C1341" s="6" t="e">
        <f>VLOOKUP($B1341,#REF!,5,FALSE)</f>
        <v>#REF!</v>
      </c>
      <c r="D1341" s="6" t="e">
        <f>VLOOKUP($B1341,#REF!,6,FALSE)</f>
        <v>#REF!</v>
      </c>
      <c r="E1341" s="7" t="e">
        <f>VLOOKUP($B1341,#REF!,17,FALSE)</f>
        <v>#REF!</v>
      </c>
      <c r="F1341" s="8" t="e">
        <f>VLOOKUP($B1341,#REF!,7,FALSE)</f>
        <v>#REF!</v>
      </c>
      <c r="G1341" s="8"/>
      <c r="H1341" s="8"/>
      <c r="I1341" s="9" t="e">
        <f>VLOOKUP($B1341,#REF!,19,FALSE)</f>
        <v>#REF!</v>
      </c>
      <c r="J1341" s="9" t="e">
        <f>VLOOKUP($B1341,#REF!,6,FALSE)</f>
        <v>#REF!</v>
      </c>
      <c r="L1341" s="1">
        <v>44656.63541666235</v>
      </c>
      <c r="M1341" s="13"/>
    </row>
    <row r="1342" spans="2:13">
      <c r="B1342" s="5"/>
      <c r="C1342" s="6" t="e">
        <f>VLOOKUP($B1342,#REF!,5,FALSE)</f>
        <v>#REF!</v>
      </c>
      <c r="D1342" s="6" t="e">
        <f>VLOOKUP($B1342,#REF!,6,FALSE)</f>
        <v>#REF!</v>
      </c>
      <c r="E1342" s="7" t="e">
        <f>VLOOKUP($B1342,#REF!,17,FALSE)</f>
        <v>#REF!</v>
      </c>
      <c r="F1342" s="8" t="e">
        <f>VLOOKUP($B1342,#REF!,7,FALSE)</f>
        <v>#REF!</v>
      </c>
      <c r="G1342" s="8"/>
      <c r="H1342" s="8"/>
      <c r="I1342" s="9" t="e">
        <f>VLOOKUP($B1342,#REF!,19,FALSE)</f>
        <v>#REF!</v>
      </c>
      <c r="J1342" s="9" t="e">
        <f>VLOOKUP($B1342,#REF!,6,FALSE)</f>
        <v>#REF!</v>
      </c>
      <c r="L1342" s="1">
        <v>44656.638888884569</v>
      </c>
      <c r="M1342" s="13"/>
    </row>
    <row r="1343" spans="2:13">
      <c r="B1343" s="5"/>
      <c r="C1343" s="6" t="e">
        <f>VLOOKUP($B1343,#REF!,5,FALSE)</f>
        <v>#REF!</v>
      </c>
      <c r="D1343" s="6" t="e">
        <f>VLOOKUP($B1343,#REF!,6,FALSE)</f>
        <v>#REF!</v>
      </c>
      <c r="E1343" s="7" t="e">
        <f>VLOOKUP($B1343,#REF!,17,FALSE)</f>
        <v>#REF!</v>
      </c>
      <c r="F1343" s="8" t="e">
        <f>VLOOKUP($B1343,#REF!,7,FALSE)</f>
        <v>#REF!</v>
      </c>
      <c r="G1343" s="8"/>
      <c r="H1343" s="8"/>
      <c r="I1343" s="9" t="e">
        <f>VLOOKUP($B1343,#REF!,19,FALSE)</f>
        <v>#REF!</v>
      </c>
      <c r="J1343" s="9" t="e">
        <f>VLOOKUP($B1343,#REF!,6,FALSE)</f>
        <v>#REF!</v>
      </c>
      <c r="L1343" s="1">
        <v>44656.642361106788</v>
      </c>
      <c r="M1343" s="13"/>
    </row>
    <row r="1344" spans="2:13">
      <c r="B1344" s="5"/>
      <c r="C1344" s="6" t="e">
        <f>VLOOKUP($B1344,#REF!,5,FALSE)</f>
        <v>#REF!</v>
      </c>
      <c r="D1344" s="6" t="e">
        <f>VLOOKUP($B1344,#REF!,6,FALSE)</f>
        <v>#REF!</v>
      </c>
      <c r="E1344" s="7" t="e">
        <f>VLOOKUP($B1344,#REF!,17,FALSE)</f>
        <v>#REF!</v>
      </c>
      <c r="F1344" s="8" t="e">
        <f>VLOOKUP($B1344,#REF!,7,FALSE)</f>
        <v>#REF!</v>
      </c>
      <c r="G1344" s="8"/>
      <c r="H1344" s="8"/>
      <c r="I1344" s="9" t="e">
        <f>VLOOKUP($B1344,#REF!,19,FALSE)</f>
        <v>#REF!</v>
      </c>
      <c r="J1344" s="9" t="e">
        <f>VLOOKUP($B1344,#REF!,6,FALSE)</f>
        <v>#REF!</v>
      </c>
      <c r="L1344" s="1">
        <v>44656.645833329007</v>
      </c>
      <c r="M1344" s="13"/>
    </row>
    <row r="1345" spans="2:13">
      <c r="B1345" s="5"/>
      <c r="C1345" s="6" t="e">
        <f>VLOOKUP($B1345,#REF!,5,FALSE)</f>
        <v>#REF!</v>
      </c>
      <c r="D1345" s="6" t="e">
        <f>VLOOKUP($B1345,#REF!,6,FALSE)</f>
        <v>#REF!</v>
      </c>
      <c r="E1345" s="7" t="e">
        <f>VLOOKUP($B1345,#REF!,17,FALSE)</f>
        <v>#REF!</v>
      </c>
      <c r="F1345" s="8" t="e">
        <f>VLOOKUP($B1345,#REF!,7,FALSE)</f>
        <v>#REF!</v>
      </c>
      <c r="G1345" s="8"/>
      <c r="H1345" s="8"/>
      <c r="I1345" s="9" t="e">
        <f>VLOOKUP($B1345,#REF!,19,FALSE)</f>
        <v>#REF!</v>
      </c>
      <c r="J1345" s="9" t="e">
        <f>VLOOKUP($B1345,#REF!,6,FALSE)</f>
        <v>#REF!</v>
      </c>
      <c r="L1345" s="1">
        <v>44656.649305551226</v>
      </c>
      <c r="M1345" s="13"/>
    </row>
    <row r="1346" spans="2:13">
      <c r="B1346" s="5"/>
      <c r="C1346" s="6" t="e">
        <f>VLOOKUP($B1346,#REF!,5,FALSE)</f>
        <v>#REF!</v>
      </c>
      <c r="D1346" s="6" t="e">
        <f>VLOOKUP($B1346,#REF!,6,FALSE)</f>
        <v>#REF!</v>
      </c>
      <c r="E1346" s="7" t="e">
        <f>VLOOKUP($B1346,#REF!,17,FALSE)</f>
        <v>#REF!</v>
      </c>
      <c r="F1346" s="8" t="e">
        <f>VLOOKUP($B1346,#REF!,7,FALSE)</f>
        <v>#REF!</v>
      </c>
      <c r="G1346" s="8"/>
      <c r="H1346" s="8"/>
      <c r="I1346" s="9" t="e">
        <f>VLOOKUP($B1346,#REF!,19,FALSE)</f>
        <v>#REF!</v>
      </c>
      <c r="J1346" s="9" t="e">
        <f>VLOOKUP($B1346,#REF!,6,FALSE)</f>
        <v>#REF!</v>
      </c>
      <c r="L1346" s="1">
        <v>44656.652777773445</v>
      </c>
      <c r="M1346" s="13"/>
    </row>
    <row r="1347" spans="2:13">
      <c r="B1347" s="5"/>
      <c r="C1347" s="6" t="e">
        <f>VLOOKUP($B1347,#REF!,5,FALSE)</f>
        <v>#REF!</v>
      </c>
      <c r="D1347" s="6" t="e">
        <f>VLOOKUP($B1347,#REF!,6,FALSE)</f>
        <v>#REF!</v>
      </c>
      <c r="E1347" s="7" t="e">
        <f>VLOOKUP($B1347,#REF!,17,FALSE)</f>
        <v>#REF!</v>
      </c>
      <c r="F1347" s="8" t="e">
        <f>VLOOKUP($B1347,#REF!,7,FALSE)</f>
        <v>#REF!</v>
      </c>
      <c r="G1347" s="8"/>
      <c r="H1347" s="8"/>
      <c r="I1347" s="9" t="e">
        <f>VLOOKUP($B1347,#REF!,19,FALSE)</f>
        <v>#REF!</v>
      </c>
      <c r="J1347" s="9" t="e">
        <f>VLOOKUP($B1347,#REF!,6,FALSE)</f>
        <v>#REF!</v>
      </c>
      <c r="L1347" s="1">
        <v>44656.656249995664</v>
      </c>
      <c r="M1347" s="13"/>
    </row>
    <row r="1348" spans="2:13">
      <c r="B1348" s="5"/>
      <c r="C1348" s="6" t="e">
        <f>VLOOKUP($B1348,#REF!,5,FALSE)</f>
        <v>#REF!</v>
      </c>
      <c r="D1348" s="6" t="e">
        <f>VLOOKUP($B1348,#REF!,6,FALSE)</f>
        <v>#REF!</v>
      </c>
      <c r="E1348" s="7" t="e">
        <f>VLOOKUP($B1348,#REF!,17,FALSE)</f>
        <v>#REF!</v>
      </c>
      <c r="F1348" s="8" t="e">
        <f>VLOOKUP($B1348,#REF!,7,FALSE)</f>
        <v>#REF!</v>
      </c>
      <c r="G1348" s="8"/>
      <c r="H1348" s="8"/>
      <c r="I1348" s="9" t="e">
        <f>VLOOKUP($B1348,#REF!,19,FALSE)</f>
        <v>#REF!</v>
      </c>
      <c r="J1348" s="9" t="e">
        <f>VLOOKUP($B1348,#REF!,6,FALSE)</f>
        <v>#REF!</v>
      </c>
      <c r="L1348" s="1">
        <v>44656.659722217883</v>
      </c>
      <c r="M1348" s="13"/>
    </row>
    <row r="1349" spans="2:13">
      <c r="B1349" s="5"/>
      <c r="C1349" s="6" t="e">
        <f>VLOOKUP($B1349,#REF!,5,FALSE)</f>
        <v>#REF!</v>
      </c>
      <c r="D1349" s="6" t="e">
        <f>VLOOKUP($B1349,#REF!,6,FALSE)</f>
        <v>#REF!</v>
      </c>
      <c r="E1349" s="7" t="e">
        <f>VLOOKUP($B1349,#REF!,17,FALSE)</f>
        <v>#REF!</v>
      </c>
      <c r="F1349" s="8" t="e">
        <f>VLOOKUP($B1349,#REF!,7,FALSE)</f>
        <v>#REF!</v>
      </c>
      <c r="G1349" s="8"/>
      <c r="H1349" s="8"/>
      <c r="I1349" s="9" t="e">
        <f>VLOOKUP($B1349,#REF!,19,FALSE)</f>
        <v>#REF!</v>
      </c>
      <c r="J1349" s="9" t="e">
        <f>VLOOKUP($B1349,#REF!,6,FALSE)</f>
        <v>#REF!</v>
      </c>
      <c r="L1349" s="1">
        <v>44656.663194440102</v>
      </c>
      <c r="M1349" s="13"/>
    </row>
    <row r="1350" spans="2:13">
      <c r="B1350" s="5"/>
      <c r="C1350" s="6" t="e">
        <f>VLOOKUP($B1350,#REF!,5,FALSE)</f>
        <v>#REF!</v>
      </c>
      <c r="D1350" s="6" t="e">
        <f>VLOOKUP($B1350,#REF!,6,FALSE)</f>
        <v>#REF!</v>
      </c>
      <c r="E1350" s="7" t="e">
        <f>VLOOKUP($B1350,#REF!,17,FALSE)</f>
        <v>#REF!</v>
      </c>
      <c r="F1350" s="8" t="e">
        <f>VLOOKUP($B1350,#REF!,7,FALSE)</f>
        <v>#REF!</v>
      </c>
      <c r="G1350" s="8"/>
      <c r="H1350" s="8"/>
      <c r="I1350" s="9" t="e">
        <f>VLOOKUP($B1350,#REF!,19,FALSE)</f>
        <v>#REF!</v>
      </c>
      <c r="J1350" s="9" t="e">
        <f>VLOOKUP($B1350,#REF!,6,FALSE)</f>
        <v>#REF!</v>
      </c>
      <c r="L1350" s="1">
        <v>44656.66666666232</v>
      </c>
      <c r="M1350" s="13"/>
    </row>
    <row r="1351" spans="2:13">
      <c r="B1351" s="5"/>
      <c r="C1351" s="6" t="e">
        <f>VLOOKUP($B1351,#REF!,5,FALSE)</f>
        <v>#REF!</v>
      </c>
      <c r="D1351" s="6" t="e">
        <f>VLOOKUP($B1351,#REF!,6,FALSE)</f>
        <v>#REF!</v>
      </c>
      <c r="E1351" s="7" t="e">
        <f>VLOOKUP($B1351,#REF!,17,FALSE)</f>
        <v>#REF!</v>
      </c>
      <c r="F1351" s="8" t="e">
        <f>VLOOKUP($B1351,#REF!,7,FALSE)</f>
        <v>#REF!</v>
      </c>
      <c r="G1351" s="8"/>
      <c r="H1351" s="8"/>
      <c r="I1351" s="9" t="e">
        <f>VLOOKUP($B1351,#REF!,19,FALSE)</f>
        <v>#REF!</v>
      </c>
      <c r="J1351" s="9" t="e">
        <f>VLOOKUP($B1351,#REF!,6,FALSE)</f>
        <v>#REF!</v>
      </c>
      <c r="L1351" s="1">
        <v>44656.670138884539</v>
      </c>
      <c r="M1351" s="13"/>
    </row>
    <row r="1352" spans="2:13">
      <c r="B1352" s="5"/>
      <c r="C1352" s="6" t="e">
        <f>VLOOKUP($B1352,#REF!,5,FALSE)</f>
        <v>#REF!</v>
      </c>
      <c r="D1352" s="6" t="e">
        <f>VLOOKUP($B1352,#REF!,6,FALSE)</f>
        <v>#REF!</v>
      </c>
      <c r="E1352" s="7" t="e">
        <f>VLOOKUP($B1352,#REF!,17,FALSE)</f>
        <v>#REF!</v>
      </c>
      <c r="F1352" s="8" t="e">
        <f>VLOOKUP($B1352,#REF!,7,FALSE)</f>
        <v>#REF!</v>
      </c>
      <c r="G1352" s="8"/>
      <c r="H1352" s="8"/>
      <c r="I1352" s="9" t="e">
        <f>VLOOKUP($B1352,#REF!,19,FALSE)</f>
        <v>#REF!</v>
      </c>
      <c r="J1352" s="9" t="e">
        <f>VLOOKUP($B1352,#REF!,6,FALSE)</f>
        <v>#REF!</v>
      </c>
      <c r="L1352" s="1">
        <v>44656.673611106758</v>
      </c>
      <c r="M1352" s="13"/>
    </row>
    <row r="1353" spans="2:13">
      <c r="B1353" s="5"/>
      <c r="C1353" s="6" t="e">
        <f>VLOOKUP($B1353,#REF!,5,FALSE)</f>
        <v>#REF!</v>
      </c>
      <c r="D1353" s="6" t="e">
        <f>VLOOKUP($B1353,#REF!,6,FALSE)</f>
        <v>#REF!</v>
      </c>
      <c r="E1353" s="7" t="e">
        <f>VLOOKUP($B1353,#REF!,17,FALSE)</f>
        <v>#REF!</v>
      </c>
      <c r="F1353" s="8" t="e">
        <f>VLOOKUP($B1353,#REF!,7,FALSE)</f>
        <v>#REF!</v>
      </c>
      <c r="G1353" s="8"/>
      <c r="H1353" s="8"/>
      <c r="I1353" s="9" t="e">
        <f>VLOOKUP($B1353,#REF!,19,FALSE)</f>
        <v>#REF!</v>
      </c>
      <c r="J1353" s="9" t="e">
        <f>VLOOKUP($B1353,#REF!,6,FALSE)</f>
        <v>#REF!</v>
      </c>
      <c r="L1353" s="1">
        <v>44656.677083328977</v>
      </c>
      <c r="M1353" s="13"/>
    </row>
    <row r="1354" spans="2:13">
      <c r="B1354" s="5"/>
      <c r="C1354" s="6" t="e">
        <f>VLOOKUP($B1354,#REF!,5,FALSE)</f>
        <v>#REF!</v>
      </c>
      <c r="D1354" s="6" t="e">
        <f>VLOOKUP($B1354,#REF!,6,FALSE)</f>
        <v>#REF!</v>
      </c>
      <c r="E1354" s="7" t="e">
        <f>VLOOKUP($B1354,#REF!,17,FALSE)</f>
        <v>#REF!</v>
      </c>
      <c r="F1354" s="8" t="e">
        <f>VLOOKUP($B1354,#REF!,7,FALSE)</f>
        <v>#REF!</v>
      </c>
      <c r="G1354" s="8"/>
      <c r="H1354" s="8"/>
      <c r="I1354" s="9" t="e">
        <f>VLOOKUP($B1354,#REF!,19,FALSE)</f>
        <v>#REF!</v>
      </c>
      <c r="J1354" s="9" t="e">
        <f>VLOOKUP($B1354,#REF!,6,FALSE)</f>
        <v>#REF!</v>
      </c>
      <c r="L1354" s="1">
        <v>44656.680555551196</v>
      </c>
      <c r="M1354" s="13"/>
    </row>
    <row r="1355" spans="2:13">
      <c r="B1355" s="5"/>
      <c r="C1355" s="6" t="e">
        <f>VLOOKUP($B1355,#REF!,5,FALSE)</f>
        <v>#REF!</v>
      </c>
      <c r="D1355" s="6" t="e">
        <f>VLOOKUP($B1355,#REF!,6,FALSE)</f>
        <v>#REF!</v>
      </c>
      <c r="E1355" s="7" t="e">
        <f>VLOOKUP($B1355,#REF!,17,FALSE)</f>
        <v>#REF!</v>
      </c>
      <c r="F1355" s="8" t="e">
        <f>VLOOKUP($B1355,#REF!,7,FALSE)</f>
        <v>#REF!</v>
      </c>
      <c r="G1355" s="8"/>
      <c r="H1355" s="8"/>
      <c r="I1355" s="9" t="e">
        <f>VLOOKUP($B1355,#REF!,19,FALSE)</f>
        <v>#REF!</v>
      </c>
      <c r="J1355" s="9" t="e">
        <f>VLOOKUP($B1355,#REF!,6,FALSE)</f>
        <v>#REF!</v>
      </c>
      <c r="L1355" s="1">
        <v>44656.684027773415</v>
      </c>
      <c r="M1355" s="13"/>
    </row>
    <row r="1356" spans="2:13">
      <c r="B1356" s="5"/>
      <c r="C1356" s="6" t="e">
        <f>VLOOKUP($B1356,#REF!,5,FALSE)</f>
        <v>#REF!</v>
      </c>
      <c r="D1356" s="6" t="e">
        <f>VLOOKUP($B1356,#REF!,6,FALSE)</f>
        <v>#REF!</v>
      </c>
      <c r="E1356" s="7" t="e">
        <f>VLOOKUP($B1356,#REF!,17,FALSE)</f>
        <v>#REF!</v>
      </c>
      <c r="F1356" s="8" t="e">
        <f>VLOOKUP($B1356,#REF!,7,FALSE)</f>
        <v>#REF!</v>
      </c>
      <c r="G1356" s="8"/>
      <c r="H1356" s="8"/>
      <c r="I1356" s="9" t="e">
        <f>VLOOKUP($B1356,#REF!,19,FALSE)</f>
        <v>#REF!</v>
      </c>
      <c r="J1356" s="9" t="e">
        <f>VLOOKUP($B1356,#REF!,6,FALSE)</f>
        <v>#REF!</v>
      </c>
      <c r="L1356" s="1">
        <v>44656.687499995634</v>
      </c>
      <c r="M1356" s="13"/>
    </row>
    <row r="1357" spans="2:13">
      <c r="B1357" s="5"/>
      <c r="C1357" s="6" t="e">
        <f>VLOOKUP($B1357,#REF!,5,FALSE)</f>
        <v>#REF!</v>
      </c>
      <c r="D1357" s="6" t="e">
        <f>VLOOKUP($B1357,#REF!,6,FALSE)</f>
        <v>#REF!</v>
      </c>
      <c r="E1357" s="7" t="e">
        <f>VLOOKUP($B1357,#REF!,17,FALSE)</f>
        <v>#REF!</v>
      </c>
      <c r="F1357" s="8" t="e">
        <f>VLOOKUP($B1357,#REF!,7,FALSE)</f>
        <v>#REF!</v>
      </c>
      <c r="G1357" s="8"/>
      <c r="H1357" s="8"/>
      <c r="I1357" s="9" t="e">
        <f>VLOOKUP($B1357,#REF!,19,FALSE)</f>
        <v>#REF!</v>
      </c>
      <c r="J1357" s="9" t="e">
        <f>VLOOKUP($B1357,#REF!,6,FALSE)</f>
        <v>#REF!</v>
      </c>
      <c r="L1357" s="1">
        <v>44656.690972217853</v>
      </c>
      <c r="M1357" s="13"/>
    </row>
    <row r="1358" spans="2:13">
      <c r="B1358" s="5"/>
      <c r="C1358" s="6" t="e">
        <f>VLOOKUP($B1358,#REF!,5,FALSE)</f>
        <v>#REF!</v>
      </c>
      <c r="D1358" s="6" t="e">
        <f>VLOOKUP($B1358,#REF!,6,FALSE)</f>
        <v>#REF!</v>
      </c>
      <c r="E1358" s="7" t="e">
        <f>VLOOKUP($B1358,#REF!,17,FALSE)</f>
        <v>#REF!</v>
      </c>
      <c r="F1358" s="8" t="e">
        <f>VLOOKUP($B1358,#REF!,7,FALSE)</f>
        <v>#REF!</v>
      </c>
      <c r="G1358" s="8"/>
      <c r="H1358" s="8"/>
      <c r="I1358" s="9" t="e">
        <f>VLOOKUP($B1358,#REF!,19,FALSE)</f>
        <v>#REF!</v>
      </c>
      <c r="J1358" s="9" t="e">
        <f>VLOOKUP($B1358,#REF!,6,FALSE)</f>
        <v>#REF!</v>
      </c>
      <c r="L1358" s="1">
        <v>44656.694444440072</v>
      </c>
      <c r="M1358" s="13"/>
    </row>
    <row r="1359" spans="2:13">
      <c r="B1359" s="5"/>
      <c r="C1359" s="6" t="e">
        <f>VLOOKUP($B1359,#REF!,5,FALSE)</f>
        <v>#REF!</v>
      </c>
      <c r="D1359" s="6" t="e">
        <f>VLOOKUP($B1359,#REF!,6,FALSE)</f>
        <v>#REF!</v>
      </c>
      <c r="E1359" s="7" t="e">
        <f>VLOOKUP($B1359,#REF!,17,FALSE)</f>
        <v>#REF!</v>
      </c>
      <c r="F1359" s="8" t="e">
        <f>VLOOKUP($B1359,#REF!,7,FALSE)</f>
        <v>#REF!</v>
      </c>
      <c r="G1359" s="8"/>
      <c r="H1359" s="8"/>
      <c r="I1359" s="9" t="e">
        <f>VLOOKUP($B1359,#REF!,19,FALSE)</f>
        <v>#REF!</v>
      </c>
      <c r="J1359" s="9" t="e">
        <f>VLOOKUP($B1359,#REF!,6,FALSE)</f>
        <v>#REF!</v>
      </c>
      <c r="L1359" s="1">
        <v>44656.697916662291</v>
      </c>
      <c r="M1359" s="13"/>
    </row>
    <row r="1360" spans="2:13">
      <c r="B1360" s="5"/>
      <c r="C1360" s="6" t="e">
        <f>VLOOKUP($B1360,#REF!,5,FALSE)</f>
        <v>#REF!</v>
      </c>
      <c r="D1360" s="6" t="e">
        <f>VLOOKUP($B1360,#REF!,6,FALSE)</f>
        <v>#REF!</v>
      </c>
      <c r="E1360" s="7" t="e">
        <f>VLOOKUP($B1360,#REF!,17,FALSE)</f>
        <v>#REF!</v>
      </c>
      <c r="F1360" s="8" t="e">
        <f>VLOOKUP($B1360,#REF!,7,FALSE)</f>
        <v>#REF!</v>
      </c>
      <c r="G1360" s="8"/>
      <c r="H1360" s="8"/>
      <c r="I1360" s="9" t="e">
        <f>VLOOKUP($B1360,#REF!,19,FALSE)</f>
        <v>#REF!</v>
      </c>
      <c r="J1360" s="9" t="e">
        <f>VLOOKUP($B1360,#REF!,6,FALSE)</f>
        <v>#REF!</v>
      </c>
      <c r="L1360" s="1">
        <v>44656.70138888451</v>
      </c>
      <c r="M1360" s="13"/>
    </row>
    <row r="1361" spans="2:13">
      <c r="B1361" s="5"/>
      <c r="C1361" s="6" t="e">
        <f>VLOOKUP($B1361,#REF!,5,FALSE)</f>
        <v>#REF!</v>
      </c>
      <c r="D1361" s="6" t="e">
        <f>VLOOKUP($B1361,#REF!,6,FALSE)</f>
        <v>#REF!</v>
      </c>
      <c r="E1361" s="7" t="e">
        <f>VLOOKUP($B1361,#REF!,17,FALSE)</f>
        <v>#REF!</v>
      </c>
      <c r="F1361" s="8" t="e">
        <f>VLOOKUP($B1361,#REF!,7,FALSE)</f>
        <v>#REF!</v>
      </c>
      <c r="G1361" s="8"/>
      <c r="H1361" s="8"/>
      <c r="I1361" s="9" t="e">
        <f>VLOOKUP($B1361,#REF!,19,FALSE)</f>
        <v>#REF!</v>
      </c>
      <c r="J1361" s="9" t="e">
        <f>VLOOKUP($B1361,#REF!,6,FALSE)</f>
        <v>#REF!</v>
      </c>
      <c r="L1361" s="1">
        <v>44656.704861106729</v>
      </c>
      <c r="M1361" s="13"/>
    </row>
    <row r="1362" spans="2:13">
      <c r="B1362" s="5"/>
      <c r="C1362" s="6" t="e">
        <f>VLOOKUP($B1362,#REF!,5,FALSE)</f>
        <v>#REF!</v>
      </c>
      <c r="D1362" s="6" t="e">
        <f>VLOOKUP($B1362,#REF!,6,FALSE)</f>
        <v>#REF!</v>
      </c>
      <c r="E1362" s="7" t="e">
        <f>VLOOKUP($B1362,#REF!,17,FALSE)</f>
        <v>#REF!</v>
      </c>
      <c r="F1362" s="8" t="e">
        <f>VLOOKUP($B1362,#REF!,7,FALSE)</f>
        <v>#REF!</v>
      </c>
      <c r="G1362" s="8"/>
      <c r="H1362" s="8"/>
      <c r="I1362" s="9" t="e">
        <f>VLOOKUP($B1362,#REF!,19,FALSE)</f>
        <v>#REF!</v>
      </c>
      <c r="J1362" s="9" t="e">
        <f>VLOOKUP($B1362,#REF!,6,FALSE)</f>
        <v>#REF!</v>
      </c>
      <c r="L1362" s="1">
        <v>44656.708333328948</v>
      </c>
      <c r="M1362" s="13"/>
    </row>
    <row r="1363" spans="2:13">
      <c r="B1363" s="5"/>
      <c r="C1363" s="6" t="e">
        <f>VLOOKUP($B1363,#REF!,5,FALSE)</f>
        <v>#REF!</v>
      </c>
      <c r="D1363" s="6" t="e">
        <f>VLOOKUP($B1363,#REF!,6,FALSE)</f>
        <v>#REF!</v>
      </c>
      <c r="E1363" s="7" t="e">
        <f>VLOOKUP($B1363,#REF!,17,FALSE)</f>
        <v>#REF!</v>
      </c>
      <c r="F1363" s="8" t="e">
        <f>VLOOKUP($B1363,#REF!,7,FALSE)</f>
        <v>#REF!</v>
      </c>
      <c r="G1363" s="8"/>
      <c r="H1363" s="8"/>
      <c r="I1363" s="9" t="e">
        <f>VLOOKUP($B1363,#REF!,19,FALSE)</f>
        <v>#REF!</v>
      </c>
      <c r="J1363" s="9" t="e">
        <f>VLOOKUP($B1363,#REF!,6,FALSE)</f>
        <v>#REF!</v>
      </c>
      <c r="L1363" s="1">
        <v>44656.711805551167</v>
      </c>
      <c r="M1363" s="13"/>
    </row>
    <row r="1364" spans="2:13">
      <c r="B1364" s="5"/>
      <c r="C1364" s="6" t="e">
        <f>VLOOKUP($B1364,#REF!,5,FALSE)</f>
        <v>#REF!</v>
      </c>
      <c r="D1364" s="6" t="e">
        <f>VLOOKUP($B1364,#REF!,6,FALSE)</f>
        <v>#REF!</v>
      </c>
      <c r="E1364" s="7" t="e">
        <f>VLOOKUP($B1364,#REF!,17,FALSE)</f>
        <v>#REF!</v>
      </c>
      <c r="F1364" s="8" t="e">
        <f>VLOOKUP($B1364,#REF!,7,FALSE)</f>
        <v>#REF!</v>
      </c>
      <c r="G1364" s="8"/>
      <c r="H1364" s="8"/>
      <c r="I1364" s="9" t="e">
        <f>VLOOKUP($B1364,#REF!,19,FALSE)</f>
        <v>#REF!</v>
      </c>
      <c r="J1364" s="9" t="e">
        <f>VLOOKUP($B1364,#REF!,6,FALSE)</f>
        <v>#REF!</v>
      </c>
      <c r="L1364" s="1">
        <v>44656.715277773386</v>
      </c>
      <c r="M1364" s="13"/>
    </row>
    <row r="1365" spans="2:13">
      <c r="B1365" s="5"/>
      <c r="C1365" s="6" t="e">
        <f>VLOOKUP($B1365,#REF!,5,FALSE)</f>
        <v>#REF!</v>
      </c>
      <c r="D1365" s="6" t="e">
        <f>VLOOKUP($B1365,#REF!,6,FALSE)</f>
        <v>#REF!</v>
      </c>
      <c r="E1365" s="7" t="e">
        <f>VLOOKUP($B1365,#REF!,17,FALSE)</f>
        <v>#REF!</v>
      </c>
      <c r="F1365" s="8" t="e">
        <f>VLOOKUP($B1365,#REF!,7,FALSE)</f>
        <v>#REF!</v>
      </c>
      <c r="G1365" s="8"/>
      <c r="H1365" s="8"/>
      <c r="I1365" s="9" t="e">
        <f>VLOOKUP($B1365,#REF!,19,FALSE)</f>
        <v>#REF!</v>
      </c>
      <c r="J1365" s="9" t="e">
        <f>VLOOKUP($B1365,#REF!,6,FALSE)</f>
        <v>#REF!</v>
      </c>
      <c r="L1365" s="1">
        <v>44656.718749995605</v>
      </c>
      <c r="M1365" s="13"/>
    </row>
    <row r="1366" spans="2:13">
      <c r="B1366" s="5"/>
      <c r="C1366" s="6" t="e">
        <f>VLOOKUP($B1366,#REF!,5,FALSE)</f>
        <v>#REF!</v>
      </c>
      <c r="D1366" s="6" t="e">
        <f>VLOOKUP($B1366,#REF!,6,FALSE)</f>
        <v>#REF!</v>
      </c>
      <c r="E1366" s="7" t="e">
        <f>VLOOKUP($B1366,#REF!,17,FALSE)</f>
        <v>#REF!</v>
      </c>
      <c r="F1366" s="8" t="e">
        <f>VLOOKUP($B1366,#REF!,7,FALSE)</f>
        <v>#REF!</v>
      </c>
      <c r="G1366" s="8"/>
      <c r="H1366" s="8"/>
      <c r="I1366" s="9" t="e">
        <f>VLOOKUP($B1366,#REF!,19,FALSE)</f>
        <v>#REF!</v>
      </c>
      <c r="J1366" s="9" t="e">
        <f>VLOOKUP($B1366,#REF!,6,FALSE)</f>
        <v>#REF!</v>
      </c>
      <c r="L1366" s="1">
        <v>44656.722222217824</v>
      </c>
      <c r="M1366" s="13"/>
    </row>
    <row r="1367" spans="2:13">
      <c r="B1367" s="5"/>
      <c r="C1367" s="6" t="e">
        <f>VLOOKUP($B1367,#REF!,5,FALSE)</f>
        <v>#REF!</v>
      </c>
      <c r="D1367" s="6" t="e">
        <f>VLOOKUP($B1367,#REF!,6,FALSE)</f>
        <v>#REF!</v>
      </c>
      <c r="E1367" s="7" t="e">
        <f>VLOOKUP($B1367,#REF!,17,FALSE)</f>
        <v>#REF!</v>
      </c>
      <c r="F1367" s="8" t="e">
        <f>VLOOKUP($B1367,#REF!,7,FALSE)</f>
        <v>#REF!</v>
      </c>
      <c r="G1367" s="8"/>
      <c r="H1367" s="8"/>
      <c r="I1367" s="9" t="e">
        <f>VLOOKUP($B1367,#REF!,19,FALSE)</f>
        <v>#REF!</v>
      </c>
      <c r="J1367" s="9" t="e">
        <f>VLOOKUP($B1367,#REF!,6,FALSE)</f>
        <v>#REF!</v>
      </c>
      <c r="L1367" s="1">
        <v>44656.725694440043</v>
      </c>
      <c r="M1367" s="13"/>
    </row>
    <row r="1368" spans="2:13">
      <c r="B1368" s="5"/>
      <c r="C1368" s="6" t="e">
        <f>VLOOKUP($B1368,#REF!,5,FALSE)</f>
        <v>#REF!</v>
      </c>
      <c r="D1368" s="6" t="e">
        <f>VLOOKUP($B1368,#REF!,6,FALSE)</f>
        <v>#REF!</v>
      </c>
      <c r="E1368" s="7" t="e">
        <f>VLOOKUP($B1368,#REF!,17,FALSE)</f>
        <v>#REF!</v>
      </c>
      <c r="F1368" s="8" t="e">
        <f>VLOOKUP($B1368,#REF!,7,FALSE)</f>
        <v>#REF!</v>
      </c>
      <c r="G1368" s="8"/>
      <c r="H1368" s="8"/>
      <c r="I1368" s="9" t="e">
        <f>VLOOKUP($B1368,#REF!,19,FALSE)</f>
        <v>#REF!</v>
      </c>
      <c r="J1368" s="9" t="e">
        <f>VLOOKUP($B1368,#REF!,6,FALSE)</f>
        <v>#REF!</v>
      </c>
      <c r="L1368" s="1">
        <v>44656.729166662262</v>
      </c>
      <c r="M1368" s="13"/>
    </row>
    <row r="1369" spans="2:13">
      <c r="B1369" s="5"/>
      <c r="C1369" s="6" t="e">
        <f>VLOOKUP($B1369,#REF!,5,FALSE)</f>
        <v>#REF!</v>
      </c>
      <c r="D1369" s="6" t="e">
        <f>VLOOKUP($B1369,#REF!,6,FALSE)</f>
        <v>#REF!</v>
      </c>
      <c r="E1369" s="7" t="e">
        <f>VLOOKUP($B1369,#REF!,17,FALSE)</f>
        <v>#REF!</v>
      </c>
      <c r="F1369" s="8" t="e">
        <f>VLOOKUP($B1369,#REF!,7,FALSE)</f>
        <v>#REF!</v>
      </c>
      <c r="G1369" s="8"/>
      <c r="H1369" s="8"/>
      <c r="I1369" s="9" t="e">
        <f>VLOOKUP($B1369,#REF!,19,FALSE)</f>
        <v>#REF!</v>
      </c>
      <c r="J1369" s="9" t="e">
        <f>VLOOKUP($B1369,#REF!,6,FALSE)</f>
        <v>#REF!</v>
      </c>
      <c r="L1369" s="1">
        <v>44656.732638884481</v>
      </c>
      <c r="M1369" s="13"/>
    </row>
    <row r="1370" spans="2:13">
      <c r="B1370" s="5"/>
      <c r="C1370" s="6" t="e">
        <f>VLOOKUP($B1370,#REF!,5,FALSE)</f>
        <v>#REF!</v>
      </c>
      <c r="D1370" s="6" t="e">
        <f>VLOOKUP($B1370,#REF!,6,FALSE)</f>
        <v>#REF!</v>
      </c>
      <c r="E1370" s="7" t="e">
        <f>VLOOKUP($B1370,#REF!,17,FALSE)</f>
        <v>#REF!</v>
      </c>
      <c r="F1370" s="8" t="e">
        <f>VLOOKUP($B1370,#REF!,7,FALSE)</f>
        <v>#REF!</v>
      </c>
      <c r="G1370" s="8"/>
      <c r="H1370" s="8"/>
      <c r="I1370" s="9" t="e">
        <f>VLOOKUP($B1370,#REF!,19,FALSE)</f>
        <v>#REF!</v>
      </c>
      <c r="J1370" s="9" t="e">
        <f>VLOOKUP($B1370,#REF!,6,FALSE)</f>
        <v>#REF!</v>
      </c>
      <c r="L1370" s="1">
        <v>44656.7361111067</v>
      </c>
      <c r="M1370" s="13"/>
    </row>
    <row r="1371" spans="2:13">
      <c r="B1371" s="5"/>
      <c r="C1371" s="6" t="e">
        <f>VLOOKUP($B1371,#REF!,5,FALSE)</f>
        <v>#REF!</v>
      </c>
      <c r="D1371" s="6" t="e">
        <f>VLOOKUP($B1371,#REF!,6,FALSE)</f>
        <v>#REF!</v>
      </c>
      <c r="E1371" s="7" t="e">
        <f>VLOOKUP($B1371,#REF!,17,FALSE)</f>
        <v>#REF!</v>
      </c>
      <c r="F1371" s="8" t="e">
        <f>VLOOKUP($B1371,#REF!,7,FALSE)</f>
        <v>#REF!</v>
      </c>
      <c r="G1371" s="8"/>
      <c r="H1371" s="8"/>
      <c r="I1371" s="9" t="e">
        <f>VLOOKUP($B1371,#REF!,19,FALSE)</f>
        <v>#REF!</v>
      </c>
      <c r="J1371" s="9" t="e">
        <f>VLOOKUP($B1371,#REF!,6,FALSE)</f>
        <v>#REF!</v>
      </c>
      <c r="L1371" s="1">
        <v>44656.739583328919</v>
      </c>
      <c r="M1371" s="13"/>
    </row>
    <row r="1372" spans="2:13">
      <c r="B1372" s="5"/>
      <c r="C1372" s="6" t="e">
        <f>VLOOKUP($B1372,#REF!,5,FALSE)</f>
        <v>#REF!</v>
      </c>
      <c r="D1372" s="6" t="e">
        <f>VLOOKUP($B1372,#REF!,6,FALSE)</f>
        <v>#REF!</v>
      </c>
      <c r="E1372" s="7" t="e">
        <f>VLOOKUP($B1372,#REF!,17,FALSE)</f>
        <v>#REF!</v>
      </c>
      <c r="F1372" s="8" t="e">
        <f>VLOOKUP($B1372,#REF!,7,FALSE)</f>
        <v>#REF!</v>
      </c>
      <c r="G1372" s="8"/>
      <c r="H1372" s="8"/>
      <c r="I1372" s="9" t="e">
        <f>VLOOKUP($B1372,#REF!,19,FALSE)</f>
        <v>#REF!</v>
      </c>
      <c r="J1372" s="9" t="e">
        <f>VLOOKUP($B1372,#REF!,6,FALSE)</f>
        <v>#REF!</v>
      </c>
      <c r="L1372" s="1">
        <v>44656.743055551138</v>
      </c>
      <c r="M1372" s="13"/>
    </row>
    <row r="1373" spans="2:13">
      <c r="B1373" s="5"/>
      <c r="C1373" s="5"/>
      <c r="D1373" s="5"/>
      <c r="E1373" s="5"/>
      <c r="F1373" s="8" t="e">
        <f>VLOOKUP($B1373,#REF!,7,FALSE)</f>
        <v>#REF!</v>
      </c>
      <c r="G1373" s="8"/>
      <c r="H1373" s="8"/>
      <c r="I1373" s="9" t="e">
        <f>VLOOKUP($B1373,#REF!,19,FALSE)</f>
        <v>#REF!</v>
      </c>
      <c r="J1373" s="9" t="e">
        <f>VLOOKUP($B1373,#REF!,6,FALSE)</f>
        <v>#REF!</v>
      </c>
      <c r="L1373" s="1">
        <v>44656.746527773357</v>
      </c>
      <c r="M1373" s="13"/>
    </row>
    <row r="1374" spans="2:13">
      <c r="L1374" s="1">
        <v>44656.749999995576</v>
      </c>
      <c r="M1374" s="13"/>
    </row>
    <row r="1375" spans="2:13">
      <c r="L1375" s="1">
        <v>44656.753472217795</v>
      </c>
      <c r="M1375" s="13"/>
    </row>
    <row r="1376" spans="2:13">
      <c r="L1376" s="1">
        <v>44656.756944440014</v>
      </c>
      <c r="M1376" s="13"/>
    </row>
    <row r="1377" spans="12:13">
      <c r="L1377" s="1">
        <v>44656.760416662233</v>
      </c>
      <c r="M1377" s="13"/>
    </row>
    <row r="1378" spans="12:13">
      <c r="L1378" s="1">
        <v>44656.763888884452</v>
      </c>
      <c r="M1378" s="13"/>
    </row>
    <row r="1379" spans="12:13">
      <c r="L1379" s="1">
        <v>44656.767361106671</v>
      </c>
      <c r="M1379" s="13"/>
    </row>
    <row r="1380" spans="12:13">
      <c r="L1380" s="1">
        <v>44656.77083332889</v>
      </c>
      <c r="M1380" s="13"/>
    </row>
    <row r="1381" spans="12:13">
      <c r="L1381" s="1">
        <v>44656.774305551109</v>
      </c>
      <c r="M1381" s="13"/>
    </row>
    <row r="1382" spans="12:13">
      <c r="L1382" s="1">
        <v>44656.777777773328</v>
      </c>
      <c r="M1382" s="13"/>
    </row>
    <row r="1383" spans="12:13">
      <c r="L1383" s="1">
        <v>44656.781249995547</v>
      </c>
      <c r="M1383" s="13"/>
    </row>
    <row r="1384" spans="12:13">
      <c r="L1384" s="1">
        <v>44656.784722217766</v>
      </c>
      <c r="M1384" s="13"/>
    </row>
    <row r="1385" spans="12:13">
      <c r="L1385" s="1">
        <v>44656.788194439985</v>
      </c>
      <c r="M1385" s="13"/>
    </row>
    <row r="1386" spans="12:13">
      <c r="L1386" s="1">
        <v>44656.791666662204</v>
      </c>
      <c r="M1386" s="13"/>
    </row>
    <row r="1387" spans="12:13">
      <c r="L1387" s="1">
        <v>44656.795138884423</v>
      </c>
      <c r="M1387" s="13"/>
    </row>
    <row r="1388" spans="12:13">
      <c r="L1388" s="1">
        <v>44656.798611106642</v>
      </c>
      <c r="M1388" s="13"/>
    </row>
    <row r="1389" spans="12:13">
      <c r="L1389" s="1">
        <v>44656.802083328861</v>
      </c>
      <c r="M1389" s="13"/>
    </row>
    <row r="1390" spans="12:13">
      <c r="L1390" s="1">
        <v>44656.80555555108</v>
      </c>
      <c r="M1390" s="13"/>
    </row>
    <row r="1391" spans="12:13">
      <c r="L1391" s="1">
        <v>44656.809027773299</v>
      </c>
      <c r="M1391" s="13"/>
    </row>
    <row r="1392" spans="12:13">
      <c r="L1392" s="1">
        <v>44656.812499995518</v>
      </c>
      <c r="M1392" s="13"/>
    </row>
    <row r="1393" spans="12:13">
      <c r="L1393" s="1">
        <v>44656.815972217737</v>
      </c>
      <c r="M1393" s="13"/>
    </row>
    <row r="1394" spans="12:13">
      <c r="L1394" s="1">
        <v>44656.819444439956</v>
      </c>
      <c r="M1394" s="13"/>
    </row>
    <row r="1395" spans="12:13">
      <c r="L1395" s="1">
        <v>44656.822916662175</v>
      </c>
      <c r="M1395" s="13"/>
    </row>
    <row r="1396" spans="12:13">
      <c r="L1396" s="1">
        <v>44656.826388884394</v>
      </c>
      <c r="M1396" s="13"/>
    </row>
    <row r="1397" spans="12:13">
      <c r="L1397" s="1">
        <v>44656.829861106613</v>
      </c>
      <c r="M1397" s="13"/>
    </row>
    <row r="1398" spans="12:13">
      <c r="L1398" s="1">
        <v>44656.833333328832</v>
      </c>
      <c r="M1398" s="13"/>
    </row>
    <row r="1399" spans="12:13">
      <c r="L1399" s="1">
        <v>44656.836805551051</v>
      </c>
      <c r="M1399" s="13"/>
    </row>
    <row r="1400" spans="12:13">
      <c r="L1400" s="1">
        <v>44656.84027777327</v>
      </c>
      <c r="M1400" s="13"/>
    </row>
    <row r="1401" spans="12:13">
      <c r="L1401" s="1">
        <v>44656.843749995489</v>
      </c>
      <c r="M1401" s="13"/>
    </row>
    <row r="1402" spans="12:13">
      <c r="L1402" s="1">
        <v>44656.847222217708</v>
      </c>
      <c r="M1402" s="13"/>
    </row>
    <row r="1403" spans="12:13">
      <c r="L1403" s="1">
        <v>44656.850694439927</v>
      </c>
      <c r="M1403" s="13"/>
    </row>
    <row r="1404" spans="12:13">
      <c r="L1404" s="1">
        <v>44656.854166662146</v>
      </c>
      <c r="M1404" s="13"/>
    </row>
    <row r="1405" spans="12:13">
      <c r="L1405" s="1">
        <v>44656.857638884365</v>
      </c>
      <c r="M1405" s="13"/>
    </row>
    <row r="1406" spans="12:13">
      <c r="L1406" s="1">
        <v>44656.861111106584</v>
      </c>
      <c r="M1406" s="13"/>
    </row>
    <row r="1407" spans="12:13">
      <c r="L1407" s="1">
        <v>44656.864583328803</v>
      </c>
      <c r="M1407" s="13"/>
    </row>
    <row r="1408" spans="12:13">
      <c r="L1408" s="1">
        <v>44656.868055551022</v>
      </c>
      <c r="M1408" s="13"/>
    </row>
    <row r="1409" spans="12:13">
      <c r="L1409" s="1">
        <v>44656.871527773241</v>
      </c>
      <c r="M1409" s="13"/>
    </row>
    <row r="1410" spans="12:13">
      <c r="L1410" s="1">
        <v>44656.87499999546</v>
      </c>
      <c r="M1410" s="13"/>
    </row>
    <row r="1411" spans="12:13">
      <c r="L1411" s="1">
        <v>44656.878472217679</v>
      </c>
      <c r="M1411" s="13"/>
    </row>
    <row r="1412" spans="12:13">
      <c r="L1412" s="1">
        <v>44656.881944439898</v>
      </c>
      <c r="M1412" s="13"/>
    </row>
    <row r="1413" spans="12:13">
      <c r="L1413" s="1">
        <v>44656.885416662117</v>
      </c>
      <c r="M1413" s="13"/>
    </row>
    <row r="1414" spans="12:13">
      <c r="L1414" s="1">
        <v>44656.888888884336</v>
      </c>
      <c r="M1414" s="13"/>
    </row>
    <row r="1415" spans="12:13">
      <c r="L1415" s="1">
        <v>44656.892361106555</v>
      </c>
      <c r="M1415" s="13"/>
    </row>
    <row r="1416" spans="12:13">
      <c r="L1416" s="1">
        <v>44656.895833328774</v>
      </c>
      <c r="M1416" s="13"/>
    </row>
    <row r="1417" spans="12:13">
      <c r="L1417" s="1">
        <v>44656.899305550993</v>
      </c>
      <c r="M1417" s="13"/>
    </row>
    <row r="1418" spans="12:13">
      <c r="L1418" s="1">
        <v>44656.902777773212</v>
      </c>
      <c r="M1418" s="13"/>
    </row>
    <row r="1419" spans="12:13">
      <c r="L1419" s="1">
        <v>44656.906249995431</v>
      </c>
      <c r="M1419" s="13"/>
    </row>
    <row r="1420" spans="12:13">
      <c r="L1420" s="1">
        <v>44656.90972221765</v>
      </c>
      <c r="M1420" s="13"/>
    </row>
    <row r="1421" spans="12:13">
      <c r="L1421" s="1">
        <v>44656.913194439869</v>
      </c>
      <c r="M1421" s="13"/>
    </row>
    <row r="1422" spans="12:13">
      <c r="L1422" s="1">
        <v>44656.916666662088</v>
      </c>
      <c r="M1422" s="13"/>
    </row>
    <row r="1423" spans="12:13">
      <c r="L1423" s="1">
        <v>44656.920138884307</v>
      </c>
      <c r="M1423" s="13"/>
    </row>
    <row r="1424" spans="12:13">
      <c r="L1424" s="1">
        <v>44656.923611106526</v>
      </c>
      <c r="M1424" s="13"/>
    </row>
    <row r="1425" spans="12:13">
      <c r="L1425" s="1">
        <v>44656.927083328745</v>
      </c>
      <c r="M1425" s="13"/>
    </row>
    <row r="1426" spans="12:13">
      <c r="L1426" s="1">
        <v>44656.930555550964</v>
      </c>
      <c r="M1426" s="13"/>
    </row>
    <row r="1427" spans="12:13">
      <c r="L1427" s="1">
        <v>44656.934027773183</v>
      </c>
      <c r="M1427" s="13"/>
    </row>
    <row r="1428" spans="12:13">
      <c r="L1428" s="1">
        <v>44656.937499995402</v>
      </c>
      <c r="M1428" s="13"/>
    </row>
    <row r="1429" spans="12:13">
      <c r="L1429" s="1">
        <v>44656.940972217621</v>
      </c>
      <c r="M1429" s="13"/>
    </row>
    <row r="1430" spans="12:13">
      <c r="L1430" s="1">
        <v>44656.94444443984</v>
      </c>
      <c r="M1430" s="13"/>
    </row>
    <row r="1431" spans="12:13">
      <c r="L1431" s="1">
        <v>44656.947916662059</v>
      </c>
      <c r="M1431" s="13"/>
    </row>
    <row r="1432" spans="12:13">
      <c r="L1432" s="1">
        <v>44656.951388884278</v>
      </c>
      <c r="M1432" s="13"/>
    </row>
    <row r="1433" spans="12:13">
      <c r="L1433" s="1">
        <v>44656.954861106497</v>
      </c>
      <c r="M1433" s="13"/>
    </row>
    <row r="1434" spans="12:13">
      <c r="L1434" s="1">
        <v>44656.958333328716</v>
      </c>
      <c r="M1434" s="13"/>
    </row>
    <row r="1435" spans="12:13">
      <c r="L1435" s="1">
        <v>44656.961805550935</v>
      </c>
      <c r="M1435" s="13"/>
    </row>
    <row r="1436" spans="12:13">
      <c r="L1436" s="1">
        <v>44656.965277773154</v>
      </c>
      <c r="M1436" s="13"/>
    </row>
    <row r="1437" spans="12:13">
      <c r="L1437" s="1">
        <v>44656.968749995372</v>
      </c>
      <c r="M1437" s="13"/>
    </row>
    <row r="1438" spans="12:13">
      <c r="L1438" s="1">
        <v>44656.972222217591</v>
      </c>
      <c r="M1438" s="13"/>
    </row>
    <row r="1439" spans="12:13">
      <c r="L1439" s="1">
        <v>44656.97569443981</v>
      </c>
      <c r="M1439" s="13"/>
    </row>
    <row r="1440" spans="12:13">
      <c r="L1440" s="1">
        <v>44656.979166662029</v>
      </c>
      <c r="M1440" s="13"/>
    </row>
    <row r="1441" spans="12:13">
      <c r="L1441" s="1">
        <v>44656.982638884248</v>
      </c>
      <c r="M1441" s="13"/>
    </row>
    <row r="1442" spans="12:13">
      <c r="L1442" s="1">
        <v>44656.986111106467</v>
      </c>
      <c r="M1442" s="13"/>
    </row>
    <row r="1443" spans="12:13">
      <c r="L1443" s="1">
        <v>44656.989583328686</v>
      </c>
      <c r="M1443" s="13"/>
    </row>
    <row r="1444" spans="12:13">
      <c r="L1444" s="1">
        <v>44656.993055550905</v>
      </c>
      <c r="M1444" s="13"/>
    </row>
    <row r="1445" spans="12:13">
      <c r="L1445" s="1">
        <v>44656.996527773124</v>
      </c>
      <c r="M1445" s="13"/>
    </row>
    <row r="1446" spans="12:13">
      <c r="L1446" s="1">
        <v>44656.999999995343</v>
      </c>
      <c r="M1446" s="13"/>
    </row>
    <row r="1447" spans="12:13">
      <c r="L1447" s="1">
        <v>44657.003472217562</v>
      </c>
      <c r="M1447" s="13"/>
    </row>
    <row r="1448" spans="12:13">
      <c r="L1448" s="1">
        <v>44657.006944439781</v>
      </c>
      <c r="M1448" s="13"/>
    </row>
    <row r="1449" spans="12:13">
      <c r="L1449" s="1">
        <v>44657.010416662</v>
      </c>
      <c r="M1449" s="13"/>
    </row>
    <row r="1450" spans="12:13">
      <c r="L1450" s="1">
        <v>44657.013888884219</v>
      </c>
      <c r="M1450" s="13"/>
    </row>
    <row r="1451" spans="12:13">
      <c r="L1451" s="1">
        <v>44657.017361106438</v>
      </c>
      <c r="M1451" s="13"/>
    </row>
    <row r="1452" spans="12:13">
      <c r="L1452" s="1">
        <v>44657.020833328657</v>
      </c>
      <c r="M1452" s="13"/>
    </row>
    <row r="1453" spans="12:13">
      <c r="L1453" s="1">
        <v>44657.024305550876</v>
      </c>
      <c r="M1453" s="13"/>
    </row>
    <row r="1454" spans="12:13">
      <c r="L1454" s="1">
        <v>44657.027777773095</v>
      </c>
      <c r="M1454" s="13"/>
    </row>
    <row r="1455" spans="12:13">
      <c r="L1455" s="1">
        <v>44657.031249995314</v>
      </c>
      <c r="M1455" s="13"/>
    </row>
    <row r="1456" spans="12:13">
      <c r="L1456" s="1">
        <v>44657.034722217533</v>
      </c>
      <c r="M1456" s="13"/>
    </row>
    <row r="1457" spans="12:13">
      <c r="L1457" s="1">
        <v>44657.038194439752</v>
      </c>
      <c r="M1457" s="13"/>
    </row>
    <row r="1458" spans="12:13">
      <c r="L1458" s="1">
        <v>44657.041666661971</v>
      </c>
      <c r="M1458" s="13"/>
    </row>
    <row r="1459" spans="12:13">
      <c r="L1459" s="1">
        <v>44657.04513888419</v>
      </c>
      <c r="M1459" s="13"/>
    </row>
    <row r="1460" spans="12:13">
      <c r="L1460" s="1">
        <v>44657.048611106409</v>
      </c>
      <c r="M1460" s="13"/>
    </row>
    <row r="1461" spans="12:13">
      <c r="L1461" s="1">
        <v>44657.052083328628</v>
      </c>
      <c r="M1461" s="13"/>
    </row>
    <row r="1462" spans="12:13">
      <c r="L1462" s="1">
        <v>44657.055555550847</v>
      </c>
      <c r="M1462" s="13"/>
    </row>
    <row r="1463" spans="12:13">
      <c r="L1463" s="1">
        <v>44657.059027773066</v>
      </c>
      <c r="M1463" s="13"/>
    </row>
    <row r="1464" spans="12:13">
      <c r="L1464" s="1">
        <v>44657.062499995285</v>
      </c>
      <c r="M1464" s="13"/>
    </row>
    <row r="1465" spans="12:13">
      <c r="L1465" s="1">
        <v>44657.065972217504</v>
      </c>
      <c r="M1465" s="13"/>
    </row>
    <row r="1466" spans="12:13">
      <c r="L1466" s="1">
        <v>44657.069444439723</v>
      </c>
      <c r="M1466" s="13"/>
    </row>
    <row r="1467" spans="12:13">
      <c r="L1467" s="1">
        <v>44657.072916661942</v>
      </c>
      <c r="M1467" s="13"/>
    </row>
    <row r="1468" spans="12:13">
      <c r="L1468" s="1">
        <v>44657.076388884161</v>
      </c>
      <c r="M1468" s="13"/>
    </row>
    <row r="1469" spans="12:13">
      <c r="L1469" s="1">
        <v>44657.07986110638</v>
      </c>
      <c r="M1469" s="13"/>
    </row>
    <row r="1470" spans="12:13">
      <c r="L1470" s="1">
        <v>44657.083333328599</v>
      </c>
      <c r="M1470" s="13"/>
    </row>
    <row r="1471" spans="12:13">
      <c r="L1471" s="1">
        <v>44657.086805550818</v>
      </c>
      <c r="M1471" s="13"/>
    </row>
    <row r="1472" spans="12:13">
      <c r="L1472" s="1">
        <v>44657.090277773037</v>
      </c>
      <c r="M1472" s="13"/>
    </row>
    <row r="1473" spans="12:13">
      <c r="L1473" s="1">
        <v>44657.093749995256</v>
      </c>
      <c r="M1473" s="13"/>
    </row>
    <row r="1474" spans="12:13">
      <c r="L1474" s="1">
        <v>44657.097222217475</v>
      </c>
      <c r="M1474" s="13"/>
    </row>
    <row r="1475" spans="12:13">
      <c r="L1475" s="1">
        <v>44657.100694439694</v>
      </c>
      <c r="M1475" s="13"/>
    </row>
    <row r="1476" spans="12:13">
      <c r="L1476" s="1">
        <v>44657.104166661913</v>
      </c>
      <c r="M1476" s="13"/>
    </row>
    <row r="1477" spans="12:13">
      <c r="L1477" s="1">
        <v>44657.107638884132</v>
      </c>
      <c r="M1477" s="13"/>
    </row>
    <row r="1478" spans="12:13">
      <c r="L1478" s="1">
        <v>44657.111111106351</v>
      </c>
      <c r="M1478" s="13"/>
    </row>
    <row r="1479" spans="12:13">
      <c r="L1479" s="1">
        <v>44657.11458332857</v>
      </c>
      <c r="M1479" s="13"/>
    </row>
    <row r="1480" spans="12:13">
      <c r="L1480" s="1">
        <v>44657.118055550789</v>
      </c>
      <c r="M1480" s="13"/>
    </row>
    <row r="1481" spans="12:13">
      <c r="L1481" s="1">
        <v>44657.121527773008</v>
      </c>
      <c r="M1481" s="13"/>
    </row>
    <row r="1482" spans="12:13">
      <c r="L1482" s="1">
        <v>44657.124999995227</v>
      </c>
      <c r="M1482" s="13"/>
    </row>
    <row r="1483" spans="12:13">
      <c r="L1483" s="1">
        <v>44657.128472217446</v>
      </c>
      <c r="M1483" s="13"/>
    </row>
    <row r="1484" spans="12:13">
      <c r="L1484" s="1">
        <v>44657.131944439665</v>
      </c>
      <c r="M1484" s="13"/>
    </row>
    <row r="1485" spans="12:13">
      <c r="L1485" s="1">
        <v>44657.135416661884</v>
      </c>
      <c r="M1485" s="13"/>
    </row>
    <row r="1486" spans="12:13">
      <c r="L1486" s="1">
        <v>44657.138888884103</v>
      </c>
      <c r="M1486" s="13"/>
    </row>
    <row r="1487" spans="12:13">
      <c r="L1487" s="1">
        <v>44657.142361106322</v>
      </c>
      <c r="M1487" s="13"/>
    </row>
    <row r="1488" spans="12:13">
      <c r="L1488" s="1">
        <v>44657.145833328541</v>
      </c>
      <c r="M1488" s="13"/>
    </row>
    <row r="1489" spans="12:13">
      <c r="L1489" s="1">
        <v>44657.14930555076</v>
      </c>
      <c r="M1489" s="13"/>
    </row>
    <row r="1490" spans="12:13">
      <c r="L1490" s="1">
        <v>44657.152777772979</v>
      </c>
      <c r="M1490" s="13"/>
    </row>
    <row r="1491" spans="12:13">
      <c r="L1491" s="1">
        <v>44657.156249995198</v>
      </c>
      <c r="M1491" s="13"/>
    </row>
    <row r="1492" spans="12:13">
      <c r="L1492" s="1">
        <v>44657.159722217417</v>
      </c>
      <c r="M1492" s="13"/>
    </row>
    <row r="1493" spans="12:13">
      <c r="L1493" s="1">
        <v>44657.163194439636</v>
      </c>
      <c r="M1493" s="13"/>
    </row>
    <row r="1494" spans="12:13">
      <c r="L1494" s="1">
        <v>44657.166666661855</v>
      </c>
      <c r="M1494" s="13"/>
    </row>
    <row r="1495" spans="12:13">
      <c r="L1495" s="1">
        <v>44657.170138884074</v>
      </c>
      <c r="M1495" s="13"/>
    </row>
    <row r="1496" spans="12:13">
      <c r="L1496" s="1">
        <v>44657.173611106293</v>
      </c>
      <c r="M1496" s="13"/>
    </row>
    <row r="1497" spans="12:13">
      <c r="L1497" s="1">
        <v>44657.177083328512</v>
      </c>
      <c r="M1497" s="13"/>
    </row>
    <row r="1498" spans="12:13">
      <c r="L1498" s="1">
        <v>44657.180555550731</v>
      </c>
      <c r="M1498" s="13"/>
    </row>
    <row r="1499" spans="12:13">
      <c r="L1499" s="1">
        <v>44657.18402777295</v>
      </c>
      <c r="M1499" s="13"/>
    </row>
    <row r="1500" spans="12:13">
      <c r="L1500" s="1">
        <v>44657.187499995169</v>
      </c>
      <c r="M1500" s="13"/>
    </row>
    <row r="1501" spans="12:13">
      <c r="L1501" s="1">
        <v>44657.190972217388</v>
      </c>
      <c r="M1501" s="13"/>
    </row>
    <row r="1502" spans="12:13">
      <c r="L1502" s="1">
        <v>44657.194444439607</v>
      </c>
      <c r="M1502" s="13"/>
    </row>
    <row r="1503" spans="12:13">
      <c r="L1503" s="1">
        <v>44657.197916661826</v>
      </c>
      <c r="M1503" s="13"/>
    </row>
    <row r="1504" spans="12:13">
      <c r="L1504" s="1">
        <v>44657.201388884045</v>
      </c>
      <c r="M1504" s="13"/>
    </row>
    <row r="1505" spans="12:13">
      <c r="L1505" s="1">
        <v>44657.204861106264</v>
      </c>
      <c r="M1505" s="13"/>
    </row>
    <row r="1506" spans="12:13">
      <c r="L1506" s="1">
        <v>44657.208333328483</v>
      </c>
      <c r="M1506" s="13"/>
    </row>
    <row r="1507" spans="12:13">
      <c r="L1507" s="1">
        <v>44657.211805550702</v>
      </c>
      <c r="M1507" s="13"/>
    </row>
    <row r="1508" spans="12:13">
      <c r="L1508" s="1">
        <v>44657.215277772921</v>
      </c>
      <c r="M1508" s="13"/>
    </row>
    <row r="1509" spans="12:13">
      <c r="L1509" s="1">
        <v>44657.21874999514</v>
      </c>
      <c r="M1509" s="13"/>
    </row>
    <row r="1510" spans="12:13">
      <c r="L1510" s="1">
        <v>44657.222222217359</v>
      </c>
      <c r="M1510" s="13"/>
    </row>
    <row r="1511" spans="12:13">
      <c r="L1511" s="1">
        <v>44657.225694439578</v>
      </c>
      <c r="M1511" s="13"/>
    </row>
    <row r="1512" spans="12:13">
      <c r="L1512" s="1">
        <v>44657.229166661797</v>
      </c>
      <c r="M1512" s="13"/>
    </row>
    <row r="1513" spans="12:13">
      <c r="L1513" s="1">
        <v>44657.232638884016</v>
      </c>
      <c r="M1513" s="13"/>
    </row>
    <row r="1514" spans="12:13">
      <c r="L1514" s="1">
        <v>44657.236111106235</v>
      </c>
      <c r="M1514" s="13"/>
    </row>
    <row r="1515" spans="12:13">
      <c r="L1515" s="1">
        <v>44657.239583328454</v>
      </c>
      <c r="M1515" s="13"/>
    </row>
    <row r="1516" spans="12:13">
      <c r="L1516" s="1">
        <v>44657.243055550673</v>
      </c>
      <c r="M1516" s="13"/>
    </row>
    <row r="1517" spans="12:13">
      <c r="L1517" s="1">
        <v>44657.246527772892</v>
      </c>
      <c r="M1517" s="13"/>
    </row>
    <row r="1518" spans="12:13">
      <c r="L1518" s="1">
        <v>44657.249999995111</v>
      </c>
      <c r="M1518" s="13"/>
    </row>
    <row r="1519" spans="12:13">
      <c r="L1519" s="1">
        <v>44657.25347221733</v>
      </c>
      <c r="M1519" s="13"/>
    </row>
    <row r="1520" spans="12:13">
      <c r="L1520" s="1">
        <v>44657.256944439549</v>
      </c>
      <c r="M1520" s="13"/>
    </row>
    <row r="1521" spans="12:13">
      <c r="L1521" s="1">
        <v>44657.260416661768</v>
      </c>
      <c r="M1521" s="13"/>
    </row>
    <row r="1522" spans="12:13">
      <c r="L1522" s="1">
        <v>44657.263888883987</v>
      </c>
      <c r="M1522" s="13"/>
    </row>
    <row r="1523" spans="12:13">
      <c r="L1523" s="1">
        <v>44657.267361106205</v>
      </c>
      <c r="M1523" s="13"/>
    </row>
    <row r="1524" spans="12:13">
      <c r="L1524" s="1">
        <v>44657.270833328424</v>
      </c>
      <c r="M1524" s="13"/>
    </row>
    <row r="1525" spans="12:13">
      <c r="L1525" s="1">
        <v>44657.274305550643</v>
      </c>
      <c r="M1525" s="13"/>
    </row>
    <row r="1526" spans="12:13">
      <c r="L1526" s="1">
        <v>44657.277777772862</v>
      </c>
      <c r="M1526" s="13"/>
    </row>
    <row r="1527" spans="12:13">
      <c r="L1527" s="1">
        <v>44657.281249995081</v>
      </c>
      <c r="M1527" s="13"/>
    </row>
    <row r="1528" spans="12:13">
      <c r="L1528" s="1">
        <v>44657.2847222173</v>
      </c>
      <c r="M1528" s="13"/>
    </row>
    <row r="1529" spans="12:13">
      <c r="L1529" s="1">
        <v>44657.288194439519</v>
      </c>
      <c r="M1529" s="13"/>
    </row>
    <row r="1530" spans="12:13">
      <c r="L1530" s="1">
        <v>44657.291666661738</v>
      </c>
      <c r="M1530" s="13"/>
    </row>
    <row r="1531" spans="12:13">
      <c r="L1531" s="1">
        <v>44657.295138883957</v>
      </c>
      <c r="M1531" s="13"/>
    </row>
    <row r="1532" spans="12:13">
      <c r="L1532" s="1">
        <v>44657.298611106176</v>
      </c>
      <c r="M1532" s="13"/>
    </row>
    <row r="1533" spans="12:13">
      <c r="L1533" s="1">
        <v>44657.302083328395</v>
      </c>
      <c r="M1533" s="13"/>
    </row>
    <row r="1534" spans="12:13">
      <c r="L1534" s="1">
        <v>44657.305555550614</v>
      </c>
      <c r="M1534" s="13"/>
    </row>
    <row r="1535" spans="12:13">
      <c r="L1535" s="1">
        <v>44657.309027772833</v>
      </c>
      <c r="M1535" s="13"/>
    </row>
    <row r="1536" spans="12:13">
      <c r="L1536" s="1">
        <v>44657.312499995052</v>
      </c>
      <c r="M1536" s="13"/>
    </row>
    <row r="1537" spans="12:13">
      <c r="L1537" s="1">
        <v>44657.315972217271</v>
      </c>
      <c r="M1537" s="13"/>
    </row>
    <row r="1538" spans="12:13">
      <c r="L1538" s="1">
        <v>44657.31944443949</v>
      </c>
      <c r="M1538" s="13"/>
    </row>
    <row r="1539" spans="12:13">
      <c r="L1539" s="1">
        <v>44657.322916661709</v>
      </c>
      <c r="M1539" s="13"/>
    </row>
    <row r="1540" spans="12:13">
      <c r="L1540" s="1">
        <v>44657.326388883928</v>
      </c>
      <c r="M1540" s="13"/>
    </row>
    <row r="1541" spans="12:13">
      <c r="L1541" s="1">
        <v>44657.329861106147</v>
      </c>
      <c r="M1541" s="13"/>
    </row>
    <row r="1542" spans="12:13">
      <c r="L1542" s="1">
        <v>44657.333333328366</v>
      </c>
      <c r="M1542" s="13"/>
    </row>
    <row r="1543" spans="12:13">
      <c r="L1543" s="1">
        <v>44657.336805550585</v>
      </c>
      <c r="M1543" s="13"/>
    </row>
    <row r="1544" spans="12:13">
      <c r="L1544" s="1">
        <v>44657.340277772804</v>
      </c>
      <c r="M1544" s="13"/>
    </row>
    <row r="1545" spans="12:13">
      <c r="L1545" s="1">
        <v>44657.343749995023</v>
      </c>
      <c r="M1545" s="13"/>
    </row>
    <row r="1546" spans="12:13">
      <c r="L1546" s="1">
        <v>44657.347222217242</v>
      </c>
      <c r="M1546" s="13"/>
    </row>
    <row r="1547" spans="12:13">
      <c r="L1547" s="1">
        <v>44657.350694439461</v>
      </c>
      <c r="M1547" s="13"/>
    </row>
    <row r="1548" spans="12:13">
      <c r="L1548" s="1">
        <v>44657.35416666168</v>
      </c>
      <c r="M1548" s="13"/>
    </row>
    <row r="1549" spans="12:13">
      <c r="L1549" s="1">
        <v>44657.357638883899</v>
      </c>
      <c r="M1549" s="13"/>
    </row>
    <row r="1550" spans="12:13">
      <c r="L1550" s="1">
        <v>44657.361111106118</v>
      </c>
      <c r="M1550" s="13"/>
    </row>
    <row r="1551" spans="12:13">
      <c r="L1551" s="1">
        <v>44657.364583328337</v>
      </c>
      <c r="M1551" s="13"/>
    </row>
    <row r="1552" spans="12:13">
      <c r="L1552" s="1">
        <v>44657.368055550556</v>
      </c>
      <c r="M1552" s="13"/>
    </row>
    <row r="1553" spans="12:13">
      <c r="L1553" s="1">
        <v>44657.371527772775</v>
      </c>
      <c r="M1553" s="13"/>
    </row>
    <row r="1554" spans="12:13">
      <c r="L1554" s="1">
        <v>44657.374999994994</v>
      </c>
      <c r="M1554" s="13"/>
    </row>
    <row r="1555" spans="12:13">
      <c r="L1555" s="1">
        <v>44657.378472217213</v>
      </c>
      <c r="M1555" s="13"/>
    </row>
    <row r="1556" spans="12:13">
      <c r="L1556" s="1">
        <v>44657.381944439432</v>
      </c>
      <c r="M1556" s="13"/>
    </row>
    <row r="1557" spans="12:13">
      <c r="L1557" s="1">
        <v>44657.385416661651</v>
      </c>
      <c r="M1557" s="13"/>
    </row>
    <row r="1558" spans="12:13">
      <c r="L1558" s="1">
        <v>44657.38888888387</v>
      </c>
      <c r="M1558" s="13"/>
    </row>
    <row r="1559" spans="12:13">
      <c r="L1559" s="1">
        <v>44657.392361106089</v>
      </c>
      <c r="M1559" s="13"/>
    </row>
    <row r="1560" spans="12:13">
      <c r="L1560" s="1">
        <v>44657.395833328308</v>
      </c>
      <c r="M1560" s="13"/>
    </row>
    <row r="1561" spans="12:13">
      <c r="L1561" s="1">
        <v>44657.399305550527</v>
      </c>
      <c r="M1561" s="13"/>
    </row>
    <row r="1562" spans="12:13">
      <c r="L1562" s="1">
        <v>44657.402777772746</v>
      </c>
      <c r="M1562" s="13"/>
    </row>
    <row r="1563" spans="12:13">
      <c r="L1563" s="1">
        <v>44657.406249994965</v>
      </c>
      <c r="M1563" s="13"/>
    </row>
    <row r="1564" spans="12:13">
      <c r="L1564" s="1">
        <v>44657.409722217184</v>
      </c>
      <c r="M1564" s="13"/>
    </row>
    <row r="1565" spans="12:13">
      <c r="L1565" s="1">
        <v>44657.413194439403</v>
      </c>
      <c r="M1565" s="13"/>
    </row>
    <row r="1566" spans="12:13">
      <c r="L1566" s="1">
        <v>44657.416666661622</v>
      </c>
      <c r="M1566" s="13"/>
    </row>
    <row r="1567" spans="12:13">
      <c r="L1567" s="1">
        <v>44657.420138883841</v>
      </c>
      <c r="M1567" s="13"/>
    </row>
    <row r="1568" spans="12:13">
      <c r="L1568" s="1">
        <v>44657.42361110606</v>
      </c>
      <c r="M1568" s="13"/>
    </row>
    <row r="1569" spans="12:13">
      <c r="L1569" s="1">
        <v>44657.427083328279</v>
      </c>
      <c r="M1569" s="13"/>
    </row>
    <row r="1570" spans="12:13">
      <c r="L1570" s="1">
        <v>44657.430555550498</v>
      </c>
      <c r="M1570" s="13"/>
    </row>
    <row r="1571" spans="12:13">
      <c r="L1571" s="1">
        <v>44657.434027772717</v>
      </c>
      <c r="M1571" s="13"/>
    </row>
    <row r="1572" spans="12:13">
      <c r="L1572" s="1">
        <v>44657.437499994936</v>
      </c>
      <c r="M1572" s="13"/>
    </row>
    <row r="1573" spans="12:13">
      <c r="L1573" s="1">
        <v>44657.440972217155</v>
      </c>
      <c r="M1573" s="13"/>
    </row>
    <row r="1574" spans="12:13">
      <c r="L1574" s="1">
        <v>44657.444444439374</v>
      </c>
      <c r="M1574" s="13"/>
    </row>
    <row r="1575" spans="12:13">
      <c r="L1575" s="1">
        <v>44657.447916661593</v>
      </c>
      <c r="M1575" s="13"/>
    </row>
    <row r="1576" spans="12:13">
      <c r="L1576" s="1">
        <v>44657.451388883812</v>
      </c>
      <c r="M1576" s="13"/>
    </row>
    <row r="1577" spans="12:13">
      <c r="L1577" s="1">
        <v>44657.454861106031</v>
      </c>
      <c r="M1577" s="13"/>
    </row>
    <row r="1578" spans="12:13">
      <c r="L1578" s="1">
        <v>44657.45833332825</v>
      </c>
      <c r="M1578" s="13"/>
    </row>
    <row r="1579" spans="12:13">
      <c r="L1579" s="1">
        <v>44657.461805550469</v>
      </c>
      <c r="M1579" s="13"/>
    </row>
    <row r="1580" spans="12:13">
      <c r="L1580" s="1">
        <v>44657.465277772688</v>
      </c>
      <c r="M1580" s="13"/>
    </row>
    <row r="1581" spans="12:13">
      <c r="L1581" s="1">
        <v>44657.468749994907</v>
      </c>
      <c r="M1581" s="13"/>
    </row>
    <row r="1582" spans="12:13">
      <c r="L1582" s="1">
        <v>44657.472222217126</v>
      </c>
      <c r="M1582" s="13"/>
    </row>
    <row r="1583" spans="12:13">
      <c r="L1583" s="1">
        <v>44657.475694439345</v>
      </c>
      <c r="M1583" s="13"/>
    </row>
    <row r="1584" spans="12:13">
      <c r="L1584" s="1">
        <v>44657.479166661564</v>
      </c>
      <c r="M1584" s="13"/>
    </row>
    <row r="1585" spans="12:13">
      <c r="L1585" s="1">
        <v>44657.482638883783</v>
      </c>
      <c r="M1585" s="13"/>
    </row>
    <row r="1586" spans="12:13">
      <c r="L1586" s="1">
        <v>44657.486111106002</v>
      </c>
      <c r="M1586" s="13"/>
    </row>
    <row r="1587" spans="12:13">
      <c r="L1587" s="1">
        <v>44657.489583328221</v>
      </c>
      <c r="M1587" s="13"/>
    </row>
    <row r="1588" spans="12:13">
      <c r="L1588" s="1">
        <v>44657.49305555044</v>
      </c>
      <c r="M1588" s="13"/>
    </row>
    <row r="1589" spans="12:13">
      <c r="L1589" s="1">
        <v>44657.496527772659</v>
      </c>
      <c r="M1589" s="13"/>
    </row>
    <row r="1590" spans="12:13">
      <c r="L1590" s="1">
        <v>44657.499999994878</v>
      </c>
      <c r="M1590" s="13"/>
    </row>
    <row r="1591" spans="12:13">
      <c r="L1591" s="1">
        <v>44657.503472217097</v>
      </c>
      <c r="M1591" s="13"/>
    </row>
    <row r="1592" spans="12:13">
      <c r="L1592" s="1">
        <v>44657.506944439316</v>
      </c>
      <c r="M1592" s="13"/>
    </row>
    <row r="1593" spans="12:13">
      <c r="L1593" s="1">
        <v>44657.510416661535</v>
      </c>
      <c r="M1593" s="13"/>
    </row>
    <row r="1594" spans="12:13">
      <c r="L1594" s="1">
        <v>44657.513888883754</v>
      </c>
      <c r="M1594" s="13"/>
    </row>
    <row r="1595" spans="12:13">
      <c r="L1595" s="1">
        <v>44657.517361105973</v>
      </c>
      <c r="M1595" s="13"/>
    </row>
    <row r="1596" spans="12:13">
      <c r="L1596" s="1">
        <v>44657.520833328192</v>
      </c>
      <c r="M1596" s="13"/>
    </row>
    <row r="1597" spans="12:13">
      <c r="L1597" s="1">
        <v>44657.524305550411</v>
      </c>
      <c r="M1597" s="13"/>
    </row>
    <row r="1598" spans="12:13">
      <c r="L1598" s="1">
        <v>44657.52777777263</v>
      </c>
      <c r="M1598" s="13"/>
    </row>
    <row r="1599" spans="12:13">
      <c r="L1599" s="1">
        <v>44657.531249994849</v>
      </c>
      <c r="M1599" s="13"/>
    </row>
    <row r="1600" spans="12:13">
      <c r="L1600" s="1">
        <v>44657.534722217068</v>
      </c>
      <c r="M1600" s="13"/>
    </row>
    <row r="1601" spans="12:13">
      <c r="L1601" s="1">
        <v>44657.538194439287</v>
      </c>
      <c r="M1601" s="13"/>
    </row>
    <row r="1602" spans="12:13">
      <c r="L1602" s="1">
        <v>44657.541666661506</v>
      </c>
      <c r="M1602" s="13"/>
    </row>
    <row r="1603" spans="12:13">
      <c r="L1603" s="1">
        <v>44657.545138883725</v>
      </c>
      <c r="M1603" s="13"/>
    </row>
    <row r="1604" spans="12:13">
      <c r="L1604" s="1">
        <v>44657.548611105944</v>
      </c>
      <c r="M1604" s="13"/>
    </row>
    <row r="1605" spans="12:13">
      <c r="L1605" s="1">
        <v>44657.552083328163</v>
      </c>
      <c r="M1605" s="13"/>
    </row>
    <row r="1606" spans="12:13">
      <c r="L1606" s="1">
        <v>44657.555555550382</v>
      </c>
      <c r="M1606" s="13"/>
    </row>
    <row r="1607" spans="12:13">
      <c r="L1607" s="1">
        <v>44657.559027772601</v>
      </c>
      <c r="M1607" s="13"/>
    </row>
    <row r="1608" spans="12:13">
      <c r="L1608" s="1">
        <v>44657.56249999482</v>
      </c>
      <c r="M1608" s="13"/>
    </row>
    <row r="1609" spans="12:13">
      <c r="L1609" s="1">
        <v>44657.565972217039</v>
      </c>
      <c r="M1609" s="13"/>
    </row>
    <row r="1610" spans="12:13">
      <c r="L1610" s="1">
        <v>44657.569444439257</v>
      </c>
      <c r="M1610" s="13"/>
    </row>
    <row r="1611" spans="12:13">
      <c r="L1611" s="1">
        <v>44657.572916661476</v>
      </c>
      <c r="M1611" s="13"/>
    </row>
    <row r="1612" spans="12:13">
      <c r="L1612" s="1">
        <v>44657.576388883695</v>
      </c>
      <c r="M1612" s="13"/>
    </row>
    <row r="1613" spans="12:13">
      <c r="L1613" s="1">
        <v>44657.579861105914</v>
      </c>
      <c r="M1613" s="13"/>
    </row>
    <row r="1614" spans="12:13">
      <c r="L1614" s="1">
        <v>44657.583333328133</v>
      </c>
      <c r="M1614" s="13"/>
    </row>
    <row r="1615" spans="12:13">
      <c r="L1615" s="1">
        <v>44657.586805550352</v>
      </c>
      <c r="M1615" s="13"/>
    </row>
    <row r="1616" spans="12:13">
      <c r="L1616" s="1">
        <v>44657.590277772571</v>
      </c>
      <c r="M1616" s="13"/>
    </row>
    <row r="1617" spans="12:13">
      <c r="L1617" s="1">
        <v>44657.59374999479</v>
      </c>
      <c r="M1617" s="13"/>
    </row>
    <row r="1618" spans="12:13">
      <c r="L1618" s="1">
        <v>44657.597222217009</v>
      </c>
      <c r="M1618" s="13"/>
    </row>
    <row r="1619" spans="12:13">
      <c r="L1619" s="1">
        <v>44657.600694439228</v>
      </c>
      <c r="M1619" s="13"/>
    </row>
    <row r="1620" spans="12:13">
      <c r="L1620" s="1">
        <v>44657.604166661447</v>
      </c>
      <c r="M1620" s="13"/>
    </row>
    <row r="1621" spans="12:13">
      <c r="L1621" s="1">
        <v>44657.607638883666</v>
      </c>
      <c r="M1621" s="13"/>
    </row>
    <row r="1622" spans="12:13">
      <c r="L1622" s="1">
        <v>44657.611111105885</v>
      </c>
      <c r="M1622" s="13"/>
    </row>
    <row r="1623" spans="12:13">
      <c r="L1623" s="1">
        <v>44657.614583328104</v>
      </c>
      <c r="M1623" s="13"/>
    </row>
    <row r="1624" spans="12:13">
      <c r="L1624" s="1">
        <v>44657.618055550323</v>
      </c>
      <c r="M1624" s="13"/>
    </row>
    <row r="1625" spans="12:13">
      <c r="L1625" s="1">
        <v>44657.621527772542</v>
      </c>
      <c r="M1625" s="13"/>
    </row>
    <row r="1626" spans="12:13">
      <c r="L1626" s="1">
        <v>44657.624999994761</v>
      </c>
      <c r="M1626" s="13"/>
    </row>
    <row r="1627" spans="12:13">
      <c r="L1627" s="1">
        <v>44657.62847221698</v>
      </c>
      <c r="M1627" s="13"/>
    </row>
    <row r="1628" spans="12:13">
      <c r="L1628" s="1">
        <v>44657.631944439199</v>
      </c>
      <c r="M1628" s="13"/>
    </row>
    <row r="1629" spans="12:13">
      <c r="L1629" s="1">
        <v>44657.635416661418</v>
      </c>
      <c r="M1629" s="13"/>
    </row>
    <row r="1630" spans="12:13">
      <c r="L1630" s="1">
        <v>44657.638888883637</v>
      </c>
      <c r="M1630" s="13"/>
    </row>
    <row r="1631" spans="12:13">
      <c r="L1631" s="1">
        <v>44657.642361105856</v>
      </c>
      <c r="M1631" s="13"/>
    </row>
    <row r="1632" spans="12:13">
      <c r="L1632" s="1">
        <v>44657.645833328075</v>
      </c>
      <c r="M1632" s="13"/>
    </row>
    <row r="1633" spans="12:13">
      <c r="L1633" s="1">
        <v>44657.649305550294</v>
      </c>
      <c r="M1633" s="13"/>
    </row>
    <row r="1634" spans="12:13">
      <c r="L1634" s="1">
        <v>44657.652777772513</v>
      </c>
      <c r="M1634" s="13"/>
    </row>
    <row r="1635" spans="12:13">
      <c r="L1635" s="1">
        <v>44657.656249994732</v>
      </c>
      <c r="M1635" s="13"/>
    </row>
    <row r="1636" spans="12:13">
      <c r="L1636" s="1">
        <v>44657.659722216951</v>
      </c>
      <c r="M1636" s="13"/>
    </row>
    <row r="1637" spans="12:13">
      <c r="L1637" s="1">
        <v>44657.66319443917</v>
      </c>
      <c r="M1637" s="13"/>
    </row>
    <row r="1638" spans="12:13">
      <c r="L1638" s="1">
        <v>44657.666666661389</v>
      </c>
      <c r="M1638" s="13"/>
    </row>
    <row r="1639" spans="12:13">
      <c r="L1639" s="1">
        <v>44657.670138883608</v>
      </c>
      <c r="M1639" s="13"/>
    </row>
    <row r="1640" spans="12:13">
      <c r="L1640" s="1">
        <v>44657.673611105827</v>
      </c>
      <c r="M1640" s="13"/>
    </row>
    <row r="1641" spans="12:13">
      <c r="L1641" s="1">
        <v>44657.677083328046</v>
      </c>
      <c r="M1641" s="13"/>
    </row>
    <row r="1642" spans="12:13">
      <c r="L1642" s="1">
        <v>44657.680555550265</v>
      </c>
      <c r="M1642" s="13"/>
    </row>
    <row r="1643" spans="12:13">
      <c r="L1643" s="1">
        <v>44657.684027772484</v>
      </c>
      <c r="M1643" s="13"/>
    </row>
    <row r="1644" spans="12:13">
      <c r="L1644" s="1">
        <v>44657.687499994703</v>
      </c>
      <c r="M1644" s="13"/>
    </row>
    <row r="1645" spans="12:13">
      <c r="L1645" s="1">
        <v>44657.690972216922</v>
      </c>
      <c r="M1645" s="13"/>
    </row>
    <row r="1646" spans="12:13">
      <c r="L1646" s="1">
        <v>44657.694444439141</v>
      </c>
      <c r="M1646" s="13"/>
    </row>
    <row r="1647" spans="12:13">
      <c r="L1647" s="1">
        <v>44657.69791666136</v>
      </c>
      <c r="M1647" s="13"/>
    </row>
    <row r="1648" spans="12:13">
      <c r="L1648" s="1">
        <v>44657.701388883579</v>
      </c>
      <c r="M1648" s="13"/>
    </row>
    <row r="1649" spans="12:13">
      <c r="L1649" s="1">
        <v>44657.704861105798</v>
      </c>
      <c r="M1649" s="13"/>
    </row>
    <row r="1650" spans="12:13">
      <c r="L1650" s="1">
        <v>44657.708333328017</v>
      </c>
      <c r="M1650" s="13"/>
    </row>
    <row r="1651" spans="12:13">
      <c r="L1651" s="1">
        <v>44657.711805550236</v>
      </c>
      <c r="M1651" s="13"/>
    </row>
    <row r="1652" spans="12:13">
      <c r="L1652" s="1">
        <v>44657.715277772455</v>
      </c>
      <c r="M1652" s="13"/>
    </row>
    <row r="1653" spans="12:13">
      <c r="L1653" s="1">
        <v>44657.718749994674</v>
      </c>
      <c r="M1653" s="13"/>
    </row>
    <row r="1654" spans="12:13">
      <c r="L1654" s="1">
        <v>44657.722222216893</v>
      </c>
      <c r="M1654" s="13"/>
    </row>
    <row r="1655" spans="12:13">
      <c r="L1655" s="1">
        <v>44657.725694439112</v>
      </c>
      <c r="M1655" s="13"/>
    </row>
    <row r="1656" spans="12:13">
      <c r="L1656" s="1">
        <v>44657.729166661331</v>
      </c>
      <c r="M1656" s="13"/>
    </row>
    <row r="1657" spans="12:13">
      <c r="L1657" s="1">
        <v>44657.73263888355</v>
      </c>
      <c r="M1657" s="13"/>
    </row>
    <row r="1658" spans="12:13">
      <c r="L1658" s="1">
        <v>44657.736111105769</v>
      </c>
      <c r="M1658" s="13"/>
    </row>
    <row r="1659" spans="12:13">
      <c r="L1659" s="1">
        <v>44657.739583327988</v>
      </c>
      <c r="M1659" s="13"/>
    </row>
    <row r="1660" spans="12:13">
      <c r="L1660" s="1">
        <v>44657.743055550207</v>
      </c>
      <c r="M1660" s="13"/>
    </row>
    <row r="1661" spans="12:13">
      <c r="L1661" s="1">
        <v>44657.746527772426</v>
      </c>
      <c r="M1661" s="13"/>
    </row>
    <row r="1662" spans="12:13">
      <c r="L1662" s="1">
        <v>44657.749999994645</v>
      </c>
      <c r="M1662" s="13"/>
    </row>
    <row r="1663" spans="12:13">
      <c r="L1663" s="1">
        <v>44657.753472216864</v>
      </c>
      <c r="M1663" s="13"/>
    </row>
    <row r="1664" spans="12:13">
      <c r="L1664" s="1">
        <v>44657.756944439083</v>
      </c>
      <c r="M1664" s="13"/>
    </row>
    <row r="1665" spans="12:13">
      <c r="L1665" s="1">
        <v>44657.760416661302</v>
      </c>
      <c r="M1665" s="13"/>
    </row>
    <row r="1666" spans="12:13">
      <c r="L1666" s="1">
        <v>44657.763888883521</v>
      </c>
      <c r="M1666" s="13"/>
    </row>
    <row r="1667" spans="12:13">
      <c r="L1667" s="1">
        <v>44657.76736110574</v>
      </c>
      <c r="M1667" s="13"/>
    </row>
    <row r="1668" spans="12:13">
      <c r="L1668" s="1">
        <v>44657.770833327959</v>
      </c>
      <c r="M1668" s="13"/>
    </row>
    <row r="1669" spans="12:13">
      <c r="L1669" s="1">
        <v>44657.774305550178</v>
      </c>
      <c r="M1669" s="13"/>
    </row>
    <row r="1670" spans="12:13">
      <c r="L1670" s="1">
        <v>44657.777777772397</v>
      </c>
      <c r="M1670" s="13"/>
    </row>
    <row r="1671" spans="12:13">
      <c r="L1671" s="1">
        <v>44657.781249994616</v>
      </c>
      <c r="M1671" s="13"/>
    </row>
    <row r="1672" spans="12:13">
      <c r="L1672" s="1">
        <v>44657.784722216835</v>
      </c>
      <c r="M1672" s="13"/>
    </row>
    <row r="1673" spans="12:13">
      <c r="L1673" s="1">
        <v>44657.788194439054</v>
      </c>
      <c r="M1673" s="13"/>
    </row>
    <row r="1674" spans="12:13">
      <c r="L1674" s="1">
        <v>44657.791666661273</v>
      </c>
      <c r="M1674" s="13"/>
    </row>
    <row r="1675" spans="12:13">
      <c r="L1675" s="1">
        <v>44657.795138883492</v>
      </c>
      <c r="M1675" s="13"/>
    </row>
    <row r="1676" spans="12:13">
      <c r="L1676" s="1">
        <v>44657.798611105711</v>
      </c>
      <c r="M1676" s="13"/>
    </row>
    <row r="1677" spans="12:13">
      <c r="L1677" s="1">
        <v>44657.80208332793</v>
      </c>
      <c r="M1677" s="13"/>
    </row>
    <row r="1678" spans="12:13">
      <c r="L1678" s="1">
        <v>44657.805555550149</v>
      </c>
      <c r="M1678" s="13"/>
    </row>
    <row r="1679" spans="12:13">
      <c r="L1679" s="1">
        <v>44657.809027772368</v>
      </c>
      <c r="M1679" s="13"/>
    </row>
    <row r="1680" spans="12:13">
      <c r="L1680" s="1">
        <v>44657.812499994587</v>
      </c>
      <c r="M1680" s="13"/>
    </row>
    <row r="1681" spans="12:13">
      <c r="L1681" s="1">
        <v>44657.815972216806</v>
      </c>
      <c r="M1681" s="13"/>
    </row>
    <row r="1682" spans="12:13">
      <c r="L1682" s="1">
        <v>44657.819444439025</v>
      </c>
      <c r="M1682" s="13"/>
    </row>
    <row r="1683" spans="12:13">
      <c r="L1683" s="1">
        <v>44657.822916661244</v>
      </c>
      <c r="M1683" s="13"/>
    </row>
    <row r="1684" spans="12:13">
      <c r="L1684" s="1">
        <v>44657.826388883463</v>
      </c>
      <c r="M1684" s="13"/>
    </row>
    <row r="1685" spans="12:13">
      <c r="L1685" s="1">
        <v>44657.829861105682</v>
      </c>
      <c r="M1685" s="13"/>
    </row>
    <row r="1686" spans="12:13">
      <c r="L1686" s="1">
        <v>44657.833333327901</v>
      </c>
      <c r="M1686" s="13"/>
    </row>
    <row r="1687" spans="12:13">
      <c r="L1687" s="1">
        <v>44657.83680555012</v>
      </c>
      <c r="M1687" s="13"/>
    </row>
    <row r="1688" spans="12:13">
      <c r="L1688" s="1">
        <v>44657.840277772339</v>
      </c>
      <c r="M1688" s="13"/>
    </row>
    <row r="1689" spans="12:13">
      <c r="L1689" s="1">
        <v>44657.843749994558</v>
      </c>
      <c r="M1689" s="13"/>
    </row>
    <row r="1690" spans="12:13">
      <c r="L1690" s="1">
        <v>44657.847222216777</v>
      </c>
      <c r="M1690" s="13"/>
    </row>
    <row r="1691" spans="12:13">
      <c r="L1691" s="1">
        <v>44657.850694438996</v>
      </c>
      <c r="M1691" s="13"/>
    </row>
    <row r="1692" spans="12:13">
      <c r="L1692" s="1">
        <v>44657.854166661215</v>
      </c>
      <c r="M1692" s="13"/>
    </row>
    <row r="1693" spans="12:13">
      <c r="L1693" s="1">
        <v>44657.857638883434</v>
      </c>
      <c r="M1693" s="13"/>
    </row>
    <row r="1694" spans="12:13">
      <c r="L1694" s="1">
        <v>44657.861111105653</v>
      </c>
      <c r="M1694" s="13"/>
    </row>
    <row r="1695" spans="12:13">
      <c r="L1695" s="1">
        <v>44657.864583327872</v>
      </c>
      <c r="M1695" s="13"/>
    </row>
    <row r="1696" spans="12:13">
      <c r="L1696" s="1">
        <v>44657.868055550091</v>
      </c>
      <c r="M1696" s="13"/>
    </row>
    <row r="1697" spans="12:13">
      <c r="L1697" s="1">
        <v>44657.871527772309</v>
      </c>
      <c r="M1697" s="13"/>
    </row>
    <row r="1698" spans="12:13">
      <c r="L1698" s="1">
        <v>44657.874999994528</v>
      </c>
      <c r="M1698" s="13"/>
    </row>
    <row r="1699" spans="12:13">
      <c r="L1699" s="1">
        <v>44657.878472216747</v>
      </c>
      <c r="M1699" s="13"/>
    </row>
    <row r="1700" spans="12:13">
      <c r="L1700" s="1">
        <v>44657.881944438966</v>
      </c>
      <c r="M1700" s="13"/>
    </row>
    <row r="1701" spans="12:13">
      <c r="L1701" s="1">
        <v>44657.885416661185</v>
      </c>
      <c r="M1701" s="13"/>
    </row>
    <row r="1702" spans="12:13">
      <c r="L1702" s="1">
        <v>44657.888888883404</v>
      </c>
      <c r="M1702" s="13"/>
    </row>
    <row r="1703" spans="12:13">
      <c r="L1703" s="1">
        <v>44657.892361105623</v>
      </c>
      <c r="M1703" s="13"/>
    </row>
    <row r="1704" spans="12:13">
      <c r="L1704" s="1">
        <v>44657.895833327842</v>
      </c>
      <c r="M1704" s="13"/>
    </row>
    <row r="1705" spans="12:13">
      <c r="L1705" s="1">
        <v>44657.899305550061</v>
      </c>
      <c r="M1705" s="13"/>
    </row>
    <row r="1706" spans="12:13">
      <c r="L1706" s="1">
        <v>44657.90277777228</v>
      </c>
      <c r="M1706" s="13"/>
    </row>
    <row r="1707" spans="12:13">
      <c r="L1707" s="1">
        <v>44657.906249994499</v>
      </c>
      <c r="M1707" s="13"/>
    </row>
    <row r="1708" spans="12:13">
      <c r="L1708" s="1">
        <v>44657.909722216718</v>
      </c>
      <c r="M1708" s="13"/>
    </row>
    <row r="1709" spans="12:13">
      <c r="L1709" s="1">
        <v>44657.913194438937</v>
      </c>
      <c r="M1709" s="13"/>
    </row>
    <row r="1710" spans="12:13">
      <c r="L1710" s="1">
        <v>44657.916666661156</v>
      </c>
      <c r="M1710" s="13"/>
    </row>
    <row r="1711" spans="12:13">
      <c r="L1711" s="1">
        <v>44657.920138883375</v>
      </c>
      <c r="M1711" s="13"/>
    </row>
    <row r="1712" spans="12:13">
      <c r="L1712" s="1">
        <v>44657.923611105594</v>
      </c>
      <c r="M1712" s="13"/>
    </row>
    <row r="1713" spans="12:13">
      <c r="L1713" s="1">
        <v>44657.927083327813</v>
      </c>
      <c r="M1713" s="13"/>
    </row>
    <row r="1714" spans="12:13">
      <c r="L1714" s="1">
        <v>44657.930555550032</v>
      </c>
      <c r="M1714" s="13"/>
    </row>
    <row r="1715" spans="12:13">
      <c r="L1715" s="1">
        <v>44657.934027772251</v>
      </c>
      <c r="M1715" s="13"/>
    </row>
    <row r="1716" spans="12:13">
      <c r="L1716" s="1">
        <v>44657.93749999447</v>
      </c>
      <c r="M1716" s="13"/>
    </row>
    <row r="1717" spans="12:13">
      <c r="L1717" s="1">
        <v>44657.940972216689</v>
      </c>
      <c r="M1717" s="13"/>
    </row>
    <row r="1718" spans="12:13">
      <c r="L1718" s="1">
        <v>44657.944444438908</v>
      </c>
      <c r="M1718" s="13"/>
    </row>
    <row r="1719" spans="12:13">
      <c r="L1719" s="1">
        <v>44657.947916661127</v>
      </c>
      <c r="M1719" s="13"/>
    </row>
    <row r="1720" spans="12:13">
      <c r="L1720" s="1">
        <v>44657.951388883346</v>
      </c>
      <c r="M1720" s="13"/>
    </row>
    <row r="1721" spans="12:13">
      <c r="L1721" s="1">
        <v>44657.954861105565</v>
      </c>
      <c r="M1721" s="13"/>
    </row>
    <row r="1722" spans="12:13">
      <c r="L1722" s="1">
        <v>44657.958333327784</v>
      </c>
      <c r="M1722" s="13"/>
    </row>
    <row r="1723" spans="12:13">
      <c r="L1723" s="1">
        <v>44657.961805550003</v>
      </c>
      <c r="M1723" s="13"/>
    </row>
    <row r="1724" spans="12:13">
      <c r="L1724" s="1">
        <v>44657.965277772222</v>
      </c>
      <c r="M1724" s="13"/>
    </row>
    <row r="1725" spans="12:13">
      <c r="L1725" s="1">
        <v>44657.968749994441</v>
      </c>
      <c r="M1725" s="13"/>
    </row>
    <row r="1726" spans="12:13">
      <c r="L1726" s="1">
        <v>44657.97222221666</v>
      </c>
      <c r="M1726" s="13"/>
    </row>
    <row r="1727" spans="12:13">
      <c r="L1727" s="1">
        <v>44657.975694438879</v>
      </c>
      <c r="M1727" s="13"/>
    </row>
    <row r="1728" spans="12:13">
      <c r="L1728" s="1">
        <v>44657.979166661098</v>
      </c>
      <c r="M1728" s="13"/>
    </row>
    <row r="1729" spans="12:13">
      <c r="L1729" s="1">
        <v>44657.982638883317</v>
      </c>
      <c r="M1729" s="13"/>
    </row>
    <row r="1730" spans="12:13">
      <c r="L1730" s="1">
        <v>44657.986111105536</v>
      </c>
      <c r="M1730" s="13"/>
    </row>
    <row r="1731" spans="12:13">
      <c r="L1731" s="1">
        <v>44657.989583327755</v>
      </c>
      <c r="M1731" s="13"/>
    </row>
    <row r="1732" spans="12:13">
      <c r="L1732" s="1">
        <v>44657.993055549974</v>
      </c>
      <c r="M1732" s="13"/>
    </row>
    <row r="1733" spans="12:13">
      <c r="L1733" s="1">
        <v>44657.996527772193</v>
      </c>
      <c r="M1733" s="13"/>
    </row>
    <row r="1734" spans="12:13">
      <c r="L1734" s="1">
        <v>44657.999999994412</v>
      </c>
      <c r="M1734" s="13"/>
    </row>
    <row r="1735" spans="12:13">
      <c r="L1735" s="1">
        <v>44658.003472216631</v>
      </c>
      <c r="M1735" s="13"/>
    </row>
    <row r="1736" spans="12:13">
      <c r="L1736" s="1">
        <v>44658.00694443885</v>
      </c>
      <c r="M1736" s="13"/>
    </row>
    <row r="1737" spans="12:13">
      <c r="L1737" s="1">
        <v>44658.010416661069</v>
      </c>
      <c r="M1737" s="13"/>
    </row>
    <row r="1738" spans="12:13">
      <c r="L1738" s="1">
        <v>44658.013888883288</v>
      </c>
      <c r="M1738" s="13"/>
    </row>
    <row r="1739" spans="12:13">
      <c r="L1739" s="1">
        <v>44658.017361105507</v>
      </c>
      <c r="M1739" s="13"/>
    </row>
    <row r="1740" spans="12:13">
      <c r="L1740" s="1">
        <v>44658.020833327726</v>
      </c>
      <c r="M1740" s="13"/>
    </row>
    <row r="1741" spans="12:13">
      <c r="L1741" s="1">
        <v>44658.024305549945</v>
      </c>
      <c r="M1741" s="13"/>
    </row>
    <row r="1742" spans="12:13">
      <c r="L1742" s="1">
        <v>44658.027777772164</v>
      </c>
      <c r="M1742" s="13"/>
    </row>
    <row r="1743" spans="12:13">
      <c r="L1743" s="1">
        <v>44658.031249994383</v>
      </c>
      <c r="M1743" s="13"/>
    </row>
    <row r="1744" spans="12:13">
      <c r="L1744" s="1">
        <v>44658.034722216602</v>
      </c>
      <c r="M1744" s="13"/>
    </row>
    <row r="1745" spans="12:13">
      <c r="L1745" s="1">
        <v>44658.038194438821</v>
      </c>
      <c r="M1745" s="13"/>
    </row>
    <row r="1746" spans="12:13">
      <c r="L1746" s="1">
        <v>44658.04166666104</v>
      </c>
      <c r="M1746" s="13"/>
    </row>
    <row r="1747" spans="12:13">
      <c r="L1747" s="1">
        <v>44658.045138883259</v>
      </c>
      <c r="M1747" s="13"/>
    </row>
    <row r="1748" spans="12:13">
      <c r="L1748" s="1">
        <v>44658.048611105478</v>
      </c>
      <c r="M1748" s="13"/>
    </row>
    <row r="1749" spans="12:13">
      <c r="L1749" s="1">
        <v>44658.052083327697</v>
      </c>
      <c r="M1749" s="13"/>
    </row>
    <row r="1750" spans="12:13">
      <c r="L1750" s="1">
        <v>44658.055555549916</v>
      </c>
      <c r="M1750" s="13"/>
    </row>
    <row r="1751" spans="12:13">
      <c r="L1751" s="1">
        <v>44658.059027772135</v>
      </c>
      <c r="M1751" s="13"/>
    </row>
    <row r="1752" spans="12:13">
      <c r="L1752" s="1">
        <v>44658.062499994354</v>
      </c>
      <c r="M1752" s="13"/>
    </row>
    <row r="1753" spans="12:13">
      <c r="L1753" s="1">
        <v>44658.065972216573</v>
      </c>
      <c r="M1753" s="13"/>
    </row>
    <row r="1754" spans="12:13">
      <c r="L1754" s="1">
        <v>44658.069444438792</v>
      </c>
      <c r="M1754" s="13"/>
    </row>
    <row r="1755" spans="12:13">
      <c r="L1755" s="1">
        <v>44658.072916661011</v>
      </c>
      <c r="M1755" s="13"/>
    </row>
    <row r="1756" spans="12:13">
      <c r="L1756" s="1">
        <v>44658.07638888323</v>
      </c>
      <c r="M1756" s="13"/>
    </row>
    <row r="1757" spans="12:13">
      <c r="L1757" s="1">
        <v>44658.079861105449</v>
      </c>
      <c r="M1757" s="13"/>
    </row>
    <row r="1758" spans="12:13">
      <c r="L1758" s="1">
        <v>44658.083333327668</v>
      </c>
      <c r="M1758" s="13"/>
    </row>
    <row r="1759" spans="12:13">
      <c r="L1759" s="1">
        <v>44658.086805549887</v>
      </c>
      <c r="M1759" s="13"/>
    </row>
    <row r="1760" spans="12:13">
      <c r="L1760" s="1">
        <v>44658.090277772106</v>
      </c>
      <c r="M1760" s="13"/>
    </row>
    <row r="1761" spans="12:13">
      <c r="L1761" s="1">
        <v>44658.093749994325</v>
      </c>
      <c r="M1761" s="13"/>
    </row>
    <row r="1762" spans="12:13">
      <c r="L1762" s="1">
        <v>44658.097222216544</v>
      </c>
      <c r="M1762" s="13"/>
    </row>
    <row r="1763" spans="12:13">
      <c r="L1763" s="1">
        <v>44658.100694438763</v>
      </c>
      <c r="M1763" s="13"/>
    </row>
    <row r="1764" spans="12:13">
      <c r="L1764" s="1">
        <v>44658.104166660982</v>
      </c>
      <c r="M1764" s="13"/>
    </row>
    <row r="1765" spans="12:13">
      <c r="L1765" s="1">
        <v>44658.107638883201</v>
      </c>
      <c r="M1765" s="13"/>
    </row>
    <row r="1766" spans="12:13">
      <c r="L1766" s="1">
        <v>44658.11111110542</v>
      </c>
      <c r="M1766" s="13"/>
    </row>
    <row r="1767" spans="12:13">
      <c r="L1767" s="1">
        <v>44658.114583327639</v>
      </c>
      <c r="M1767" s="13"/>
    </row>
    <row r="1768" spans="12:13">
      <c r="L1768" s="1">
        <v>44658.118055549858</v>
      </c>
      <c r="M1768" s="13"/>
    </row>
    <row r="1769" spans="12:13">
      <c r="L1769" s="1">
        <v>44658.121527772077</v>
      </c>
      <c r="M1769" s="13"/>
    </row>
    <row r="1770" spans="12:13">
      <c r="L1770" s="1">
        <v>44658.124999994296</v>
      </c>
      <c r="M1770" s="13"/>
    </row>
    <row r="1771" spans="12:13">
      <c r="L1771" s="1">
        <v>44658.128472216515</v>
      </c>
      <c r="M1771" s="13"/>
    </row>
    <row r="1772" spans="12:13">
      <c r="L1772" s="1">
        <v>44658.131944438734</v>
      </c>
      <c r="M1772" s="13"/>
    </row>
    <row r="1773" spans="12:13">
      <c r="L1773" s="1">
        <v>44658.135416660953</v>
      </c>
      <c r="M1773" s="13"/>
    </row>
    <row r="1774" spans="12:13">
      <c r="L1774" s="1">
        <v>44658.138888883172</v>
      </c>
      <c r="M1774" s="13"/>
    </row>
    <row r="1775" spans="12:13">
      <c r="L1775" s="1">
        <v>44658.142361105391</v>
      </c>
      <c r="M1775" s="13"/>
    </row>
    <row r="1776" spans="12:13">
      <c r="L1776" s="1">
        <v>44658.14583332761</v>
      </c>
      <c r="M1776" s="13"/>
    </row>
    <row r="1777" spans="12:13">
      <c r="L1777" s="1">
        <v>44658.149305549829</v>
      </c>
      <c r="M1777" s="13"/>
    </row>
    <row r="1778" spans="12:13">
      <c r="L1778" s="1">
        <v>44658.152777772048</v>
      </c>
      <c r="M1778" s="13"/>
    </row>
    <row r="1779" spans="12:13">
      <c r="L1779" s="1">
        <v>44658.156249994267</v>
      </c>
      <c r="M1779" s="13"/>
    </row>
    <row r="1780" spans="12:13">
      <c r="L1780" s="1">
        <v>44658.159722216486</v>
      </c>
      <c r="M1780" s="13"/>
    </row>
    <row r="1781" spans="12:13">
      <c r="L1781" s="1">
        <v>44658.163194438705</v>
      </c>
      <c r="M1781" s="13"/>
    </row>
    <row r="1782" spans="12:13">
      <c r="L1782" s="1">
        <v>44658.166666660924</v>
      </c>
      <c r="M1782" s="13"/>
    </row>
    <row r="1783" spans="12:13">
      <c r="L1783" s="1">
        <v>44658.170138883142</v>
      </c>
      <c r="M1783" s="13"/>
    </row>
    <row r="1784" spans="12:13">
      <c r="L1784" s="1">
        <v>44658.173611105361</v>
      </c>
      <c r="M1784" s="13"/>
    </row>
    <row r="1785" spans="12:13">
      <c r="L1785" s="1">
        <v>44658.17708332758</v>
      </c>
      <c r="M1785" s="13"/>
    </row>
    <row r="1786" spans="12:13">
      <c r="L1786" s="1">
        <v>44658.180555549799</v>
      </c>
      <c r="M1786" s="13"/>
    </row>
    <row r="1787" spans="12:13">
      <c r="L1787" s="1">
        <v>44658.184027772018</v>
      </c>
      <c r="M1787" s="13"/>
    </row>
    <row r="1788" spans="12:13">
      <c r="L1788" s="1">
        <v>44658.187499994237</v>
      </c>
      <c r="M1788" s="13"/>
    </row>
    <row r="1789" spans="12:13">
      <c r="L1789" s="1">
        <v>44658.190972216456</v>
      </c>
      <c r="M1789" s="13"/>
    </row>
    <row r="1790" spans="12:13">
      <c r="L1790" s="1">
        <v>44658.194444438675</v>
      </c>
      <c r="M1790" s="13"/>
    </row>
    <row r="1791" spans="12:13">
      <c r="L1791" s="1">
        <v>44658.197916660894</v>
      </c>
      <c r="M1791" s="13"/>
    </row>
    <row r="1792" spans="12:13">
      <c r="L1792" s="1">
        <v>44658.201388883113</v>
      </c>
      <c r="M1792" s="13"/>
    </row>
    <row r="1793" spans="12:13">
      <c r="L1793" s="1">
        <v>44658.204861105332</v>
      </c>
      <c r="M1793" s="13"/>
    </row>
    <row r="1794" spans="12:13">
      <c r="L1794" s="1">
        <v>44658.208333327551</v>
      </c>
      <c r="M1794" s="13"/>
    </row>
    <row r="1795" spans="12:13">
      <c r="L1795" s="1">
        <v>44658.21180554977</v>
      </c>
      <c r="M1795" s="13"/>
    </row>
    <row r="1796" spans="12:13">
      <c r="L1796" s="1">
        <v>44658.215277771989</v>
      </c>
      <c r="M1796" s="13"/>
    </row>
    <row r="1797" spans="12:13">
      <c r="L1797" s="1">
        <v>44658.218749994208</v>
      </c>
      <c r="M1797" s="13"/>
    </row>
    <row r="1798" spans="12:13">
      <c r="L1798" s="1">
        <v>44658.222222216427</v>
      </c>
      <c r="M1798" s="13"/>
    </row>
    <row r="1799" spans="12:13">
      <c r="L1799" s="1">
        <v>44658.225694438646</v>
      </c>
      <c r="M1799" s="13"/>
    </row>
    <row r="1800" spans="12:13">
      <c r="L1800" s="1">
        <v>44658.229166660865</v>
      </c>
      <c r="M1800" s="13"/>
    </row>
    <row r="1801" spans="12:13">
      <c r="L1801" s="1">
        <v>44658.232638883084</v>
      </c>
      <c r="M1801" s="13"/>
    </row>
    <row r="1802" spans="12:13">
      <c r="L1802" s="1">
        <v>44658.236111105303</v>
      </c>
      <c r="M1802" s="13"/>
    </row>
    <row r="1803" spans="12:13">
      <c r="L1803" s="1">
        <v>44658.239583327522</v>
      </c>
      <c r="M1803" s="13"/>
    </row>
    <row r="1804" spans="12:13">
      <c r="L1804" s="1">
        <v>44658.243055549741</v>
      </c>
      <c r="M1804" s="13"/>
    </row>
    <row r="1805" spans="12:13">
      <c r="L1805" s="1">
        <v>44658.24652777196</v>
      </c>
      <c r="M1805" s="13"/>
    </row>
    <row r="1806" spans="12:13">
      <c r="L1806" s="1">
        <v>44658.249999994179</v>
      </c>
      <c r="M1806" s="13"/>
    </row>
    <row r="1807" spans="12:13">
      <c r="L1807" s="1">
        <v>44658.253472216398</v>
      </c>
      <c r="M1807" s="13"/>
    </row>
    <row r="1808" spans="12:13">
      <c r="L1808" s="1">
        <v>44658.256944438617</v>
      </c>
      <c r="M1808" s="13"/>
    </row>
    <row r="1809" spans="12:13">
      <c r="L1809" s="1">
        <v>44658.260416660836</v>
      </c>
      <c r="M1809" s="13"/>
    </row>
    <row r="1810" spans="12:13">
      <c r="L1810" s="1">
        <v>44658.263888883055</v>
      </c>
      <c r="M1810" s="13"/>
    </row>
    <row r="1811" spans="12:13">
      <c r="L1811" s="1">
        <v>44658.267361105274</v>
      </c>
      <c r="M1811" s="13"/>
    </row>
    <row r="1812" spans="12:13">
      <c r="L1812" s="1">
        <v>44658.270833327493</v>
      </c>
      <c r="M1812" s="13"/>
    </row>
    <row r="1813" spans="12:13">
      <c r="L1813" s="1">
        <v>44658.274305549712</v>
      </c>
      <c r="M1813" s="13"/>
    </row>
    <row r="1814" spans="12:13">
      <c r="L1814" s="1">
        <v>44658.277777771931</v>
      </c>
      <c r="M1814" s="13"/>
    </row>
    <row r="1815" spans="12:13">
      <c r="L1815" s="1">
        <v>44658.28124999415</v>
      </c>
      <c r="M1815" s="13"/>
    </row>
    <row r="1816" spans="12:13">
      <c r="L1816" s="1">
        <v>44658.284722216369</v>
      </c>
      <c r="M1816" s="13"/>
    </row>
    <row r="1817" spans="12:13">
      <c r="L1817" s="1">
        <v>44658.288194438588</v>
      </c>
      <c r="M1817" s="13"/>
    </row>
    <row r="1818" spans="12:13">
      <c r="L1818" s="1">
        <v>44658.291666660807</v>
      </c>
      <c r="M1818" s="13"/>
    </row>
    <row r="1819" spans="12:13">
      <c r="L1819" s="1">
        <v>44658.295138883026</v>
      </c>
      <c r="M1819" s="13"/>
    </row>
    <row r="1820" spans="12:13">
      <c r="L1820" s="1">
        <v>44658.298611105245</v>
      </c>
      <c r="M1820" s="13"/>
    </row>
    <row r="1821" spans="12:13">
      <c r="L1821" s="1">
        <v>44658.302083327464</v>
      </c>
      <c r="M1821" s="13"/>
    </row>
    <row r="1822" spans="12:13">
      <c r="L1822" s="1">
        <v>44658.305555549683</v>
      </c>
      <c r="M1822" s="13"/>
    </row>
    <row r="1823" spans="12:13">
      <c r="L1823" s="1">
        <v>44658.309027771902</v>
      </c>
      <c r="M1823" s="13"/>
    </row>
    <row r="1824" spans="12:13">
      <c r="L1824" s="1">
        <v>44658.312499994121</v>
      </c>
      <c r="M1824" s="13"/>
    </row>
    <row r="1825" spans="12:13">
      <c r="L1825" s="1">
        <v>44658.31597221634</v>
      </c>
      <c r="M1825" s="13"/>
    </row>
    <row r="1826" spans="12:13">
      <c r="L1826" s="1">
        <v>44658.319444438559</v>
      </c>
      <c r="M1826" s="13"/>
    </row>
    <row r="1827" spans="12:13">
      <c r="L1827" s="1">
        <v>44658.322916660778</v>
      </c>
      <c r="M1827" s="13"/>
    </row>
    <row r="1828" spans="12:13">
      <c r="L1828" s="1">
        <v>44658.326388882997</v>
      </c>
      <c r="M1828" s="13"/>
    </row>
    <row r="1829" spans="12:13">
      <c r="L1829" s="1">
        <v>44658.329861105216</v>
      </c>
      <c r="M1829" s="13"/>
    </row>
    <row r="1830" spans="12:13">
      <c r="L1830" s="1">
        <v>44658.333333327435</v>
      </c>
      <c r="M1830" s="13"/>
    </row>
    <row r="1831" spans="12:13">
      <c r="L1831" s="1">
        <v>44658.336805549654</v>
      </c>
      <c r="M1831" s="13"/>
    </row>
    <row r="1832" spans="12:13">
      <c r="L1832" s="1">
        <v>44658.340277771873</v>
      </c>
      <c r="M1832" s="13"/>
    </row>
    <row r="1833" spans="12:13">
      <c r="L1833" s="1">
        <v>44658.343749994092</v>
      </c>
      <c r="M1833" s="13"/>
    </row>
    <row r="1834" spans="12:13">
      <c r="L1834" s="1">
        <v>44658.347222216311</v>
      </c>
      <c r="M1834" s="13"/>
    </row>
    <row r="1835" spans="12:13">
      <c r="L1835" s="1">
        <v>44658.35069443853</v>
      </c>
      <c r="M1835" s="13"/>
    </row>
    <row r="1836" spans="12:13">
      <c r="L1836" s="1">
        <v>44658.354166660749</v>
      </c>
      <c r="M1836" s="13"/>
    </row>
    <row r="1837" spans="12:13">
      <c r="L1837" s="1">
        <v>44658.357638882968</v>
      </c>
      <c r="M1837" s="13"/>
    </row>
    <row r="1838" spans="12:13">
      <c r="L1838" s="1">
        <v>44658.361111105187</v>
      </c>
      <c r="M1838" s="13"/>
    </row>
    <row r="1839" spans="12:13">
      <c r="L1839" s="1">
        <v>44658.364583327406</v>
      </c>
      <c r="M1839" s="13"/>
    </row>
    <row r="1840" spans="12:13">
      <c r="L1840" s="1">
        <v>44658.368055549625</v>
      </c>
      <c r="M1840" s="13"/>
    </row>
    <row r="1841" spans="12:13">
      <c r="L1841" s="1">
        <v>44658.371527771844</v>
      </c>
      <c r="M1841" s="13"/>
    </row>
    <row r="1842" spans="12:13">
      <c r="L1842" s="1">
        <v>44658.374999994063</v>
      </c>
      <c r="M1842" s="13"/>
    </row>
    <row r="1843" spans="12:13">
      <c r="L1843" s="1">
        <v>44658.378472216282</v>
      </c>
      <c r="M1843" s="13"/>
    </row>
    <row r="1844" spans="12:13">
      <c r="L1844" s="1">
        <v>44658.381944438501</v>
      </c>
      <c r="M1844" s="13"/>
    </row>
    <row r="1845" spans="12:13">
      <c r="L1845" s="1">
        <v>44658.38541666072</v>
      </c>
      <c r="M1845" s="13"/>
    </row>
    <row r="1846" spans="12:13">
      <c r="L1846" s="1">
        <v>44658.388888882939</v>
      </c>
      <c r="M1846" s="13"/>
    </row>
    <row r="1847" spans="12:13">
      <c r="L1847" s="1">
        <v>44658.392361105158</v>
      </c>
      <c r="M1847" s="13"/>
    </row>
    <row r="1848" spans="12:13">
      <c r="L1848" s="1">
        <v>44658.395833327377</v>
      </c>
      <c r="M1848" s="13"/>
    </row>
    <row r="1849" spans="12:13">
      <c r="L1849" s="1">
        <v>44658.399305549596</v>
      </c>
      <c r="M1849" s="13"/>
    </row>
    <row r="1850" spans="12:13">
      <c r="L1850" s="1">
        <v>44658.402777771815</v>
      </c>
      <c r="M1850" s="13"/>
    </row>
    <row r="1851" spans="12:13">
      <c r="L1851" s="1">
        <v>44658.406249994034</v>
      </c>
      <c r="M1851" s="13"/>
    </row>
    <row r="1852" spans="12:13">
      <c r="L1852" s="1">
        <v>44658.409722216253</v>
      </c>
      <c r="M1852" s="13"/>
    </row>
    <row r="1853" spans="12:13">
      <c r="L1853" s="1">
        <v>44658.413194438472</v>
      </c>
      <c r="M1853" s="13"/>
    </row>
    <row r="1854" spans="12:13">
      <c r="L1854" s="1">
        <v>44658.416666660691</v>
      </c>
      <c r="M1854" s="13"/>
    </row>
    <row r="1855" spans="12:13">
      <c r="L1855" s="1">
        <v>44658.42013888291</v>
      </c>
      <c r="M1855" s="13"/>
    </row>
    <row r="1856" spans="12:13">
      <c r="L1856" s="1">
        <v>44658.423611105129</v>
      </c>
      <c r="M1856" s="13"/>
    </row>
    <row r="1857" spans="12:13">
      <c r="L1857" s="1">
        <v>44658.427083327348</v>
      </c>
      <c r="M1857" s="13"/>
    </row>
    <row r="1858" spans="12:13">
      <c r="L1858" s="1">
        <v>44658.430555549567</v>
      </c>
      <c r="M1858" s="13"/>
    </row>
    <row r="1859" spans="12:13">
      <c r="L1859" s="1">
        <v>44658.434027771786</v>
      </c>
      <c r="M1859" s="13"/>
    </row>
    <row r="1860" spans="12:13">
      <c r="L1860" s="1">
        <v>44658.437499994005</v>
      </c>
      <c r="M1860" s="13"/>
    </row>
    <row r="1861" spans="12:13">
      <c r="L1861" s="1">
        <v>44658.440972216224</v>
      </c>
      <c r="M1861" s="13"/>
    </row>
    <row r="1862" spans="12:13">
      <c r="L1862" s="1">
        <v>44658.444444438443</v>
      </c>
      <c r="M1862" s="13"/>
    </row>
    <row r="1863" spans="12:13">
      <c r="L1863" s="1">
        <v>44658.447916660662</v>
      </c>
      <c r="M1863" s="13"/>
    </row>
    <row r="1864" spans="12:13">
      <c r="L1864" s="1">
        <v>44658.451388882881</v>
      </c>
      <c r="M1864" s="13"/>
    </row>
    <row r="1865" spans="12:13">
      <c r="L1865" s="1">
        <v>44658.4548611051</v>
      </c>
      <c r="M1865" s="13"/>
    </row>
    <row r="1866" spans="12:13">
      <c r="L1866" s="1">
        <v>44658.458333327319</v>
      </c>
      <c r="M1866" s="13"/>
    </row>
    <row r="1867" spans="12:13">
      <c r="L1867" s="1">
        <v>44658.461805549538</v>
      </c>
      <c r="M1867" s="13"/>
    </row>
    <row r="1868" spans="12:13">
      <c r="L1868" s="1">
        <v>44658.465277771757</v>
      </c>
      <c r="M1868" s="13"/>
    </row>
    <row r="1869" spans="12:13">
      <c r="L1869" s="1">
        <v>44658.468749993976</v>
      </c>
      <c r="M1869" s="13"/>
    </row>
    <row r="1870" spans="12:13">
      <c r="L1870" s="1">
        <v>44658.472222216194</v>
      </c>
      <c r="M1870" s="13"/>
    </row>
    <row r="1871" spans="12:13">
      <c r="L1871" s="1">
        <v>44658.475694438413</v>
      </c>
      <c r="M1871" s="13"/>
    </row>
    <row r="1872" spans="12:13">
      <c r="L1872" s="1">
        <v>44658.479166660632</v>
      </c>
      <c r="M1872" s="13"/>
    </row>
    <row r="1873" spans="12:13">
      <c r="L1873" s="1">
        <v>44658.482638882851</v>
      </c>
      <c r="M1873" s="13"/>
    </row>
    <row r="1874" spans="12:13">
      <c r="L1874" s="1">
        <v>44658.48611110507</v>
      </c>
      <c r="M1874" s="13"/>
    </row>
    <row r="1875" spans="12:13">
      <c r="L1875" s="1">
        <v>44658.489583327289</v>
      </c>
      <c r="M1875" s="13"/>
    </row>
    <row r="1876" spans="12:13">
      <c r="L1876" s="1">
        <v>44658.493055549508</v>
      </c>
      <c r="M1876" s="13"/>
    </row>
    <row r="1877" spans="12:13">
      <c r="L1877" s="1">
        <v>44658.496527771727</v>
      </c>
      <c r="M1877" s="13"/>
    </row>
    <row r="1878" spans="12:13">
      <c r="L1878" s="1">
        <v>44658.499999993946</v>
      </c>
      <c r="M1878" s="13"/>
    </row>
    <row r="1879" spans="12:13">
      <c r="L1879" s="1">
        <v>44658.503472216165</v>
      </c>
      <c r="M1879" s="13"/>
    </row>
    <row r="1880" spans="12:13">
      <c r="L1880" s="1">
        <v>44658.506944438384</v>
      </c>
      <c r="M1880" s="13"/>
    </row>
    <row r="1881" spans="12:13">
      <c r="L1881" s="1">
        <v>44658.510416660603</v>
      </c>
      <c r="M1881" s="13"/>
    </row>
    <row r="1882" spans="12:13">
      <c r="L1882" s="1">
        <v>44658.513888882822</v>
      </c>
      <c r="M1882" s="13"/>
    </row>
    <row r="1883" spans="12:13">
      <c r="L1883" s="1">
        <v>44658.517361105041</v>
      </c>
      <c r="M1883" s="13"/>
    </row>
    <row r="1884" spans="12:13">
      <c r="L1884" s="1">
        <v>44658.52083332726</v>
      </c>
      <c r="M1884" s="13"/>
    </row>
    <row r="1885" spans="12:13">
      <c r="L1885" s="1">
        <v>44658.524305549479</v>
      </c>
      <c r="M1885" s="13"/>
    </row>
    <row r="1886" spans="12:13">
      <c r="L1886" s="1">
        <v>44658.527777771698</v>
      </c>
      <c r="M1886" s="13"/>
    </row>
    <row r="1887" spans="12:13">
      <c r="L1887" s="1">
        <v>44658.531249993917</v>
      </c>
      <c r="M1887" s="13"/>
    </row>
    <row r="1888" spans="12:13">
      <c r="L1888" s="1">
        <v>44658.534722216136</v>
      </c>
      <c r="M1888" s="13"/>
    </row>
    <row r="1889" spans="12:13">
      <c r="L1889" s="1">
        <v>44658.538194438355</v>
      </c>
      <c r="M1889" s="13"/>
    </row>
    <row r="1890" spans="12:13">
      <c r="L1890" s="1">
        <v>44658.541666660574</v>
      </c>
      <c r="M1890" s="13"/>
    </row>
    <row r="1891" spans="12:13">
      <c r="L1891" s="1">
        <v>44658.545138882793</v>
      </c>
      <c r="M1891" s="13"/>
    </row>
    <row r="1892" spans="12:13">
      <c r="L1892" s="1">
        <v>44658.548611105012</v>
      </c>
      <c r="M1892" s="13"/>
    </row>
    <row r="1893" spans="12:13">
      <c r="L1893" s="1">
        <v>44658.552083327231</v>
      </c>
      <c r="M1893" s="13"/>
    </row>
    <row r="1894" spans="12:13">
      <c r="L1894" s="1">
        <v>44658.55555554945</v>
      </c>
      <c r="M1894" s="13"/>
    </row>
    <row r="1895" spans="12:13">
      <c r="L1895" s="1">
        <v>44658.559027771669</v>
      </c>
      <c r="M1895" s="13"/>
    </row>
    <row r="1896" spans="12:13">
      <c r="L1896" s="1">
        <v>44658.562499993888</v>
      </c>
      <c r="M1896" s="13"/>
    </row>
    <row r="1897" spans="12:13">
      <c r="L1897" s="1">
        <v>44658.565972216107</v>
      </c>
      <c r="M1897" s="13"/>
    </row>
    <row r="1898" spans="12:13">
      <c r="L1898" s="1">
        <v>44658.569444438326</v>
      </c>
      <c r="M1898" s="13"/>
    </row>
    <row r="1899" spans="12:13">
      <c r="L1899" s="1">
        <v>44658.572916660545</v>
      </c>
      <c r="M1899" s="13"/>
    </row>
    <row r="1900" spans="12:13">
      <c r="L1900" s="1">
        <v>44658.576388882764</v>
      </c>
      <c r="M1900" s="13"/>
    </row>
    <row r="1901" spans="12:13">
      <c r="L1901" s="1">
        <v>44658.579861104983</v>
      </c>
      <c r="M1901" s="13"/>
    </row>
    <row r="1902" spans="12:13">
      <c r="L1902" s="1">
        <v>44658.583333327202</v>
      </c>
      <c r="M1902" s="13"/>
    </row>
    <row r="1903" spans="12:13">
      <c r="L1903" s="1">
        <v>44658.586805549421</v>
      </c>
      <c r="M1903" s="13"/>
    </row>
    <row r="1904" spans="12:13">
      <c r="L1904" s="1">
        <v>44658.59027777164</v>
      </c>
      <c r="M1904" s="13"/>
    </row>
    <row r="1905" spans="12:13">
      <c r="L1905" s="1">
        <v>44658.593749993859</v>
      </c>
      <c r="M1905" s="13"/>
    </row>
    <row r="1906" spans="12:13">
      <c r="L1906" s="1">
        <v>44658.597222216078</v>
      </c>
      <c r="M1906" s="13"/>
    </row>
    <row r="1907" spans="12:13">
      <c r="L1907" s="1">
        <v>44658.600694438297</v>
      </c>
      <c r="M1907" s="13"/>
    </row>
    <row r="1908" spans="12:13">
      <c r="L1908" s="1">
        <v>44658.604166660516</v>
      </c>
      <c r="M1908" s="13"/>
    </row>
    <row r="1909" spans="12:13">
      <c r="L1909" s="1">
        <v>44658.607638882735</v>
      </c>
      <c r="M1909" s="13"/>
    </row>
    <row r="1910" spans="12:13">
      <c r="L1910" s="1">
        <v>44658.611111104954</v>
      </c>
      <c r="M1910" s="13"/>
    </row>
    <row r="1911" spans="12:13">
      <c r="L1911" s="1">
        <v>44658.614583327173</v>
      </c>
      <c r="M1911" s="13"/>
    </row>
    <row r="1912" spans="12:13">
      <c r="L1912" s="1">
        <v>44658.618055549392</v>
      </c>
      <c r="M1912" s="13"/>
    </row>
    <row r="1913" spans="12:13">
      <c r="L1913" s="1">
        <v>44658.621527771611</v>
      </c>
      <c r="M1913" s="13"/>
    </row>
    <row r="1914" spans="12:13">
      <c r="L1914" s="1">
        <v>44658.62499999383</v>
      </c>
      <c r="M1914" s="13"/>
    </row>
    <row r="1915" spans="12:13">
      <c r="L1915" s="1">
        <v>44658.628472216049</v>
      </c>
      <c r="M1915" s="13"/>
    </row>
    <row r="1916" spans="12:13">
      <c r="L1916" s="1">
        <v>44658.631944438268</v>
      </c>
      <c r="M1916" s="13"/>
    </row>
    <row r="1917" spans="12:13">
      <c r="L1917" s="1">
        <v>44658.635416660487</v>
      </c>
      <c r="M1917" s="13"/>
    </row>
    <row r="1918" spans="12:13">
      <c r="L1918" s="1">
        <v>44658.638888882706</v>
      </c>
      <c r="M1918" s="13"/>
    </row>
    <row r="1919" spans="12:13">
      <c r="L1919" s="1">
        <v>44658.642361104925</v>
      </c>
      <c r="M1919" s="13"/>
    </row>
    <row r="1920" spans="12:13">
      <c r="L1920" s="1">
        <v>44658.645833327144</v>
      </c>
      <c r="M1920" s="13"/>
    </row>
    <row r="1921" spans="12:13">
      <c r="L1921" s="1">
        <v>44658.649305549363</v>
      </c>
      <c r="M1921" s="13"/>
    </row>
    <row r="1922" spans="12:13">
      <c r="L1922" s="1">
        <v>44658.652777771582</v>
      </c>
      <c r="M1922" s="13"/>
    </row>
    <row r="1923" spans="12:13">
      <c r="L1923" s="1">
        <v>44658.656249993801</v>
      </c>
      <c r="M1923" s="13"/>
    </row>
    <row r="1924" spans="12:13">
      <c r="L1924" s="1">
        <v>44658.65972221602</v>
      </c>
      <c r="M1924" s="13"/>
    </row>
    <row r="1925" spans="12:13">
      <c r="L1925" s="1">
        <v>44658.663194438239</v>
      </c>
      <c r="M1925" s="13"/>
    </row>
    <row r="1926" spans="12:13">
      <c r="L1926" s="1">
        <v>44658.666666660458</v>
      </c>
      <c r="M1926" s="13"/>
    </row>
    <row r="1927" spans="12:13">
      <c r="L1927" s="1">
        <v>44658.670138882677</v>
      </c>
      <c r="M1927" s="13"/>
    </row>
    <row r="1928" spans="12:13">
      <c r="L1928" s="1">
        <v>44658.673611104896</v>
      </c>
      <c r="M1928" s="13"/>
    </row>
    <row r="1929" spans="12:13">
      <c r="L1929" s="1">
        <v>44658.677083327115</v>
      </c>
      <c r="M1929" s="13"/>
    </row>
    <row r="1930" spans="12:13">
      <c r="L1930" s="1">
        <v>44658.680555549334</v>
      </c>
      <c r="M1930" s="13"/>
    </row>
    <row r="1931" spans="12:13">
      <c r="L1931" s="1">
        <v>44658.684027771553</v>
      </c>
      <c r="M1931" s="13"/>
    </row>
    <row r="1932" spans="12:13">
      <c r="L1932" s="1">
        <v>44658.687499993772</v>
      </c>
      <c r="M1932" s="13"/>
    </row>
    <row r="1933" spans="12:13">
      <c r="L1933" s="1">
        <v>44658.690972215991</v>
      </c>
      <c r="M1933" s="13"/>
    </row>
    <row r="1934" spans="12:13">
      <c r="L1934" s="1">
        <v>44658.69444443821</v>
      </c>
      <c r="M1934" s="13"/>
    </row>
    <row r="1935" spans="12:13">
      <c r="L1935" s="1">
        <v>44658.697916660429</v>
      </c>
      <c r="M1935" s="13"/>
    </row>
    <row r="1936" spans="12:13">
      <c r="L1936" s="1">
        <v>44658.701388882648</v>
      </c>
      <c r="M1936" s="13"/>
    </row>
    <row r="1937" spans="12:13">
      <c r="L1937" s="1">
        <v>44658.704861104867</v>
      </c>
      <c r="M1937" s="13"/>
    </row>
    <row r="1938" spans="12:13">
      <c r="L1938" s="1">
        <v>44658.708333327086</v>
      </c>
      <c r="M1938" s="13"/>
    </row>
    <row r="1939" spans="12:13">
      <c r="L1939" s="1">
        <v>44658.711805549305</v>
      </c>
      <c r="M1939" s="13"/>
    </row>
    <row r="1940" spans="12:13">
      <c r="L1940" s="1">
        <v>44658.715277771524</v>
      </c>
      <c r="M1940" s="13"/>
    </row>
    <row r="1941" spans="12:13">
      <c r="L1941" s="1">
        <v>44658.718749993743</v>
      </c>
      <c r="M1941" s="13"/>
    </row>
    <row r="1942" spans="12:13">
      <c r="L1942" s="1">
        <v>44658.722222215962</v>
      </c>
      <c r="M1942" s="13"/>
    </row>
    <row r="1943" spans="12:13">
      <c r="L1943" s="1">
        <v>44658.725694438181</v>
      </c>
      <c r="M1943" s="13"/>
    </row>
    <row r="1944" spans="12:13">
      <c r="L1944" s="1">
        <v>44658.7291666604</v>
      </c>
      <c r="M1944" s="13"/>
    </row>
    <row r="1945" spans="12:13">
      <c r="L1945" s="1">
        <v>44658.732638882619</v>
      </c>
      <c r="M1945" s="13"/>
    </row>
    <row r="1946" spans="12:13">
      <c r="L1946" s="1">
        <v>44658.736111104838</v>
      </c>
      <c r="M1946" s="13"/>
    </row>
    <row r="1947" spans="12:13">
      <c r="L1947" s="1">
        <v>44658.739583327057</v>
      </c>
      <c r="M1947" s="13"/>
    </row>
    <row r="1948" spans="12:13">
      <c r="L1948" s="1">
        <v>44658.743055549276</v>
      </c>
      <c r="M1948" s="13"/>
    </row>
    <row r="1949" spans="12:13">
      <c r="L1949" s="1">
        <v>44658.746527771495</v>
      </c>
      <c r="M1949" s="13"/>
    </row>
    <row r="1950" spans="12:13">
      <c r="L1950" s="1">
        <v>44658.749999993714</v>
      </c>
      <c r="M1950" s="13"/>
    </row>
    <row r="1951" spans="12:13">
      <c r="L1951" s="1">
        <v>44658.753472215933</v>
      </c>
      <c r="M1951" s="13"/>
    </row>
    <row r="1952" spans="12:13">
      <c r="L1952" s="1">
        <v>44658.756944438152</v>
      </c>
      <c r="M1952" s="13"/>
    </row>
    <row r="1953" spans="12:13">
      <c r="L1953" s="1">
        <v>44658.760416660371</v>
      </c>
      <c r="M1953" s="13"/>
    </row>
    <row r="1954" spans="12:13">
      <c r="L1954" s="1">
        <v>44658.76388888259</v>
      </c>
      <c r="M1954" s="13"/>
    </row>
    <row r="1955" spans="12:13">
      <c r="L1955" s="1">
        <v>44658.767361104809</v>
      </c>
      <c r="M1955" s="13"/>
    </row>
    <row r="1956" spans="12:13">
      <c r="L1956" s="1">
        <v>44658.770833327028</v>
      </c>
      <c r="M1956" s="13"/>
    </row>
    <row r="1957" spans="12:13">
      <c r="L1957" s="1">
        <v>44658.774305549246</v>
      </c>
      <c r="M1957" s="13"/>
    </row>
    <row r="1958" spans="12:13">
      <c r="L1958" s="1">
        <v>44658.777777771465</v>
      </c>
      <c r="M1958" s="13"/>
    </row>
    <row r="1959" spans="12:13">
      <c r="L1959" s="1">
        <v>44658.781249993684</v>
      </c>
      <c r="M1959" s="13"/>
    </row>
    <row r="1960" spans="12:13">
      <c r="L1960" s="1">
        <v>44658.784722215903</v>
      </c>
      <c r="M1960" s="13"/>
    </row>
    <row r="1961" spans="12:13">
      <c r="L1961" s="1">
        <v>44658.788194438122</v>
      </c>
      <c r="M1961" s="13"/>
    </row>
    <row r="1962" spans="12:13">
      <c r="L1962" s="1">
        <v>44658.791666660341</v>
      </c>
      <c r="M1962" s="13"/>
    </row>
    <row r="1963" spans="12:13">
      <c r="L1963" s="1">
        <v>44658.79513888256</v>
      </c>
      <c r="M1963" s="13"/>
    </row>
    <row r="1964" spans="12:13">
      <c r="L1964" s="1">
        <v>44658.798611104779</v>
      </c>
      <c r="M1964" s="13"/>
    </row>
    <row r="1965" spans="12:13">
      <c r="L1965" s="1">
        <v>44658.802083326998</v>
      </c>
      <c r="M1965" s="13"/>
    </row>
    <row r="1966" spans="12:13">
      <c r="L1966" s="1">
        <v>44658.805555549217</v>
      </c>
      <c r="M1966" s="13"/>
    </row>
    <row r="1967" spans="12:13">
      <c r="L1967" s="1">
        <v>44658.809027771436</v>
      </c>
      <c r="M1967" s="13"/>
    </row>
    <row r="1968" spans="12:13">
      <c r="L1968" s="1">
        <v>44658.812499993655</v>
      </c>
      <c r="M1968" s="13"/>
    </row>
    <row r="1969" spans="12:13">
      <c r="L1969" s="1">
        <v>44658.815972215874</v>
      </c>
      <c r="M1969" s="13"/>
    </row>
    <row r="1970" spans="12:13">
      <c r="L1970" s="1">
        <v>44658.819444438093</v>
      </c>
      <c r="M1970" s="13"/>
    </row>
    <row r="1971" spans="12:13">
      <c r="L1971" s="1">
        <v>44658.822916660312</v>
      </c>
      <c r="M1971" s="13"/>
    </row>
    <row r="1972" spans="12:13">
      <c r="L1972" s="1">
        <v>44658.826388882531</v>
      </c>
      <c r="M1972" s="13"/>
    </row>
    <row r="1973" spans="12:13">
      <c r="L1973" s="1">
        <v>44658.82986110475</v>
      </c>
      <c r="M1973" s="13"/>
    </row>
    <row r="1974" spans="12:13">
      <c r="L1974" s="1">
        <v>44658.833333326969</v>
      </c>
      <c r="M1974" s="13"/>
    </row>
    <row r="1975" spans="12:13">
      <c r="L1975" s="1">
        <v>44658.836805549188</v>
      </c>
      <c r="M1975" s="13"/>
    </row>
    <row r="1976" spans="12:13">
      <c r="L1976" s="1">
        <v>44658.840277771407</v>
      </c>
      <c r="M1976" s="13"/>
    </row>
    <row r="1977" spans="12:13">
      <c r="L1977" s="1">
        <v>44658.843749993626</v>
      </c>
      <c r="M1977" s="13"/>
    </row>
    <row r="1978" spans="12:13">
      <c r="L1978" s="1">
        <v>44658.847222215845</v>
      </c>
      <c r="M1978" s="13"/>
    </row>
    <row r="1979" spans="12:13">
      <c r="L1979" s="1">
        <v>44658.850694438064</v>
      </c>
      <c r="M1979" s="13"/>
    </row>
    <row r="1980" spans="12:13">
      <c r="L1980" s="1">
        <v>44658.854166660283</v>
      </c>
      <c r="M1980" s="13"/>
    </row>
    <row r="1981" spans="12:13">
      <c r="L1981" s="1">
        <v>44658.857638882502</v>
      </c>
      <c r="M1981" s="13"/>
    </row>
    <row r="1982" spans="12:13">
      <c r="L1982" s="1">
        <v>44658.861111104721</v>
      </c>
      <c r="M1982" s="13"/>
    </row>
    <row r="1983" spans="12:13">
      <c r="L1983" s="1">
        <v>44658.86458332694</v>
      </c>
      <c r="M1983" s="13"/>
    </row>
    <row r="1984" spans="12:13">
      <c r="L1984" s="1">
        <v>44658.868055549159</v>
      </c>
      <c r="M1984" s="13"/>
    </row>
    <row r="1985" spans="12:13">
      <c r="L1985" s="1">
        <v>44658.871527771378</v>
      </c>
      <c r="M1985" s="13"/>
    </row>
    <row r="1986" spans="12:13">
      <c r="L1986" s="1">
        <v>44658.874999993597</v>
      </c>
      <c r="M1986" s="13"/>
    </row>
    <row r="1987" spans="12:13">
      <c r="L1987" s="1">
        <v>44658.878472215816</v>
      </c>
      <c r="M1987" s="13"/>
    </row>
    <row r="1988" spans="12:13">
      <c r="L1988" s="1">
        <v>44658.881944438035</v>
      </c>
      <c r="M1988" s="13"/>
    </row>
    <row r="1989" spans="12:13">
      <c r="L1989" s="1">
        <v>44658.885416660254</v>
      </c>
      <c r="M1989" s="13"/>
    </row>
    <row r="1990" spans="12:13">
      <c r="L1990" s="1">
        <v>44658.888888882473</v>
      </c>
      <c r="M1990" s="13"/>
    </row>
    <row r="1991" spans="12:13">
      <c r="L1991" s="1">
        <v>44658.892361104692</v>
      </c>
      <c r="M1991" s="13"/>
    </row>
    <row r="1992" spans="12:13">
      <c r="L1992" s="1">
        <v>44658.895833326911</v>
      </c>
      <c r="M1992" s="13"/>
    </row>
    <row r="1993" spans="12:13">
      <c r="L1993" s="1">
        <v>44658.89930554913</v>
      </c>
      <c r="M1993" s="13"/>
    </row>
    <row r="1994" spans="12:13">
      <c r="L1994" s="1">
        <v>44658.902777771349</v>
      </c>
      <c r="M1994" s="13"/>
    </row>
    <row r="1995" spans="12:13">
      <c r="L1995" s="1">
        <v>44658.906249993568</v>
      </c>
      <c r="M1995" s="13"/>
    </row>
    <row r="1996" spans="12:13">
      <c r="L1996" s="1">
        <v>44658.909722215787</v>
      </c>
      <c r="M1996" s="13"/>
    </row>
    <row r="1997" spans="12:13">
      <c r="L1997" s="1">
        <v>44658.913194438006</v>
      </c>
      <c r="M1997" s="13"/>
    </row>
    <row r="1998" spans="12:13">
      <c r="L1998" s="1">
        <v>44658.916666660225</v>
      </c>
      <c r="M1998" s="13"/>
    </row>
    <row r="1999" spans="12:13">
      <c r="L1999" s="1">
        <v>44658.920138882444</v>
      </c>
      <c r="M1999" s="13"/>
    </row>
    <row r="2000" spans="12:13">
      <c r="L2000" s="1">
        <v>44658.923611104663</v>
      </c>
      <c r="M2000" s="13"/>
    </row>
    <row r="2001" spans="12:13">
      <c r="L2001" s="1">
        <v>44658.927083326882</v>
      </c>
      <c r="M2001" s="13"/>
    </row>
    <row r="2002" spans="12:13">
      <c r="L2002" s="1">
        <v>44658.930555549101</v>
      </c>
      <c r="M2002" s="13"/>
    </row>
    <row r="2003" spans="12:13">
      <c r="L2003" s="1">
        <v>44658.93402777132</v>
      </c>
      <c r="M2003" s="13"/>
    </row>
    <row r="2004" spans="12:13">
      <c r="L2004" s="1">
        <v>44658.937499993539</v>
      </c>
      <c r="M2004" s="13"/>
    </row>
    <row r="2005" spans="12:13">
      <c r="L2005" s="1">
        <v>44658.940972215758</v>
      </c>
      <c r="M2005" s="13"/>
    </row>
    <row r="2006" spans="12:13">
      <c r="L2006" s="1">
        <v>44658.944444437977</v>
      </c>
      <c r="M2006" s="13"/>
    </row>
    <row r="2007" spans="12:13">
      <c r="L2007" s="1">
        <v>44658.947916660196</v>
      </c>
      <c r="M2007" s="13"/>
    </row>
    <row r="2008" spans="12:13">
      <c r="L2008" s="1">
        <v>44658.951388882415</v>
      </c>
      <c r="M2008" s="13"/>
    </row>
    <row r="2009" spans="12:13">
      <c r="L2009" s="1">
        <v>44658.954861104634</v>
      </c>
      <c r="M2009" s="13"/>
    </row>
    <row r="2010" spans="12:13">
      <c r="L2010" s="1">
        <v>44658.958333326853</v>
      </c>
      <c r="M2010" s="13"/>
    </row>
    <row r="2011" spans="12:13">
      <c r="L2011" s="1">
        <v>44658.961805549072</v>
      </c>
      <c r="M2011" s="13"/>
    </row>
    <row r="2012" spans="12:13">
      <c r="L2012" s="1">
        <v>44658.965277771291</v>
      </c>
      <c r="M2012" s="13"/>
    </row>
    <row r="2013" spans="12:13">
      <c r="L2013" s="1">
        <v>44658.96874999351</v>
      </c>
      <c r="M2013" s="13"/>
    </row>
    <row r="2014" spans="12:13">
      <c r="L2014" s="1">
        <v>44658.972222215729</v>
      </c>
      <c r="M2014" s="13"/>
    </row>
    <row r="2015" spans="12:13">
      <c r="L2015" s="1">
        <v>44658.975694437948</v>
      </c>
      <c r="M2015" s="13"/>
    </row>
    <row r="2016" spans="12:13">
      <c r="L2016" s="1">
        <v>44658.979166660167</v>
      </c>
      <c r="M2016" s="13"/>
    </row>
    <row r="2017" spans="12:13">
      <c r="L2017" s="1">
        <v>44658.982638882386</v>
      </c>
      <c r="M2017" s="13"/>
    </row>
    <row r="2018" spans="12:13">
      <c r="L2018" s="1">
        <v>44658.986111104605</v>
      </c>
      <c r="M2018" s="13"/>
    </row>
    <row r="2019" spans="12:13">
      <c r="L2019" s="1">
        <v>44658.989583326824</v>
      </c>
      <c r="M2019" s="13"/>
    </row>
    <row r="2020" spans="12:13">
      <c r="L2020" s="1">
        <v>44658.993055549043</v>
      </c>
      <c r="M2020" s="13"/>
    </row>
    <row r="2021" spans="12:13">
      <c r="L2021" s="1">
        <v>44658.996527771262</v>
      </c>
      <c r="M2021" s="13"/>
    </row>
    <row r="2022" spans="12:13">
      <c r="L2022" s="1">
        <v>44658.999999993481</v>
      </c>
      <c r="M2022" s="13"/>
    </row>
    <row r="2023" spans="12:13">
      <c r="L2023" s="1">
        <v>44659.0034722157</v>
      </c>
      <c r="M2023" s="13"/>
    </row>
    <row r="2024" spans="12:13">
      <c r="L2024" s="1">
        <v>44659.006944437919</v>
      </c>
      <c r="M2024" s="13"/>
    </row>
    <row r="2025" spans="12:13">
      <c r="L2025" s="1">
        <v>44659.010416660138</v>
      </c>
      <c r="M2025" s="13"/>
    </row>
    <row r="2026" spans="12:13">
      <c r="L2026" s="1">
        <v>44659.013888882357</v>
      </c>
      <c r="M2026" s="13"/>
    </row>
    <row r="2027" spans="12:13">
      <c r="L2027" s="1">
        <v>44659.017361104576</v>
      </c>
      <c r="M2027" s="13"/>
    </row>
    <row r="2028" spans="12:13">
      <c r="L2028" s="1">
        <v>44659.020833326795</v>
      </c>
      <c r="M2028" s="13"/>
    </row>
    <row r="2029" spans="12:13">
      <c r="L2029" s="1">
        <v>44659.024305549014</v>
      </c>
      <c r="M2029" s="13"/>
    </row>
    <row r="2030" spans="12:13">
      <c r="L2030" s="1">
        <v>44659.027777771233</v>
      </c>
      <c r="M2030" s="13"/>
    </row>
    <row r="2031" spans="12:13">
      <c r="L2031" s="1">
        <v>44659.031249993452</v>
      </c>
      <c r="M2031" s="13"/>
    </row>
    <row r="2032" spans="12:13">
      <c r="L2032" s="1">
        <v>44659.034722215671</v>
      </c>
      <c r="M2032" s="13"/>
    </row>
    <row r="2033" spans="12:13">
      <c r="L2033" s="1">
        <v>44659.03819443789</v>
      </c>
      <c r="M2033" s="13"/>
    </row>
    <row r="2034" spans="12:13">
      <c r="L2034" s="1">
        <v>44659.041666660109</v>
      </c>
      <c r="M2034" s="13"/>
    </row>
    <row r="2035" spans="12:13">
      <c r="L2035" s="1">
        <v>44659.045138882328</v>
      </c>
      <c r="M2035" s="13"/>
    </row>
    <row r="2036" spans="12:13">
      <c r="L2036" s="1">
        <v>44659.048611104547</v>
      </c>
      <c r="M2036" s="13"/>
    </row>
    <row r="2037" spans="12:13">
      <c r="L2037" s="1">
        <v>44659.052083326766</v>
      </c>
      <c r="M2037" s="13"/>
    </row>
    <row r="2038" spans="12:13">
      <c r="L2038" s="1">
        <v>44659.055555548985</v>
      </c>
      <c r="M2038" s="13"/>
    </row>
    <row r="2039" spans="12:13">
      <c r="L2039" s="1">
        <v>44659.059027771204</v>
      </c>
      <c r="M2039" s="13"/>
    </row>
    <row r="2040" spans="12:13">
      <c r="L2040" s="1">
        <v>44659.062499993423</v>
      </c>
      <c r="M2040" s="13"/>
    </row>
    <row r="2041" spans="12:13">
      <c r="L2041" s="1">
        <v>44659.065972215642</v>
      </c>
      <c r="M2041" s="13"/>
    </row>
    <row r="2042" spans="12:13">
      <c r="L2042" s="1">
        <v>44659.069444437861</v>
      </c>
      <c r="M2042" s="13"/>
    </row>
    <row r="2043" spans="12:13">
      <c r="L2043" s="1">
        <v>44659.072916660079</v>
      </c>
      <c r="M2043" s="13"/>
    </row>
    <row r="2044" spans="12:13">
      <c r="L2044" s="1">
        <v>44659.076388882298</v>
      </c>
      <c r="M2044" s="13"/>
    </row>
    <row r="2045" spans="12:13">
      <c r="L2045" s="1">
        <v>44659.079861104517</v>
      </c>
      <c r="M2045" s="13"/>
    </row>
    <row r="2046" spans="12:13">
      <c r="L2046" s="1">
        <v>44659.083333326736</v>
      </c>
      <c r="M2046" s="13"/>
    </row>
    <row r="2047" spans="12:13">
      <c r="L2047" s="1">
        <v>44659.086805548955</v>
      </c>
      <c r="M2047" s="13"/>
    </row>
    <row r="2048" spans="12:13">
      <c r="L2048" s="1">
        <v>44659.090277771174</v>
      </c>
      <c r="M2048" s="13"/>
    </row>
    <row r="2049" spans="12:13">
      <c r="L2049" s="1">
        <v>44659.093749993393</v>
      </c>
      <c r="M2049" s="13"/>
    </row>
    <row r="2050" spans="12:13">
      <c r="L2050" s="1">
        <v>44659.097222215612</v>
      </c>
      <c r="M2050" s="13"/>
    </row>
    <row r="2051" spans="12:13">
      <c r="L2051" s="1">
        <v>44659.100694437831</v>
      </c>
      <c r="M2051" s="13"/>
    </row>
    <row r="2052" spans="12:13">
      <c r="L2052" s="1">
        <v>44659.10416666005</v>
      </c>
      <c r="M2052" s="13"/>
    </row>
    <row r="2053" spans="12:13">
      <c r="L2053" s="1">
        <v>44659.107638882269</v>
      </c>
      <c r="M2053" s="13"/>
    </row>
    <row r="2054" spans="12:13">
      <c r="L2054" s="1">
        <v>44659.111111104488</v>
      </c>
      <c r="M2054" s="13"/>
    </row>
    <row r="2055" spans="12:13">
      <c r="L2055" s="1">
        <v>44659.114583326707</v>
      </c>
      <c r="M2055" s="13"/>
    </row>
    <row r="2056" spans="12:13">
      <c r="L2056" s="1">
        <v>44659.118055548926</v>
      </c>
      <c r="M2056" s="13"/>
    </row>
    <row r="2057" spans="12:13">
      <c r="L2057" s="1">
        <v>44659.121527771145</v>
      </c>
      <c r="M2057" s="13"/>
    </row>
    <row r="2058" spans="12:13">
      <c r="L2058" s="1">
        <v>44659.124999993364</v>
      </c>
      <c r="M2058" s="13"/>
    </row>
    <row r="2059" spans="12:13">
      <c r="L2059" s="1">
        <v>44659.128472215583</v>
      </c>
      <c r="M2059" s="13"/>
    </row>
    <row r="2060" spans="12:13">
      <c r="L2060" s="1">
        <v>44659.131944437802</v>
      </c>
      <c r="M2060" s="13"/>
    </row>
    <row r="2061" spans="12:13">
      <c r="L2061" s="1">
        <v>44659.135416660021</v>
      </c>
      <c r="M2061" s="13"/>
    </row>
    <row r="2062" spans="12:13">
      <c r="L2062" s="1">
        <v>44659.13888888224</v>
      </c>
      <c r="M2062" s="13"/>
    </row>
    <row r="2063" spans="12:13">
      <c r="L2063" s="1">
        <v>44659.142361104459</v>
      </c>
      <c r="M2063" s="13"/>
    </row>
    <row r="2064" spans="12:13">
      <c r="L2064" s="1">
        <v>44659.145833326678</v>
      </c>
      <c r="M2064" s="13"/>
    </row>
    <row r="2065" spans="12:13">
      <c r="L2065" s="1">
        <v>44659.149305548897</v>
      </c>
      <c r="M2065" s="13"/>
    </row>
    <row r="2066" spans="12:13">
      <c r="L2066" s="1">
        <v>44659.152777771116</v>
      </c>
      <c r="M2066" s="13"/>
    </row>
    <row r="2067" spans="12:13">
      <c r="L2067" s="1">
        <v>44659.156249993335</v>
      </c>
      <c r="M2067" s="13"/>
    </row>
    <row r="2068" spans="12:13">
      <c r="L2068" s="1">
        <v>44659.159722215554</v>
      </c>
      <c r="M2068" s="13"/>
    </row>
    <row r="2069" spans="12:13">
      <c r="L2069" s="1">
        <v>44659.163194437773</v>
      </c>
      <c r="M2069" s="13"/>
    </row>
    <row r="2070" spans="12:13">
      <c r="L2070" s="1">
        <v>44659.166666659992</v>
      </c>
      <c r="M2070" s="13"/>
    </row>
    <row r="2071" spans="12:13">
      <c r="L2071" s="1">
        <v>44659.170138882211</v>
      </c>
      <c r="M2071" s="13"/>
    </row>
    <row r="2072" spans="12:13">
      <c r="L2072" s="1">
        <v>44659.17361110443</v>
      </c>
      <c r="M2072" s="13"/>
    </row>
    <row r="2073" spans="12:13">
      <c r="L2073" s="1">
        <v>44659.177083326649</v>
      </c>
      <c r="M2073" s="13"/>
    </row>
    <row r="2074" spans="12:13">
      <c r="L2074" s="1">
        <v>44659.180555548868</v>
      </c>
      <c r="M2074" s="13"/>
    </row>
    <row r="2075" spans="12:13">
      <c r="L2075" s="1">
        <v>44659.184027771087</v>
      </c>
      <c r="M2075" s="13"/>
    </row>
    <row r="2076" spans="12:13">
      <c r="L2076" s="1">
        <v>44659.187499993306</v>
      </c>
      <c r="M2076" s="13"/>
    </row>
    <row r="2077" spans="12:13">
      <c r="L2077" s="1">
        <v>44659.190972215525</v>
      </c>
      <c r="M2077" s="13"/>
    </row>
    <row r="2078" spans="12:13">
      <c r="L2078" s="1">
        <v>44659.194444437744</v>
      </c>
      <c r="M2078" s="13"/>
    </row>
    <row r="2079" spans="12:13">
      <c r="L2079" s="1">
        <v>44659.197916659963</v>
      </c>
      <c r="M2079" s="13"/>
    </row>
    <row r="2080" spans="12:13">
      <c r="L2080" s="1">
        <v>44659.201388882182</v>
      </c>
      <c r="M2080" s="13"/>
    </row>
    <row r="2081" spans="12:13">
      <c r="L2081" s="1">
        <v>44659.204861104401</v>
      </c>
      <c r="M2081" s="13"/>
    </row>
    <row r="2082" spans="12:13">
      <c r="L2082" s="1">
        <v>44659.20833332662</v>
      </c>
      <c r="M2082" s="13"/>
    </row>
    <row r="2083" spans="12:13">
      <c r="L2083" s="1">
        <v>44659.211805548839</v>
      </c>
      <c r="M2083" s="13"/>
    </row>
    <row r="2084" spans="12:13">
      <c r="L2084" s="1">
        <v>44659.215277771058</v>
      </c>
      <c r="M2084" s="13"/>
    </row>
    <row r="2085" spans="12:13">
      <c r="L2085" s="1">
        <v>44659.218749993277</v>
      </c>
      <c r="M2085" s="13"/>
    </row>
    <row r="2086" spans="12:13">
      <c r="L2086" s="1">
        <v>44659.222222215496</v>
      </c>
      <c r="M2086" s="13"/>
    </row>
    <row r="2087" spans="12:13">
      <c r="L2087" s="1">
        <v>44659.225694437715</v>
      </c>
      <c r="M2087" s="13"/>
    </row>
    <row r="2088" spans="12:13">
      <c r="L2088" s="1">
        <v>44659.229166659934</v>
      </c>
      <c r="M2088" s="13"/>
    </row>
    <row r="2089" spans="12:13">
      <c r="L2089" s="1">
        <v>44659.232638882153</v>
      </c>
      <c r="M2089" s="13"/>
    </row>
    <row r="2090" spans="12:13">
      <c r="L2090" s="1">
        <v>44659.236111104372</v>
      </c>
      <c r="M2090" s="13"/>
    </row>
    <row r="2091" spans="12:13">
      <c r="L2091" s="1">
        <v>44659.239583326591</v>
      </c>
      <c r="M2091" s="13"/>
    </row>
    <row r="2092" spans="12:13">
      <c r="L2092" s="1">
        <v>44659.24305554881</v>
      </c>
      <c r="M2092" s="13"/>
    </row>
    <row r="2093" spans="12:13">
      <c r="L2093" s="1">
        <v>44659.246527771029</v>
      </c>
      <c r="M2093" s="13"/>
    </row>
    <row r="2094" spans="12:13">
      <c r="L2094" s="1">
        <v>44659.249999993248</v>
      </c>
      <c r="M2094" s="13"/>
    </row>
    <row r="2095" spans="12:13">
      <c r="L2095" s="1">
        <v>44659.253472215467</v>
      </c>
      <c r="M2095" s="13"/>
    </row>
    <row r="2096" spans="12:13">
      <c r="L2096" s="1">
        <v>44659.256944437686</v>
      </c>
      <c r="M2096" s="13"/>
    </row>
    <row r="2097" spans="12:13">
      <c r="L2097" s="1">
        <v>44659.260416659905</v>
      </c>
      <c r="M2097" s="13"/>
    </row>
    <row r="2098" spans="12:13">
      <c r="L2098" s="1">
        <v>44659.263888882124</v>
      </c>
      <c r="M2098" s="13"/>
    </row>
    <row r="2099" spans="12:13">
      <c r="L2099" s="1">
        <v>44659.267361104343</v>
      </c>
      <c r="M2099" s="13"/>
    </row>
    <row r="2100" spans="12:13">
      <c r="L2100" s="1">
        <v>44659.270833326562</v>
      </c>
      <c r="M2100" s="13"/>
    </row>
    <row r="2101" spans="12:13">
      <c r="L2101" s="1">
        <v>44659.274305548781</v>
      </c>
      <c r="M2101" s="13"/>
    </row>
    <row r="2102" spans="12:13">
      <c r="L2102" s="1">
        <v>44659.277777771</v>
      </c>
      <c r="M2102" s="13"/>
    </row>
    <row r="2103" spans="12:13">
      <c r="L2103" s="1">
        <v>44659.281249993219</v>
      </c>
      <c r="M2103" s="13"/>
    </row>
    <row r="2104" spans="12:13">
      <c r="L2104" s="1">
        <v>44659.284722215438</v>
      </c>
      <c r="M2104" s="13"/>
    </row>
    <row r="2105" spans="12:13">
      <c r="L2105" s="1">
        <v>44659.288194437657</v>
      </c>
      <c r="M2105" s="13"/>
    </row>
    <row r="2106" spans="12:13">
      <c r="L2106" s="1">
        <v>44659.291666659876</v>
      </c>
      <c r="M2106" s="13"/>
    </row>
    <row r="2107" spans="12:13">
      <c r="L2107" s="1">
        <v>44659.295138882095</v>
      </c>
      <c r="M2107" s="13"/>
    </row>
    <row r="2108" spans="12:13">
      <c r="L2108" s="1">
        <v>44659.298611104314</v>
      </c>
      <c r="M2108" s="13"/>
    </row>
    <row r="2109" spans="12:13">
      <c r="L2109" s="1">
        <v>44659.302083326533</v>
      </c>
      <c r="M2109" s="13"/>
    </row>
    <row r="2110" spans="12:13">
      <c r="L2110" s="1">
        <v>44659.305555548752</v>
      </c>
      <c r="M2110" s="13"/>
    </row>
    <row r="2111" spans="12:13">
      <c r="L2111" s="1">
        <v>44659.309027770971</v>
      </c>
      <c r="M2111" s="13"/>
    </row>
    <row r="2112" spans="12:13">
      <c r="L2112" s="1">
        <v>44659.31249999319</v>
      </c>
      <c r="M2112" s="13"/>
    </row>
    <row r="2113" spans="12:13">
      <c r="L2113" s="1">
        <v>44659.315972215409</v>
      </c>
      <c r="M2113" s="13"/>
    </row>
    <row r="2114" spans="12:13">
      <c r="L2114" s="1">
        <v>44659.319444437628</v>
      </c>
      <c r="M2114" s="13"/>
    </row>
    <row r="2115" spans="12:13">
      <c r="L2115" s="1">
        <v>44659.322916659847</v>
      </c>
      <c r="M2115" s="13"/>
    </row>
    <row r="2116" spans="12:13">
      <c r="L2116" s="1">
        <v>44659.326388882066</v>
      </c>
      <c r="M2116" s="13"/>
    </row>
    <row r="2117" spans="12:13">
      <c r="L2117" s="1">
        <v>44659.329861104285</v>
      </c>
      <c r="M2117" s="13"/>
    </row>
    <row r="2118" spans="12:13">
      <c r="L2118" s="1">
        <v>44659.333333326504</v>
      </c>
      <c r="M2118" s="13"/>
    </row>
    <row r="2119" spans="12:13">
      <c r="L2119" s="1">
        <v>44659.336805548723</v>
      </c>
      <c r="M2119" s="13"/>
    </row>
    <row r="2120" spans="12:13">
      <c r="L2120" s="1">
        <v>44659.340277770942</v>
      </c>
      <c r="M2120" s="13"/>
    </row>
    <row r="2121" spans="12:13">
      <c r="L2121" s="1">
        <v>44659.343749993161</v>
      </c>
      <c r="M2121" s="13"/>
    </row>
    <row r="2122" spans="12:13">
      <c r="L2122" s="1">
        <v>44659.34722221538</v>
      </c>
      <c r="M2122" s="13"/>
    </row>
    <row r="2123" spans="12:13">
      <c r="L2123" s="1">
        <v>44659.350694437599</v>
      </c>
      <c r="M2123" s="13"/>
    </row>
    <row r="2124" spans="12:13">
      <c r="L2124" s="1">
        <v>44659.354166659818</v>
      </c>
      <c r="M2124" s="13"/>
    </row>
    <row r="2125" spans="12:13">
      <c r="L2125" s="1">
        <v>44659.357638882037</v>
      </c>
      <c r="M2125" s="13"/>
    </row>
    <row r="2126" spans="12:13">
      <c r="L2126" s="1">
        <v>44659.361111104256</v>
      </c>
      <c r="M2126" s="13"/>
    </row>
    <row r="2127" spans="12:13">
      <c r="L2127" s="1">
        <v>44659.364583326475</v>
      </c>
      <c r="M2127" s="13"/>
    </row>
    <row r="2128" spans="12:13">
      <c r="L2128" s="1">
        <v>44659.368055548694</v>
      </c>
      <c r="M2128" s="13"/>
    </row>
    <row r="2129" spans="12:13">
      <c r="L2129" s="1">
        <v>44659.371527770913</v>
      </c>
      <c r="M2129" s="13"/>
    </row>
    <row r="2130" spans="12:13">
      <c r="L2130" s="1">
        <v>44659.374999993131</v>
      </c>
      <c r="M2130" s="13"/>
    </row>
    <row r="2131" spans="12:13">
      <c r="L2131" s="1">
        <v>44659.37847221535</v>
      </c>
      <c r="M2131" s="13"/>
    </row>
    <row r="2132" spans="12:13">
      <c r="L2132" s="1">
        <v>44659.381944437569</v>
      </c>
      <c r="M2132" s="13"/>
    </row>
    <row r="2133" spans="12:13">
      <c r="L2133" s="1">
        <v>44659.385416659788</v>
      </c>
      <c r="M2133" s="13"/>
    </row>
    <row r="2134" spans="12:13">
      <c r="L2134" s="1">
        <v>44659.388888882007</v>
      </c>
      <c r="M2134" s="13"/>
    </row>
    <row r="2135" spans="12:13">
      <c r="L2135" s="1">
        <v>44659.392361104226</v>
      </c>
      <c r="M2135" s="13"/>
    </row>
    <row r="2136" spans="12:13">
      <c r="L2136" s="1">
        <v>44659.395833326445</v>
      </c>
      <c r="M2136" s="13"/>
    </row>
    <row r="2137" spans="12:13">
      <c r="L2137" s="1">
        <v>44659.399305548664</v>
      </c>
      <c r="M2137" s="13"/>
    </row>
    <row r="2138" spans="12:13">
      <c r="L2138" s="1">
        <v>44659.402777770883</v>
      </c>
      <c r="M2138" s="13"/>
    </row>
    <row r="2139" spans="12:13">
      <c r="L2139" s="1">
        <v>44659.406249993102</v>
      </c>
      <c r="M2139" s="13"/>
    </row>
    <row r="2140" spans="12:13">
      <c r="L2140" s="1">
        <v>44659.409722215321</v>
      </c>
      <c r="M2140" s="13"/>
    </row>
    <row r="2141" spans="12:13">
      <c r="L2141" s="1">
        <v>44659.41319443754</v>
      </c>
      <c r="M2141" s="13"/>
    </row>
    <row r="2142" spans="12:13">
      <c r="L2142" s="1">
        <v>44659.416666659759</v>
      </c>
      <c r="M2142" s="13"/>
    </row>
    <row r="2143" spans="12:13">
      <c r="L2143" s="1">
        <v>44659.420138881978</v>
      </c>
      <c r="M2143" s="13"/>
    </row>
    <row r="2144" spans="12:13">
      <c r="L2144" s="1">
        <v>44659.423611104197</v>
      </c>
      <c r="M2144" s="13"/>
    </row>
    <row r="2145" spans="12:13">
      <c r="L2145" s="1">
        <v>44659.427083326416</v>
      </c>
      <c r="M2145" s="13"/>
    </row>
    <row r="2146" spans="12:13">
      <c r="L2146" s="1">
        <v>44659.430555548635</v>
      </c>
      <c r="M2146" s="13"/>
    </row>
    <row r="2147" spans="12:13">
      <c r="L2147" s="1">
        <v>44659.434027770854</v>
      </c>
      <c r="M2147" s="13"/>
    </row>
    <row r="2148" spans="12:13">
      <c r="L2148" s="1">
        <v>44659.437499993073</v>
      </c>
      <c r="M2148" s="13"/>
    </row>
    <row r="2149" spans="12:13">
      <c r="L2149" s="1">
        <v>44659.440972215292</v>
      </c>
      <c r="M2149" s="13"/>
    </row>
    <row r="2150" spans="12:13">
      <c r="L2150" s="1">
        <v>44659.444444437511</v>
      </c>
      <c r="M2150" s="13"/>
    </row>
    <row r="2151" spans="12:13">
      <c r="L2151" s="1">
        <v>44659.44791665973</v>
      </c>
      <c r="M2151" s="13"/>
    </row>
    <row r="2152" spans="12:13">
      <c r="L2152" s="1">
        <v>44659.451388881949</v>
      </c>
      <c r="M2152" s="13"/>
    </row>
    <row r="2153" spans="12:13">
      <c r="L2153" s="1">
        <v>44659.454861104168</v>
      </c>
      <c r="M2153" s="13"/>
    </row>
    <row r="2154" spans="12:13">
      <c r="L2154" s="1">
        <v>44659.458333326387</v>
      </c>
      <c r="M2154" s="13"/>
    </row>
    <row r="2155" spans="12:13">
      <c r="L2155" s="1">
        <v>44659.461805548606</v>
      </c>
      <c r="M2155" s="13"/>
    </row>
    <row r="2156" spans="12:13">
      <c r="L2156" s="1">
        <v>44659.465277770825</v>
      </c>
      <c r="M2156" s="13"/>
    </row>
    <row r="2157" spans="12:13">
      <c r="L2157" s="1">
        <v>44659.468749993044</v>
      </c>
      <c r="M2157" s="13"/>
    </row>
    <row r="2158" spans="12:13">
      <c r="L2158" s="1">
        <v>44659.472222215263</v>
      </c>
      <c r="M2158" s="13"/>
    </row>
    <row r="2159" spans="12:13">
      <c r="L2159" s="1">
        <v>44659.475694437482</v>
      </c>
      <c r="M2159" s="13"/>
    </row>
    <row r="2160" spans="12:13">
      <c r="L2160" s="1">
        <v>44659.479166659701</v>
      </c>
      <c r="M2160" s="13"/>
    </row>
    <row r="2161" spans="12:13">
      <c r="L2161" s="1">
        <v>44659.48263888192</v>
      </c>
      <c r="M2161" s="13"/>
    </row>
    <row r="2162" spans="12:13">
      <c r="L2162" s="1">
        <v>44659.486111104139</v>
      </c>
      <c r="M2162" s="13"/>
    </row>
    <row r="2163" spans="12:13">
      <c r="L2163" s="1">
        <v>44659.489583326358</v>
      </c>
      <c r="M2163" s="13"/>
    </row>
    <row r="2164" spans="12:13">
      <c r="L2164" s="1">
        <v>44659.493055548577</v>
      </c>
      <c r="M2164" s="13"/>
    </row>
    <row r="2165" spans="12:13">
      <c r="L2165" s="1">
        <v>44659.496527770796</v>
      </c>
      <c r="M2165" s="13"/>
    </row>
    <row r="2166" spans="12:13">
      <c r="L2166" s="1">
        <v>44659.499999993015</v>
      </c>
      <c r="M2166" s="13"/>
    </row>
    <row r="2167" spans="12:13">
      <c r="L2167" s="1">
        <v>44659.503472215234</v>
      </c>
      <c r="M2167" s="13"/>
    </row>
    <row r="2168" spans="12:13">
      <c r="L2168" s="1">
        <v>44659.506944437453</v>
      </c>
      <c r="M2168" s="13"/>
    </row>
    <row r="2169" spans="12:13">
      <c r="L2169" s="1">
        <v>44659.510416659672</v>
      </c>
      <c r="M2169" s="13"/>
    </row>
    <row r="2170" spans="12:13">
      <c r="L2170" s="1">
        <v>44659.513888881891</v>
      </c>
      <c r="M2170" s="13"/>
    </row>
    <row r="2171" spans="12:13">
      <c r="L2171" s="1">
        <v>44659.51736110411</v>
      </c>
      <c r="M2171" s="13"/>
    </row>
    <row r="2172" spans="12:13">
      <c r="L2172" s="1">
        <v>44659.520833326329</v>
      </c>
      <c r="M2172" s="13"/>
    </row>
    <row r="2173" spans="12:13">
      <c r="L2173" s="1">
        <v>44659.524305548548</v>
      </c>
      <c r="M2173" s="13"/>
    </row>
    <row r="2174" spans="12:13">
      <c r="L2174" s="1">
        <v>44659.527777770767</v>
      </c>
      <c r="M2174" s="13"/>
    </row>
    <row r="2175" spans="12:13">
      <c r="L2175" s="1">
        <v>44659.531249992986</v>
      </c>
      <c r="M2175" s="13"/>
    </row>
    <row r="2176" spans="12:13">
      <c r="L2176" s="1">
        <v>44659.534722215205</v>
      </c>
      <c r="M2176" s="13"/>
    </row>
    <row r="2177" spans="12:13">
      <c r="L2177" s="1">
        <v>44659.538194437424</v>
      </c>
      <c r="M2177" s="13"/>
    </row>
    <row r="2178" spans="12:13">
      <c r="L2178" s="1">
        <v>44659.541666659643</v>
      </c>
      <c r="M2178" s="13"/>
    </row>
    <row r="2179" spans="12:13">
      <c r="L2179" s="1">
        <v>44659.545138881862</v>
      </c>
      <c r="M2179" s="13"/>
    </row>
    <row r="2180" spans="12:13">
      <c r="L2180" s="1">
        <v>44659.548611104081</v>
      </c>
      <c r="M2180" s="13"/>
    </row>
    <row r="2181" spans="12:13">
      <c r="L2181" s="1">
        <v>44659.5520833263</v>
      </c>
      <c r="M2181" s="13"/>
    </row>
    <row r="2182" spans="12:13">
      <c r="L2182" s="1">
        <v>44659.555555548519</v>
      </c>
      <c r="M2182" s="13"/>
    </row>
    <row r="2183" spans="12:13">
      <c r="L2183" s="1">
        <v>44659.559027770738</v>
      </c>
      <c r="M2183" s="13"/>
    </row>
    <row r="2184" spans="12:13">
      <c r="L2184" s="1">
        <v>44659.562499992957</v>
      </c>
      <c r="M2184" s="13"/>
    </row>
    <row r="2185" spans="12:13">
      <c r="L2185" s="1">
        <v>44659.565972215176</v>
      </c>
      <c r="M2185" s="13"/>
    </row>
    <row r="2186" spans="12:13">
      <c r="L2186" s="1">
        <v>44659.569444437395</v>
      </c>
      <c r="M2186" s="13"/>
    </row>
    <row r="2187" spans="12:13">
      <c r="L2187" s="1">
        <v>44659.572916659614</v>
      </c>
      <c r="M2187" s="13"/>
    </row>
    <row r="2188" spans="12:13">
      <c r="L2188" s="1">
        <v>44659.576388881833</v>
      </c>
      <c r="M2188" s="13"/>
    </row>
    <row r="2189" spans="12:13">
      <c r="L2189" s="1">
        <v>44659.579861104052</v>
      </c>
      <c r="M2189" s="13"/>
    </row>
    <row r="2190" spans="12:13">
      <c r="L2190" s="1">
        <v>44659.583333326271</v>
      </c>
      <c r="M2190" s="13"/>
    </row>
    <row r="2191" spans="12:13">
      <c r="L2191" s="1">
        <v>44659.58680554849</v>
      </c>
      <c r="M2191" s="13"/>
    </row>
    <row r="2192" spans="12:13">
      <c r="L2192" s="1">
        <v>44659.590277770709</v>
      </c>
      <c r="M2192" s="13"/>
    </row>
    <row r="2193" spans="12:13">
      <c r="L2193" s="1">
        <v>44659.593749992928</v>
      </c>
      <c r="M2193" s="13"/>
    </row>
    <row r="2194" spans="12:13">
      <c r="L2194" s="1">
        <v>44659.597222215147</v>
      </c>
      <c r="M2194" s="13"/>
    </row>
    <row r="2195" spans="12:13">
      <c r="L2195" s="1">
        <v>44659.600694437366</v>
      </c>
      <c r="M2195" s="13"/>
    </row>
    <row r="2196" spans="12:13">
      <c r="L2196" s="1">
        <v>44659.604166659585</v>
      </c>
      <c r="M2196" s="13"/>
    </row>
    <row r="2197" spans="12:13">
      <c r="L2197" s="1">
        <v>44659.607638881804</v>
      </c>
      <c r="M2197" s="13"/>
    </row>
    <row r="2198" spans="12:13">
      <c r="L2198" s="1">
        <v>44659.611111104023</v>
      </c>
      <c r="M2198" s="13"/>
    </row>
    <row r="2199" spans="12:13">
      <c r="L2199" s="1">
        <v>44659.614583326242</v>
      </c>
      <c r="M2199" s="13"/>
    </row>
    <row r="2200" spans="12:13">
      <c r="L2200" s="1">
        <v>44659.618055548461</v>
      </c>
      <c r="M2200" s="13"/>
    </row>
    <row r="2201" spans="12:13">
      <c r="L2201" s="1">
        <v>44659.62152777068</v>
      </c>
      <c r="M2201" s="13"/>
    </row>
    <row r="2202" spans="12:13">
      <c r="L2202" s="1">
        <v>44659.624999992899</v>
      </c>
      <c r="M2202" s="13"/>
    </row>
    <row r="2203" spans="12:13">
      <c r="L2203" s="1">
        <v>44659.628472215118</v>
      </c>
      <c r="M2203" s="13"/>
    </row>
    <row r="2204" spans="12:13">
      <c r="L2204" s="1">
        <v>44659.631944437337</v>
      </c>
      <c r="M2204" s="13"/>
    </row>
    <row r="2205" spans="12:13">
      <c r="L2205" s="1">
        <v>44659.635416659556</v>
      </c>
      <c r="M2205" s="13"/>
    </row>
    <row r="2206" spans="12:13">
      <c r="L2206" s="1">
        <v>44659.638888881775</v>
      </c>
      <c r="M2206" s="13"/>
    </row>
    <row r="2207" spans="12:13">
      <c r="L2207" s="1">
        <v>44659.642361103994</v>
      </c>
      <c r="M2207" s="13"/>
    </row>
    <row r="2208" spans="12:13">
      <c r="L2208" s="1">
        <v>44659.645833326213</v>
      </c>
      <c r="M2208" s="13"/>
    </row>
    <row r="2209" spans="12:13">
      <c r="L2209" s="1">
        <v>44659.649305548432</v>
      </c>
      <c r="M2209" s="13"/>
    </row>
    <row r="2210" spans="12:13">
      <c r="L2210" s="1">
        <v>44659.652777770651</v>
      </c>
      <c r="M2210" s="13"/>
    </row>
    <row r="2211" spans="12:13">
      <c r="L2211" s="1">
        <v>44659.65624999287</v>
      </c>
      <c r="M2211" s="13"/>
    </row>
    <row r="2212" spans="12:13">
      <c r="L2212" s="1">
        <v>44659.659722215089</v>
      </c>
      <c r="M2212" s="13"/>
    </row>
    <row r="2213" spans="12:13">
      <c r="L2213" s="1">
        <v>44659.663194437308</v>
      </c>
      <c r="M2213" s="13"/>
    </row>
    <row r="2214" spans="12:13">
      <c r="L2214" s="1">
        <v>44659.666666659527</v>
      </c>
      <c r="M2214" s="13"/>
    </row>
    <row r="2215" spans="12:13">
      <c r="L2215" s="1">
        <v>44659.670138881746</v>
      </c>
      <c r="M2215" s="13"/>
    </row>
    <row r="2216" spans="12:13">
      <c r="L2216" s="1">
        <v>44659.673611103965</v>
      </c>
      <c r="M2216" s="13"/>
    </row>
    <row r="2217" spans="12:13">
      <c r="L2217" s="1">
        <v>44659.677083326183</v>
      </c>
      <c r="M2217" s="13"/>
    </row>
    <row r="2218" spans="12:13">
      <c r="L2218" s="1">
        <v>44659.680555548402</v>
      </c>
      <c r="M2218" s="13"/>
    </row>
    <row r="2219" spans="12:13">
      <c r="L2219" s="1">
        <v>44659.684027770621</v>
      </c>
      <c r="M2219" s="13"/>
    </row>
    <row r="2220" spans="12:13">
      <c r="L2220" s="1">
        <v>44659.68749999284</v>
      </c>
      <c r="M2220" s="13"/>
    </row>
    <row r="2221" spans="12:13">
      <c r="L2221" s="1">
        <v>44659.690972215059</v>
      </c>
      <c r="M2221" s="13"/>
    </row>
    <row r="2222" spans="12:13">
      <c r="L2222" s="1">
        <v>44659.694444437278</v>
      </c>
      <c r="M2222" s="13"/>
    </row>
    <row r="2223" spans="12:13">
      <c r="L2223" s="1">
        <v>44659.697916659497</v>
      </c>
      <c r="M2223" s="13"/>
    </row>
    <row r="2224" spans="12:13">
      <c r="L2224" s="1">
        <v>44659.701388881716</v>
      </c>
      <c r="M2224" s="13"/>
    </row>
    <row r="2225" spans="12:13">
      <c r="L2225" s="1">
        <v>44659.704861103935</v>
      </c>
      <c r="M2225" s="13"/>
    </row>
    <row r="2226" spans="12:13">
      <c r="L2226" s="1">
        <v>44659.708333326154</v>
      </c>
      <c r="M2226" s="13"/>
    </row>
    <row r="2227" spans="12:13">
      <c r="L2227" s="1">
        <v>44659.711805548373</v>
      </c>
      <c r="M2227" s="13"/>
    </row>
    <row r="2228" spans="12:13">
      <c r="L2228" s="1">
        <v>44659.715277770592</v>
      </c>
      <c r="M2228" s="13"/>
    </row>
    <row r="2229" spans="12:13">
      <c r="L2229" s="1">
        <v>44659.718749992811</v>
      </c>
      <c r="M2229" s="13"/>
    </row>
    <row r="2230" spans="12:13">
      <c r="L2230" s="1">
        <v>44659.72222221503</v>
      </c>
      <c r="M2230" s="13"/>
    </row>
    <row r="2231" spans="12:13">
      <c r="L2231" s="1">
        <v>44659.725694437249</v>
      </c>
      <c r="M2231" s="13"/>
    </row>
    <row r="2232" spans="12:13">
      <c r="L2232" s="1">
        <v>44659.729166659468</v>
      </c>
      <c r="M2232" s="13"/>
    </row>
    <row r="2233" spans="12:13">
      <c r="L2233" s="1">
        <v>44659.732638881687</v>
      </c>
      <c r="M2233" s="13"/>
    </row>
    <row r="2234" spans="12:13">
      <c r="L2234" s="1">
        <v>44659.736111103906</v>
      </c>
      <c r="M2234" s="13"/>
    </row>
    <row r="2235" spans="12:13">
      <c r="L2235" s="1">
        <v>44659.739583326125</v>
      </c>
      <c r="M2235" s="13"/>
    </row>
    <row r="2236" spans="12:13">
      <c r="L2236" s="1">
        <v>44659.743055548344</v>
      </c>
      <c r="M2236" s="13"/>
    </row>
    <row r="2237" spans="12:13">
      <c r="L2237" s="1">
        <v>44659.746527770563</v>
      </c>
      <c r="M2237" s="13"/>
    </row>
    <row r="2238" spans="12:13">
      <c r="L2238" s="1">
        <v>44659.749999992782</v>
      </c>
      <c r="M2238" s="13"/>
    </row>
    <row r="2239" spans="12:13">
      <c r="L2239" s="1">
        <v>44659.753472215001</v>
      </c>
      <c r="M2239" s="13"/>
    </row>
    <row r="2240" spans="12:13">
      <c r="L2240" s="1">
        <v>44659.75694443722</v>
      </c>
      <c r="M2240" s="13"/>
    </row>
    <row r="2241" spans="12:13">
      <c r="L2241" s="1">
        <v>44659.760416659439</v>
      </c>
      <c r="M2241" s="13"/>
    </row>
    <row r="2242" spans="12:13">
      <c r="L2242" s="1">
        <v>44659.763888881658</v>
      </c>
      <c r="M2242" s="13"/>
    </row>
    <row r="2243" spans="12:13">
      <c r="L2243" s="1">
        <v>44659.767361103877</v>
      </c>
      <c r="M2243" s="13"/>
    </row>
    <row r="2244" spans="12:13">
      <c r="L2244" s="1">
        <v>44659.770833326096</v>
      </c>
      <c r="M2244" s="13"/>
    </row>
    <row r="2245" spans="12:13">
      <c r="L2245" s="1">
        <v>44659.774305548315</v>
      </c>
      <c r="M2245" s="13"/>
    </row>
    <row r="2246" spans="12:13">
      <c r="L2246" s="1">
        <v>44659.777777770534</v>
      </c>
      <c r="M2246" s="13"/>
    </row>
    <row r="2247" spans="12:13">
      <c r="L2247" s="1">
        <v>44659.781249992753</v>
      </c>
      <c r="M2247" s="13"/>
    </row>
    <row r="2248" spans="12:13">
      <c r="L2248" s="1">
        <v>44659.784722214972</v>
      </c>
      <c r="M2248" s="13"/>
    </row>
    <row r="2249" spans="12:13">
      <c r="L2249" s="1">
        <v>44659.788194437191</v>
      </c>
      <c r="M2249" s="13"/>
    </row>
    <row r="2250" spans="12:13">
      <c r="L2250" s="1">
        <v>44659.79166665941</v>
      </c>
      <c r="M2250" s="13"/>
    </row>
    <row r="2251" spans="12:13">
      <c r="L2251" s="1">
        <v>44659.795138881629</v>
      </c>
      <c r="M2251" s="13"/>
    </row>
    <row r="2252" spans="12:13">
      <c r="L2252" s="1">
        <v>44659.798611103848</v>
      </c>
      <c r="M2252" s="13"/>
    </row>
    <row r="2253" spans="12:13">
      <c r="L2253" s="1">
        <v>44659.802083326067</v>
      </c>
      <c r="M2253" s="13"/>
    </row>
    <row r="2254" spans="12:13">
      <c r="L2254" s="1">
        <v>44659.805555548286</v>
      </c>
      <c r="M2254" s="13"/>
    </row>
    <row r="2255" spans="12:13">
      <c r="L2255" s="1">
        <v>44659.809027770505</v>
      </c>
      <c r="M2255" s="13"/>
    </row>
    <row r="2256" spans="12:13">
      <c r="L2256" s="1">
        <v>44659.812499992724</v>
      </c>
      <c r="M2256" s="13"/>
    </row>
    <row r="2257" spans="12:13">
      <c r="L2257" s="1">
        <v>44659.815972214943</v>
      </c>
      <c r="M2257" s="13"/>
    </row>
    <row r="2258" spans="12:13">
      <c r="L2258" s="1">
        <v>44659.819444437162</v>
      </c>
      <c r="M2258" s="13"/>
    </row>
    <row r="2259" spans="12:13">
      <c r="L2259" s="1">
        <v>44659.822916659381</v>
      </c>
      <c r="M2259" s="13"/>
    </row>
    <row r="2260" spans="12:13">
      <c r="L2260" s="1">
        <v>44659.8263888816</v>
      </c>
      <c r="M2260" s="13"/>
    </row>
    <row r="2261" spans="12:13">
      <c r="L2261" s="1">
        <v>44659.829861103819</v>
      </c>
      <c r="M2261" s="13"/>
    </row>
    <row r="2262" spans="12:13">
      <c r="L2262" s="1">
        <v>44659.833333326038</v>
      </c>
      <c r="M2262" s="13"/>
    </row>
    <row r="2263" spans="12:13">
      <c r="L2263" s="1">
        <v>44659.836805548257</v>
      </c>
      <c r="M2263" s="13"/>
    </row>
    <row r="2264" spans="12:13">
      <c r="L2264" s="1">
        <v>44659.840277770476</v>
      </c>
      <c r="M2264" s="13"/>
    </row>
    <row r="2265" spans="12:13">
      <c r="L2265" s="1">
        <v>44659.843749992695</v>
      </c>
      <c r="M2265" s="13"/>
    </row>
    <row r="2266" spans="12:13">
      <c r="L2266" s="1">
        <v>44659.847222214914</v>
      </c>
      <c r="M2266" s="13"/>
    </row>
    <row r="2267" spans="12:13">
      <c r="L2267" s="1">
        <v>44659.850694437133</v>
      </c>
      <c r="M2267" s="13"/>
    </row>
    <row r="2268" spans="12:13">
      <c r="L2268" s="1">
        <v>44659.854166659352</v>
      </c>
      <c r="M2268" s="13"/>
    </row>
    <row r="2269" spans="12:13">
      <c r="L2269" s="1">
        <v>44659.857638881571</v>
      </c>
      <c r="M2269" s="13"/>
    </row>
    <row r="2270" spans="12:13">
      <c r="L2270" s="1">
        <v>44659.86111110379</v>
      </c>
      <c r="M2270" s="13"/>
    </row>
    <row r="2271" spans="12:13">
      <c r="L2271" s="1">
        <v>44659.864583326009</v>
      </c>
      <c r="M2271" s="13"/>
    </row>
    <row r="2272" spans="12:13">
      <c r="L2272" s="1">
        <v>44659.868055548228</v>
      </c>
      <c r="M2272" s="13"/>
    </row>
    <row r="2273" spans="12:13">
      <c r="L2273" s="1">
        <v>44659.871527770447</v>
      </c>
      <c r="M2273" s="13"/>
    </row>
    <row r="2274" spans="12:13">
      <c r="L2274" s="1">
        <v>44659.874999992666</v>
      </c>
      <c r="M2274" s="13"/>
    </row>
    <row r="2275" spans="12:13">
      <c r="L2275" s="1">
        <v>44659.878472214885</v>
      </c>
      <c r="M2275" s="13"/>
    </row>
    <row r="2276" spans="12:13">
      <c r="L2276" s="1">
        <v>44659.881944437104</v>
      </c>
      <c r="M2276" s="13"/>
    </row>
    <row r="2277" spans="12:13">
      <c r="L2277" s="1">
        <v>44659.885416659323</v>
      </c>
      <c r="M2277" s="13"/>
    </row>
    <row r="2278" spans="12:13">
      <c r="L2278" s="1">
        <v>44659.888888881542</v>
      </c>
      <c r="M2278" s="13"/>
    </row>
    <row r="2279" spans="12:13">
      <c r="L2279" s="1">
        <v>44659.892361103761</v>
      </c>
      <c r="M2279" s="13"/>
    </row>
    <row r="2280" spans="12:13">
      <c r="L2280" s="1">
        <v>44659.89583332598</v>
      </c>
      <c r="M2280" s="13"/>
    </row>
    <row r="2281" spans="12:13">
      <c r="L2281" s="1">
        <v>44659.899305548199</v>
      </c>
      <c r="M2281" s="13"/>
    </row>
    <row r="2282" spans="12:13">
      <c r="L2282" s="1">
        <v>44659.902777770418</v>
      </c>
      <c r="M2282" s="13"/>
    </row>
    <row r="2283" spans="12:13">
      <c r="L2283" s="1">
        <v>44659.906249992637</v>
      </c>
      <c r="M2283" s="13"/>
    </row>
    <row r="2284" spans="12:13">
      <c r="L2284" s="1">
        <v>44659.909722214856</v>
      </c>
      <c r="M2284" s="13"/>
    </row>
    <row r="2285" spans="12:13">
      <c r="L2285" s="1">
        <v>44659.913194437075</v>
      </c>
      <c r="M2285" s="13"/>
    </row>
    <row r="2286" spans="12:13">
      <c r="L2286" s="1">
        <v>44659.916666659294</v>
      </c>
      <c r="M2286" s="13"/>
    </row>
    <row r="2287" spans="12:13">
      <c r="L2287" s="1">
        <v>44659.920138881513</v>
      </c>
      <c r="M2287" s="13"/>
    </row>
    <row r="2288" spans="12:13">
      <c r="L2288" s="1">
        <v>44659.923611103732</v>
      </c>
      <c r="M2288" s="13"/>
    </row>
    <row r="2289" spans="12:13">
      <c r="L2289" s="1">
        <v>44659.927083325951</v>
      </c>
      <c r="M2289" s="13"/>
    </row>
    <row r="2290" spans="12:13">
      <c r="L2290" s="1">
        <v>44659.93055554817</v>
      </c>
      <c r="M2290" s="13"/>
    </row>
    <row r="2291" spans="12:13">
      <c r="L2291" s="1">
        <v>44659.934027770389</v>
      </c>
      <c r="M2291" s="13"/>
    </row>
    <row r="2292" spans="12:13">
      <c r="L2292" s="1">
        <v>44659.937499992608</v>
      </c>
      <c r="M2292" s="13"/>
    </row>
    <row r="2293" spans="12:13">
      <c r="L2293" s="1">
        <v>44659.940972214827</v>
      </c>
      <c r="M2293" s="13"/>
    </row>
    <row r="2294" spans="12:13">
      <c r="L2294" s="1">
        <v>44659.944444437046</v>
      </c>
      <c r="M2294" s="13"/>
    </row>
    <row r="2295" spans="12:13">
      <c r="L2295" s="1">
        <v>44659.947916659265</v>
      </c>
      <c r="M2295" s="13"/>
    </row>
    <row r="2296" spans="12:13">
      <c r="L2296" s="1">
        <v>44659.951388881484</v>
      </c>
      <c r="M2296" s="13"/>
    </row>
    <row r="2297" spans="12:13">
      <c r="L2297" s="1">
        <v>44659.954861103703</v>
      </c>
      <c r="M2297" s="13"/>
    </row>
    <row r="2298" spans="12:13">
      <c r="L2298" s="1">
        <v>44659.958333325922</v>
      </c>
      <c r="M2298" s="13"/>
    </row>
    <row r="2299" spans="12:13">
      <c r="L2299" s="1">
        <v>44659.961805548141</v>
      </c>
      <c r="M2299" s="13"/>
    </row>
    <row r="2300" spans="12:13">
      <c r="L2300" s="1">
        <v>44659.96527777036</v>
      </c>
      <c r="M2300" s="13"/>
    </row>
    <row r="2301" spans="12:13">
      <c r="L2301" s="1">
        <v>44659.968749992579</v>
      </c>
      <c r="M2301" s="13"/>
    </row>
    <row r="2302" spans="12:13">
      <c r="L2302" s="1">
        <v>44659.972222214798</v>
      </c>
      <c r="M2302" s="13"/>
    </row>
    <row r="2303" spans="12:13">
      <c r="L2303" s="1">
        <v>44659.975694437017</v>
      </c>
      <c r="M2303" s="13"/>
    </row>
    <row r="2304" spans="12:13">
      <c r="L2304" s="1">
        <v>44659.979166659235</v>
      </c>
      <c r="M2304" s="13"/>
    </row>
    <row r="2305" spans="12:13">
      <c r="L2305" s="1">
        <v>44659.982638881454</v>
      </c>
      <c r="M2305" s="13"/>
    </row>
    <row r="2306" spans="12:13">
      <c r="L2306" s="1">
        <v>44659.986111103673</v>
      </c>
      <c r="M2306" s="13"/>
    </row>
    <row r="2307" spans="12:13">
      <c r="L2307" s="1">
        <v>44659.989583325892</v>
      </c>
      <c r="M2307" s="13"/>
    </row>
    <row r="2308" spans="12:13">
      <c r="L2308" s="1">
        <v>44659.993055548111</v>
      </c>
      <c r="M2308" s="13"/>
    </row>
    <row r="2309" spans="12:13">
      <c r="L2309" s="1">
        <v>44659.99652777033</v>
      </c>
      <c r="M2309" s="13"/>
    </row>
    <row r="2310" spans="12:13">
      <c r="L2310" s="1">
        <v>44659.999999992549</v>
      </c>
      <c r="M2310" s="13"/>
    </row>
    <row r="2311" spans="12:13">
      <c r="L2311" s="1">
        <v>44660.003472214768</v>
      </c>
      <c r="M2311" s="13"/>
    </row>
    <row r="2312" spans="12:13">
      <c r="L2312" s="1">
        <v>44660.006944436987</v>
      </c>
      <c r="M2312" s="13"/>
    </row>
    <row r="2313" spans="12:13">
      <c r="L2313" s="1">
        <v>44660.010416659206</v>
      </c>
      <c r="M2313" s="13"/>
    </row>
    <row r="2314" spans="12:13">
      <c r="L2314" s="1">
        <v>44660.013888881425</v>
      </c>
      <c r="M2314" s="13"/>
    </row>
    <row r="2315" spans="12:13">
      <c r="L2315" s="1">
        <v>44660.017361103644</v>
      </c>
      <c r="M2315" s="13"/>
    </row>
    <row r="2316" spans="12:13">
      <c r="L2316" s="1">
        <v>44660.020833325863</v>
      </c>
      <c r="M2316" s="13"/>
    </row>
    <row r="2317" spans="12:13">
      <c r="L2317" s="1">
        <v>44660.024305548082</v>
      </c>
      <c r="M2317" s="13"/>
    </row>
    <row r="2318" spans="12:13">
      <c r="L2318" s="1">
        <v>44660.027777770301</v>
      </c>
      <c r="M2318" s="13"/>
    </row>
    <row r="2319" spans="12:13">
      <c r="L2319" s="1">
        <v>44660.03124999252</v>
      </c>
      <c r="M2319" s="13"/>
    </row>
    <row r="2320" spans="12:13">
      <c r="L2320" s="1">
        <v>44660.034722214739</v>
      </c>
      <c r="M2320" s="13"/>
    </row>
    <row r="2321" spans="12:13">
      <c r="L2321" s="1">
        <v>44660.038194436958</v>
      </c>
      <c r="M2321" s="13"/>
    </row>
    <row r="2322" spans="12:13">
      <c r="L2322" s="1">
        <v>44660.041666659177</v>
      </c>
      <c r="M2322" s="13"/>
    </row>
    <row r="2323" spans="12:13">
      <c r="L2323" s="1">
        <v>44660.045138881396</v>
      </c>
      <c r="M2323" s="13"/>
    </row>
    <row r="2324" spans="12:13">
      <c r="L2324" s="1">
        <v>44660.048611103615</v>
      </c>
      <c r="M2324" s="13"/>
    </row>
    <row r="2325" spans="12:13">
      <c r="L2325" s="1">
        <v>44660.052083325834</v>
      </c>
      <c r="M2325" s="13"/>
    </row>
    <row r="2326" spans="12:13">
      <c r="L2326" s="1">
        <v>44660.055555548053</v>
      </c>
      <c r="M2326" s="13"/>
    </row>
    <row r="2327" spans="12:13">
      <c r="L2327" s="1">
        <v>44660.059027770272</v>
      </c>
      <c r="M2327" s="13"/>
    </row>
    <row r="2328" spans="12:13">
      <c r="L2328" s="1">
        <v>44660.062499992491</v>
      </c>
      <c r="M2328" s="13"/>
    </row>
    <row r="2329" spans="12:13">
      <c r="L2329" s="1">
        <v>44660.06597221471</v>
      </c>
      <c r="M2329" s="13"/>
    </row>
    <row r="2330" spans="12:13">
      <c r="L2330" s="1">
        <v>44660.069444436929</v>
      </c>
      <c r="M2330" s="13"/>
    </row>
    <row r="2331" spans="12:13">
      <c r="L2331" s="1">
        <v>44660.072916659148</v>
      </c>
      <c r="M2331" s="13"/>
    </row>
    <row r="2332" spans="12:13">
      <c r="L2332" s="1">
        <v>44660.076388881367</v>
      </c>
      <c r="M2332" s="13"/>
    </row>
    <row r="2333" spans="12:13">
      <c r="L2333" s="1">
        <v>44660.079861103586</v>
      </c>
      <c r="M2333" s="13"/>
    </row>
    <row r="2334" spans="12:13">
      <c r="L2334" s="1">
        <v>44660.083333325805</v>
      </c>
      <c r="M2334" s="13"/>
    </row>
    <row r="2335" spans="12:13">
      <c r="L2335" s="1">
        <v>44660.086805548024</v>
      </c>
      <c r="M2335" s="13"/>
    </row>
    <row r="2336" spans="12:13">
      <c r="L2336" s="1">
        <v>44660.090277770243</v>
      </c>
      <c r="M2336" s="13"/>
    </row>
    <row r="2337" spans="12:13">
      <c r="L2337" s="1">
        <v>44660.093749992462</v>
      </c>
      <c r="M2337" s="13"/>
    </row>
    <row r="2338" spans="12:13">
      <c r="L2338" s="1">
        <v>44660.097222214681</v>
      </c>
      <c r="M2338" s="13"/>
    </row>
    <row r="2339" spans="12:13">
      <c r="L2339" s="1">
        <v>44660.1006944369</v>
      </c>
      <c r="M2339" s="13"/>
    </row>
    <row r="2340" spans="12:13">
      <c r="L2340" s="1">
        <v>44660.104166659119</v>
      </c>
      <c r="M2340" s="13"/>
    </row>
    <row r="2341" spans="12:13">
      <c r="L2341" s="1">
        <v>44660.107638881338</v>
      </c>
      <c r="M2341" s="13"/>
    </row>
    <row r="2342" spans="12:13">
      <c r="L2342" s="1">
        <v>44660.111111103557</v>
      </c>
      <c r="M2342" s="13"/>
    </row>
    <row r="2343" spans="12:13">
      <c r="L2343" s="1">
        <v>44660.114583325776</v>
      </c>
      <c r="M2343" s="13"/>
    </row>
    <row r="2344" spans="12:13">
      <c r="L2344" s="1">
        <v>44660.118055547995</v>
      </c>
      <c r="M2344" s="13"/>
    </row>
    <row r="2345" spans="12:13">
      <c r="L2345" s="1">
        <v>44660.121527770214</v>
      </c>
      <c r="M2345" s="13"/>
    </row>
    <row r="2346" spans="12:13">
      <c r="L2346" s="1">
        <v>44660.124999992433</v>
      </c>
      <c r="M2346" s="13"/>
    </row>
    <row r="2347" spans="12:13">
      <c r="L2347" s="1">
        <v>44660.128472214652</v>
      </c>
      <c r="M2347" s="13"/>
    </row>
    <row r="2348" spans="12:13">
      <c r="L2348" s="1">
        <v>44660.131944436871</v>
      </c>
      <c r="M2348" s="13"/>
    </row>
    <row r="2349" spans="12:13">
      <c r="L2349" s="1">
        <v>44660.13541665909</v>
      </c>
      <c r="M2349" s="13"/>
    </row>
    <row r="2350" spans="12:13">
      <c r="L2350" s="1">
        <v>44660.138888881309</v>
      </c>
      <c r="M2350" s="13"/>
    </row>
    <row r="2351" spans="12:13">
      <c r="L2351" s="1">
        <v>44660.142361103528</v>
      </c>
      <c r="M2351" s="13"/>
    </row>
    <row r="2352" spans="12:13">
      <c r="L2352" s="1">
        <v>44660.145833325747</v>
      </c>
      <c r="M2352" s="13"/>
    </row>
    <row r="2353" spans="12:13">
      <c r="L2353" s="1">
        <v>44660.149305547966</v>
      </c>
      <c r="M2353" s="13"/>
    </row>
    <row r="2354" spans="12:13">
      <c r="L2354" s="1">
        <v>44660.152777770185</v>
      </c>
      <c r="M2354" s="13"/>
    </row>
    <row r="2355" spans="12:13">
      <c r="L2355" s="1">
        <v>44660.156249992404</v>
      </c>
      <c r="M2355" s="13"/>
    </row>
    <row r="2356" spans="12:13">
      <c r="L2356" s="1">
        <v>44660.159722214623</v>
      </c>
      <c r="M2356" s="13"/>
    </row>
    <row r="2357" spans="12:13">
      <c r="L2357" s="1">
        <v>44660.163194436842</v>
      </c>
      <c r="M2357" s="13"/>
    </row>
    <row r="2358" spans="12:13">
      <c r="L2358" s="1">
        <v>44660.166666659061</v>
      </c>
      <c r="M2358" s="13"/>
    </row>
    <row r="2359" spans="12:13">
      <c r="L2359" s="1">
        <v>44660.17013888128</v>
      </c>
      <c r="M2359" s="13"/>
    </row>
    <row r="2360" spans="12:13">
      <c r="L2360" s="1">
        <v>44660.173611103499</v>
      </c>
      <c r="M2360" s="13"/>
    </row>
    <row r="2361" spans="12:13">
      <c r="L2361" s="1">
        <v>44660.177083325718</v>
      </c>
      <c r="M2361" s="13"/>
    </row>
    <row r="2362" spans="12:13">
      <c r="L2362" s="1">
        <v>44660.180555547937</v>
      </c>
      <c r="M2362" s="13"/>
    </row>
    <row r="2363" spans="12:13">
      <c r="L2363" s="1">
        <v>44660.184027770156</v>
      </c>
      <c r="M2363" s="13"/>
    </row>
    <row r="2364" spans="12:13">
      <c r="L2364" s="1">
        <v>44660.187499992375</v>
      </c>
      <c r="M2364" s="13"/>
    </row>
    <row r="2365" spans="12:13">
      <c r="L2365" s="1">
        <v>44660.190972214594</v>
      </c>
      <c r="M2365" s="13"/>
    </row>
    <row r="2366" spans="12:13">
      <c r="L2366" s="1">
        <v>44660.194444436813</v>
      </c>
      <c r="M2366" s="13"/>
    </row>
    <row r="2367" spans="12:13">
      <c r="L2367" s="1">
        <v>44660.197916659032</v>
      </c>
      <c r="M2367" s="13"/>
    </row>
    <row r="2368" spans="12:13">
      <c r="L2368" s="1">
        <v>44660.201388881251</v>
      </c>
      <c r="M2368" s="13"/>
    </row>
    <row r="2369" spans="12:13">
      <c r="L2369" s="1">
        <v>44660.20486110347</v>
      </c>
      <c r="M2369" s="13"/>
    </row>
    <row r="2370" spans="12:13">
      <c r="L2370" s="1">
        <v>44660.208333325689</v>
      </c>
      <c r="M2370" s="13"/>
    </row>
    <row r="2371" spans="12:13">
      <c r="L2371" s="1">
        <v>44660.211805547908</v>
      </c>
      <c r="M2371" s="13"/>
    </row>
    <row r="2372" spans="12:13">
      <c r="L2372" s="1">
        <v>44660.215277770127</v>
      </c>
      <c r="M2372" s="13"/>
    </row>
    <row r="2373" spans="12:13">
      <c r="L2373" s="1">
        <v>44660.218749992346</v>
      </c>
      <c r="M2373" s="13"/>
    </row>
    <row r="2374" spans="12:13">
      <c r="L2374" s="1">
        <v>44660.222222214565</v>
      </c>
      <c r="M2374" s="13"/>
    </row>
    <row r="2375" spans="12:13">
      <c r="L2375" s="1">
        <v>44660.225694436784</v>
      </c>
      <c r="M2375" s="13"/>
    </row>
    <row r="2376" spans="12:13">
      <c r="L2376" s="1">
        <v>44660.229166659003</v>
      </c>
      <c r="M2376" s="13"/>
    </row>
    <row r="2377" spans="12:13">
      <c r="L2377" s="1">
        <v>44660.232638881222</v>
      </c>
      <c r="M2377" s="13"/>
    </row>
    <row r="2378" spans="12:13">
      <c r="L2378" s="1">
        <v>44660.236111103441</v>
      </c>
      <c r="M2378" s="13"/>
    </row>
    <row r="2379" spans="12:13">
      <c r="L2379" s="1">
        <v>44660.23958332566</v>
      </c>
      <c r="M2379" s="13"/>
    </row>
    <row r="2380" spans="12:13">
      <c r="L2380" s="1">
        <v>44660.243055547879</v>
      </c>
      <c r="M2380" s="13"/>
    </row>
    <row r="2381" spans="12:13">
      <c r="L2381" s="1">
        <v>44660.246527770098</v>
      </c>
      <c r="M2381" s="13"/>
    </row>
    <row r="2382" spans="12:13">
      <c r="L2382" s="1">
        <v>44660.249999992317</v>
      </c>
      <c r="M2382" s="13"/>
    </row>
    <row r="2383" spans="12:13">
      <c r="L2383" s="1">
        <v>44660.253472214536</v>
      </c>
      <c r="M2383" s="13"/>
    </row>
    <row r="2384" spans="12:13">
      <c r="L2384" s="1">
        <v>44660.256944436755</v>
      </c>
      <c r="M2384" s="13"/>
    </row>
    <row r="2385" spans="12:13">
      <c r="L2385" s="1">
        <v>44660.260416658974</v>
      </c>
      <c r="M2385" s="13"/>
    </row>
    <row r="2386" spans="12:13">
      <c r="L2386" s="1">
        <v>44660.263888881193</v>
      </c>
      <c r="M2386" s="13"/>
    </row>
    <row r="2387" spans="12:13">
      <c r="L2387" s="1">
        <v>44660.267361103412</v>
      </c>
      <c r="M2387" s="13"/>
    </row>
    <row r="2388" spans="12:13">
      <c r="L2388" s="1">
        <v>44660.270833325631</v>
      </c>
      <c r="M2388" s="13"/>
    </row>
    <row r="2389" spans="12:13">
      <c r="L2389" s="1">
        <v>44660.27430554785</v>
      </c>
      <c r="M2389" s="13"/>
    </row>
    <row r="2390" spans="12:13">
      <c r="L2390" s="1">
        <v>44660.277777770068</v>
      </c>
      <c r="M2390" s="13"/>
    </row>
    <row r="2391" spans="12:13">
      <c r="L2391" s="1">
        <v>44660.281249992287</v>
      </c>
      <c r="M2391" s="13"/>
    </row>
    <row r="2392" spans="12:13">
      <c r="L2392" s="1">
        <v>44660.284722214506</v>
      </c>
      <c r="M2392" s="13"/>
    </row>
    <row r="2393" spans="12:13">
      <c r="L2393" s="1">
        <v>44660.288194436725</v>
      </c>
      <c r="M2393" s="13"/>
    </row>
    <row r="2394" spans="12:13">
      <c r="L2394" s="1">
        <v>44660.291666658944</v>
      </c>
      <c r="M2394" s="13"/>
    </row>
    <row r="2395" spans="12:13">
      <c r="L2395" s="1">
        <v>44660.295138881163</v>
      </c>
      <c r="M2395" s="13"/>
    </row>
    <row r="2396" spans="12:13">
      <c r="L2396" s="1">
        <v>44660.298611103382</v>
      </c>
      <c r="M2396" s="13"/>
    </row>
    <row r="2397" spans="12:13">
      <c r="L2397" s="1">
        <v>44660.302083325601</v>
      </c>
      <c r="M2397" s="13"/>
    </row>
    <row r="2398" spans="12:13">
      <c r="L2398" s="1">
        <v>44660.30555554782</v>
      </c>
      <c r="M2398" s="13"/>
    </row>
    <row r="2399" spans="12:13">
      <c r="L2399" s="1">
        <v>44660.309027770039</v>
      </c>
      <c r="M2399" s="13"/>
    </row>
    <row r="2400" spans="12:13">
      <c r="L2400" s="1">
        <v>44660.312499992258</v>
      </c>
      <c r="M2400" s="13"/>
    </row>
    <row r="2401" spans="12:13">
      <c r="L2401" s="1">
        <v>44660.315972214477</v>
      </c>
      <c r="M2401" s="13"/>
    </row>
    <row r="2402" spans="12:13">
      <c r="L2402" s="1">
        <v>44660.319444436696</v>
      </c>
      <c r="M2402" s="13"/>
    </row>
    <row r="2403" spans="12:13">
      <c r="L2403" s="1">
        <v>44660.322916658915</v>
      </c>
      <c r="M2403" s="13"/>
    </row>
    <row r="2404" spans="12:13">
      <c r="L2404" s="1">
        <v>44660.326388881134</v>
      </c>
      <c r="M2404" s="13"/>
    </row>
    <row r="2405" spans="12:13">
      <c r="L2405" s="1">
        <v>44660.329861103353</v>
      </c>
      <c r="M2405" s="13"/>
    </row>
    <row r="2406" spans="12:13">
      <c r="L2406" s="1">
        <v>44660.333333325572</v>
      </c>
      <c r="M2406" s="13"/>
    </row>
    <row r="2407" spans="12:13">
      <c r="L2407" s="1">
        <v>44660.336805547791</v>
      </c>
      <c r="M2407" s="13"/>
    </row>
    <row r="2408" spans="12:13">
      <c r="L2408" s="1">
        <v>44660.34027777001</v>
      </c>
      <c r="M2408" s="13"/>
    </row>
    <row r="2409" spans="12:13">
      <c r="L2409" s="1">
        <v>44660.343749992229</v>
      </c>
      <c r="M2409" s="13"/>
    </row>
    <row r="2410" spans="12:13">
      <c r="L2410" s="1">
        <v>44660.347222214448</v>
      </c>
      <c r="M2410" s="13"/>
    </row>
    <row r="2411" spans="12:13">
      <c r="L2411" s="1">
        <v>44660.350694436667</v>
      </c>
      <c r="M2411" s="13"/>
    </row>
    <row r="2412" spans="12:13">
      <c r="L2412" s="1">
        <v>44660.354166658886</v>
      </c>
      <c r="M2412" s="13"/>
    </row>
    <row r="2413" spans="12:13">
      <c r="L2413" s="1">
        <v>44660.357638881105</v>
      </c>
      <c r="M2413" s="13"/>
    </row>
    <row r="2414" spans="12:13">
      <c r="L2414" s="1">
        <v>44660.361111103324</v>
      </c>
      <c r="M2414" s="13"/>
    </row>
    <row r="2415" spans="12:13">
      <c r="L2415" s="1">
        <v>44660.364583325543</v>
      </c>
      <c r="M2415" s="13"/>
    </row>
    <row r="2416" spans="12:13">
      <c r="L2416" s="1">
        <v>44660.368055547762</v>
      </c>
      <c r="M2416" s="13"/>
    </row>
    <row r="2417" spans="12:13">
      <c r="L2417" s="1">
        <v>44660.371527769981</v>
      </c>
      <c r="M2417" s="13"/>
    </row>
    <row r="2418" spans="12:13">
      <c r="L2418" s="1">
        <v>44660.3749999922</v>
      </c>
      <c r="M2418" s="13"/>
    </row>
    <row r="2419" spans="12:13">
      <c r="L2419" s="1">
        <v>44660.378472214419</v>
      </c>
      <c r="M2419" s="13"/>
    </row>
    <row r="2420" spans="12:13">
      <c r="L2420" s="1">
        <v>44660.381944436638</v>
      </c>
      <c r="M2420" s="13"/>
    </row>
    <row r="2421" spans="12:13">
      <c r="L2421" s="1">
        <v>44660.385416658857</v>
      </c>
      <c r="M2421" s="13"/>
    </row>
    <row r="2422" spans="12:13">
      <c r="L2422" s="1">
        <v>44660.388888881076</v>
      </c>
      <c r="M2422" s="13"/>
    </row>
    <row r="2423" spans="12:13">
      <c r="L2423" s="1">
        <v>44660.392361103295</v>
      </c>
      <c r="M2423" s="13"/>
    </row>
    <row r="2424" spans="12:13">
      <c r="L2424" s="1">
        <v>44660.395833325514</v>
      </c>
      <c r="M2424" s="13"/>
    </row>
    <row r="2425" spans="12:13">
      <c r="L2425" s="1">
        <v>44660.399305547733</v>
      </c>
      <c r="M2425" s="13"/>
    </row>
    <row r="2426" spans="12:13">
      <c r="L2426" s="1">
        <v>44660.402777769952</v>
      </c>
      <c r="M2426" s="13"/>
    </row>
    <row r="2427" spans="12:13">
      <c r="L2427" s="1">
        <v>44660.406249992171</v>
      </c>
      <c r="M2427" s="13"/>
    </row>
    <row r="2428" spans="12:13">
      <c r="L2428" s="1">
        <v>44660.40972221439</v>
      </c>
      <c r="M2428" s="13"/>
    </row>
    <row r="2429" spans="12:13">
      <c r="L2429" s="1">
        <v>44660.413194436609</v>
      </c>
      <c r="M2429" s="13"/>
    </row>
    <row r="2430" spans="12:13">
      <c r="L2430" s="1">
        <v>44660.416666658828</v>
      </c>
      <c r="M2430" s="13"/>
    </row>
    <row r="2431" spans="12:13">
      <c r="L2431" s="1">
        <v>44660.420138881047</v>
      </c>
      <c r="M2431" s="13"/>
    </row>
    <row r="2432" spans="12:13">
      <c r="L2432" s="1">
        <v>44660.423611103266</v>
      </c>
      <c r="M2432" s="13"/>
    </row>
    <row r="2433" spans="12:13">
      <c r="L2433" s="1">
        <v>44660.427083325485</v>
      </c>
      <c r="M2433" s="13"/>
    </row>
    <row r="2434" spans="12:13">
      <c r="L2434" s="1">
        <v>44660.430555547704</v>
      </c>
      <c r="M2434" s="13"/>
    </row>
    <row r="2435" spans="12:13">
      <c r="L2435" s="1">
        <v>44660.434027769923</v>
      </c>
      <c r="M2435" s="13"/>
    </row>
    <row r="2436" spans="12:13">
      <c r="L2436" s="1">
        <v>44660.437499992142</v>
      </c>
      <c r="M2436" s="13"/>
    </row>
    <row r="2437" spans="12:13">
      <c r="L2437" s="1">
        <v>44660.440972214361</v>
      </c>
      <c r="M2437" s="13"/>
    </row>
    <row r="2438" spans="12:13">
      <c r="L2438" s="1">
        <v>44660.44444443658</v>
      </c>
      <c r="M2438" s="13"/>
    </row>
    <row r="2439" spans="12:13">
      <c r="L2439" s="1">
        <v>44660.447916658799</v>
      </c>
      <c r="M2439" s="13"/>
    </row>
    <row r="2440" spans="12:13">
      <c r="L2440" s="1">
        <v>44660.451388881018</v>
      </c>
      <c r="M2440" s="13"/>
    </row>
    <row r="2441" spans="12:13">
      <c r="L2441" s="1">
        <v>44660.454861103237</v>
      </c>
      <c r="M2441" s="13"/>
    </row>
    <row r="2442" spans="12:13">
      <c r="L2442" s="1">
        <v>44660.458333325456</v>
      </c>
      <c r="M2442" s="13"/>
    </row>
    <row r="2443" spans="12:13">
      <c r="L2443" s="1">
        <v>44660.461805547675</v>
      </c>
      <c r="M2443" s="13"/>
    </row>
    <row r="2444" spans="12:13">
      <c r="L2444" s="1">
        <v>44660.465277769894</v>
      </c>
      <c r="M2444" s="13"/>
    </row>
    <row r="2445" spans="12:13">
      <c r="L2445" s="1">
        <v>44660.468749992113</v>
      </c>
      <c r="M2445" s="13"/>
    </row>
    <row r="2446" spans="12:13">
      <c r="L2446" s="1">
        <v>44660.472222214332</v>
      </c>
      <c r="M2446" s="13"/>
    </row>
    <row r="2447" spans="12:13">
      <c r="L2447" s="1">
        <v>44660.475694436551</v>
      </c>
      <c r="M2447" s="13"/>
    </row>
    <row r="2448" spans="12:13">
      <c r="L2448" s="1">
        <v>44660.47916665877</v>
      </c>
      <c r="M2448" s="13"/>
    </row>
    <row r="2449" spans="12:13">
      <c r="L2449" s="1">
        <v>44660.482638880989</v>
      </c>
      <c r="M2449" s="13"/>
    </row>
    <row r="2450" spans="12:13">
      <c r="L2450" s="1">
        <v>44660.486111103208</v>
      </c>
      <c r="M2450" s="13"/>
    </row>
    <row r="2451" spans="12:13">
      <c r="L2451" s="1">
        <v>44660.489583325427</v>
      </c>
      <c r="M2451" s="13"/>
    </row>
    <row r="2452" spans="12:13">
      <c r="L2452" s="1">
        <v>44660.493055547646</v>
      </c>
      <c r="M2452" s="13"/>
    </row>
    <row r="2453" spans="12:13">
      <c r="L2453" s="1">
        <v>44660.496527769865</v>
      </c>
      <c r="M2453" s="13"/>
    </row>
    <row r="2454" spans="12:13">
      <c r="L2454" s="1">
        <v>44660.499999992084</v>
      </c>
      <c r="M2454" s="13"/>
    </row>
    <row r="2455" spans="12:13">
      <c r="L2455" s="1">
        <v>44660.503472214303</v>
      </c>
      <c r="M2455" s="13"/>
    </row>
    <row r="2456" spans="12:13">
      <c r="L2456" s="1">
        <v>44660.506944436522</v>
      </c>
      <c r="M2456" s="13"/>
    </row>
    <row r="2457" spans="12:13">
      <c r="L2457" s="1">
        <v>44660.510416658741</v>
      </c>
      <c r="M2457" s="13"/>
    </row>
    <row r="2458" spans="12:13">
      <c r="L2458" s="1">
        <v>44660.51388888096</v>
      </c>
      <c r="M2458" s="13"/>
    </row>
    <row r="2459" spans="12:13">
      <c r="L2459" s="1">
        <v>44660.517361103179</v>
      </c>
      <c r="M2459" s="13"/>
    </row>
    <row r="2460" spans="12:13">
      <c r="L2460" s="1">
        <v>44660.520833325398</v>
      </c>
      <c r="M2460" s="13"/>
    </row>
    <row r="2461" spans="12:13">
      <c r="L2461" s="1">
        <v>44660.524305547617</v>
      </c>
      <c r="M2461" s="13"/>
    </row>
    <row r="2462" spans="12:13">
      <c r="L2462" s="1">
        <v>44660.527777769836</v>
      </c>
      <c r="M2462" s="13"/>
    </row>
    <row r="2463" spans="12:13">
      <c r="L2463" s="1">
        <v>44660.531249992055</v>
      </c>
      <c r="M2463" s="13"/>
    </row>
    <row r="2464" spans="12:13">
      <c r="L2464" s="1">
        <v>44660.534722214274</v>
      </c>
      <c r="M2464" s="13"/>
    </row>
    <row r="2465" spans="12:13">
      <c r="L2465" s="1">
        <v>44660.538194436493</v>
      </c>
      <c r="M2465" s="13"/>
    </row>
    <row r="2466" spans="12:13">
      <c r="L2466" s="1">
        <v>44660.541666658712</v>
      </c>
      <c r="M2466" s="13"/>
    </row>
    <row r="2467" spans="12:13">
      <c r="L2467" s="1">
        <v>44660.545138880931</v>
      </c>
      <c r="M2467" s="13"/>
    </row>
    <row r="2468" spans="12:13">
      <c r="L2468" s="1">
        <v>44660.54861110315</v>
      </c>
      <c r="M2468" s="13"/>
    </row>
    <row r="2469" spans="12:13">
      <c r="L2469" s="1">
        <v>44660.552083325369</v>
      </c>
      <c r="M2469" s="13"/>
    </row>
    <row r="2470" spans="12:13">
      <c r="L2470" s="1">
        <v>44660.555555547588</v>
      </c>
      <c r="M2470" s="13"/>
    </row>
    <row r="2471" spans="12:13">
      <c r="L2471" s="1">
        <v>44660.559027769807</v>
      </c>
      <c r="M2471" s="13"/>
    </row>
    <row r="2472" spans="12:13">
      <c r="L2472" s="1">
        <v>44660.562499992026</v>
      </c>
      <c r="M2472" s="13"/>
    </row>
    <row r="2473" spans="12:13">
      <c r="L2473" s="1">
        <v>44660.565972214245</v>
      </c>
      <c r="M2473" s="13"/>
    </row>
    <row r="2474" spans="12:13">
      <c r="L2474" s="1">
        <v>44660.569444436464</v>
      </c>
      <c r="M2474" s="13"/>
    </row>
    <row r="2475" spans="12:13">
      <c r="L2475" s="1">
        <v>44660.572916658683</v>
      </c>
      <c r="M2475" s="13"/>
    </row>
    <row r="2476" spans="12:13">
      <c r="L2476" s="1">
        <v>44660.576388880902</v>
      </c>
      <c r="M2476" s="13"/>
    </row>
    <row r="2477" spans="12:13">
      <c r="L2477" s="1">
        <v>44660.57986110312</v>
      </c>
      <c r="M2477" s="13"/>
    </row>
    <row r="2478" spans="12:13">
      <c r="L2478" s="1">
        <v>44660.583333325339</v>
      </c>
      <c r="M2478" s="13"/>
    </row>
    <row r="2479" spans="12:13">
      <c r="L2479" s="1">
        <v>44660.586805547558</v>
      </c>
      <c r="M2479" s="13"/>
    </row>
    <row r="2480" spans="12:13">
      <c r="L2480" s="1">
        <v>44660.590277769777</v>
      </c>
      <c r="M2480" s="13"/>
    </row>
    <row r="2481" spans="12:13">
      <c r="L2481" s="1">
        <v>44660.593749991996</v>
      </c>
      <c r="M2481" s="13"/>
    </row>
    <row r="2482" spans="12:13">
      <c r="L2482" s="1">
        <v>44660.597222214215</v>
      </c>
      <c r="M2482" s="13"/>
    </row>
    <row r="2483" spans="12:13">
      <c r="L2483" s="1">
        <v>44660.600694436434</v>
      </c>
      <c r="M2483" s="13"/>
    </row>
    <row r="2484" spans="12:13">
      <c r="L2484" s="1">
        <v>44660.604166658653</v>
      </c>
      <c r="M2484" s="13"/>
    </row>
    <row r="2485" spans="12:13">
      <c r="L2485" s="1">
        <v>44660.607638880872</v>
      </c>
      <c r="M2485" s="13"/>
    </row>
    <row r="2486" spans="12:13">
      <c r="L2486" s="1">
        <v>44660.611111103091</v>
      </c>
      <c r="M2486" s="13"/>
    </row>
    <row r="2487" spans="12:13">
      <c r="L2487" s="1">
        <v>44660.61458332531</v>
      </c>
      <c r="M2487" s="13"/>
    </row>
    <row r="2488" spans="12:13">
      <c r="L2488" s="1">
        <v>44660.618055547529</v>
      </c>
      <c r="M2488" s="13"/>
    </row>
    <row r="2489" spans="12:13">
      <c r="L2489" s="1">
        <v>44660.621527769748</v>
      </c>
      <c r="M2489" s="13"/>
    </row>
    <row r="2490" spans="12:13">
      <c r="L2490" s="1">
        <v>44660.624999991967</v>
      </c>
      <c r="M2490" s="13"/>
    </row>
    <row r="2491" spans="12:13">
      <c r="L2491" s="1">
        <v>44660.628472214186</v>
      </c>
      <c r="M2491" s="13"/>
    </row>
    <row r="2492" spans="12:13">
      <c r="L2492" s="1">
        <v>44660.631944436405</v>
      </c>
      <c r="M2492" s="13"/>
    </row>
    <row r="2493" spans="12:13">
      <c r="L2493" s="1">
        <v>44660.635416658624</v>
      </c>
      <c r="M2493" s="13"/>
    </row>
    <row r="2494" spans="12:13">
      <c r="L2494" s="1">
        <v>44660.638888880843</v>
      </c>
      <c r="M2494" s="13"/>
    </row>
    <row r="2495" spans="12:13">
      <c r="L2495" s="1">
        <v>44660.642361103062</v>
      </c>
      <c r="M2495" s="13"/>
    </row>
    <row r="2496" spans="12:13">
      <c r="L2496" s="1">
        <v>44660.645833325281</v>
      </c>
      <c r="M2496" s="13"/>
    </row>
    <row r="2497" spans="12:13">
      <c r="L2497" s="1">
        <v>44660.6493055475</v>
      </c>
      <c r="M2497" s="13"/>
    </row>
    <row r="2498" spans="12:13">
      <c r="L2498" s="1">
        <v>44660.652777769719</v>
      </c>
      <c r="M2498" s="13"/>
    </row>
    <row r="2499" spans="12:13">
      <c r="L2499" s="1">
        <v>44660.656249991938</v>
      </c>
      <c r="M2499" s="13"/>
    </row>
    <row r="2500" spans="12:13">
      <c r="L2500" s="1">
        <v>44660.659722214157</v>
      </c>
      <c r="M2500" s="13"/>
    </row>
    <row r="2501" spans="12:13">
      <c r="L2501" s="1">
        <v>44660.663194436376</v>
      </c>
      <c r="M2501" s="13"/>
    </row>
    <row r="2502" spans="12:13">
      <c r="L2502" s="1">
        <v>44660.666666658595</v>
      </c>
      <c r="M2502" s="13"/>
    </row>
    <row r="2503" spans="12:13">
      <c r="L2503" s="1">
        <v>44660.670138880814</v>
      </c>
      <c r="M2503" s="13"/>
    </row>
    <row r="2504" spans="12:13">
      <c r="L2504" s="1">
        <v>44660.673611103033</v>
      </c>
      <c r="M2504" s="13"/>
    </row>
    <row r="2505" spans="12:13">
      <c r="L2505" s="1">
        <v>44660.677083325252</v>
      </c>
      <c r="M2505" s="13"/>
    </row>
    <row r="2506" spans="12:13">
      <c r="L2506" s="1">
        <v>44660.680555547471</v>
      </c>
      <c r="M2506" s="13"/>
    </row>
    <row r="2507" spans="12:13">
      <c r="L2507" s="1">
        <v>44660.68402776969</v>
      </c>
      <c r="M2507" s="13"/>
    </row>
    <row r="2508" spans="12:13">
      <c r="L2508" s="1">
        <v>44660.687499991909</v>
      </c>
      <c r="M2508" s="13"/>
    </row>
    <row r="2509" spans="12:13">
      <c r="L2509" s="1">
        <v>44660.690972214128</v>
      </c>
      <c r="M2509" s="13"/>
    </row>
    <row r="2510" spans="12:13">
      <c r="L2510" s="1">
        <v>44660.694444436347</v>
      </c>
      <c r="M2510" s="13"/>
    </row>
    <row r="2511" spans="12:13">
      <c r="L2511" s="1">
        <v>44660.697916658566</v>
      </c>
      <c r="M2511" s="13"/>
    </row>
    <row r="2512" spans="12:13">
      <c r="L2512" s="1">
        <v>44660.701388880785</v>
      </c>
      <c r="M2512" s="13"/>
    </row>
    <row r="2513" spans="12:13">
      <c r="L2513" s="1">
        <v>44660.704861103004</v>
      </c>
      <c r="M2513" s="13"/>
    </row>
    <row r="2514" spans="12:13">
      <c r="L2514" s="1">
        <v>44660.708333325223</v>
      </c>
      <c r="M2514" s="13"/>
    </row>
    <row r="2515" spans="12:13">
      <c r="L2515" s="1">
        <v>44660.711805547442</v>
      </c>
      <c r="M2515" s="13"/>
    </row>
    <row r="2516" spans="12:13">
      <c r="L2516" s="1">
        <v>44660.715277769661</v>
      </c>
      <c r="M2516" s="13"/>
    </row>
    <row r="2517" spans="12:13">
      <c r="L2517" s="1">
        <v>44660.71874999188</v>
      </c>
      <c r="M2517" s="13"/>
    </row>
    <row r="2518" spans="12:13">
      <c r="L2518" s="1">
        <v>44660.722222214099</v>
      </c>
      <c r="M2518" s="13"/>
    </row>
    <row r="2519" spans="12:13">
      <c r="L2519" s="1">
        <v>44660.725694436318</v>
      </c>
      <c r="M2519" s="13"/>
    </row>
    <row r="2520" spans="12:13">
      <c r="L2520" s="1">
        <v>44660.729166658537</v>
      </c>
      <c r="M2520" s="13"/>
    </row>
    <row r="2521" spans="12:13">
      <c r="L2521" s="1">
        <v>44660.732638880756</v>
      </c>
      <c r="M2521" s="13"/>
    </row>
    <row r="2522" spans="12:13">
      <c r="L2522" s="1">
        <v>44660.736111102975</v>
      </c>
      <c r="M2522" s="13"/>
    </row>
    <row r="2523" spans="12:13">
      <c r="L2523" s="1">
        <v>44660.739583325194</v>
      </c>
      <c r="M2523" s="13"/>
    </row>
    <row r="2524" spans="12:13">
      <c r="L2524" s="1">
        <v>44660.743055547413</v>
      </c>
      <c r="M2524" s="13"/>
    </row>
    <row r="2525" spans="12:13">
      <c r="L2525" s="1">
        <v>44660.746527769632</v>
      </c>
      <c r="M2525" s="13"/>
    </row>
    <row r="2526" spans="12:13">
      <c r="L2526" s="1">
        <v>44660.749999991851</v>
      </c>
      <c r="M2526" s="13"/>
    </row>
    <row r="2527" spans="12:13">
      <c r="L2527" s="1">
        <v>44660.75347221407</v>
      </c>
      <c r="M2527" s="13"/>
    </row>
    <row r="2528" spans="12:13">
      <c r="L2528" s="1">
        <v>44660.756944436289</v>
      </c>
      <c r="M2528" s="13"/>
    </row>
    <row r="2529" spans="12:13">
      <c r="L2529" s="1">
        <v>44660.760416658508</v>
      </c>
      <c r="M2529" s="13"/>
    </row>
    <row r="2530" spans="12:13">
      <c r="L2530" s="1">
        <v>44660.763888880727</v>
      </c>
      <c r="M2530" s="13"/>
    </row>
    <row r="2531" spans="12:13">
      <c r="L2531" s="1">
        <v>44660.767361102946</v>
      </c>
      <c r="M2531" s="13"/>
    </row>
    <row r="2532" spans="12:13">
      <c r="L2532" s="1">
        <v>44660.770833325165</v>
      </c>
      <c r="M2532" s="13"/>
    </row>
    <row r="2533" spans="12:13">
      <c r="L2533" s="1">
        <v>44660.774305547384</v>
      </c>
      <c r="M2533" s="13"/>
    </row>
    <row r="2534" spans="12:13">
      <c r="L2534" s="1">
        <v>44660.777777769603</v>
      </c>
      <c r="M2534" s="13"/>
    </row>
    <row r="2535" spans="12:13">
      <c r="L2535" s="1">
        <v>44660.781249991822</v>
      </c>
      <c r="M2535" s="13"/>
    </row>
    <row r="2536" spans="12:13">
      <c r="L2536" s="1">
        <v>44660.784722214041</v>
      </c>
      <c r="M2536" s="13"/>
    </row>
    <row r="2537" spans="12:13">
      <c r="L2537" s="1">
        <v>44660.78819443626</v>
      </c>
      <c r="M2537" s="13"/>
    </row>
    <row r="2538" spans="12:13">
      <c r="L2538" s="1">
        <v>44660.791666658479</v>
      </c>
      <c r="M2538" s="13"/>
    </row>
    <row r="2539" spans="12:13">
      <c r="L2539" s="1">
        <v>44660.795138880698</v>
      </c>
      <c r="M2539" s="13"/>
    </row>
    <row r="2540" spans="12:13">
      <c r="L2540" s="1">
        <v>44660.798611102917</v>
      </c>
      <c r="M2540" s="13"/>
    </row>
    <row r="2541" spans="12:13">
      <c r="L2541" s="1">
        <v>44660.802083325136</v>
      </c>
      <c r="M2541" s="13"/>
    </row>
    <row r="2542" spans="12:13">
      <c r="L2542" s="1">
        <v>44660.805555547355</v>
      </c>
      <c r="M2542" s="13"/>
    </row>
    <row r="2543" spans="12:13">
      <c r="L2543" s="1">
        <v>44660.809027769574</v>
      </c>
      <c r="M2543" s="13"/>
    </row>
    <row r="2544" spans="12:13">
      <c r="L2544" s="1">
        <v>44660.812499991793</v>
      </c>
      <c r="M2544" s="13"/>
    </row>
    <row r="2545" spans="12:13">
      <c r="L2545" s="1">
        <v>44660.815972214012</v>
      </c>
      <c r="M2545" s="13"/>
    </row>
    <row r="2546" spans="12:13">
      <c r="L2546" s="1">
        <v>44660.819444436231</v>
      </c>
      <c r="M2546" s="13"/>
    </row>
    <row r="2547" spans="12:13">
      <c r="L2547" s="1">
        <v>44660.82291665845</v>
      </c>
      <c r="M2547" s="13"/>
    </row>
    <row r="2548" spans="12:13">
      <c r="L2548" s="1">
        <v>44660.826388880669</v>
      </c>
      <c r="M2548" s="13"/>
    </row>
    <row r="2549" spans="12:13">
      <c r="L2549" s="1">
        <v>44660.829861102888</v>
      </c>
      <c r="M2549" s="13"/>
    </row>
    <row r="2550" spans="12:13">
      <c r="L2550" s="1">
        <v>44660.833333325107</v>
      </c>
      <c r="M2550" s="13"/>
    </row>
    <row r="2551" spans="12:13">
      <c r="L2551" s="1">
        <v>44660.836805547326</v>
      </c>
      <c r="M2551" s="13"/>
    </row>
    <row r="2552" spans="12:13">
      <c r="L2552" s="1">
        <v>44660.840277769545</v>
      </c>
      <c r="M2552" s="13"/>
    </row>
    <row r="2553" spans="12:13">
      <c r="L2553" s="1">
        <v>44660.843749991764</v>
      </c>
      <c r="M2553" s="13"/>
    </row>
    <row r="2554" spans="12:13">
      <c r="L2554" s="1">
        <v>44660.847222213983</v>
      </c>
      <c r="M2554" s="13"/>
    </row>
    <row r="2555" spans="12:13">
      <c r="L2555" s="1">
        <v>44660.850694436202</v>
      </c>
      <c r="M2555" s="13"/>
    </row>
    <row r="2556" spans="12:13">
      <c r="L2556" s="1">
        <v>44660.854166658421</v>
      </c>
      <c r="M2556" s="13"/>
    </row>
    <row r="2557" spans="12:13">
      <c r="L2557" s="1">
        <v>44660.85763888064</v>
      </c>
      <c r="M2557" s="13"/>
    </row>
    <row r="2558" spans="12:13">
      <c r="L2558" s="1">
        <v>44660.861111102859</v>
      </c>
      <c r="M2558" s="13"/>
    </row>
    <row r="2559" spans="12:13">
      <c r="L2559" s="1">
        <v>44660.864583325078</v>
      </c>
      <c r="M2559" s="13"/>
    </row>
    <row r="2560" spans="12:13">
      <c r="L2560" s="1">
        <v>44660.868055547297</v>
      </c>
      <c r="M2560" s="13"/>
    </row>
    <row r="2561" spans="12:13">
      <c r="L2561" s="1">
        <v>44660.871527769516</v>
      </c>
      <c r="M2561" s="13"/>
    </row>
    <row r="2562" spans="12:13">
      <c r="L2562" s="1">
        <v>44660.874999991735</v>
      </c>
      <c r="M2562" s="13"/>
    </row>
    <row r="2563" spans="12:13">
      <c r="L2563" s="1">
        <v>44660.878472213954</v>
      </c>
      <c r="M2563" s="13"/>
    </row>
    <row r="2564" spans="12:13">
      <c r="L2564" s="1">
        <v>44660.881944436172</v>
      </c>
      <c r="M2564" s="13"/>
    </row>
    <row r="2565" spans="12:13">
      <c r="L2565" s="1">
        <v>44660.885416658391</v>
      </c>
      <c r="M2565" s="13"/>
    </row>
    <row r="2566" spans="12:13">
      <c r="L2566" s="1">
        <v>44660.88888888061</v>
      </c>
      <c r="M2566" s="13"/>
    </row>
    <row r="2567" spans="12:13">
      <c r="L2567" s="1">
        <v>44660.892361102829</v>
      </c>
      <c r="M2567" s="13"/>
    </row>
    <row r="2568" spans="12:13">
      <c r="L2568" s="1">
        <v>44660.895833325048</v>
      </c>
      <c r="M2568" s="13"/>
    </row>
    <row r="2569" spans="12:13">
      <c r="L2569" s="1">
        <v>44660.899305547267</v>
      </c>
      <c r="M2569" s="13"/>
    </row>
    <row r="2570" spans="12:13">
      <c r="L2570" s="1">
        <v>44660.902777769486</v>
      </c>
      <c r="M2570" s="13"/>
    </row>
    <row r="2571" spans="12:13">
      <c r="L2571" s="1">
        <v>44660.906249991705</v>
      </c>
      <c r="M2571" s="13"/>
    </row>
    <row r="2572" spans="12:13">
      <c r="L2572" s="1">
        <v>44660.909722213924</v>
      </c>
      <c r="M2572" s="13"/>
    </row>
    <row r="2573" spans="12:13">
      <c r="L2573" s="1">
        <v>44660.913194436143</v>
      </c>
      <c r="M2573" s="13"/>
    </row>
    <row r="2574" spans="12:13">
      <c r="L2574" s="1">
        <v>44660.916666658362</v>
      </c>
      <c r="M2574" s="13"/>
    </row>
    <row r="2575" spans="12:13">
      <c r="L2575" s="1">
        <v>44660.920138880581</v>
      </c>
      <c r="M2575" s="13"/>
    </row>
    <row r="2576" spans="12:13">
      <c r="L2576" s="1">
        <v>44660.9236111028</v>
      </c>
      <c r="M2576" s="13"/>
    </row>
    <row r="2577" spans="12:13">
      <c r="L2577" s="1">
        <v>44660.927083325019</v>
      </c>
      <c r="M2577" s="13"/>
    </row>
    <row r="2578" spans="12:13">
      <c r="L2578" s="1">
        <v>44660.930555547238</v>
      </c>
      <c r="M2578" s="13"/>
    </row>
    <row r="2579" spans="12:13">
      <c r="L2579" s="1">
        <v>44660.934027769457</v>
      </c>
      <c r="M2579" s="13"/>
    </row>
    <row r="2580" spans="12:13">
      <c r="L2580" s="1">
        <v>44660.937499991676</v>
      </c>
      <c r="M2580" s="13"/>
    </row>
    <row r="2581" spans="12:13">
      <c r="L2581" s="1">
        <v>44660.940972213895</v>
      </c>
      <c r="M2581" s="13"/>
    </row>
    <row r="2582" spans="12:13">
      <c r="L2582" s="1">
        <v>44660.944444436114</v>
      </c>
      <c r="M2582" s="13"/>
    </row>
    <row r="2583" spans="12:13">
      <c r="L2583" s="1">
        <v>44660.947916658333</v>
      </c>
      <c r="M2583" s="13"/>
    </row>
    <row r="2584" spans="12:13">
      <c r="L2584" s="1">
        <v>44660.951388880552</v>
      </c>
      <c r="M2584" s="13"/>
    </row>
    <row r="2585" spans="12:13">
      <c r="L2585" s="1">
        <v>44660.954861102771</v>
      </c>
      <c r="M2585" s="13"/>
    </row>
    <row r="2586" spans="12:13">
      <c r="L2586" s="1">
        <v>44660.95833332499</v>
      </c>
      <c r="M2586" s="13"/>
    </row>
    <row r="2587" spans="12:13">
      <c r="L2587" s="1">
        <v>44660.961805547209</v>
      </c>
      <c r="M2587" s="13"/>
    </row>
    <row r="2588" spans="12:13">
      <c r="L2588" s="1">
        <v>44660.965277769428</v>
      </c>
      <c r="M2588" s="13"/>
    </row>
    <row r="2589" spans="12:13">
      <c r="L2589" s="1">
        <v>44660.968749991647</v>
      </c>
      <c r="M2589" s="13"/>
    </row>
    <row r="2590" spans="12:13">
      <c r="L2590" s="1">
        <v>44660.972222213866</v>
      </c>
      <c r="M2590" s="13"/>
    </row>
    <row r="2591" spans="12:13">
      <c r="L2591" s="1">
        <v>44660.975694436085</v>
      </c>
      <c r="M2591" s="13"/>
    </row>
    <row r="2592" spans="12:13">
      <c r="L2592" s="1">
        <v>44660.979166658304</v>
      </c>
      <c r="M2592" s="13"/>
    </row>
    <row r="2593" spans="12:13">
      <c r="L2593" s="1">
        <v>44660.982638880523</v>
      </c>
      <c r="M2593" s="13"/>
    </row>
    <row r="2594" spans="12:13">
      <c r="L2594" s="1">
        <v>44660.986111102742</v>
      </c>
      <c r="M2594" s="13"/>
    </row>
    <row r="2595" spans="12:13">
      <c r="L2595" s="1">
        <v>44660.989583324961</v>
      </c>
      <c r="M2595" s="13"/>
    </row>
    <row r="2596" spans="12:13">
      <c r="L2596" s="1">
        <v>44660.99305554718</v>
      </c>
      <c r="M2596" s="13"/>
    </row>
    <row r="2597" spans="12:13">
      <c r="L2597" s="1">
        <v>44660.996527769399</v>
      </c>
      <c r="M2597" s="13"/>
    </row>
    <row r="2598" spans="12:13">
      <c r="L2598" s="1">
        <v>44660.999999991618</v>
      </c>
      <c r="M2598" s="13"/>
    </row>
    <row r="2599" spans="12:13">
      <c r="L2599" s="1">
        <v>44661.003472213837</v>
      </c>
      <c r="M2599" s="13"/>
    </row>
    <row r="2600" spans="12:13">
      <c r="L2600" s="1">
        <v>44661.006944436056</v>
      </c>
      <c r="M2600" s="13"/>
    </row>
    <row r="2601" spans="12:13">
      <c r="L2601" s="1">
        <v>44661.010416658275</v>
      </c>
      <c r="M2601" s="13"/>
    </row>
    <row r="2602" spans="12:13">
      <c r="L2602" s="1">
        <v>44661.013888880494</v>
      </c>
      <c r="M2602" s="13"/>
    </row>
    <row r="2603" spans="12:13">
      <c r="L2603" s="1">
        <v>44661.017361102713</v>
      </c>
      <c r="M2603" s="13"/>
    </row>
    <row r="2604" spans="12:13">
      <c r="L2604" s="1">
        <v>44661.020833324932</v>
      </c>
      <c r="M2604" s="13"/>
    </row>
    <row r="2605" spans="12:13">
      <c r="L2605" s="1">
        <v>44661.024305547151</v>
      </c>
      <c r="M2605" s="13"/>
    </row>
    <row r="2606" spans="12:13">
      <c r="L2606" s="1">
        <v>44661.02777776937</v>
      </c>
      <c r="M2606" s="13"/>
    </row>
    <row r="2607" spans="12:13">
      <c r="L2607" s="1">
        <v>44661.031249991589</v>
      </c>
      <c r="M2607" s="13"/>
    </row>
    <row r="2608" spans="12:13">
      <c r="L2608" s="1">
        <v>44661.034722213808</v>
      </c>
      <c r="M2608" s="13"/>
    </row>
    <row r="2609" spans="12:13">
      <c r="L2609" s="1">
        <v>44661.038194436027</v>
      </c>
      <c r="M2609" s="13"/>
    </row>
    <row r="2610" spans="12:13">
      <c r="L2610" s="1">
        <v>44661.041666658246</v>
      </c>
      <c r="M2610" s="13"/>
    </row>
    <row r="2611" spans="12:13">
      <c r="L2611" s="1">
        <v>44661.045138880465</v>
      </c>
      <c r="M2611" s="13"/>
    </row>
    <row r="2612" spans="12:13">
      <c r="L2612" s="1">
        <v>44661.048611102684</v>
      </c>
      <c r="M2612" s="13"/>
    </row>
    <row r="2613" spans="12:13">
      <c r="L2613" s="1">
        <v>44661.052083324903</v>
      </c>
      <c r="M2613" s="13"/>
    </row>
    <row r="2614" spans="12:13">
      <c r="L2614" s="1">
        <v>44661.055555547122</v>
      </c>
      <c r="M2614" s="13"/>
    </row>
    <row r="2615" spans="12:13">
      <c r="L2615" s="1">
        <v>44661.059027769341</v>
      </c>
      <c r="M2615" s="13"/>
    </row>
    <row r="2616" spans="12:13">
      <c r="L2616" s="1">
        <v>44661.06249999156</v>
      </c>
      <c r="M2616" s="13"/>
    </row>
    <row r="2617" spans="12:13">
      <c r="L2617" s="1">
        <v>44661.065972213779</v>
      </c>
      <c r="M2617" s="13"/>
    </row>
    <row r="2618" spans="12:13">
      <c r="L2618" s="1">
        <v>44661.069444435998</v>
      </c>
      <c r="M2618" s="13"/>
    </row>
    <row r="2619" spans="12:13">
      <c r="L2619" s="1">
        <v>44661.072916658217</v>
      </c>
      <c r="M2619" s="13"/>
    </row>
    <row r="2620" spans="12:13">
      <c r="L2620" s="1">
        <v>44661.076388880436</v>
      </c>
      <c r="M2620" s="13"/>
    </row>
    <row r="2621" spans="12:13">
      <c r="L2621" s="1">
        <v>44661.079861102655</v>
      </c>
      <c r="M2621" s="13"/>
    </row>
    <row r="2622" spans="12:13">
      <c r="L2622" s="1">
        <v>44661.083333324874</v>
      </c>
      <c r="M2622" s="13"/>
    </row>
    <row r="2623" spans="12:13">
      <c r="L2623" s="1">
        <v>44661.086805547093</v>
      </c>
      <c r="M2623" s="13"/>
    </row>
    <row r="2624" spans="12:13">
      <c r="L2624" s="1">
        <v>44661.090277769312</v>
      </c>
      <c r="M2624" s="13"/>
    </row>
    <row r="2625" spans="12:13">
      <c r="L2625" s="1">
        <v>44661.093749991531</v>
      </c>
      <c r="M2625" s="13"/>
    </row>
    <row r="2626" spans="12:13">
      <c r="L2626" s="1">
        <v>44661.09722221375</v>
      </c>
      <c r="M2626" s="13"/>
    </row>
    <row r="2627" spans="12:13">
      <c r="L2627" s="1">
        <v>44661.100694435969</v>
      </c>
      <c r="M2627" s="13"/>
    </row>
    <row r="2628" spans="12:13">
      <c r="L2628" s="1">
        <v>44661.104166658188</v>
      </c>
      <c r="M2628" s="13"/>
    </row>
    <row r="2629" spans="12:13">
      <c r="L2629" s="1">
        <v>44661.107638880407</v>
      </c>
      <c r="M2629" s="13"/>
    </row>
    <row r="2630" spans="12:13">
      <c r="L2630" s="1">
        <v>44661.111111102626</v>
      </c>
      <c r="M2630" s="13"/>
    </row>
    <row r="2631" spans="12:13">
      <c r="L2631" s="1">
        <v>44661.114583324845</v>
      </c>
      <c r="M2631" s="13"/>
    </row>
    <row r="2632" spans="12:13">
      <c r="L2632" s="1">
        <v>44661.118055547064</v>
      </c>
      <c r="M2632" s="13"/>
    </row>
    <row r="2633" spans="12:13">
      <c r="L2633" s="1">
        <v>44661.121527769283</v>
      </c>
      <c r="M2633" s="13"/>
    </row>
    <row r="2634" spans="12:13">
      <c r="L2634" s="1">
        <v>44661.124999991502</v>
      </c>
      <c r="M2634" s="13"/>
    </row>
    <row r="2635" spans="12:13">
      <c r="L2635" s="1">
        <v>44661.128472213721</v>
      </c>
      <c r="M2635" s="13"/>
    </row>
    <row r="2636" spans="12:13">
      <c r="L2636" s="1">
        <v>44661.13194443594</v>
      </c>
      <c r="M2636" s="13"/>
    </row>
    <row r="2637" spans="12:13">
      <c r="L2637" s="1">
        <v>44661.135416658159</v>
      </c>
      <c r="M2637" s="13"/>
    </row>
    <row r="2638" spans="12:13">
      <c r="L2638" s="1">
        <v>44661.138888880378</v>
      </c>
      <c r="M2638" s="13"/>
    </row>
    <row r="2639" spans="12:13">
      <c r="L2639" s="1">
        <v>44661.142361102597</v>
      </c>
      <c r="M2639" s="13"/>
    </row>
    <row r="2640" spans="12:13">
      <c r="L2640" s="1">
        <v>44661.145833324816</v>
      </c>
      <c r="M2640" s="13"/>
    </row>
    <row r="2641" spans="12:13">
      <c r="L2641" s="1">
        <v>44661.149305547035</v>
      </c>
      <c r="M2641" s="13"/>
    </row>
    <row r="2642" spans="12:13">
      <c r="L2642" s="1">
        <v>44661.152777769254</v>
      </c>
      <c r="M2642" s="13"/>
    </row>
    <row r="2643" spans="12:13">
      <c r="L2643" s="1">
        <v>44661.156249991473</v>
      </c>
      <c r="M2643" s="13"/>
    </row>
    <row r="2644" spans="12:13">
      <c r="L2644" s="1">
        <v>44661.159722213692</v>
      </c>
      <c r="M2644" s="13"/>
    </row>
    <row r="2645" spans="12:13">
      <c r="L2645" s="1">
        <v>44661.163194435911</v>
      </c>
      <c r="M2645" s="13"/>
    </row>
    <row r="2646" spans="12:13">
      <c r="L2646" s="1">
        <v>44661.16666665813</v>
      </c>
      <c r="M2646" s="13"/>
    </row>
    <row r="2647" spans="12:13">
      <c r="L2647" s="1">
        <v>44661.170138880349</v>
      </c>
      <c r="M2647" s="13"/>
    </row>
    <row r="2648" spans="12:13">
      <c r="L2648" s="1">
        <v>44661.173611102568</v>
      </c>
      <c r="M2648" s="13"/>
    </row>
    <row r="2649" spans="12:13">
      <c r="L2649" s="1">
        <v>44661.177083324787</v>
      </c>
      <c r="M2649" s="13"/>
    </row>
    <row r="2650" spans="12:13">
      <c r="L2650" s="1">
        <v>44661.180555547005</v>
      </c>
      <c r="M2650" s="13"/>
    </row>
    <row r="2651" spans="12:13">
      <c r="L2651" s="1">
        <v>44661.184027769224</v>
      </c>
      <c r="M2651" s="13"/>
    </row>
    <row r="2652" spans="12:13">
      <c r="L2652" s="1">
        <v>44661.187499991443</v>
      </c>
      <c r="M2652" s="13"/>
    </row>
    <row r="2653" spans="12:13">
      <c r="L2653" s="1">
        <v>44661.190972213662</v>
      </c>
      <c r="M2653" s="13"/>
    </row>
    <row r="2654" spans="12:13">
      <c r="L2654" s="1">
        <v>44661.194444435881</v>
      </c>
      <c r="M2654" s="13"/>
    </row>
    <row r="2655" spans="12:13">
      <c r="L2655" s="1">
        <v>44661.1979166581</v>
      </c>
      <c r="M2655" s="13"/>
    </row>
    <row r="2656" spans="12:13">
      <c r="L2656" s="1">
        <v>44661.201388880319</v>
      </c>
      <c r="M2656" s="13"/>
    </row>
    <row r="2657" spans="12:13">
      <c r="L2657" s="1">
        <v>44661.204861102538</v>
      </c>
      <c r="M2657" s="13"/>
    </row>
    <row r="2658" spans="12:13">
      <c r="L2658" s="1">
        <v>44661.208333324757</v>
      </c>
      <c r="M2658" s="13"/>
    </row>
    <row r="2659" spans="12:13">
      <c r="L2659" s="1">
        <v>44661.211805546976</v>
      </c>
      <c r="M2659" s="13"/>
    </row>
    <row r="2660" spans="12:13">
      <c r="L2660" s="1">
        <v>44661.215277769195</v>
      </c>
      <c r="M2660" s="13"/>
    </row>
    <row r="2661" spans="12:13">
      <c r="L2661" s="1">
        <v>44661.218749991414</v>
      </c>
      <c r="M2661" s="13"/>
    </row>
    <row r="2662" spans="12:13">
      <c r="L2662" s="1">
        <v>44661.222222213633</v>
      </c>
      <c r="M2662" s="13"/>
    </row>
    <row r="2663" spans="12:13">
      <c r="L2663" s="1">
        <v>44661.225694435852</v>
      </c>
      <c r="M2663" s="13"/>
    </row>
    <row r="2664" spans="12:13">
      <c r="L2664" s="1">
        <v>44661.229166658071</v>
      </c>
      <c r="M2664" s="13"/>
    </row>
    <row r="2665" spans="12:13">
      <c r="L2665" s="1">
        <v>44661.23263888029</v>
      </c>
      <c r="M2665" s="13"/>
    </row>
    <row r="2666" spans="12:13">
      <c r="L2666" s="1">
        <v>44661.236111102509</v>
      </c>
      <c r="M2666" s="13"/>
    </row>
    <row r="2667" spans="12:13">
      <c r="L2667" s="1">
        <v>44661.239583324728</v>
      </c>
      <c r="M2667" s="13"/>
    </row>
    <row r="2668" spans="12:13">
      <c r="L2668" s="1">
        <v>44661.243055546947</v>
      </c>
      <c r="M2668" s="13"/>
    </row>
    <row r="2669" spans="12:13">
      <c r="L2669" s="1">
        <v>44661.246527769166</v>
      </c>
      <c r="M2669" s="13"/>
    </row>
    <row r="2670" spans="12:13">
      <c r="L2670" s="1">
        <v>44661.249999991385</v>
      </c>
      <c r="M2670" s="13"/>
    </row>
    <row r="2671" spans="12:13">
      <c r="L2671" s="1">
        <v>44661.253472213604</v>
      </c>
      <c r="M2671" s="13"/>
    </row>
    <row r="2672" spans="12:13">
      <c r="L2672" s="1">
        <v>44661.256944435823</v>
      </c>
      <c r="M2672" s="13"/>
    </row>
    <row r="2673" spans="12:13">
      <c r="L2673" s="1">
        <v>44661.260416658042</v>
      </c>
      <c r="M2673" s="13"/>
    </row>
    <row r="2674" spans="12:13">
      <c r="L2674" s="1">
        <v>44661.263888880261</v>
      </c>
      <c r="M2674" s="13"/>
    </row>
    <row r="2675" spans="12:13">
      <c r="L2675" s="1">
        <v>44661.26736110248</v>
      </c>
      <c r="M2675" s="13"/>
    </row>
    <row r="2676" spans="12:13">
      <c r="L2676" s="1">
        <v>44661.270833324699</v>
      </c>
      <c r="M2676" s="13"/>
    </row>
    <row r="2677" spans="12:13">
      <c r="L2677" s="1">
        <v>44661.274305546918</v>
      </c>
      <c r="M2677" s="13"/>
    </row>
    <row r="2678" spans="12:13">
      <c r="L2678" s="1">
        <v>44661.277777769137</v>
      </c>
      <c r="M2678" s="13"/>
    </row>
    <row r="2679" spans="12:13">
      <c r="L2679" s="1">
        <v>44661.281249991356</v>
      </c>
      <c r="M2679" s="13"/>
    </row>
    <row r="2680" spans="12:13">
      <c r="L2680" s="1">
        <v>44661.284722213575</v>
      </c>
      <c r="M2680" s="13"/>
    </row>
    <row r="2681" spans="12:13">
      <c r="L2681" s="1">
        <v>44661.288194435794</v>
      </c>
      <c r="M2681" s="13"/>
    </row>
    <row r="2682" spans="12:13">
      <c r="L2682" s="1">
        <v>44661.291666658013</v>
      </c>
      <c r="M2682" s="13"/>
    </row>
    <row r="2683" spans="12:13">
      <c r="L2683" s="1">
        <v>44661.295138880232</v>
      </c>
      <c r="M2683" s="13"/>
    </row>
    <row r="2684" spans="12:13">
      <c r="L2684" s="1">
        <v>44661.298611102451</v>
      </c>
      <c r="M2684" s="13"/>
    </row>
    <row r="2685" spans="12:13">
      <c r="L2685" s="1">
        <v>44661.30208332467</v>
      </c>
      <c r="M2685" s="13"/>
    </row>
    <row r="2686" spans="12:13">
      <c r="L2686" s="1">
        <v>44661.305555546889</v>
      </c>
      <c r="M2686" s="13"/>
    </row>
    <row r="2687" spans="12:13">
      <c r="L2687" s="1">
        <v>44661.309027769108</v>
      </c>
      <c r="M2687" s="13"/>
    </row>
    <row r="2688" spans="12:13">
      <c r="L2688" s="1">
        <v>44661.312499991327</v>
      </c>
      <c r="M2688" s="13"/>
    </row>
    <row r="2689" spans="12:13">
      <c r="L2689" s="1">
        <v>44661.315972213546</v>
      </c>
      <c r="M2689" s="13"/>
    </row>
    <row r="2690" spans="12:13">
      <c r="L2690" s="1">
        <v>44661.319444435765</v>
      </c>
      <c r="M2690" s="13"/>
    </row>
    <row r="2691" spans="12:13">
      <c r="L2691" s="1">
        <v>44661.322916657984</v>
      </c>
      <c r="M2691" s="13"/>
    </row>
    <row r="2692" spans="12:13">
      <c r="L2692" s="1">
        <v>44661.326388880203</v>
      </c>
      <c r="M2692" s="13"/>
    </row>
    <row r="2693" spans="12:13">
      <c r="L2693" s="1">
        <v>44661.329861102422</v>
      </c>
      <c r="M2693" s="13"/>
    </row>
    <row r="2694" spans="12:13">
      <c r="L2694" s="1">
        <v>44661.333333324641</v>
      </c>
      <c r="M2694" s="13"/>
    </row>
    <row r="2695" spans="12:13">
      <c r="L2695" s="1">
        <v>44661.33680554686</v>
      </c>
      <c r="M2695" s="13"/>
    </row>
    <row r="2696" spans="12:13">
      <c r="L2696" s="1">
        <v>44661.340277769079</v>
      </c>
      <c r="M2696" s="13"/>
    </row>
    <row r="2697" spans="12:13">
      <c r="L2697" s="1">
        <v>44661.343749991298</v>
      </c>
      <c r="M2697" s="13"/>
    </row>
    <row r="2698" spans="12:13">
      <c r="L2698" s="1">
        <v>44661.347222213517</v>
      </c>
      <c r="M2698" s="13"/>
    </row>
    <row r="2699" spans="12:13">
      <c r="L2699" s="1">
        <v>44661.350694435736</v>
      </c>
      <c r="M2699" s="13"/>
    </row>
    <row r="2700" spans="12:13">
      <c r="L2700" s="1">
        <v>44661.354166657955</v>
      </c>
      <c r="M2700" s="13"/>
    </row>
    <row r="2701" spans="12:13">
      <c r="L2701" s="1">
        <v>44661.357638880174</v>
      </c>
      <c r="M2701" s="13"/>
    </row>
    <row r="2702" spans="12:13">
      <c r="L2702" s="1">
        <v>44661.361111102393</v>
      </c>
      <c r="M2702" s="13"/>
    </row>
    <row r="2703" spans="12:13">
      <c r="L2703" s="1">
        <v>44661.364583324612</v>
      </c>
      <c r="M2703" s="13"/>
    </row>
    <row r="2704" spans="12:13">
      <c r="L2704" s="1">
        <v>44661.368055546831</v>
      </c>
      <c r="M2704" s="13"/>
    </row>
    <row r="2705" spans="12:13">
      <c r="L2705" s="1">
        <v>44661.37152776905</v>
      </c>
      <c r="M2705" s="13"/>
    </row>
    <row r="2706" spans="12:13">
      <c r="L2706" s="1">
        <v>44661.374999991269</v>
      </c>
      <c r="M2706" s="13"/>
    </row>
    <row r="2707" spans="12:13">
      <c r="L2707" s="1">
        <v>44661.378472213488</v>
      </c>
      <c r="M2707" s="13"/>
    </row>
    <row r="2708" spans="12:13">
      <c r="L2708" s="1">
        <v>44661.381944435707</v>
      </c>
      <c r="M2708" s="13"/>
    </row>
    <row r="2709" spans="12:13">
      <c r="L2709" s="1">
        <v>44661.385416657926</v>
      </c>
      <c r="M2709" s="13"/>
    </row>
    <row r="2710" spans="12:13">
      <c r="L2710" s="1">
        <v>44661.388888880145</v>
      </c>
      <c r="M2710" s="13"/>
    </row>
    <row r="2711" spans="12:13">
      <c r="L2711" s="1">
        <v>44661.392361102364</v>
      </c>
      <c r="M2711" s="13"/>
    </row>
    <row r="2712" spans="12:13">
      <c r="L2712" s="1">
        <v>44661.395833324583</v>
      </c>
      <c r="M2712" s="13"/>
    </row>
    <row r="2713" spans="12:13">
      <c r="L2713" s="1">
        <v>44661.399305546802</v>
      </c>
      <c r="M2713" s="13"/>
    </row>
    <row r="2714" spans="12:13">
      <c r="L2714" s="1">
        <v>44661.402777769021</v>
      </c>
      <c r="M2714" s="13"/>
    </row>
    <row r="2715" spans="12:13">
      <c r="L2715" s="1">
        <v>44661.40624999124</v>
      </c>
      <c r="M2715" s="13"/>
    </row>
    <row r="2716" spans="12:13">
      <c r="L2716" s="1">
        <v>44661.409722213459</v>
      </c>
      <c r="M2716" s="13"/>
    </row>
    <row r="2717" spans="12:13">
      <c r="L2717" s="1">
        <v>44661.413194435678</v>
      </c>
      <c r="M2717" s="13"/>
    </row>
    <row r="2718" spans="12:13">
      <c r="L2718" s="1">
        <v>44661.416666657897</v>
      </c>
      <c r="M2718" s="13"/>
    </row>
    <row r="2719" spans="12:13">
      <c r="L2719" s="1">
        <v>44661.420138880116</v>
      </c>
      <c r="M2719" s="13"/>
    </row>
    <row r="2720" spans="12:13">
      <c r="L2720" s="1">
        <v>44661.423611102335</v>
      </c>
      <c r="M2720" s="13"/>
    </row>
    <row r="2721" spans="12:13">
      <c r="L2721" s="1">
        <v>44661.427083324554</v>
      </c>
      <c r="M2721" s="13"/>
    </row>
    <row r="2722" spans="12:13">
      <c r="L2722" s="1">
        <v>44661.430555546773</v>
      </c>
      <c r="M2722" s="13"/>
    </row>
    <row r="2723" spans="12:13">
      <c r="L2723" s="1">
        <v>44661.434027768992</v>
      </c>
      <c r="M2723" s="13"/>
    </row>
    <row r="2724" spans="12:13">
      <c r="L2724" s="1">
        <v>44661.437499991211</v>
      </c>
      <c r="M2724" s="13"/>
    </row>
    <row r="2725" spans="12:13">
      <c r="L2725" s="1">
        <v>44661.44097221343</v>
      </c>
      <c r="M2725" s="13"/>
    </row>
    <row r="2726" spans="12:13">
      <c r="L2726" s="1">
        <v>44661.444444435649</v>
      </c>
      <c r="M2726" s="13"/>
    </row>
    <row r="2727" spans="12:13">
      <c r="L2727" s="1">
        <v>44661.447916657868</v>
      </c>
      <c r="M2727" s="13"/>
    </row>
    <row r="2728" spans="12:13">
      <c r="L2728" s="1">
        <v>44661.451388880087</v>
      </c>
      <c r="M2728" s="13"/>
    </row>
    <row r="2729" spans="12:13">
      <c r="L2729" s="1">
        <v>44661.454861102306</v>
      </c>
      <c r="M2729" s="13"/>
    </row>
    <row r="2730" spans="12:13">
      <c r="L2730" s="1">
        <v>44661.458333324525</v>
      </c>
      <c r="M2730" s="13"/>
    </row>
    <row r="2731" spans="12:13">
      <c r="L2731" s="1">
        <v>44661.461805546744</v>
      </c>
      <c r="M2731" s="13"/>
    </row>
    <row r="2732" spans="12:13">
      <c r="L2732" s="1">
        <v>44661.465277768963</v>
      </c>
      <c r="M2732" s="13"/>
    </row>
    <row r="2733" spans="12:13">
      <c r="L2733" s="1">
        <v>44661.468749991182</v>
      </c>
      <c r="M2733" s="13"/>
    </row>
    <row r="2734" spans="12:13">
      <c r="L2734" s="1">
        <v>44661.472222213401</v>
      </c>
      <c r="M2734" s="13"/>
    </row>
    <row r="2735" spans="12:13">
      <c r="L2735" s="1">
        <v>44661.47569443562</v>
      </c>
      <c r="M2735" s="13"/>
    </row>
    <row r="2736" spans="12:13">
      <c r="L2736" s="1">
        <v>44661.479166657839</v>
      </c>
      <c r="M2736" s="13"/>
    </row>
    <row r="2737" spans="12:13">
      <c r="L2737" s="1">
        <v>44661.482638880057</v>
      </c>
      <c r="M2737" s="13"/>
    </row>
    <row r="2738" spans="12:13">
      <c r="L2738" s="1">
        <v>44661.486111102276</v>
      </c>
      <c r="M2738" s="13"/>
    </row>
    <row r="2739" spans="12:13">
      <c r="L2739" s="1">
        <v>44661.489583324495</v>
      </c>
      <c r="M2739" s="13"/>
    </row>
    <row r="2740" spans="12:13">
      <c r="L2740" s="1">
        <v>44661.493055546714</v>
      </c>
      <c r="M2740" s="13"/>
    </row>
    <row r="2741" spans="12:13">
      <c r="L2741" s="1">
        <v>44661.496527768933</v>
      </c>
      <c r="M2741" s="13"/>
    </row>
    <row r="2742" spans="12:13">
      <c r="L2742" s="1">
        <v>44661.499999991152</v>
      </c>
      <c r="M2742" s="13"/>
    </row>
    <row r="2743" spans="12:13">
      <c r="L2743" s="1">
        <v>44661.503472213371</v>
      </c>
      <c r="M2743" s="13"/>
    </row>
    <row r="2744" spans="12:13">
      <c r="L2744" s="1">
        <v>44661.50694443559</v>
      </c>
      <c r="M2744" s="13"/>
    </row>
    <row r="2745" spans="12:13">
      <c r="L2745" s="1">
        <v>44661.510416657809</v>
      </c>
      <c r="M2745" s="13"/>
    </row>
    <row r="2746" spans="12:13">
      <c r="L2746" s="1">
        <v>44661.513888880028</v>
      </c>
      <c r="M2746" s="13"/>
    </row>
    <row r="2747" spans="12:13">
      <c r="L2747" s="1">
        <v>44661.517361102247</v>
      </c>
      <c r="M2747" s="13"/>
    </row>
    <row r="2748" spans="12:13">
      <c r="L2748" s="1">
        <v>44661.520833324466</v>
      </c>
      <c r="M2748" s="13"/>
    </row>
    <row r="2749" spans="12:13">
      <c r="L2749" s="1">
        <v>44661.524305546685</v>
      </c>
      <c r="M2749" s="13"/>
    </row>
    <row r="2750" spans="12:13">
      <c r="L2750" s="1">
        <v>44661.527777768904</v>
      </c>
      <c r="M2750" s="13"/>
    </row>
    <row r="2751" spans="12:13">
      <c r="L2751" s="1">
        <v>44661.531249991123</v>
      </c>
      <c r="M2751" s="13"/>
    </row>
    <row r="2752" spans="12:13">
      <c r="L2752" s="1">
        <v>44661.534722213342</v>
      </c>
      <c r="M2752" s="13"/>
    </row>
    <row r="2753" spans="12:13">
      <c r="L2753" s="1">
        <v>44661.538194435561</v>
      </c>
      <c r="M2753" s="13"/>
    </row>
    <row r="2754" spans="12:13">
      <c r="L2754" s="1">
        <v>44661.54166665778</v>
      </c>
      <c r="M2754" s="13"/>
    </row>
    <row r="2755" spans="12:13">
      <c r="L2755" s="1">
        <v>44661.545138879999</v>
      </c>
      <c r="M2755" s="13"/>
    </row>
    <row r="2756" spans="12:13">
      <c r="L2756" s="1">
        <v>44661.548611102218</v>
      </c>
      <c r="M2756" s="13"/>
    </row>
    <row r="2757" spans="12:13">
      <c r="L2757" s="1">
        <v>44661.552083324437</v>
      </c>
      <c r="M2757" s="13"/>
    </row>
    <row r="2758" spans="12:13">
      <c r="L2758" s="1">
        <v>44661.555555546656</v>
      </c>
      <c r="M2758" s="13"/>
    </row>
    <row r="2759" spans="12:13">
      <c r="L2759" s="1">
        <v>44661.559027768875</v>
      </c>
      <c r="M2759" s="13"/>
    </row>
    <row r="2760" spans="12:13">
      <c r="L2760" s="1">
        <v>44661.562499991094</v>
      </c>
      <c r="M2760" s="13"/>
    </row>
    <row r="2761" spans="12:13">
      <c r="L2761" s="1">
        <v>44661.565972213313</v>
      </c>
      <c r="M2761" s="13"/>
    </row>
    <row r="2762" spans="12:13">
      <c r="L2762" s="1">
        <v>44661.569444435532</v>
      </c>
      <c r="M2762" s="13"/>
    </row>
    <row r="2763" spans="12:13">
      <c r="L2763" s="1">
        <v>44661.572916657751</v>
      </c>
      <c r="M2763" s="13"/>
    </row>
    <row r="2764" spans="12:13">
      <c r="L2764" s="1">
        <v>44661.57638887997</v>
      </c>
      <c r="M2764" s="13"/>
    </row>
    <row r="2765" spans="12:13">
      <c r="L2765" s="1">
        <v>44661.579861102189</v>
      </c>
      <c r="M2765" s="13"/>
    </row>
    <row r="2766" spans="12:13">
      <c r="L2766" s="1">
        <v>44661.583333324408</v>
      </c>
      <c r="M2766" s="13"/>
    </row>
    <row r="2767" spans="12:13">
      <c r="L2767" s="1">
        <v>44661.586805546627</v>
      </c>
      <c r="M2767" s="13"/>
    </row>
    <row r="2768" spans="12:13">
      <c r="L2768" s="1">
        <v>44661.590277768846</v>
      </c>
      <c r="M2768" s="13"/>
    </row>
    <row r="2769" spans="12:13">
      <c r="L2769" s="1">
        <v>44661.593749991065</v>
      </c>
      <c r="M2769" s="13"/>
    </row>
    <row r="2770" spans="12:13">
      <c r="L2770" s="1">
        <v>44661.597222213284</v>
      </c>
      <c r="M2770" s="13"/>
    </row>
    <row r="2771" spans="12:13">
      <c r="L2771" s="1">
        <v>44661.600694435503</v>
      </c>
      <c r="M2771" s="13"/>
    </row>
    <row r="2772" spans="12:13">
      <c r="L2772" s="1">
        <v>44661.604166657722</v>
      </c>
      <c r="M2772" s="13"/>
    </row>
    <row r="2773" spans="12:13">
      <c r="L2773" s="1">
        <v>44661.607638879941</v>
      </c>
      <c r="M2773" s="13"/>
    </row>
    <row r="2774" spans="12:13">
      <c r="L2774" s="1">
        <v>44661.61111110216</v>
      </c>
      <c r="M2774" s="13"/>
    </row>
    <row r="2775" spans="12:13">
      <c r="L2775" s="1">
        <v>44661.614583324379</v>
      </c>
      <c r="M2775" s="13"/>
    </row>
    <row r="2776" spans="12:13">
      <c r="L2776" s="1">
        <v>44661.618055546598</v>
      </c>
      <c r="M2776" s="13"/>
    </row>
    <row r="2777" spans="12:13">
      <c r="L2777" s="1">
        <v>44661.621527768817</v>
      </c>
      <c r="M2777" s="13"/>
    </row>
    <row r="2778" spans="12:13">
      <c r="L2778" s="1">
        <v>44661.624999991036</v>
      </c>
      <c r="M2778" s="13"/>
    </row>
    <row r="2779" spans="12:13">
      <c r="L2779" s="1">
        <v>44661.628472213255</v>
      </c>
      <c r="M2779" s="13"/>
    </row>
    <row r="2780" spans="12:13">
      <c r="L2780" s="1">
        <v>44661.631944435474</v>
      </c>
      <c r="M2780" s="13"/>
    </row>
    <row r="2781" spans="12:13">
      <c r="L2781" s="1">
        <v>44661.635416657693</v>
      </c>
      <c r="M2781" s="13"/>
    </row>
    <row r="2782" spans="12:13">
      <c r="L2782" s="1">
        <v>44661.638888879912</v>
      </c>
      <c r="M2782" s="13"/>
    </row>
    <row r="2783" spans="12:13">
      <c r="L2783" s="1">
        <v>44661.642361102131</v>
      </c>
      <c r="M2783" s="13"/>
    </row>
    <row r="2784" spans="12:13">
      <c r="L2784" s="1">
        <v>44661.64583332435</v>
      </c>
      <c r="M2784" s="13"/>
    </row>
    <row r="2785" spans="12:13">
      <c r="L2785" s="1">
        <v>44661.649305546569</v>
      </c>
      <c r="M2785" s="13"/>
    </row>
    <row r="2786" spans="12:13">
      <c r="L2786" s="1">
        <v>44661.652777768788</v>
      </c>
      <c r="M2786" s="13"/>
    </row>
    <row r="2787" spans="12:13">
      <c r="L2787" s="1">
        <v>44661.656249991007</v>
      </c>
      <c r="M2787" s="13"/>
    </row>
    <row r="2788" spans="12:13">
      <c r="L2788" s="1">
        <v>44661.659722213226</v>
      </c>
      <c r="M2788" s="13"/>
    </row>
    <row r="2789" spans="12:13">
      <c r="L2789" s="1">
        <v>44661.663194435445</v>
      </c>
      <c r="M2789" s="13"/>
    </row>
    <row r="2790" spans="12:13">
      <c r="L2790" s="1">
        <v>44661.666666657664</v>
      </c>
      <c r="M2790" s="13"/>
    </row>
    <row r="2791" spans="12:13">
      <c r="L2791" s="1">
        <v>44661.670138879883</v>
      </c>
      <c r="M2791" s="13"/>
    </row>
    <row r="2792" spans="12:13">
      <c r="L2792" s="1">
        <v>44661.673611102102</v>
      </c>
      <c r="M2792" s="13"/>
    </row>
    <row r="2793" spans="12:13">
      <c r="L2793" s="1">
        <v>44661.677083324321</v>
      </c>
      <c r="M2793" s="13"/>
    </row>
    <row r="2794" spans="12:13">
      <c r="L2794" s="1">
        <v>44661.68055554654</v>
      </c>
      <c r="M2794" s="13"/>
    </row>
    <row r="2795" spans="12:13">
      <c r="L2795" s="1">
        <v>44661.684027768759</v>
      </c>
      <c r="M2795" s="13"/>
    </row>
    <row r="2796" spans="12:13">
      <c r="L2796" s="1">
        <v>44661.687499990978</v>
      </c>
      <c r="M2796" s="13"/>
    </row>
    <row r="2797" spans="12:13">
      <c r="L2797" s="1">
        <v>44661.690972213197</v>
      </c>
      <c r="M2797" s="13"/>
    </row>
    <row r="2798" spans="12:13">
      <c r="L2798" s="1">
        <v>44661.694444435416</v>
      </c>
      <c r="M2798" s="13"/>
    </row>
    <row r="2799" spans="12:13">
      <c r="L2799" s="1">
        <v>44661.697916657635</v>
      </c>
      <c r="M2799" s="13"/>
    </row>
    <row r="2800" spans="12:13">
      <c r="L2800" s="1">
        <v>44661.701388879854</v>
      </c>
      <c r="M2800" s="13"/>
    </row>
    <row r="2801" spans="12:13">
      <c r="L2801" s="1">
        <v>44661.704861102073</v>
      </c>
      <c r="M2801" s="13"/>
    </row>
    <row r="2802" spans="12:13">
      <c r="L2802" s="1">
        <v>44661.708333324292</v>
      </c>
      <c r="M2802" s="13"/>
    </row>
    <row r="2803" spans="12:13">
      <c r="L2803" s="1">
        <v>44661.711805546511</v>
      </c>
      <c r="M2803" s="13"/>
    </row>
    <row r="2804" spans="12:13">
      <c r="L2804" s="1">
        <v>44661.71527776873</v>
      </c>
      <c r="M2804" s="13"/>
    </row>
    <row r="2805" spans="12:13">
      <c r="L2805" s="1">
        <v>44661.718749990949</v>
      </c>
      <c r="M2805" s="13"/>
    </row>
    <row r="2806" spans="12:13">
      <c r="L2806" s="1">
        <v>44661.722222213168</v>
      </c>
      <c r="M2806" s="13"/>
    </row>
    <row r="2807" spans="12:13">
      <c r="L2807" s="1">
        <v>44661.725694435387</v>
      </c>
      <c r="M2807" s="13"/>
    </row>
    <row r="2808" spans="12:13">
      <c r="L2808" s="1">
        <v>44661.729166657606</v>
      </c>
      <c r="M2808" s="13"/>
    </row>
    <row r="2809" spans="12:13">
      <c r="L2809" s="1">
        <v>44661.732638879825</v>
      </c>
      <c r="M2809" s="13"/>
    </row>
    <row r="2810" spans="12:13">
      <c r="L2810" s="1">
        <v>44661.736111102044</v>
      </c>
      <c r="M2810" s="13"/>
    </row>
    <row r="2811" spans="12:13">
      <c r="L2811" s="1">
        <v>44661.739583324263</v>
      </c>
      <c r="M2811" s="13"/>
    </row>
    <row r="2812" spans="12:13">
      <c r="L2812" s="1">
        <v>44661.743055546482</v>
      </c>
      <c r="M2812" s="13"/>
    </row>
    <row r="2813" spans="12:13">
      <c r="L2813" s="1">
        <v>44661.746527768701</v>
      </c>
      <c r="M2813" s="13"/>
    </row>
    <row r="2814" spans="12:13">
      <c r="L2814" s="1">
        <v>44661.74999999092</v>
      </c>
      <c r="M2814" s="13"/>
    </row>
    <row r="2815" spans="12:13">
      <c r="L2815" s="1">
        <v>44661.753472213139</v>
      </c>
      <c r="M2815" s="13"/>
    </row>
    <row r="2816" spans="12:13">
      <c r="L2816" s="1">
        <v>44661.756944435358</v>
      </c>
      <c r="M2816" s="13"/>
    </row>
    <row r="2817" spans="12:13">
      <c r="L2817" s="1">
        <v>44661.760416657577</v>
      </c>
      <c r="M2817" s="13"/>
    </row>
    <row r="2818" spans="12:13">
      <c r="L2818" s="1">
        <v>44661.763888879796</v>
      </c>
      <c r="M2818" s="13"/>
    </row>
    <row r="2819" spans="12:13">
      <c r="L2819" s="1">
        <v>44661.767361102015</v>
      </c>
      <c r="M2819" s="13"/>
    </row>
    <row r="2820" spans="12:13">
      <c r="L2820" s="1">
        <v>44661.770833324234</v>
      </c>
      <c r="M2820" s="13"/>
    </row>
    <row r="2821" spans="12:13">
      <c r="L2821" s="1">
        <v>44661.774305546453</v>
      </c>
      <c r="M2821" s="13"/>
    </row>
    <row r="2822" spans="12:13">
      <c r="L2822" s="1">
        <v>44661.777777768672</v>
      </c>
      <c r="M2822" s="13"/>
    </row>
    <row r="2823" spans="12:13">
      <c r="L2823" s="1">
        <v>44661.781249990891</v>
      </c>
      <c r="M2823" s="13"/>
    </row>
    <row r="2824" spans="12:13">
      <c r="L2824" s="1">
        <v>44661.784722213109</v>
      </c>
      <c r="M2824" s="13"/>
    </row>
    <row r="2825" spans="12:13">
      <c r="L2825" s="1">
        <v>44661.788194435328</v>
      </c>
      <c r="M2825" s="13"/>
    </row>
    <row r="2826" spans="12:13">
      <c r="L2826" s="1">
        <v>44661.791666657547</v>
      </c>
      <c r="M2826" s="13"/>
    </row>
    <row r="2827" spans="12:13">
      <c r="L2827" s="1">
        <v>44661.795138879766</v>
      </c>
      <c r="M2827" s="13"/>
    </row>
    <row r="2828" spans="12:13">
      <c r="L2828" s="1">
        <v>44661.798611101985</v>
      </c>
      <c r="M2828" s="13"/>
    </row>
    <row r="2829" spans="12:13">
      <c r="L2829" s="1">
        <v>44661.802083324204</v>
      </c>
      <c r="M2829" s="13"/>
    </row>
    <row r="2830" spans="12:13">
      <c r="L2830" s="1">
        <v>44661.805555546423</v>
      </c>
      <c r="M2830" s="13"/>
    </row>
    <row r="2831" spans="12:13">
      <c r="L2831" s="1">
        <v>44661.809027768642</v>
      </c>
      <c r="M2831" s="13"/>
    </row>
    <row r="2832" spans="12:13">
      <c r="L2832" s="1">
        <v>44661.812499990861</v>
      </c>
      <c r="M2832" s="13"/>
    </row>
    <row r="2833" spans="12:13">
      <c r="L2833" s="1">
        <v>44661.81597221308</v>
      </c>
      <c r="M2833" s="13"/>
    </row>
    <row r="2834" spans="12:13">
      <c r="L2834" s="1">
        <v>44661.819444435299</v>
      </c>
      <c r="M2834" s="13"/>
    </row>
    <row r="2835" spans="12:13">
      <c r="L2835" s="1">
        <v>44661.822916657518</v>
      </c>
      <c r="M2835" s="13"/>
    </row>
    <row r="2836" spans="12:13">
      <c r="L2836" s="1">
        <v>44661.826388879737</v>
      </c>
      <c r="M2836" s="13"/>
    </row>
    <row r="2837" spans="12:13">
      <c r="L2837" s="1">
        <v>44661.829861101956</v>
      </c>
      <c r="M2837" s="13"/>
    </row>
    <row r="2838" spans="12:13">
      <c r="L2838" s="1">
        <v>44661.833333324175</v>
      </c>
      <c r="M2838" s="13"/>
    </row>
    <row r="2839" spans="12:13">
      <c r="L2839" s="1">
        <v>44661.836805546394</v>
      </c>
      <c r="M2839" s="13"/>
    </row>
    <row r="2840" spans="12:13">
      <c r="L2840" s="1">
        <v>44661.840277768613</v>
      </c>
      <c r="M2840" s="13"/>
    </row>
    <row r="2841" spans="12:13">
      <c r="L2841" s="1">
        <v>44661.843749990832</v>
      </c>
      <c r="M2841" s="13"/>
    </row>
    <row r="2842" spans="12:13">
      <c r="L2842" s="1">
        <v>44661.847222213051</v>
      </c>
      <c r="M2842" s="13"/>
    </row>
    <row r="2843" spans="12:13">
      <c r="L2843" s="1">
        <v>44661.85069443527</v>
      </c>
      <c r="M2843" s="13"/>
    </row>
    <row r="2844" spans="12:13">
      <c r="L2844" s="1">
        <v>44661.854166657489</v>
      </c>
      <c r="M2844" s="13"/>
    </row>
    <row r="2845" spans="12:13">
      <c r="L2845" s="1">
        <v>44661.857638879708</v>
      </c>
      <c r="M2845" s="13"/>
    </row>
    <row r="2846" spans="12:13">
      <c r="L2846" s="1">
        <v>44661.861111101927</v>
      </c>
      <c r="M2846" s="13"/>
    </row>
    <row r="2847" spans="12:13">
      <c r="L2847" s="1">
        <v>44661.864583324146</v>
      </c>
      <c r="M2847" s="13"/>
    </row>
    <row r="2848" spans="12:13">
      <c r="L2848" s="1">
        <v>44661.868055546365</v>
      </c>
      <c r="M2848" s="13"/>
    </row>
    <row r="2849" spans="12:13">
      <c r="L2849" s="1">
        <v>44661.871527768584</v>
      </c>
      <c r="M2849" s="13"/>
    </row>
    <row r="2850" spans="12:13">
      <c r="L2850" s="1">
        <v>44661.874999990803</v>
      </c>
      <c r="M2850" s="13"/>
    </row>
    <row r="2851" spans="12:13">
      <c r="L2851" s="1">
        <v>44661.878472213022</v>
      </c>
      <c r="M2851" s="13"/>
    </row>
    <row r="2852" spans="12:13">
      <c r="L2852" s="1">
        <v>44661.881944435241</v>
      </c>
      <c r="M2852" s="13"/>
    </row>
    <row r="2853" spans="12:13">
      <c r="L2853" s="1">
        <v>44661.88541665746</v>
      </c>
      <c r="M2853" s="13"/>
    </row>
    <row r="2854" spans="12:13">
      <c r="L2854" s="1">
        <v>44661.888888879679</v>
      </c>
      <c r="M2854" s="13"/>
    </row>
    <row r="2855" spans="12:13">
      <c r="L2855" s="1">
        <v>44661.892361101898</v>
      </c>
      <c r="M2855" s="13"/>
    </row>
    <row r="2856" spans="12:13">
      <c r="L2856" s="1">
        <v>44661.895833324117</v>
      </c>
      <c r="M2856" s="13"/>
    </row>
    <row r="2857" spans="12:13">
      <c r="L2857" s="1">
        <v>44661.899305546336</v>
      </c>
      <c r="M2857" s="13"/>
    </row>
    <row r="2858" spans="12:13">
      <c r="L2858" s="1">
        <v>44661.902777768555</v>
      </c>
      <c r="M2858" s="13"/>
    </row>
    <row r="2859" spans="12:13">
      <c r="L2859" s="1">
        <v>44661.906249990774</v>
      </c>
      <c r="M2859" s="13"/>
    </row>
    <row r="2860" spans="12:13">
      <c r="L2860" s="1">
        <v>44661.909722212993</v>
      </c>
      <c r="M2860" s="13"/>
    </row>
    <row r="2861" spans="12:13">
      <c r="L2861" s="1">
        <v>44661.913194435212</v>
      </c>
      <c r="M2861" s="13"/>
    </row>
    <row r="2862" spans="12:13">
      <c r="L2862" s="1">
        <v>44661.916666657431</v>
      </c>
      <c r="M2862" s="13"/>
    </row>
    <row r="2863" spans="12:13">
      <c r="L2863" s="1">
        <v>44661.92013887965</v>
      </c>
      <c r="M2863" s="13"/>
    </row>
    <row r="2864" spans="12:13">
      <c r="L2864" s="1">
        <v>44661.923611101869</v>
      </c>
      <c r="M2864" s="13"/>
    </row>
    <row r="2865" spans="12:13">
      <c r="L2865" s="1">
        <v>44661.927083324088</v>
      </c>
      <c r="M2865" s="13"/>
    </row>
    <row r="2866" spans="12:13">
      <c r="L2866" s="1">
        <v>44661.930555546307</v>
      </c>
      <c r="M2866" s="13"/>
    </row>
    <row r="2867" spans="12:13">
      <c r="L2867" s="1">
        <v>44661.934027768526</v>
      </c>
      <c r="M2867" s="13"/>
    </row>
    <row r="2868" spans="12:13">
      <c r="L2868" s="1">
        <v>44661.937499990745</v>
      </c>
      <c r="M2868" s="13"/>
    </row>
    <row r="2869" spans="12:13">
      <c r="L2869" s="1">
        <v>44661.940972212964</v>
      </c>
      <c r="M2869" s="13"/>
    </row>
    <row r="2870" spans="12:13">
      <c r="L2870" s="1">
        <v>44661.944444435183</v>
      </c>
      <c r="M2870" s="13"/>
    </row>
    <row r="2871" spans="12:13">
      <c r="L2871" s="1">
        <v>44661.947916657402</v>
      </c>
      <c r="M2871" s="13"/>
    </row>
    <row r="2872" spans="12:13">
      <c r="L2872" s="1">
        <v>44661.951388879621</v>
      </c>
      <c r="M2872" s="13"/>
    </row>
    <row r="2873" spans="12:13">
      <c r="L2873" s="1">
        <v>44661.95486110184</v>
      </c>
      <c r="M2873" s="13"/>
    </row>
    <row r="2874" spans="12:13">
      <c r="L2874" s="1">
        <v>44661.958333324059</v>
      </c>
      <c r="M2874" s="13"/>
    </row>
    <row r="2875" spans="12:13">
      <c r="L2875" s="1">
        <v>44661.961805546278</v>
      </c>
      <c r="M2875" s="13"/>
    </row>
    <row r="2876" spans="12:13">
      <c r="L2876" s="1">
        <v>44661.965277768497</v>
      </c>
      <c r="M2876" s="13"/>
    </row>
    <row r="2877" spans="12:13">
      <c r="L2877" s="1">
        <v>44661.968749990716</v>
      </c>
      <c r="M2877" s="13"/>
    </row>
    <row r="2878" spans="12:13">
      <c r="L2878" s="1">
        <v>44661.972222212935</v>
      </c>
      <c r="M2878" s="13"/>
    </row>
    <row r="2879" spans="12:13">
      <c r="L2879" s="1">
        <v>44661.975694435154</v>
      </c>
      <c r="M2879" s="13"/>
    </row>
    <row r="2880" spans="12:13">
      <c r="L2880" s="1">
        <v>44661.979166657373</v>
      </c>
      <c r="M2880" s="13"/>
    </row>
    <row r="2881" spans="12:13">
      <c r="L2881" s="1">
        <v>44661.982638879592</v>
      </c>
      <c r="M2881" s="13"/>
    </row>
    <row r="2882" spans="12:13">
      <c r="L2882" s="1">
        <v>44661.986111101811</v>
      </c>
      <c r="M2882" s="13"/>
    </row>
    <row r="2883" spans="12:13">
      <c r="L2883" s="1">
        <v>44661.98958332403</v>
      </c>
      <c r="M2883" s="13"/>
    </row>
    <row r="2884" spans="12:13">
      <c r="L2884" s="1">
        <v>44661.993055546249</v>
      </c>
      <c r="M2884" s="13"/>
    </row>
    <row r="2885" spans="12:13">
      <c r="L2885" s="1">
        <v>44661.996527768468</v>
      </c>
      <c r="M2885" s="13"/>
    </row>
    <row r="2886" spans="12:13">
      <c r="L2886" s="1">
        <v>44661.999999990687</v>
      </c>
      <c r="M2886" s="13"/>
    </row>
    <row r="2887" spans="12:13">
      <c r="L2887" s="1">
        <v>44662.003472212906</v>
      </c>
      <c r="M2887" s="13"/>
    </row>
    <row r="2888" spans="12:13">
      <c r="L2888" s="1">
        <v>44662.006944435125</v>
      </c>
      <c r="M2888" s="13"/>
    </row>
    <row r="2889" spans="12:13">
      <c r="L2889" s="1">
        <v>44662.010416657344</v>
      </c>
      <c r="M2889" s="13"/>
    </row>
    <row r="2890" spans="12:13">
      <c r="L2890" s="1">
        <v>44662.013888879563</v>
      </c>
      <c r="M2890" s="13"/>
    </row>
    <row r="2891" spans="12:13">
      <c r="L2891" s="1">
        <v>44662.017361101782</v>
      </c>
      <c r="M2891" s="13"/>
    </row>
    <row r="2892" spans="12:13">
      <c r="L2892" s="1">
        <v>44662.020833324001</v>
      </c>
      <c r="M2892" s="13"/>
    </row>
    <row r="2893" spans="12:13">
      <c r="L2893" s="1">
        <v>44662.02430554622</v>
      </c>
      <c r="M2893" s="13"/>
    </row>
    <row r="2894" spans="12:13">
      <c r="L2894" s="1">
        <v>44662.027777768439</v>
      </c>
      <c r="M2894" s="13"/>
    </row>
    <row r="2895" spans="12:13">
      <c r="L2895" s="1">
        <v>44662.031249990658</v>
      </c>
      <c r="M2895" s="13"/>
    </row>
    <row r="2896" spans="12:13">
      <c r="L2896" s="1">
        <v>44662.034722212877</v>
      </c>
      <c r="M2896" s="13"/>
    </row>
    <row r="2897" spans="12:13">
      <c r="L2897" s="1">
        <v>44662.038194435096</v>
      </c>
      <c r="M2897" s="13"/>
    </row>
    <row r="2898" spans="12:13">
      <c r="L2898" s="1">
        <v>44662.041666657315</v>
      </c>
      <c r="M2898" s="13"/>
    </row>
    <row r="2899" spans="12:13">
      <c r="L2899" s="1">
        <v>44662.045138879534</v>
      </c>
      <c r="M2899" s="13"/>
    </row>
    <row r="2900" spans="12:13">
      <c r="L2900" s="1">
        <v>44662.048611101753</v>
      </c>
      <c r="M2900" s="13"/>
    </row>
    <row r="2901" spans="12:13">
      <c r="L2901" s="1">
        <v>44662.052083323972</v>
      </c>
      <c r="M2901" s="13"/>
    </row>
    <row r="2902" spans="12:13">
      <c r="L2902" s="1">
        <v>44662.055555546191</v>
      </c>
      <c r="M2902" s="13"/>
    </row>
    <row r="2903" spans="12:13">
      <c r="L2903" s="1">
        <v>44662.05902776841</v>
      </c>
      <c r="M2903" s="13"/>
    </row>
    <row r="2904" spans="12:13">
      <c r="L2904" s="1">
        <v>44662.062499990629</v>
      </c>
      <c r="M2904" s="13"/>
    </row>
    <row r="2905" spans="12:13">
      <c r="L2905" s="1">
        <v>44662.065972212848</v>
      </c>
      <c r="M2905" s="13"/>
    </row>
    <row r="2906" spans="12:13">
      <c r="L2906" s="1">
        <v>44662.069444435067</v>
      </c>
      <c r="M2906" s="13"/>
    </row>
    <row r="2907" spans="12:13">
      <c r="L2907" s="1">
        <v>44662.072916657286</v>
      </c>
      <c r="M2907" s="13"/>
    </row>
    <row r="2908" spans="12:13">
      <c r="L2908" s="1">
        <v>44662.076388879505</v>
      </c>
      <c r="M2908" s="13"/>
    </row>
    <row r="2909" spans="12:13">
      <c r="L2909" s="1">
        <v>44662.079861101724</v>
      </c>
      <c r="M2909" s="13"/>
    </row>
    <row r="2910" spans="12:13">
      <c r="L2910" s="1">
        <v>44662.083333323942</v>
      </c>
      <c r="M2910" s="13"/>
    </row>
    <row r="2911" spans="12:13">
      <c r="L2911" s="1">
        <v>44662.086805546161</v>
      </c>
      <c r="M2911" s="13"/>
    </row>
    <row r="2912" spans="12:13">
      <c r="L2912" s="1">
        <v>44662.09027776838</v>
      </c>
      <c r="M2912" s="13"/>
    </row>
    <row r="2913" spans="12:13">
      <c r="L2913" s="1">
        <v>44662.093749990599</v>
      </c>
      <c r="M2913" s="13"/>
    </row>
    <row r="2914" spans="12:13">
      <c r="L2914" s="1">
        <v>44662.097222212818</v>
      </c>
      <c r="M2914" s="13"/>
    </row>
    <row r="2915" spans="12:13">
      <c r="L2915" s="1">
        <v>44662.100694435037</v>
      </c>
      <c r="M2915" s="13"/>
    </row>
    <row r="2916" spans="12:13">
      <c r="L2916" s="1">
        <v>44662.104166657256</v>
      </c>
      <c r="M2916" s="13"/>
    </row>
    <row r="2917" spans="12:13">
      <c r="L2917" s="1">
        <v>44662.107638879475</v>
      </c>
      <c r="M2917" s="13"/>
    </row>
    <row r="2918" spans="12:13">
      <c r="L2918" s="1">
        <v>44662.111111101694</v>
      </c>
      <c r="M2918" s="13"/>
    </row>
    <row r="2919" spans="12:13">
      <c r="L2919" s="1">
        <v>44662.114583323913</v>
      </c>
      <c r="M2919" s="13"/>
    </row>
    <row r="2920" spans="12:13">
      <c r="L2920" s="1">
        <v>44662.118055546132</v>
      </c>
      <c r="M2920" s="13"/>
    </row>
    <row r="2921" spans="12:13">
      <c r="L2921" s="1">
        <v>44662.121527768351</v>
      </c>
      <c r="M2921" s="13"/>
    </row>
    <row r="2922" spans="12:13">
      <c r="L2922" s="1">
        <v>44662.12499999057</v>
      </c>
      <c r="M2922" s="13"/>
    </row>
    <row r="2923" spans="12:13">
      <c r="L2923" s="1">
        <v>44662.128472212789</v>
      </c>
      <c r="M2923" s="13"/>
    </row>
    <row r="2924" spans="12:13">
      <c r="L2924" s="1">
        <v>44662.131944435008</v>
      </c>
      <c r="M2924" s="13"/>
    </row>
    <row r="2925" spans="12:13">
      <c r="L2925" s="1">
        <v>44662.135416657227</v>
      </c>
      <c r="M2925" s="13"/>
    </row>
    <row r="2926" spans="12:13">
      <c r="L2926" s="1">
        <v>44662.138888879446</v>
      </c>
      <c r="M2926" s="13"/>
    </row>
    <row r="2927" spans="12:13">
      <c r="L2927" s="1">
        <v>44662.142361101665</v>
      </c>
      <c r="M2927" s="13"/>
    </row>
    <row r="2928" spans="12:13">
      <c r="L2928" s="1">
        <v>44662.145833323884</v>
      </c>
      <c r="M2928" s="13"/>
    </row>
    <row r="2929" spans="12:13">
      <c r="L2929" s="1">
        <v>44662.149305546103</v>
      </c>
      <c r="M2929" s="13"/>
    </row>
    <row r="2930" spans="12:13">
      <c r="L2930" s="1">
        <v>44662.152777768322</v>
      </c>
      <c r="M2930" s="13"/>
    </row>
    <row r="2931" spans="12:13">
      <c r="L2931" s="1">
        <v>44662.156249990541</v>
      </c>
      <c r="M2931" s="13"/>
    </row>
    <row r="2932" spans="12:13">
      <c r="L2932" s="1">
        <v>44662.15972221276</v>
      </c>
      <c r="M2932" s="13"/>
    </row>
    <row r="2933" spans="12:13">
      <c r="L2933" s="1">
        <v>44662.163194434979</v>
      </c>
      <c r="M2933" s="13"/>
    </row>
    <row r="2934" spans="12:13">
      <c r="L2934" s="1">
        <v>44662.166666657198</v>
      </c>
      <c r="M2934" s="13"/>
    </row>
    <row r="2935" spans="12:13">
      <c r="L2935" s="1">
        <v>44662.170138879417</v>
      </c>
      <c r="M2935" s="13"/>
    </row>
    <row r="2936" spans="12:13">
      <c r="L2936" s="1">
        <v>44662.173611101636</v>
      </c>
      <c r="M2936" s="13"/>
    </row>
    <row r="2937" spans="12:13">
      <c r="L2937" s="1">
        <v>44662.177083323855</v>
      </c>
      <c r="M2937" s="13"/>
    </row>
    <row r="2938" spans="12:13">
      <c r="L2938" s="1">
        <v>44662.180555546074</v>
      </c>
      <c r="M2938" s="13"/>
    </row>
    <row r="2939" spans="12:13">
      <c r="L2939" s="1">
        <v>44662.184027768293</v>
      </c>
      <c r="M2939" s="13"/>
    </row>
    <row r="2940" spans="12:13">
      <c r="L2940" s="1">
        <v>44662.187499990512</v>
      </c>
      <c r="M2940" s="13"/>
    </row>
    <row r="2941" spans="12:13">
      <c r="L2941" s="1">
        <v>44662.190972212731</v>
      </c>
      <c r="M2941" s="13"/>
    </row>
    <row r="2942" spans="12:13">
      <c r="L2942" s="1">
        <v>44662.19444443495</v>
      </c>
      <c r="M2942" s="13"/>
    </row>
    <row r="2943" spans="12:13">
      <c r="L2943" s="1">
        <v>44662.197916657169</v>
      </c>
      <c r="M2943" s="13"/>
    </row>
    <row r="2944" spans="12:13">
      <c r="L2944" s="1">
        <v>44662.201388879388</v>
      </c>
      <c r="M2944" s="13"/>
    </row>
    <row r="2945" spans="12:13">
      <c r="L2945" s="1">
        <v>44662.204861101607</v>
      </c>
      <c r="M2945" s="13"/>
    </row>
    <row r="2946" spans="12:13">
      <c r="L2946" s="1">
        <v>44662.208333323826</v>
      </c>
      <c r="M2946" s="13"/>
    </row>
    <row r="2947" spans="12:13">
      <c r="L2947" s="1">
        <v>44662.211805546045</v>
      </c>
      <c r="M2947" s="13"/>
    </row>
    <row r="2948" spans="12:13">
      <c r="L2948" s="1">
        <v>44662.215277768264</v>
      </c>
      <c r="M2948" s="13"/>
    </row>
    <row r="2949" spans="12:13">
      <c r="L2949" s="1">
        <v>44662.218749990483</v>
      </c>
      <c r="M2949" s="13"/>
    </row>
    <row r="2950" spans="12:13">
      <c r="L2950" s="1">
        <v>44662.222222212702</v>
      </c>
      <c r="M2950" s="13"/>
    </row>
    <row r="2951" spans="12:13">
      <c r="L2951" s="1">
        <v>44662.225694434921</v>
      </c>
      <c r="M2951" s="13"/>
    </row>
    <row r="2952" spans="12:13">
      <c r="L2952" s="1">
        <v>44662.22916665714</v>
      </c>
      <c r="M2952" s="13"/>
    </row>
    <row r="2953" spans="12:13">
      <c r="L2953" s="1">
        <v>44662.232638879359</v>
      </c>
      <c r="M2953" s="13"/>
    </row>
    <row r="2954" spans="12:13">
      <c r="L2954" s="1">
        <v>44662.236111101578</v>
      </c>
      <c r="M2954" s="13"/>
    </row>
    <row r="2955" spans="12:13">
      <c r="L2955" s="1">
        <v>44662.239583323797</v>
      </c>
      <c r="M2955" s="13"/>
    </row>
    <row r="2956" spans="12:13">
      <c r="L2956" s="1">
        <v>44662.243055546016</v>
      </c>
      <c r="M2956" s="13"/>
    </row>
    <row r="2957" spans="12:13">
      <c r="L2957" s="1">
        <v>44662.246527768235</v>
      </c>
      <c r="M2957" s="13"/>
    </row>
    <row r="2958" spans="12:13">
      <c r="L2958" s="1">
        <v>44662.249999990454</v>
      </c>
      <c r="M2958" s="13"/>
    </row>
    <row r="2959" spans="12:13">
      <c r="L2959" s="1">
        <v>44662.253472212673</v>
      </c>
      <c r="M2959" s="13"/>
    </row>
    <row r="2960" spans="12:13">
      <c r="L2960" s="1">
        <v>44662.256944434892</v>
      </c>
      <c r="M2960" s="13"/>
    </row>
    <row r="2961" spans="12:13">
      <c r="L2961" s="1">
        <v>44662.260416657111</v>
      </c>
      <c r="M2961" s="13"/>
    </row>
    <row r="2962" spans="12:13">
      <c r="L2962" s="1">
        <v>44662.26388887933</v>
      </c>
      <c r="M2962" s="13"/>
    </row>
    <row r="2963" spans="12:13">
      <c r="L2963" s="1">
        <v>44662.267361101549</v>
      </c>
      <c r="M2963" s="13"/>
    </row>
    <row r="2964" spans="12:13">
      <c r="L2964" s="1">
        <v>44662.270833323768</v>
      </c>
      <c r="M2964" s="13"/>
    </row>
    <row r="2965" spans="12:13">
      <c r="L2965" s="1">
        <v>44662.274305545987</v>
      </c>
      <c r="M2965" s="13"/>
    </row>
    <row r="2966" spans="12:13">
      <c r="L2966" s="1">
        <v>44662.277777768206</v>
      </c>
      <c r="M2966" s="13"/>
    </row>
    <row r="2967" spans="12:13">
      <c r="L2967" s="1">
        <v>44662.281249990425</v>
      </c>
      <c r="M2967" s="13"/>
    </row>
    <row r="2968" spans="12:13">
      <c r="L2968" s="1">
        <v>44662.284722212644</v>
      </c>
      <c r="M2968" s="13"/>
    </row>
    <row r="2969" spans="12:13">
      <c r="L2969" s="1">
        <v>44662.288194434863</v>
      </c>
      <c r="M2969" s="13"/>
    </row>
    <row r="2970" spans="12:13">
      <c r="L2970" s="1">
        <v>44662.291666657082</v>
      </c>
      <c r="M2970" s="13"/>
    </row>
    <row r="2971" spans="12:13">
      <c r="L2971" s="1">
        <v>44662.295138879301</v>
      </c>
      <c r="M2971" s="13"/>
    </row>
    <row r="2972" spans="12:13">
      <c r="L2972" s="1">
        <v>44662.29861110152</v>
      </c>
      <c r="M2972" s="13"/>
    </row>
    <row r="2973" spans="12:13">
      <c r="L2973" s="1">
        <v>44662.302083323739</v>
      </c>
      <c r="M2973" s="13"/>
    </row>
    <row r="2974" spans="12:13">
      <c r="L2974" s="1">
        <v>44662.305555545958</v>
      </c>
      <c r="M2974" s="13"/>
    </row>
    <row r="2975" spans="12:13">
      <c r="L2975" s="1">
        <v>44662.309027768177</v>
      </c>
      <c r="M2975" s="13"/>
    </row>
    <row r="2976" spans="12:13">
      <c r="L2976" s="1">
        <v>44662.312499990396</v>
      </c>
      <c r="M2976" s="13"/>
    </row>
    <row r="2977" spans="12:13">
      <c r="L2977" s="1">
        <v>44662.315972212615</v>
      </c>
      <c r="M2977" s="13"/>
    </row>
    <row r="2978" spans="12:13">
      <c r="L2978" s="1">
        <v>44662.319444434834</v>
      </c>
      <c r="M2978" s="13"/>
    </row>
    <row r="2979" spans="12:13">
      <c r="L2979" s="1">
        <v>44662.322916657053</v>
      </c>
      <c r="M2979" s="13"/>
    </row>
    <row r="2980" spans="12:13">
      <c r="L2980" s="1">
        <v>44662.326388879272</v>
      </c>
      <c r="M2980" s="13"/>
    </row>
    <row r="2981" spans="12:13">
      <c r="L2981" s="1">
        <v>44662.329861101491</v>
      </c>
      <c r="M2981" s="13"/>
    </row>
    <row r="2982" spans="12:13">
      <c r="L2982" s="1">
        <v>44662.33333332371</v>
      </c>
      <c r="M2982" s="13"/>
    </row>
    <row r="2983" spans="12:13">
      <c r="L2983" s="1">
        <v>44662.336805545929</v>
      </c>
      <c r="M2983" s="13"/>
    </row>
    <row r="2984" spans="12:13">
      <c r="L2984" s="1">
        <v>44662.340277768148</v>
      </c>
      <c r="M2984" s="13"/>
    </row>
    <row r="2985" spans="12:13">
      <c r="L2985" s="1">
        <v>44662.343749990367</v>
      </c>
      <c r="M2985" s="13"/>
    </row>
    <row r="2986" spans="12:13">
      <c r="L2986" s="1">
        <v>44662.347222212586</v>
      </c>
      <c r="M2986" s="13"/>
    </row>
    <row r="2987" spans="12:13">
      <c r="L2987" s="1">
        <v>44662.350694434805</v>
      </c>
      <c r="M2987" s="13"/>
    </row>
    <row r="2988" spans="12:13">
      <c r="L2988" s="1">
        <v>44662.354166657024</v>
      </c>
      <c r="M2988" s="13"/>
    </row>
    <row r="2989" spans="12:13">
      <c r="L2989" s="1">
        <v>44662.357638879243</v>
      </c>
      <c r="M2989" s="13"/>
    </row>
    <row r="2990" spans="12:13">
      <c r="L2990" s="1">
        <v>44662.361111101462</v>
      </c>
      <c r="M2990" s="13"/>
    </row>
    <row r="2991" spans="12:13">
      <c r="L2991" s="1">
        <v>44662.364583323681</v>
      </c>
      <c r="M2991" s="13"/>
    </row>
    <row r="2992" spans="12:13">
      <c r="L2992" s="1">
        <v>44662.3680555459</v>
      </c>
      <c r="M2992" s="13"/>
    </row>
    <row r="2993" spans="12:13">
      <c r="L2993" s="1">
        <v>44662.371527768119</v>
      </c>
      <c r="M2993" s="13"/>
    </row>
    <row r="2994" spans="12:13">
      <c r="L2994" s="1">
        <v>44662.374999990338</v>
      </c>
      <c r="M2994" s="13"/>
    </row>
    <row r="2995" spans="12:13">
      <c r="L2995" s="1">
        <v>44662.378472212557</v>
      </c>
      <c r="M2995" s="13"/>
    </row>
    <row r="2996" spans="12:13">
      <c r="L2996" s="1">
        <v>44662.381944434776</v>
      </c>
      <c r="M2996" s="13"/>
    </row>
    <row r="2997" spans="12:13">
      <c r="L2997" s="1">
        <v>44662.385416656994</v>
      </c>
      <c r="M2997" s="13"/>
    </row>
    <row r="2998" spans="12:13">
      <c r="L2998" s="1">
        <v>44662.388888879213</v>
      </c>
      <c r="M2998" s="13"/>
    </row>
    <row r="2999" spans="12:13">
      <c r="L2999" s="1">
        <v>44662.392361101432</v>
      </c>
      <c r="M2999" s="13"/>
    </row>
    <row r="3000" spans="12:13">
      <c r="L3000" s="1">
        <v>44662.395833323651</v>
      </c>
      <c r="M3000" s="13"/>
    </row>
    <row r="3001" spans="12:13">
      <c r="L3001" s="1">
        <v>44662.39930554587</v>
      </c>
      <c r="M3001" s="13"/>
    </row>
    <row r="3002" spans="12:13">
      <c r="L3002" s="1">
        <v>44662.402777768089</v>
      </c>
      <c r="M3002" s="13"/>
    </row>
    <row r="3003" spans="12:13">
      <c r="L3003" s="1">
        <v>44662.406249990308</v>
      </c>
      <c r="M3003" s="13"/>
    </row>
    <row r="3004" spans="12:13">
      <c r="L3004" s="1">
        <v>44662.409722212527</v>
      </c>
      <c r="M3004" s="13"/>
    </row>
    <row r="3005" spans="12:13">
      <c r="L3005" s="1">
        <v>44662.413194434746</v>
      </c>
      <c r="M3005" s="13"/>
    </row>
    <row r="3006" spans="12:13">
      <c r="L3006" s="1">
        <v>44662.416666656965</v>
      </c>
      <c r="M3006" s="13"/>
    </row>
    <row r="3007" spans="12:13">
      <c r="L3007" s="1">
        <v>44662.420138879184</v>
      </c>
      <c r="M3007" s="13"/>
    </row>
    <row r="3008" spans="12:13">
      <c r="L3008" s="1">
        <v>44662.423611101403</v>
      </c>
      <c r="M3008" s="13"/>
    </row>
    <row r="3009" spans="12:13">
      <c r="L3009" s="1">
        <v>44662.427083323622</v>
      </c>
      <c r="M3009" s="13"/>
    </row>
    <row r="3010" spans="12:13">
      <c r="L3010" s="1">
        <v>44662.430555545841</v>
      </c>
      <c r="M3010" s="13"/>
    </row>
    <row r="3011" spans="12:13">
      <c r="L3011" s="1">
        <v>44662.43402776806</v>
      </c>
      <c r="M3011" s="13"/>
    </row>
    <row r="3012" spans="12:13">
      <c r="L3012" s="1">
        <v>44662.437499990279</v>
      </c>
      <c r="M3012" s="13"/>
    </row>
    <row r="3013" spans="12:13">
      <c r="L3013" s="1">
        <v>44662.440972212498</v>
      </c>
      <c r="M3013" s="13"/>
    </row>
    <row r="3014" spans="12:13">
      <c r="L3014" s="1">
        <v>44662.444444434717</v>
      </c>
      <c r="M3014" s="13"/>
    </row>
    <row r="3015" spans="12:13">
      <c r="L3015" s="1">
        <v>44662.447916656936</v>
      </c>
      <c r="M3015" s="13"/>
    </row>
    <row r="3016" spans="12:13">
      <c r="L3016" s="1">
        <v>44662.451388879155</v>
      </c>
      <c r="M3016" s="13"/>
    </row>
    <row r="3017" spans="12:13">
      <c r="L3017" s="1">
        <v>44662.454861101374</v>
      </c>
      <c r="M3017" s="13"/>
    </row>
    <row r="3018" spans="12:13">
      <c r="L3018" s="1">
        <v>44662.458333323593</v>
      </c>
      <c r="M3018" s="13"/>
    </row>
    <row r="3019" spans="12:13">
      <c r="L3019" s="1">
        <v>44662.461805545812</v>
      </c>
      <c r="M3019" s="13"/>
    </row>
    <row r="3020" spans="12:13">
      <c r="L3020" s="1">
        <v>44662.465277768031</v>
      </c>
      <c r="M3020" s="13"/>
    </row>
    <row r="3021" spans="12:13">
      <c r="L3021" s="1">
        <v>44662.46874999025</v>
      </c>
      <c r="M3021" s="13"/>
    </row>
    <row r="3022" spans="12:13">
      <c r="L3022" s="1">
        <v>44662.472222212469</v>
      </c>
      <c r="M3022" s="13"/>
    </row>
    <row r="3023" spans="12:13">
      <c r="L3023" s="1">
        <v>44662.475694434688</v>
      </c>
      <c r="M3023" s="13"/>
    </row>
    <row r="3024" spans="12:13">
      <c r="L3024" s="1">
        <v>44662.479166656907</v>
      </c>
      <c r="M3024" s="13"/>
    </row>
    <row r="3025" spans="12:13">
      <c r="L3025" s="1">
        <v>44662.482638879126</v>
      </c>
      <c r="M3025" s="13"/>
    </row>
    <row r="3026" spans="12:13">
      <c r="L3026" s="1">
        <v>44662.486111101345</v>
      </c>
      <c r="M3026" s="13"/>
    </row>
    <row r="3027" spans="12:13">
      <c r="L3027" s="1">
        <v>44662.489583323564</v>
      </c>
      <c r="M3027" s="13"/>
    </row>
    <row r="3028" spans="12:13">
      <c r="L3028" s="1">
        <v>44662.493055545783</v>
      </c>
      <c r="M3028" s="13"/>
    </row>
    <row r="3029" spans="12:13">
      <c r="L3029" s="1">
        <v>44662.496527768002</v>
      </c>
      <c r="M3029" s="13"/>
    </row>
    <row r="3030" spans="12:13">
      <c r="L3030" s="1">
        <v>44662.499999990221</v>
      </c>
      <c r="M3030" s="13"/>
    </row>
    <row r="3031" spans="12:13">
      <c r="L3031" s="1">
        <v>44662.50347221244</v>
      </c>
      <c r="M3031" s="13"/>
    </row>
    <row r="3032" spans="12:13">
      <c r="L3032" s="1">
        <v>44662.506944434659</v>
      </c>
      <c r="M3032" s="13"/>
    </row>
    <row r="3033" spans="12:13">
      <c r="L3033" s="1">
        <v>44662.510416656878</v>
      </c>
      <c r="M3033" s="13"/>
    </row>
    <row r="3034" spans="12:13">
      <c r="L3034" s="1">
        <v>44662.513888879097</v>
      </c>
      <c r="M3034" s="13"/>
    </row>
    <row r="3035" spans="12:13">
      <c r="L3035" s="1">
        <v>44662.517361101316</v>
      </c>
      <c r="M3035" s="13"/>
    </row>
    <row r="3036" spans="12:13">
      <c r="L3036" s="1">
        <v>44662.520833323535</v>
      </c>
      <c r="M3036" s="13"/>
    </row>
    <row r="3037" spans="12:13">
      <c r="L3037" s="1">
        <v>44662.524305545754</v>
      </c>
      <c r="M3037" s="13"/>
    </row>
    <row r="3038" spans="12:13">
      <c r="L3038" s="1">
        <v>44662.527777767973</v>
      </c>
      <c r="M3038" s="13"/>
    </row>
    <row r="3039" spans="12:13">
      <c r="L3039" s="1">
        <v>44662.531249990192</v>
      </c>
      <c r="M3039" s="13"/>
    </row>
    <row r="3040" spans="12:13">
      <c r="L3040" s="1">
        <v>44662.534722212411</v>
      </c>
      <c r="M3040" s="13"/>
    </row>
    <row r="3041" spans="12:13">
      <c r="L3041" s="1">
        <v>44662.53819443463</v>
      </c>
      <c r="M3041" s="13"/>
    </row>
    <row r="3042" spans="12:13">
      <c r="L3042" s="1">
        <v>44662.541666656849</v>
      </c>
      <c r="M3042" s="13"/>
    </row>
    <row r="3043" spans="12:13">
      <c r="L3043" s="1">
        <v>44662.545138879068</v>
      </c>
      <c r="M3043" s="13"/>
    </row>
    <row r="3044" spans="12:13">
      <c r="L3044" s="1">
        <v>44662.548611101287</v>
      </c>
      <c r="M3044" s="13"/>
    </row>
    <row r="3045" spans="12:13">
      <c r="L3045" s="1">
        <v>44662.552083323506</v>
      </c>
      <c r="M3045" s="13"/>
    </row>
    <row r="3046" spans="12:13">
      <c r="L3046" s="1">
        <v>44662.555555545725</v>
      </c>
      <c r="M3046" s="13"/>
    </row>
    <row r="3047" spans="12:13">
      <c r="L3047" s="1">
        <v>44662.559027767944</v>
      </c>
      <c r="M3047" s="13"/>
    </row>
    <row r="3048" spans="12:13">
      <c r="L3048" s="1">
        <v>44662.562499990163</v>
      </c>
      <c r="M3048" s="13"/>
    </row>
    <row r="3049" spans="12:13">
      <c r="L3049" s="1">
        <v>44662.565972212382</v>
      </c>
      <c r="M3049" s="13"/>
    </row>
    <row r="3050" spans="12:13">
      <c r="L3050" s="1">
        <v>44662.569444434601</v>
      </c>
      <c r="M3050" s="13"/>
    </row>
    <row r="3051" spans="12:13">
      <c r="L3051" s="1">
        <v>44662.57291665682</v>
      </c>
      <c r="M3051" s="13"/>
    </row>
    <row r="3052" spans="12:13">
      <c r="L3052" s="1">
        <v>44662.576388879039</v>
      </c>
      <c r="M3052" s="13"/>
    </row>
    <row r="3053" spans="12:13">
      <c r="L3053" s="1">
        <v>44662.579861101258</v>
      </c>
      <c r="M3053" s="13"/>
    </row>
    <row r="3054" spans="12:13">
      <c r="L3054" s="1">
        <v>44662.583333323477</v>
      </c>
      <c r="M3054" s="13"/>
    </row>
    <row r="3055" spans="12:13">
      <c r="L3055" s="1">
        <v>44662.586805545696</v>
      </c>
      <c r="M3055" s="13"/>
    </row>
    <row r="3056" spans="12:13">
      <c r="L3056" s="1">
        <v>44662.590277767915</v>
      </c>
      <c r="M3056" s="13"/>
    </row>
    <row r="3057" spans="12:13">
      <c r="L3057" s="1">
        <v>44662.593749990134</v>
      </c>
      <c r="M3057" s="13"/>
    </row>
    <row r="3058" spans="12:13">
      <c r="L3058" s="1">
        <v>44662.597222212353</v>
      </c>
      <c r="M3058" s="13"/>
    </row>
    <row r="3059" spans="12:13">
      <c r="L3059" s="1">
        <v>44662.600694434572</v>
      </c>
      <c r="M3059" s="13"/>
    </row>
    <row r="3060" spans="12:13">
      <c r="L3060" s="1">
        <v>44662.604166656791</v>
      </c>
      <c r="M3060" s="13"/>
    </row>
    <row r="3061" spans="12:13">
      <c r="L3061" s="1">
        <v>44662.60763887901</v>
      </c>
      <c r="M3061" s="13"/>
    </row>
    <row r="3062" spans="12:13">
      <c r="L3062" s="1">
        <v>44662.611111101229</v>
      </c>
      <c r="M3062" s="13"/>
    </row>
    <row r="3063" spans="12:13">
      <c r="L3063" s="1">
        <v>44662.614583323448</v>
      </c>
      <c r="M3063" s="13"/>
    </row>
    <row r="3064" spans="12:13">
      <c r="L3064" s="1">
        <v>44662.618055545667</v>
      </c>
      <c r="M3064" s="13"/>
    </row>
    <row r="3065" spans="12:13">
      <c r="L3065" s="1">
        <v>44662.621527767886</v>
      </c>
      <c r="M3065" s="13"/>
    </row>
    <row r="3066" spans="12:13">
      <c r="L3066" s="1">
        <v>44662.624999990105</v>
      </c>
      <c r="M3066" s="13"/>
    </row>
    <row r="3067" spans="12:13">
      <c r="L3067" s="1">
        <v>44662.628472212324</v>
      </c>
      <c r="M3067" s="13"/>
    </row>
    <row r="3068" spans="12:13">
      <c r="L3068" s="1">
        <v>44662.631944434543</v>
      </c>
      <c r="M3068" s="13"/>
    </row>
    <row r="3069" spans="12:13">
      <c r="L3069" s="1">
        <v>44662.635416656762</v>
      </c>
      <c r="M3069" s="13"/>
    </row>
    <row r="3070" spans="12:13">
      <c r="L3070" s="1">
        <v>44662.638888878981</v>
      </c>
      <c r="M3070" s="13"/>
    </row>
    <row r="3071" spans="12:13">
      <c r="L3071" s="1">
        <v>44662.6423611012</v>
      </c>
      <c r="M3071" s="13"/>
    </row>
    <row r="3072" spans="12:13">
      <c r="L3072" s="1">
        <v>44662.645833323419</v>
      </c>
      <c r="M3072" s="13"/>
    </row>
    <row r="3073" spans="12:13">
      <c r="L3073" s="1">
        <v>44662.649305545638</v>
      </c>
      <c r="M3073" s="13"/>
    </row>
    <row r="3074" spans="12:13">
      <c r="L3074" s="1">
        <v>44662.652777767857</v>
      </c>
      <c r="M3074" s="13"/>
    </row>
    <row r="3075" spans="12:13">
      <c r="L3075" s="1">
        <v>44662.656249990076</v>
      </c>
      <c r="M3075" s="13"/>
    </row>
    <row r="3076" spans="12:13">
      <c r="L3076" s="1">
        <v>44662.659722212295</v>
      </c>
      <c r="M3076" s="13"/>
    </row>
    <row r="3077" spans="12:13">
      <c r="L3077" s="1">
        <v>44662.663194434514</v>
      </c>
      <c r="M3077" s="13"/>
    </row>
    <row r="3078" spans="12:13">
      <c r="L3078" s="1">
        <v>44662.666666656733</v>
      </c>
      <c r="M3078" s="13"/>
    </row>
    <row r="3079" spans="12:13">
      <c r="L3079" s="1">
        <v>44662.670138878952</v>
      </c>
      <c r="M3079" s="13"/>
    </row>
    <row r="3080" spans="12:13">
      <c r="L3080" s="1">
        <v>44662.673611101171</v>
      </c>
      <c r="M3080" s="13"/>
    </row>
    <row r="3081" spans="12:13">
      <c r="L3081" s="1">
        <v>44662.67708332339</v>
      </c>
      <c r="M3081" s="13"/>
    </row>
    <row r="3082" spans="12:13">
      <c r="L3082" s="1">
        <v>44662.680555545609</v>
      </c>
      <c r="M3082" s="13"/>
    </row>
    <row r="3083" spans="12:13">
      <c r="L3083" s="1">
        <v>44662.684027767828</v>
      </c>
      <c r="M3083" s="13"/>
    </row>
    <row r="3084" spans="12:13">
      <c r="L3084" s="1">
        <v>44662.687499990046</v>
      </c>
      <c r="M3084" s="13"/>
    </row>
    <row r="3085" spans="12:13">
      <c r="L3085" s="1">
        <v>44662.690972212265</v>
      </c>
      <c r="M3085" s="13"/>
    </row>
    <row r="3086" spans="12:13">
      <c r="L3086" s="1">
        <v>44662.694444434484</v>
      </c>
      <c r="M3086" s="13"/>
    </row>
    <row r="3087" spans="12:13">
      <c r="L3087" s="1">
        <v>44662.697916656703</v>
      </c>
      <c r="M3087" s="13"/>
    </row>
    <row r="3088" spans="12:13">
      <c r="L3088" s="1">
        <v>44662.701388878922</v>
      </c>
      <c r="M3088" s="13"/>
    </row>
    <row r="3089" spans="12:13">
      <c r="L3089" s="1">
        <v>44662.704861101141</v>
      </c>
      <c r="M3089" s="13"/>
    </row>
    <row r="3090" spans="12:13">
      <c r="L3090" s="1">
        <v>44662.70833332336</v>
      </c>
      <c r="M3090" s="13"/>
    </row>
    <row r="3091" spans="12:13">
      <c r="L3091" s="1">
        <v>44662.711805545579</v>
      </c>
      <c r="M3091" s="13"/>
    </row>
    <row r="3092" spans="12:13">
      <c r="L3092" s="1">
        <v>44662.715277767798</v>
      </c>
      <c r="M3092" s="13"/>
    </row>
    <row r="3093" spans="12:13">
      <c r="L3093" s="1">
        <v>44662.718749990017</v>
      </c>
      <c r="M3093" s="13"/>
    </row>
    <row r="3094" spans="12:13">
      <c r="L3094" s="1">
        <v>44662.722222212236</v>
      </c>
      <c r="M3094" s="13"/>
    </row>
    <row r="3095" spans="12:13">
      <c r="L3095" s="1">
        <v>44662.725694434455</v>
      </c>
      <c r="M3095" s="13"/>
    </row>
    <row r="3096" spans="12:13">
      <c r="L3096" s="1">
        <v>44662.729166656674</v>
      </c>
      <c r="M3096" s="13"/>
    </row>
    <row r="3097" spans="12:13">
      <c r="L3097" s="1">
        <v>44662.732638878893</v>
      </c>
      <c r="M3097" s="13"/>
    </row>
    <row r="3098" spans="12:13">
      <c r="L3098" s="1">
        <v>44662.736111101112</v>
      </c>
      <c r="M3098" s="13"/>
    </row>
    <row r="3099" spans="12:13">
      <c r="L3099" s="1">
        <v>44662.739583323331</v>
      </c>
      <c r="M3099" s="13"/>
    </row>
    <row r="3100" spans="12:13">
      <c r="L3100" s="1">
        <v>44662.74305554555</v>
      </c>
      <c r="M3100" s="13"/>
    </row>
    <row r="3101" spans="12:13">
      <c r="L3101" s="1">
        <v>44662.746527767769</v>
      </c>
      <c r="M3101" s="13"/>
    </row>
    <row r="3102" spans="12:13">
      <c r="L3102" s="1">
        <v>44662.749999989988</v>
      </c>
      <c r="M3102" s="13"/>
    </row>
    <row r="3103" spans="12:13">
      <c r="L3103" s="1">
        <v>44662.753472212207</v>
      </c>
      <c r="M3103" s="13"/>
    </row>
    <row r="3104" spans="12:13">
      <c r="L3104" s="1">
        <v>44662.756944434426</v>
      </c>
      <c r="M3104" s="13"/>
    </row>
    <row r="3105" spans="12:13">
      <c r="L3105" s="1">
        <v>44662.760416656645</v>
      </c>
      <c r="M3105" s="13"/>
    </row>
    <row r="3106" spans="12:13">
      <c r="L3106" s="1">
        <v>44662.763888878864</v>
      </c>
      <c r="M3106" s="13"/>
    </row>
    <row r="3107" spans="12:13">
      <c r="L3107" s="1">
        <v>44662.767361101083</v>
      </c>
      <c r="M3107" s="13"/>
    </row>
    <row r="3108" spans="12:13">
      <c r="L3108" s="1">
        <v>44662.770833323302</v>
      </c>
      <c r="M3108" s="13"/>
    </row>
    <row r="3109" spans="12:13">
      <c r="L3109" s="1">
        <v>44662.774305545521</v>
      </c>
      <c r="M3109" s="13"/>
    </row>
    <row r="3110" spans="12:13">
      <c r="L3110" s="1">
        <v>44662.77777776774</v>
      </c>
      <c r="M3110" s="13"/>
    </row>
    <row r="3111" spans="12:13">
      <c r="L3111" s="1">
        <v>44662.781249989959</v>
      </c>
      <c r="M3111" s="13"/>
    </row>
    <row r="3112" spans="12:13">
      <c r="L3112" s="1">
        <v>44662.784722212178</v>
      </c>
      <c r="M3112" s="13"/>
    </row>
    <row r="3113" spans="12:13">
      <c r="L3113" s="1">
        <v>44662.788194434397</v>
      </c>
      <c r="M3113" s="13"/>
    </row>
    <row r="3114" spans="12:13">
      <c r="L3114" s="1">
        <v>44662.791666656616</v>
      </c>
      <c r="M3114" s="13"/>
    </row>
    <row r="3115" spans="12:13">
      <c r="L3115" s="1">
        <v>44662.795138878835</v>
      </c>
      <c r="M3115" s="13"/>
    </row>
    <row r="3116" spans="12:13">
      <c r="L3116" s="1">
        <v>44662.798611101054</v>
      </c>
      <c r="M3116" s="13"/>
    </row>
    <row r="3117" spans="12:13">
      <c r="L3117" s="1">
        <v>44662.802083323273</v>
      </c>
      <c r="M3117" s="13"/>
    </row>
    <row r="3118" spans="12:13">
      <c r="L3118" s="1">
        <v>44662.805555545492</v>
      </c>
      <c r="M3118" s="13"/>
    </row>
    <row r="3119" spans="12:13">
      <c r="L3119" s="1">
        <v>44662.809027767711</v>
      </c>
      <c r="M3119" s="13"/>
    </row>
    <row r="3120" spans="12:13">
      <c r="L3120" s="1">
        <v>44662.81249998993</v>
      </c>
      <c r="M3120" s="13"/>
    </row>
    <row r="3121" spans="12:13">
      <c r="L3121" s="1">
        <v>44662.815972212149</v>
      </c>
      <c r="M3121" s="13"/>
    </row>
    <row r="3122" spans="12:13">
      <c r="L3122" s="1">
        <v>44662.819444434368</v>
      </c>
      <c r="M3122" s="13"/>
    </row>
    <row r="3123" spans="12:13">
      <c r="L3123" s="1">
        <v>44662.822916656587</v>
      </c>
      <c r="M3123" s="13"/>
    </row>
    <row r="3124" spans="12:13">
      <c r="L3124" s="1">
        <v>44662.826388878806</v>
      </c>
      <c r="M3124" s="13"/>
    </row>
    <row r="3125" spans="12:13">
      <c r="L3125" s="1">
        <v>44662.829861101025</v>
      </c>
      <c r="M3125" s="13"/>
    </row>
    <row r="3126" spans="12:13">
      <c r="L3126" s="1">
        <v>44662.833333323244</v>
      </c>
      <c r="M3126" s="13"/>
    </row>
    <row r="3127" spans="12:13">
      <c r="L3127" s="1">
        <v>44662.836805545463</v>
      </c>
      <c r="M3127" s="13"/>
    </row>
    <row r="3128" spans="12:13">
      <c r="L3128" s="1">
        <v>44662.840277767682</v>
      </c>
      <c r="M3128" s="13"/>
    </row>
    <row r="3129" spans="12:13">
      <c r="L3129" s="1">
        <v>44662.843749989901</v>
      </c>
      <c r="M3129" s="13"/>
    </row>
    <row r="3130" spans="12:13">
      <c r="L3130" s="1">
        <v>44662.84722221212</v>
      </c>
      <c r="M3130" s="13"/>
    </row>
    <row r="3131" spans="12:13">
      <c r="L3131" s="1">
        <v>44662.850694434339</v>
      </c>
      <c r="M3131" s="13"/>
    </row>
    <row r="3132" spans="12:13">
      <c r="L3132" s="1">
        <v>44662.854166656558</v>
      </c>
      <c r="M3132" s="13"/>
    </row>
    <row r="3133" spans="12:13">
      <c r="L3133" s="1">
        <v>44662.857638878777</v>
      </c>
      <c r="M3133" s="13"/>
    </row>
    <row r="3134" spans="12:13">
      <c r="L3134" s="1">
        <v>44662.861111100996</v>
      </c>
      <c r="M3134" s="13"/>
    </row>
    <row r="3135" spans="12:13">
      <c r="L3135" s="1">
        <v>44662.864583323215</v>
      </c>
      <c r="M3135" s="13"/>
    </row>
    <row r="3136" spans="12:13">
      <c r="L3136" s="1">
        <v>44662.868055545434</v>
      </c>
      <c r="M3136" s="13"/>
    </row>
    <row r="3137" spans="12:13">
      <c r="L3137" s="1">
        <v>44662.871527767653</v>
      </c>
      <c r="M3137" s="13"/>
    </row>
    <row r="3138" spans="12:13">
      <c r="L3138" s="1">
        <v>44662.874999989872</v>
      </c>
      <c r="M3138" s="13"/>
    </row>
    <row r="3139" spans="12:13">
      <c r="L3139" s="1">
        <v>44662.878472212091</v>
      </c>
      <c r="M3139" s="13"/>
    </row>
    <row r="3140" spans="12:13">
      <c r="L3140" s="1">
        <v>44662.88194443431</v>
      </c>
      <c r="M3140" s="13"/>
    </row>
    <row r="3141" spans="12:13">
      <c r="L3141" s="1">
        <v>44662.885416656529</v>
      </c>
      <c r="M3141" s="13"/>
    </row>
    <row r="3142" spans="12:13">
      <c r="L3142" s="1">
        <v>44662.888888878748</v>
      </c>
      <c r="M3142" s="13"/>
    </row>
    <row r="3143" spans="12:13">
      <c r="L3143" s="1">
        <v>44662.892361100967</v>
      </c>
      <c r="M3143" s="13"/>
    </row>
    <row r="3144" spans="12:13">
      <c r="L3144" s="1">
        <v>44662.895833323186</v>
      </c>
      <c r="M3144" s="13"/>
    </row>
    <row r="3145" spans="12:13">
      <c r="L3145" s="1">
        <v>44662.899305545405</v>
      </c>
      <c r="M3145" s="13"/>
    </row>
    <row r="3146" spans="12:13">
      <c r="L3146" s="1">
        <v>44662.902777767624</v>
      </c>
      <c r="M3146" s="13"/>
    </row>
    <row r="3147" spans="12:13">
      <c r="L3147" s="1">
        <v>44662.906249989843</v>
      </c>
      <c r="M3147" s="13"/>
    </row>
    <row r="3148" spans="12:13">
      <c r="L3148" s="1">
        <v>44662.909722212062</v>
      </c>
      <c r="M3148" s="13"/>
    </row>
    <row r="3149" spans="12:13">
      <c r="L3149" s="1">
        <v>44662.913194434281</v>
      </c>
      <c r="M3149" s="13"/>
    </row>
    <row r="3150" spans="12:13">
      <c r="L3150" s="1">
        <v>44662.9166666565</v>
      </c>
      <c r="M3150" s="13"/>
    </row>
    <row r="3151" spans="12:13">
      <c r="L3151" s="1">
        <v>44662.920138878719</v>
      </c>
      <c r="M3151" s="13"/>
    </row>
    <row r="3152" spans="12:13">
      <c r="L3152" s="1">
        <v>44662.923611100938</v>
      </c>
      <c r="M3152" s="13"/>
    </row>
    <row r="3153" spans="12:13">
      <c r="L3153" s="1">
        <v>44662.927083323157</v>
      </c>
      <c r="M3153" s="13"/>
    </row>
    <row r="3154" spans="12:13">
      <c r="L3154" s="1">
        <v>44662.930555545376</v>
      </c>
      <c r="M3154" s="13"/>
    </row>
    <row r="3155" spans="12:13">
      <c r="L3155" s="1">
        <v>44662.934027767595</v>
      </c>
      <c r="M3155" s="13"/>
    </row>
    <row r="3156" spans="12:13">
      <c r="L3156" s="1">
        <v>44662.937499989814</v>
      </c>
      <c r="M3156" s="13"/>
    </row>
    <row r="3157" spans="12:13">
      <c r="L3157" s="1">
        <v>44662.940972212033</v>
      </c>
      <c r="M3157" s="13"/>
    </row>
    <row r="3158" spans="12:13">
      <c r="L3158" s="1">
        <v>44662.944444434252</v>
      </c>
      <c r="M3158" s="13"/>
    </row>
    <row r="3159" spans="12:13">
      <c r="L3159" s="1">
        <v>44662.947916656471</v>
      </c>
      <c r="M3159" s="13"/>
    </row>
    <row r="3160" spans="12:13">
      <c r="L3160" s="1">
        <v>44662.95138887869</v>
      </c>
      <c r="M3160" s="13"/>
    </row>
    <row r="3161" spans="12:13">
      <c r="L3161" s="1">
        <v>44662.954861100909</v>
      </c>
      <c r="M3161" s="13"/>
    </row>
    <row r="3162" spans="12:13">
      <c r="L3162" s="1">
        <v>44662.958333323128</v>
      </c>
      <c r="M3162" s="13"/>
    </row>
    <row r="3163" spans="12:13">
      <c r="L3163" s="1">
        <v>44662.961805545347</v>
      </c>
      <c r="M3163" s="13"/>
    </row>
    <row r="3164" spans="12:13">
      <c r="L3164" s="1">
        <v>44662.965277767566</v>
      </c>
      <c r="M3164" s="13"/>
    </row>
    <row r="3165" spans="12:13">
      <c r="L3165" s="1">
        <v>44662.968749989785</v>
      </c>
      <c r="M3165" s="13"/>
    </row>
    <row r="3166" spans="12:13">
      <c r="L3166" s="1">
        <v>44662.972222212004</v>
      </c>
      <c r="M3166" s="13"/>
    </row>
    <row r="3167" spans="12:13">
      <c r="L3167" s="1">
        <v>44662.975694434223</v>
      </c>
      <c r="M3167" s="13"/>
    </row>
    <row r="3168" spans="12:13">
      <c r="L3168" s="1">
        <v>44662.979166656442</v>
      </c>
      <c r="M3168" s="13"/>
    </row>
    <row r="3169" spans="12:13">
      <c r="L3169" s="1">
        <v>44662.982638878661</v>
      </c>
      <c r="M3169" s="13"/>
    </row>
    <row r="3170" spans="12:13">
      <c r="L3170" s="1">
        <v>44662.986111100879</v>
      </c>
      <c r="M3170" s="13"/>
    </row>
    <row r="3171" spans="12:13">
      <c r="L3171" s="1">
        <v>44662.989583323098</v>
      </c>
      <c r="M3171" s="13"/>
    </row>
    <row r="3172" spans="12:13">
      <c r="L3172" s="1">
        <v>44662.993055545317</v>
      </c>
      <c r="M3172" s="13"/>
    </row>
    <row r="3173" spans="12:13">
      <c r="L3173" s="1">
        <v>44662.996527767536</v>
      </c>
      <c r="M3173" s="13"/>
    </row>
    <row r="3174" spans="12:13">
      <c r="L3174" s="1">
        <v>44662.999999989755</v>
      </c>
      <c r="M3174" s="13"/>
    </row>
    <row r="3175" spans="12:13">
      <c r="L3175" s="1">
        <v>44663.003472211974</v>
      </c>
      <c r="M3175" s="13"/>
    </row>
    <row r="3176" spans="12:13">
      <c r="L3176" s="1">
        <v>44663.006944434193</v>
      </c>
      <c r="M3176" s="13"/>
    </row>
    <row r="3177" spans="12:13">
      <c r="L3177" s="1">
        <v>44663.010416656412</v>
      </c>
      <c r="M3177" s="13"/>
    </row>
    <row r="3178" spans="12:13">
      <c r="L3178" s="1">
        <v>44663.013888878631</v>
      </c>
      <c r="M3178" s="13"/>
    </row>
    <row r="3179" spans="12:13">
      <c r="L3179" s="1">
        <v>44663.01736110085</v>
      </c>
      <c r="M3179" s="13"/>
    </row>
    <row r="3180" spans="12:13">
      <c r="L3180" s="1">
        <v>44663.020833323069</v>
      </c>
      <c r="M3180" s="13"/>
    </row>
    <row r="3181" spans="12:13">
      <c r="L3181" s="1">
        <v>44663.024305545288</v>
      </c>
      <c r="M3181" s="13"/>
    </row>
    <row r="3182" spans="12:13">
      <c r="L3182" s="1">
        <v>44663.027777767507</v>
      </c>
      <c r="M3182" s="13"/>
    </row>
    <row r="3183" spans="12:13">
      <c r="L3183" s="1">
        <v>44663.031249989726</v>
      </c>
      <c r="M3183" s="13"/>
    </row>
    <row r="3184" spans="12:13">
      <c r="L3184" s="1">
        <v>44663.034722211945</v>
      </c>
      <c r="M3184" s="13"/>
    </row>
    <row r="3185" spans="12:13">
      <c r="L3185" s="1">
        <v>44663.038194434164</v>
      </c>
      <c r="M3185" s="13"/>
    </row>
    <row r="3186" spans="12:13">
      <c r="L3186" s="1">
        <v>44663.041666656383</v>
      </c>
      <c r="M3186" s="13"/>
    </row>
    <row r="3187" spans="12:13">
      <c r="L3187" s="1">
        <v>44663.045138878602</v>
      </c>
      <c r="M3187" s="13"/>
    </row>
    <row r="3188" spans="12:13">
      <c r="L3188" s="1">
        <v>44663.048611100821</v>
      </c>
      <c r="M3188" s="13"/>
    </row>
    <row r="3189" spans="12:13">
      <c r="L3189" s="1">
        <v>44663.05208332304</v>
      </c>
      <c r="M3189" s="13"/>
    </row>
    <row r="3190" spans="12:13">
      <c r="L3190" s="1">
        <v>44663.055555545259</v>
      </c>
      <c r="M3190" s="13"/>
    </row>
    <row r="3191" spans="12:13">
      <c r="L3191" s="1">
        <v>44663.059027767478</v>
      </c>
      <c r="M3191" s="13"/>
    </row>
    <row r="3192" spans="12:13">
      <c r="L3192" s="1">
        <v>44663.062499989697</v>
      </c>
      <c r="M3192" s="13"/>
    </row>
    <row r="3193" spans="12:13">
      <c r="L3193" s="1">
        <v>44663.065972211916</v>
      </c>
      <c r="M3193" s="13"/>
    </row>
    <row r="3194" spans="12:13">
      <c r="L3194" s="1">
        <v>44663.069444434135</v>
      </c>
      <c r="M3194" s="13"/>
    </row>
    <row r="3195" spans="12:13">
      <c r="L3195" s="1">
        <v>44663.072916656354</v>
      </c>
      <c r="M3195" s="13"/>
    </row>
    <row r="3196" spans="12:13">
      <c r="L3196" s="1">
        <v>44663.076388878573</v>
      </c>
      <c r="M3196" s="13"/>
    </row>
    <row r="3197" spans="12:13">
      <c r="L3197" s="1">
        <v>44663.079861100792</v>
      </c>
      <c r="M3197" s="13"/>
    </row>
    <row r="3198" spans="12:13">
      <c r="L3198" s="1">
        <v>44663.083333323011</v>
      </c>
      <c r="M3198" s="13"/>
    </row>
    <row r="3199" spans="12:13">
      <c r="L3199" s="1">
        <v>44663.08680554523</v>
      </c>
      <c r="M3199" s="13"/>
    </row>
    <row r="3200" spans="12:13">
      <c r="L3200" s="1">
        <v>44663.090277767449</v>
      </c>
      <c r="M3200" s="13"/>
    </row>
    <row r="3201" spans="12:13">
      <c r="L3201" s="1">
        <v>44663.093749989668</v>
      </c>
      <c r="M3201" s="13"/>
    </row>
    <row r="3202" spans="12:13">
      <c r="L3202" s="1">
        <v>44663.097222211887</v>
      </c>
      <c r="M3202" s="13"/>
    </row>
    <row r="3203" spans="12:13">
      <c r="L3203" s="1">
        <v>44663.100694434106</v>
      </c>
      <c r="M3203" s="13"/>
    </row>
    <row r="3204" spans="12:13">
      <c r="L3204" s="1">
        <v>44663.104166656325</v>
      </c>
      <c r="M3204" s="13"/>
    </row>
    <row r="3205" spans="12:13">
      <c r="L3205" s="1">
        <v>44663.107638878544</v>
      </c>
      <c r="M3205" s="13"/>
    </row>
    <row r="3206" spans="12:13">
      <c r="L3206" s="1">
        <v>44663.111111100763</v>
      </c>
      <c r="M3206" s="13"/>
    </row>
    <row r="3207" spans="12:13">
      <c r="L3207" s="1">
        <v>44663.114583322982</v>
      </c>
      <c r="M3207" s="13"/>
    </row>
    <row r="3208" spans="12:13">
      <c r="L3208" s="1">
        <v>44663.118055545201</v>
      </c>
      <c r="M3208" s="13"/>
    </row>
    <row r="3209" spans="12:13">
      <c r="L3209" s="1">
        <v>44663.12152776742</v>
      </c>
      <c r="M3209" s="13"/>
    </row>
    <row r="3210" spans="12:13">
      <c r="L3210" s="1">
        <v>44663.124999989639</v>
      </c>
      <c r="M3210" s="13"/>
    </row>
    <row r="3211" spans="12:13">
      <c r="L3211" s="1">
        <v>44663.128472211858</v>
      </c>
      <c r="M3211" s="13"/>
    </row>
    <row r="3212" spans="12:13">
      <c r="L3212" s="1">
        <v>44663.131944434077</v>
      </c>
      <c r="M3212" s="13"/>
    </row>
    <row r="3213" spans="12:13">
      <c r="L3213" s="1">
        <v>44663.135416656296</v>
      </c>
      <c r="M3213" s="13"/>
    </row>
    <row r="3214" spans="12:13">
      <c r="L3214" s="1">
        <v>44663.138888878515</v>
      </c>
      <c r="M3214" s="13"/>
    </row>
    <row r="3215" spans="12:13">
      <c r="L3215" s="1">
        <v>44663.142361100734</v>
      </c>
      <c r="M3215" s="13"/>
    </row>
    <row r="3216" spans="12:13">
      <c r="L3216" s="1">
        <v>44663.145833322953</v>
      </c>
      <c r="M3216" s="13"/>
    </row>
    <row r="3217" spans="12:13">
      <c r="L3217" s="1">
        <v>44663.149305545172</v>
      </c>
      <c r="M3217" s="13"/>
    </row>
    <row r="3218" spans="12:13">
      <c r="L3218" s="1">
        <v>44663.152777767391</v>
      </c>
      <c r="M3218" s="13"/>
    </row>
    <row r="3219" spans="12:13">
      <c r="L3219" s="1">
        <v>44663.15624998961</v>
      </c>
      <c r="M3219" s="13"/>
    </row>
    <row r="3220" spans="12:13">
      <c r="L3220" s="1">
        <v>44663.159722211829</v>
      </c>
      <c r="M3220" s="13"/>
    </row>
    <row r="3221" spans="12:13">
      <c r="L3221" s="1">
        <v>44663.163194434048</v>
      </c>
      <c r="M3221" s="13"/>
    </row>
    <row r="3222" spans="12:13">
      <c r="L3222" s="1">
        <v>44663.166666656267</v>
      </c>
      <c r="M3222" s="13"/>
    </row>
    <row r="3223" spans="12:13">
      <c r="L3223" s="1">
        <v>44663.170138878486</v>
      </c>
      <c r="M3223" s="13"/>
    </row>
    <row r="3224" spans="12:13">
      <c r="L3224" s="1">
        <v>44663.173611100705</v>
      </c>
      <c r="M3224" s="13"/>
    </row>
    <row r="3225" spans="12:13">
      <c r="L3225" s="1">
        <v>44663.177083322924</v>
      </c>
      <c r="M3225" s="13"/>
    </row>
    <row r="3226" spans="12:13">
      <c r="L3226" s="1">
        <v>44663.180555545143</v>
      </c>
      <c r="M3226" s="13"/>
    </row>
    <row r="3227" spans="12:13">
      <c r="L3227" s="1">
        <v>44663.184027767362</v>
      </c>
      <c r="M3227" s="13"/>
    </row>
    <row r="3228" spans="12:13">
      <c r="L3228" s="1">
        <v>44663.187499989581</v>
      </c>
      <c r="M3228" s="13"/>
    </row>
    <row r="3229" spans="12:13">
      <c r="L3229" s="1">
        <v>44663.1909722118</v>
      </c>
      <c r="M3229" s="13"/>
    </row>
    <row r="3230" spans="12:13">
      <c r="L3230" s="1">
        <v>44663.194444434019</v>
      </c>
      <c r="M3230" s="13"/>
    </row>
    <row r="3231" spans="12:13">
      <c r="L3231" s="1">
        <v>44663.197916656238</v>
      </c>
      <c r="M3231" s="13"/>
    </row>
    <row r="3232" spans="12:13">
      <c r="L3232" s="1">
        <v>44663.201388878457</v>
      </c>
      <c r="M3232" s="13"/>
    </row>
    <row r="3233" spans="12:13">
      <c r="L3233" s="1">
        <v>44663.204861100676</v>
      </c>
      <c r="M3233" s="13"/>
    </row>
    <row r="3234" spans="12:13">
      <c r="L3234" s="1">
        <v>44663.208333322895</v>
      </c>
      <c r="M3234" s="13"/>
    </row>
    <row r="3235" spans="12:13">
      <c r="L3235" s="1">
        <v>44663.211805545114</v>
      </c>
      <c r="M3235" s="13"/>
    </row>
    <row r="3236" spans="12:13">
      <c r="L3236" s="1">
        <v>44663.215277767333</v>
      </c>
      <c r="M3236" s="13"/>
    </row>
    <row r="3237" spans="12:13">
      <c r="L3237" s="1">
        <v>44663.218749989552</v>
      </c>
      <c r="M3237" s="13"/>
    </row>
    <row r="3238" spans="12:13">
      <c r="L3238" s="1">
        <v>44663.222222211771</v>
      </c>
      <c r="M3238" s="13"/>
    </row>
    <row r="3239" spans="12:13">
      <c r="L3239" s="1">
        <v>44663.22569443399</v>
      </c>
      <c r="M3239" s="13"/>
    </row>
    <row r="3240" spans="12:13">
      <c r="L3240" s="1">
        <v>44663.229166656209</v>
      </c>
      <c r="M3240" s="13"/>
    </row>
    <row r="3241" spans="12:13">
      <c r="L3241" s="1">
        <v>44663.232638878428</v>
      </c>
      <c r="M3241" s="13"/>
    </row>
    <row r="3242" spans="12:13">
      <c r="L3242" s="1">
        <v>44663.236111100647</v>
      </c>
      <c r="M3242" s="13"/>
    </row>
    <row r="3243" spans="12:13">
      <c r="L3243" s="1">
        <v>44663.239583322866</v>
      </c>
      <c r="M3243" s="13"/>
    </row>
    <row r="3244" spans="12:13">
      <c r="L3244" s="1">
        <v>44663.243055545085</v>
      </c>
      <c r="M3244" s="13"/>
    </row>
    <row r="3245" spans="12:13">
      <c r="L3245" s="1">
        <v>44663.246527767304</v>
      </c>
      <c r="M3245" s="13"/>
    </row>
    <row r="3246" spans="12:13">
      <c r="L3246" s="1">
        <v>44663.249999989523</v>
      </c>
      <c r="M3246" s="13"/>
    </row>
    <row r="3247" spans="12:13">
      <c r="L3247" s="1">
        <v>44663.253472211742</v>
      </c>
      <c r="M3247" s="13"/>
    </row>
    <row r="3248" spans="12:13">
      <c r="L3248" s="1">
        <v>44663.256944433961</v>
      </c>
      <c r="M3248" s="13"/>
    </row>
    <row r="3249" spans="12:13">
      <c r="L3249" s="1">
        <v>44663.26041665618</v>
      </c>
      <c r="M3249" s="13"/>
    </row>
    <row r="3250" spans="12:13">
      <c r="L3250" s="1">
        <v>44663.263888878399</v>
      </c>
      <c r="M3250" s="13"/>
    </row>
    <row r="3251" spans="12:13">
      <c r="L3251" s="1">
        <v>44663.267361100618</v>
      </c>
      <c r="M3251" s="13"/>
    </row>
    <row r="3252" spans="12:13">
      <c r="L3252" s="1">
        <v>44663.270833322837</v>
      </c>
      <c r="M3252" s="13"/>
    </row>
    <row r="3253" spans="12:13">
      <c r="L3253" s="1">
        <v>44663.274305545056</v>
      </c>
      <c r="M3253" s="13"/>
    </row>
    <row r="3254" spans="12:13">
      <c r="L3254" s="1">
        <v>44663.277777767275</v>
      </c>
      <c r="M3254" s="13"/>
    </row>
    <row r="3255" spans="12:13">
      <c r="L3255" s="1">
        <v>44663.281249989494</v>
      </c>
      <c r="M3255" s="13"/>
    </row>
    <row r="3256" spans="12:13">
      <c r="L3256" s="1">
        <v>44663.284722211713</v>
      </c>
      <c r="M3256" s="13"/>
    </row>
    <row r="3257" spans="12:13">
      <c r="L3257" s="1">
        <v>44663.288194433931</v>
      </c>
      <c r="M3257" s="13"/>
    </row>
    <row r="3258" spans="12:13">
      <c r="L3258" s="1">
        <v>44663.29166665615</v>
      </c>
      <c r="M3258" s="13"/>
    </row>
    <row r="3259" spans="12:13">
      <c r="L3259" s="1">
        <v>44663.295138878369</v>
      </c>
      <c r="M3259" s="13"/>
    </row>
    <row r="3260" spans="12:13">
      <c r="L3260" s="1">
        <v>44663.298611100588</v>
      </c>
      <c r="M3260" s="13"/>
    </row>
    <row r="3261" spans="12:13">
      <c r="L3261" s="1">
        <v>44663.302083322807</v>
      </c>
      <c r="M3261" s="13"/>
    </row>
    <row r="3262" spans="12:13">
      <c r="L3262" s="1">
        <v>44663.305555545026</v>
      </c>
      <c r="M3262" s="13"/>
    </row>
    <row r="3263" spans="12:13">
      <c r="L3263" s="1">
        <v>44663.309027767245</v>
      </c>
      <c r="M3263" s="13"/>
    </row>
    <row r="3264" spans="12:13">
      <c r="L3264" s="1">
        <v>44663.312499989464</v>
      </c>
      <c r="M3264" s="13"/>
    </row>
    <row r="3265" spans="12:13">
      <c r="L3265" s="1">
        <v>44663.315972211683</v>
      </c>
      <c r="M3265" s="13"/>
    </row>
    <row r="3266" spans="12:13">
      <c r="L3266" s="1">
        <v>44663.319444433902</v>
      </c>
      <c r="M3266" s="13"/>
    </row>
    <row r="3267" spans="12:13">
      <c r="L3267" s="1">
        <v>44663.322916656121</v>
      </c>
      <c r="M3267" s="13"/>
    </row>
    <row r="3268" spans="12:13">
      <c r="L3268" s="1">
        <v>44663.32638887834</v>
      </c>
      <c r="M3268" s="13"/>
    </row>
    <row r="3269" spans="12:13">
      <c r="L3269" s="1">
        <v>44663.329861100559</v>
      </c>
      <c r="M3269" s="13"/>
    </row>
    <row r="3270" spans="12:13">
      <c r="L3270" s="1">
        <v>44663.333333322778</v>
      </c>
      <c r="M3270" s="13"/>
    </row>
    <row r="3271" spans="12:13">
      <c r="L3271" s="1">
        <v>44663.336805544997</v>
      </c>
      <c r="M3271" s="13"/>
    </row>
    <row r="3272" spans="12:13">
      <c r="L3272" s="1">
        <v>44663.340277767216</v>
      </c>
      <c r="M3272" s="13"/>
    </row>
    <row r="3273" spans="12:13">
      <c r="L3273" s="1">
        <v>44663.343749989435</v>
      </c>
      <c r="M3273" s="13"/>
    </row>
    <row r="3274" spans="12:13">
      <c r="L3274" s="1">
        <v>44663.347222211654</v>
      </c>
      <c r="M3274" s="13"/>
    </row>
    <row r="3275" spans="12:13">
      <c r="L3275" s="1">
        <v>44663.350694433873</v>
      </c>
      <c r="M3275" s="13"/>
    </row>
    <row r="3276" spans="12:13">
      <c r="L3276" s="1">
        <v>44663.354166656092</v>
      </c>
      <c r="M3276" s="13"/>
    </row>
    <row r="3277" spans="12:13">
      <c r="L3277" s="1">
        <v>44663.357638878311</v>
      </c>
      <c r="M3277" s="13"/>
    </row>
    <row r="3278" spans="12:13">
      <c r="L3278" s="1">
        <v>44663.36111110053</v>
      </c>
      <c r="M3278" s="13"/>
    </row>
    <row r="3279" spans="12:13">
      <c r="L3279" s="1">
        <v>44663.364583322749</v>
      </c>
      <c r="M3279" s="13"/>
    </row>
    <row r="3280" spans="12:13">
      <c r="L3280" s="1">
        <v>44663.368055544968</v>
      </c>
      <c r="M3280" s="13"/>
    </row>
    <row r="3281" spans="12:13">
      <c r="L3281" s="1">
        <v>44663.371527767187</v>
      </c>
      <c r="M3281" s="13"/>
    </row>
    <row r="3282" spans="12:13">
      <c r="L3282" s="1">
        <v>44663.374999989406</v>
      </c>
      <c r="M3282" s="13"/>
    </row>
    <row r="3283" spans="12:13">
      <c r="L3283" s="1">
        <v>44663.378472211625</v>
      </c>
      <c r="M3283" s="13"/>
    </row>
    <row r="3284" spans="12:13">
      <c r="L3284" s="1">
        <v>44663.381944433844</v>
      </c>
      <c r="M3284" s="13"/>
    </row>
    <row r="3285" spans="12:13">
      <c r="L3285" s="1">
        <v>44663.385416656063</v>
      </c>
      <c r="M3285" s="13"/>
    </row>
    <row r="3286" spans="12:13">
      <c r="L3286" s="1">
        <v>44663.388888878282</v>
      </c>
      <c r="M3286" s="13"/>
    </row>
    <row r="3287" spans="12:13">
      <c r="L3287" s="1">
        <v>44663.392361100501</v>
      </c>
      <c r="M3287" s="13"/>
    </row>
    <row r="3288" spans="12:13">
      <c r="L3288" s="1">
        <v>44663.39583332272</v>
      </c>
      <c r="M3288" s="13"/>
    </row>
    <row r="3289" spans="12:13">
      <c r="L3289" s="1">
        <v>44663.399305544939</v>
      </c>
      <c r="M3289" s="13"/>
    </row>
    <row r="3290" spans="12:13">
      <c r="L3290" s="1">
        <v>44663.402777767158</v>
      </c>
      <c r="M3290" s="13"/>
    </row>
    <row r="3291" spans="12:13">
      <c r="L3291" s="1">
        <v>44663.406249989377</v>
      </c>
      <c r="M3291" s="13"/>
    </row>
    <row r="3292" spans="12:13">
      <c r="L3292" s="1">
        <v>44663.409722211596</v>
      </c>
      <c r="M3292" s="13"/>
    </row>
    <row r="3293" spans="12:13">
      <c r="L3293" s="1">
        <v>44663.413194433815</v>
      </c>
      <c r="M3293" s="13"/>
    </row>
    <row r="3294" spans="12:13">
      <c r="L3294" s="1">
        <v>44663.416666656034</v>
      </c>
      <c r="M3294" s="13"/>
    </row>
    <row r="3295" spans="12:13">
      <c r="L3295" s="1">
        <v>44663.420138878253</v>
      </c>
      <c r="M3295" s="13"/>
    </row>
    <row r="3296" spans="12:13">
      <c r="L3296" s="1">
        <v>44663.423611100472</v>
      </c>
      <c r="M3296" s="13"/>
    </row>
    <row r="3297" spans="12:13">
      <c r="L3297" s="1">
        <v>44663.427083322691</v>
      </c>
      <c r="M3297" s="13"/>
    </row>
    <row r="3298" spans="12:13">
      <c r="L3298" s="1">
        <v>44663.43055554491</v>
      </c>
      <c r="M3298" s="13"/>
    </row>
    <row r="3299" spans="12:13">
      <c r="L3299" s="1">
        <v>44663.434027767129</v>
      </c>
      <c r="M3299" s="13"/>
    </row>
    <row r="3300" spans="12:13">
      <c r="L3300" s="1">
        <v>44663.437499989348</v>
      </c>
      <c r="M3300" s="13"/>
    </row>
    <row r="3301" spans="12:13">
      <c r="L3301" s="1">
        <v>44663.440972211567</v>
      </c>
      <c r="M3301" s="13"/>
    </row>
    <row r="3302" spans="12:13">
      <c r="L3302" s="1">
        <v>44663.444444433786</v>
      </c>
      <c r="M3302" s="13"/>
    </row>
    <row r="3303" spans="12:13">
      <c r="L3303" s="1">
        <v>44663.447916656005</v>
      </c>
      <c r="M3303" s="13"/>
    </row>
    <row r="3304" spans="12:13">
      <c r="L3304" s="1">
        <v>44663.451388878224</v>
      </c>
      <c r="M3304" s="13"/>
    </row>
    <row r="3305" spans="12:13">
      <c r="L3305" s="1">
        <v>44663.454861100443</v>
      </c>
      <c r="M3305" s="13"/>
    </row>
    <row r="3306" spans="12:13">
      <c r="L3306" s="1">
        <v>44663.458333322662</v>
      </c>
      <c r="M3306" s="13"/>
    </row>
    <row r="3307" spans="12:13">
      <c r="L3307" s="1">
        <v>44663.461805544881</v>
      </c>
      <c r="M3307" s="13"/>
    </row>
    <row r="3308" spans="12:13">
      <c r="L3308" s="1">
        <v>44663.4652777671</v>
      </c>
      <c r="M3308" s="13"/>
    </row>
    <row r="3309" spans="12:13">
      <c r="L3309" s="1">
        <v>44663.468749989319</v>
      </c>
      <c r="M3309" s="13"/>
    </row>
    <row r="3310" spans="12:13">
      <c r="L3310" s="1">
        <v>44663.472222211538</v>
      </c>
      <c r="M3310" s="13"/>
    </row>
    <row r="3311" spans="12:13">
      <c r="L3311" s="1">
        <v>44663.475694433757</v>
      </c>
      <c r="M3311" s="13"/>
    </row>
    <row r="3312" spans="12:13">
      <c r="L3312" s="1">
        <v>44663.479166655976</v>
      </c>
      <c r="M3312" s="13"/>
    </row>
    <row r="3313" spans="12:13">
      <c r="L3313" s="1">
        <v>44663.482638878195</v>
      </c>
      <c r="M3313" s="13"/>
    </row>
    <row r="3314" spans="12:13">
      <c r="L3314" s="1">
        <v>44663.486111100414</v>
      </c>
      <c r="M3314" s="13"/>
    </row>
    <row r="3315" spans="12:13">
      <c r="L3315" s="1">
        <v>44663.489583322633</v>
      </c>
      <c r="M3315" s="13"/>
    </row>
    <row r="3316" spans="12:13">
      <c r="L3316" s="1">
        <v>44663.493055544852</v>
      </c>
      <c r="M3316" s="13"/>
    </row>
    <row r="3317" spans="12:13">
      <c r="L3317" s="1">
        <v>44663.496527767071</v>
      </c>
      <c r="M3317" s="13"/>
    </row>
    <row r="3318" spans="12:13">
      <c r="L3318" s="1">
        <v>44663.49999998929</v>
      </c>
      <c r="M3318" s="13"/>
    </row>
    <row r="3319" spans="12:13">
      <c r="L3319" s="1">
        <v>44663.503472211509</v>
      </c>
      <c r="M3319" s="13"/>
    </row>
    <row r="3320" spans="12:13">
      <c r="L3320" s="1">
        <v>44663.506944433728</v>
      </c>
      <c r="M3320" s="13"/>
    </row>
    <row r="3321" spans="12:13">
      <c r="L3321" s="1">
        <v>44663.510416655947</v>
      </c>
      <c r="M3321" s="13"/>
    </row>
    <row r="3322" spans="12:13">
      <c r="L3322" s="1">
        <v>44663.513888878166</v>
      </c>
      <c r="M3322" s="13"/>
    </row>
    <row r="3323" spans="12:13">
      <c r="L3323" s="1">
        <v>44663.517361100385</v>
      </c>
      <c r="M3323" s="13"/>
    </row>
    <row r="3324" spans="12:13">
      <c r="L3324" s="1">
        <v>44663.520833322604</v>
      </c>
      <c r="M3324" s="13"/>
    </row>
    <row r="3325" spans="12:13">
      <c r="L3325" s="1">
        <v>44663.524305544823</v>
      </c>
      <c r="M3325" s="13"/>
    </row>
    <row r="3326" spans="12:13">
      <c r="L3326" s="1">
        <v>44663.527777767042</v>
      </c>
      <c r="M3326" s="13"/>
    </row>
    <row r="3327" spans="12:13">
      <c r="L3327" s="1">
        <v>44663.531249989261</v>
      </c>
      <c r="M3327" s="13"/>
    </row>
    <row r="3328" spans="12:13">
      <c r="L3328" s="1">
        <v>44663.53472221148</v>
      </c>
      <c r="M3328" s="13"/>
    </row>
    <row r="3329" spans="12:13">
      <c r="L3329" s="1">
        <v>44663.538194433699</v>
      </c>
      <c r="M3329" s="13"/>
    </row>
    <row r="3330" spans="12:13">
      <c r="L3330" s="1">
        <v>44663.541666655918</v>
      </c>
      <c r="M3330" s="13"/>
    </row>
    <row r="3331" spans="12:13">
      <c r="L3331" s="1">
        <v>44663.545138878137</v>
      </c>
      <c r="M3331" s="13"/>
    </row>
    <row r="3332" spans="12:13">
      <c r="L3332" s="1">
        <v>44663.548611100356</v>
      </c>
      <c r="M3332" s="13"/>
    </row>
    <row r="3333" spans="12:13">
      <c r="L3333" s="1">
        <v>44663.552083322575</v>
      </c>
      <c r="M3333" s="13"/>
    </row>
    <row r="3334" spans="12:13">
      <c r="L3334" s="1">
        <v>44663.555555544794</v>
      </c>
      <c r="M3334" s="13"/>
    </row>
    <row r="3335" spans="12:13">
      <c r="L3335" s="1">
        <v>44663.559027767013</v>
      </c>
      <c r="M3335" s="13"/>
    </row>
    <row r="3336" spans="12:13">
      <c r="L3336" s="1">
        <v>44663.562499989232</v>
      </c>
      <c r="M3336" s="13"/>
    </row>
    <row r="3337" spans="12:13">
      <c r="L3337" s="1">
        <v>44663.565972211451</v>
      </c>
      <c r="M3337" s="13"/>
    </row>
    <row r="3338" spans="12:13">
      <c r="L3338" s="1">
        <v>44663.56944443367</v>
      </c>
      <c r="M3338" s="13"/>
    </row>
    <row r="3339" spans="12:13">
      <c r="L3339" s="1">
        <v>44663.572916655889</v>
      </c>
      <c r="M3339" s="13"/>
    </row>
    <row r="3340" spans="12:13">
      <c r="L3340" s="1">
        <v>44663.576388878108</v>
      </c>
      <c r="M3340" s="13"/>
    </row>
    <row r="3341" spans="12:13">
      <c r="L3341" s="1">
        <v>44663.579861100327</v>
      </c>
      <c r="M3341" s="13"/>
    </row>
    <row r="3342" spans="12:13">
      <c r="L3342" s="1">
        <v>44663.583333322546</v>
      </c>
      <c r="M3342" s="13"/>
    </row>
    <row r="3343" spans="12:13">
      <c r="L3343" s="1">
        <v>44663.586805544765</v>
      </c>
      <c r="M3343" s="13"/>
    </row>
    <row r="3344" spans="12:13">
      <c r="L3344" s="1">
        <v>44663.590277766983</v>
      </c>
      <c r="M3344" s="13"/>
    </row>
    <row r="3345" spans="12:13">
      <c r="L3345" s="1">
        <v>44663.593749989202</v>
      </c>
      <c r="M3345" s="13"/>
    </row>
    <row r="3346" spans="12:13">
      <c r="L3346" s="1">
        <v>44663.597222211421</v>
      </c>
      <c r="M3346" s="13"/>
    </row>
    <row r="3347" spans="12:13">
      <c r="L3347" s="1">
        <v>44663.60069443364</v>
      </c>
      <c r="M3347" s="13"/>
    </row>
    <row r="3348" spans="12:13">
      <c r="L3348" s="1">
        <v>44663.604166655859</v>
      </c>
      <c r="M3348" s="13"/>
    </row>
    <row r="3349" spans="12:13">
      <c r="L3349" s="1">
        <v>44663.607638878078</v>
      </c>
      <c r="M3349" s="13"/>
    </row>
    <row r="3350" spans="12:13">
      <c r="L3350" s="1">
        <v>44663.611111100297</v>
      </c>
      <c r="M3350" s="13"/>
    </row>
    <row r="3351" spans="12:13">
      <c r="L3351" s="1">
        <v>44663.614583322516</v>
      </c>
      <c r="M3351" s="13"/>
    </row>
    <row r="3352" spans="12:13">
      <c r="L3352" s="1">
        <v>44663.618055544735</v>
      </c>
      <c r="M3352" s="13"/>
    </row>
    <row r="3353" spans="12:13">
      <c r="L3353" s="1">
        <v>44663.621527766954</v>
      </c>
      <c r="M3353" s="13"/>
    </row>
    <row r="3354" spans="12:13">
      <c r="L3354" s="1">
        <v>44663.624999989173</v>
      </c>
      <c r="M3354" s="13"/>
    </row>
    <row r="3355" spans="12:13">
      <c r="L3355" s="1">
        <v>44663.628472211392</v>
      </c>
      <c r="M3355" s="13"/>
    </row>
    <row r="3356" spans="12:13">
      <c r="L3356" s="1">
        <v>44663.631944433611</v>
      </c>
      <c r="M3356" s="13"/>
    </row>
    <row r="3357" spans="12:13">
      <c r="L3357" s="1">
        <v>44663.63541665583</v>
      </c>
      <c r="M3357" s="13"/>
    </row>
    <row r="3358" spans="12:13">
      <c r="L3358" s="1">
        <v>44663.638888878049</v>
      </c>
      <c r="M3358" s="13"/>
    </row>
    <row r="3359" spans="12:13">
      <c r="L3359" s="1">
        <v>44663.642361100268</v>
      </c>
      <c r="M3359" s="13"/>
    </row>
    <row r="3360" spans="12:13">
      <c r="L3360" s="1">
        <v>44663.645833322487</v>
      </c>
      <c r="M3360" s="13"/>
    </row>
    <row r="3361" spans="12:13">
      <c r="L3361" s="1">
        <v>44663.649305544706</v>
      </c>
      <c r="M3361" s="13"/>
    </row>
    <row r="3362" spans="12:13">
      <c r="L3362" s="1">
        <v>44663.652777766925</v>
      </c>
      <c r="M3362" s="13"/>
    </row>
    <row r="3363" spans="12:13">
      <c r="L3363" s="1">
        <v>44663.656249989144</v>
      </c>
      <c r="M3363" s="13"/>
    </row>
    <row r="3364" spans="12:13">
      <c r="L3364" s="1">
        <v>44663.659722211363</v>
      </c>
      <c r="M3364" s="13"/>
    </row>
    <row r="3365" spans="12:13">
      <c r="L3365" s="1">
        <v>44663.663194433582</v>
      </c>
      <c r="M3365" s="13"/>
    </row>
    <row r="3366" spans="12:13">
      <c r="L3366" s="1">
        <v>44663.666666655801</v>
      </c>
      <c r="M3366" s="13"/>
    </row>
    <row r="3367" spans="12:13">
      <c r="L3367" s="1">
        <v>44663.67013887802</v>
      </c>
      <c r="M3367" s="13"/>
    </row>
    <row r="3368" spans="12:13">
      <c r="L3368" s="1">
        <v>44663.673611100239</v>
      </c>
      <c r="M3368" s="13"/>
    </row>
    <row r="3369" spans="12:13">
      <c r="L3369" s="1">
        <v>44663.677083322458</v>
      </c>
      <c r="M3369" s="13"/>
    </row>
    <row r="3370" spans="12:13">
      <c r="L3370" s="1">
        <v>44663.680555544677</v>
      </c>
      <c r="M3370" s="13"/>
    </row>
    <row r="3371" spans="12:13">
      <c r="L3371" s="1">
        <v>44663.684027766896</v>
      </c>
      <c r="M3371" s="13"/>
    </row>
    <row r="3372" spans="12:13">
      <c r="L3372" s="1">
        <v>44663.687499989115</v>
      </c>
      <c r="M3372" s="13"/>
    </row>
    <row r="3373" spans="12:13">
      <c r="L3373" s="1">
        <v>44663.690972211334</v>
      </c>
      <c r="M3373" s="13"/>
    </row>
    <row r="3374" spans="12:13">
      <c r="L3374" s="1">
        <v>44663.694444433553</v>
      </c>
      <c r="M3374" s="13"/>
    </row>
    <row r="3375" spans="12:13">
      <c r="L3375" s="1">
        <v>44663.697916655772</v>
      </c>
      <c r="M3375" s="13"/>
    </row>
    <row r="3376" spans="12:13">
      <c r="L3376" s="1">
        <v>44663.701388877991</v>
      </c>
      <c r="M3376" s="13"/>
    </row>
    <row r="3377" spans="12:13">
      <c r="L3377" s="1">
        <v>44663.70486110021</v>
      </c>
      <c r="M3377" s="13"/>
    </row>
    <row r="3378" spans="12:13">
      <c r="L3378" s="1">
        <v>44663.708333322429</v>
      </c>
      <c r="M3378" s="13"/>
    </row>
    <row r="3379" spans="12:13">
      <c r="L3379" s="1">
        <v>44663.711805544648</v>
      </c>
      <c r="M3379" s="13"/>
    </row>
    <row r="3380" spans="12:13">
      <c r="L3380" s="1">
        <v>44663.715277766867</v>
      </c>
      <c r="M3380" s="13"/>
    </row>
    <row r="3381" spans="12:13">
      <c r="L3381" s="1">
        <v>44663.718749989086</v>
      </c>
      <c r="M3381" s="13"/>
    </row>
    <row r="3382" spans="12:13">
      <c r="L3382" s="1">
        <v>44663.722222211305</v>
      </c>
      <c r="M3382" s="13"/>
    </row>
    <row r="3383" spans="12:13">
      <c r="L3383" s="1">
        <v>44663.725694433524</v>
      </c>
      <c r="M3383" s="13"/>
    </row>
    <row r="3384" spans="12:13">
      <c r="L3384" s="1">
        <v>44663.729166655743</v>
      </c>
      <c r="M3384" s="13"/>
    </row>
    <row r="3385" spans="12:13">
      <c r="L3385" s="1">
        <v>44663.732638877962</v>
      </c>
      <c r="M3385" s="13"/>
    </row>
    <row r="3386" spans="12:13">
      <c r="L3386" s="1">
        <v>44663.736111100181</v>
      </c>
      <c r="M3386" s="13"/>
    </row>
    <row r="3387" spans="12:13">
      <c r="L3387" s="1">
        <v>44663.7395833224</v>
      </c>
      <c r="M3387" s="13"/>
    </row>
    <row r="3388" spans="12:13">
      <c r="L3388" s="1">
        <v>44663.743055544619</v>
      </c>
      <c r="M3388" s="13"/>
    </row>
    <row r="3389" spans="12:13">
      <c r="L3389" s="1">
        <v>44663.746527766838</v>
      </c>
      <c r="M3389" s="13"/>
    </row>
    <row r="3390" spans="12:13">
      <c r="L3390" s="1">
        <v>44663.749999989057</v>
      </c>
      <c r="M3390" s="13"/>
    </row>
    <row r="3391" spans="12:13">
      <c r="L3391" s="1">
        <v>44663.753472211276</v>
      </c>
      <c r="M3391" s="13"/>
    </row>
    <row r="3392" spans="12:13">
      <c r="L3392" s="1">
        <v>44663.756944433495</v>
      </c>
      <c r="M3392" s="13"/>
    </row>
    <row r="3393" spans="12:13">
      <c r="L3393" s="1">
        <v>44663.760416655714</v>
      </c>
      <c r="M3393" s="13"/>
    </row>
    <row r="3394" spans="12:13">
      <c r="L3394" s="1">
        <v>44663.763888877933</v>
      </c>
      <c r="M3394" s="13"/>
    </row>
    <row r="3395" spans="12:13">
      <c r="L3395" s="1">
        <v>44663.767361100152</v>
      </c>
      <c r="M3395" s="13"/>
    </row>
    <row r="3396" spans="12:13">
      <c r="L3396" s="1">
        <v>44663.770833322371</v>
      </c>
      <c r="M3396" s="13"/>
    </row>
    <row r="3397" spans="12:13">
      <c r="L3397" s="1">
        <v>44663.77430554459</v>
      </c>
      <c r="M3397" s="13"/>
    </row>
    <row r="3398" spans="12:13">
      <c r="L3398" s="1">
        <v>44663.777777766809</v>
      </c>
      <c r="M3398" s="13"/>
    </row>
    <row r="3399" spans="12:13">
      <c r="L3399" s="1">
        <v>44663.781249989028</v>
      </c>
      <c r="M3399" s="13"/>
    </row>
    <row r="3400" spans="12:13">
      <c r="L3400" s="1">
        <v>44663.784722211247</v>
      </c>
      <c r="M3400" s="13"/>
    </row>
    <row r="3401" spans="12:13">
      <c r="L3401" s="1">
        <v>44663.788194433466</v>
      </c>
      <c r="M3401" s="13"/>
    </row>
    <row r="3402" spans="12:13">
      <c r="L3402" s="1">
        <v>44663.791666655685</v>
      </c>
      <c r="M3402" s="13"/>
    </row>
    <row r="3403" spans="12:13">
      <c r="L3403" s="1">
        <v>44663.795138877904</v>
      </c>
      <c r="M3403" s="13"/>
    </row>
    <row r="3404" spans="12:13">
      <c r="L3404" s="1">
        <v>44663.798611100123</v>
      </c>
      <c r="M3404" s="13"/>
    </row>
    <row r="3405" spans="12:13">
      <c r="L3405" s="1">
        <v>44663.802083322342</v>
      </c>
      <c r="M3405" s="13"/>
    </row>
    <row r="3406" spans="12:13">
      <c r="L3406" s="1">
        <v>44663.805555544561</v>
      </c>
      <c r="M3406" s="13"/>
    </row>
    <row r="3407" spans="12:13">
      <c r="L3407" s="1">
        <v>44663.80902776678</v>
      </c>
      <c r="M3407" s="13"/>
    </row>
    <row r="3408" spans="12:13">
      <c r="L3408" s="1">
        <v>44663.812499988999</v>
      </c>
      <c r="M3408" s="13"/>
    </row>
    <row r="3409" spans="12:13">
      <c r="L3409" s="1">
        <v>44663.815972211218</v>
      </c>
      <c r="M3409" s="13"/>
    </row>
    <row r="3410" spans="12:13">
      <c r="L3410" s="1">
        <v>44663.819444433437</v>
      </c>
      <c r="M3410" s="13"/>
    </row>
    <row r="3411" spans="12:13">
      <c r="L3411" s="1">
        <v>44663.822916655656</v>
      </c>
      <c r="M3411" s="13"/>
    </row>
    <row r="3412" spans="12:13">
      <c r="L3412" s="1">
        <v>44663.826388877875</v>
      </c>
      <c r="M3412" s="13"/>
    </row>
    <row r="3413" spans="12:13">
      <c r="L3413" s="1">
        <v>44663.829861100094</v>
      </c>
      <c r="M3413" s="13"/>
    </row>
    <row r="3414" spans="12:13">
      <c r="L3414" s="1">
        <v>44663.833333322313</v>
      </c>
      <c r="M3414" s="13"/>
    </row>
    <row r="3415" spans="12:13">
      <c r="L3415" s="1">
        <v>44663.836805544532</v>
      </c>
      <c r="M3415" s="13"/>
    </row>
    <row r="3416" spans="12:13">
      <c r="L3416" s="1">
        <v>44663.840277766751</v>
      </c>
      <c r="M3416" s="13"/>
    </row>
    <row r="3417" spans="12:13">
      <c r="L3417" s="1">
        <v>44663.84374998897</v>
      </c>
      <c r="M3417" s="13"/>
    </row>
    <row r="3418" spans="12:13">
      <c r="L3418" s="1">
        <v>44663.847222211189</v>
      </c>
      <c r="M3418" s="13"/>
    </row>
    <row r="3419" spans="12:13">
      <c r="L3419" s="1">
        <v>44663.850694433408</v>
      </c>
      <c r="M3419" s="13"/>
    </row>
    <row r="3420" spans="12:13">
      <c r="L3420" s="1">
        <v>44663.854166655627</v>
      </c>
      <c r="M3420" s="13"/>
    </row>
    <row r="3421" spans="12:13">
      <c r="L3421" s="1">
        <v>44663.857638877846</v>
      </c>
      <c r="M3421" s="13"/>
    </row>
    <row r="3422" spans="12:13">
      <c r="L3422" s="1">
        <v>44663.861111100065</v>
      </c>
      <c r="M3422" s="13"/>
    </row>
    <row r="3423" spans="12:13">
      <c r="L3423" s="1">
        <v>44663.864583322284</v>
      </c>
      <c r="M3423" s="13"/>
    </row>
    <row r="3424" spans="12:13">
      <c r="L3424" s="1">
        <v>44663.868055544503</v>
      </c>
      <c r="M3424" s="13"/>
    </row>
    <row r="3425" spans="12:13">
      <c r="L3425" s="1">
        <v>44663.871527766722</v>
      </c>
      <c r="M3425" s="13"/>
    </row>
    <row r="3426" spans="12:13">
      <c r="L3426" s="1">
        <v>44663.874999988941</v>
      </c>
      <c r="M3426" s="13"/>
    </row>
    <row r="3427" spans="12:13">
      <c r="L3427" s="1">
        <v>44663.87847221116</v>
      </c>
      <c r="M3427" s="13"/>
    </row>
    <row r="3428" spans="12:13">
      <c r="L3428" s="1">
        <v>44663.881944433379</v>
      </c>
      <c r="M3428" s="13"/>
    </row>
    <row r="3429" spans="12:13">
      <c r="L3429" s="1">
        <v>44663.885416655598</v>
      </c>
      <c r="M3429" s="13"/>
    </row>
    <row r="3430" spans="12:13">
      <c r="L3430" s="1">
        <v>44663.888888877816</v>
      </c>
      <c r="M3430" s="13"/>
    </row>
    <row r="3431" spans="12:13">
      <c r="L3431" s="1">
        <v>44663.892361100035</v>
      </c>
      <c r="M3431" s="13"/>
    </row>
    <row r="3432" spans="12:13">
      <c r="L3432" s="1">
        <v>44663.895833322254</v>
      </c>
      <c r="M3432" s="13"/>
    </row>
    <row r="3433" spans="12:13">
      <c r="L3433" s="1">
        <v>44663.899305544473</v>
      </c>
      <c r="M3433" s="13"/>
    </row>
    <row r="3434" spans="12:13">
      <c r="L3434" s="1">
        <v>44663.902777766692</v>
      </c>
      <c r="M3434" s="13"/>
    </row>
    <row r="3435" spans="12:13">
      <c r="L3435" s="1">
        <v>44663.906249988911</v>
      </c>
      <c r="M3435" s="13"/>
    </row>
    <row r="3436" spans="12:13">
      <c r="L3436" s="1">
        <v>44663.90972221113</v>
      </c>
      <c r="M3436" s="13"/>
    </row>
    <row r="3437" spans="12:13">
      <c r="L3437" s="1">
        <v>44663.913194433349</v>
      </c>
      <c r="M3437" s="13"/>
    </row>
    <row r="3438" spans="12:13">
      <c r="L3438" s="1">
        <v>44663.916666655568</v>
      </c>
      <c r="M3438" s="13"/>
    </row>
    <row r="3439" spans="12:13">
      <c r="L3439" s="1">
        <v>44663.920138877787</v>
      </c>
      <c r="M3439" s="13"/>
    </row>
    <row r="3440" spans="12:13">
      <c r="L3440" s="1">
        <v>44663.923611100006</v>
      </c>
      <c r="M3440" s="13"/>
    </row>
    <row r="3441" spans="12:13">
      <c r="L3441" s="1">
        <v>44663.927083322225</v>
      </c>
      <c r="M3441" s="13"/>
    </row>
    <row r="3442" spans="12:13">
      <c r="L3442" s="1">
        <v>44663.930555544444</v>
      </c>
      <c r="M3442" s="13"/>
    </row>
    <row r="3443" spans="12:13">
      <c r="L3443" s="1">
        <v>44663.934027766663</v>
      </c>
      <c r="M3443" s="13"/>
    </row>
    <row r="3444" spans="12:13">
      <c r="L3444" s="1">
        <v>44663.937499988882</v>
      </c>
      <c r="M3444" s="13"/>
    </row>
    <row r="3445" spans="12:13">
      <c r="L3445" s="1">
        <v>44663.940972211101</v>
      </c>
      <c r="M3445" s="13"/>
    </row>
    <row r="3446" spans="12:13">
      <c r="L3446" s="1">
        <v>44663.94444443332</v>
      </c>
      <c r="M3446" s="13"/>
    </row>
    <row r="3447" spans="12:13">
      <c r="L3447" s="1">
        <v>44663.947916655539</v>
      </c>
      <c r="M3447" s="13"/>
    </row>
    <row r="3448" spans="12:13">
      <c r="L3448" s="1">
        <v>44663.951388877758</v>
      </c>
      <c r="M3448" s="13"/>
    </row>
    <row r="3449" spans="12:13">
      <c r="L3449" s="1">
        <v>44663.954861099977</v>
      </c>
      <c r="M3449" s="13"/>
    </row>
    <row r="3450" spans="12:13">
      <c r="L3450" s="1">
        <v>44663.958333322196</v>
      </c>
      <c r="M3450" s="13"/>
    </row>
    <row r="3451" spans="12:13">
      <c r="L3451" s="1">
        <v>44663.961805544415</v>
      </c>
      <c r="M3451" s="13"/>
    </row>
    <row r="3452" spans="12:13">
      <c r="L3452" s="1">
        <v>44663.965277766634</v>
      </c>
      <c r="M3452" s="13"/>
    </row>
    <row r="3453" spans="12:13">
      <c r="L3453" s="1">
        <v>44663.968749988853</v>
      </c>
      <c r="M3453" s="13"/>
    </row>
    <row r="3454" spans="12:13">
      <c r="L3454" s="1">
        <v>44663.972222211072</v>
      </c>
      <c r="M3454" s="13"/>
    </row>
    <row r="3455" spans="12:13">
      <c r="L3455" s="1">
        <v>44663.975694433291</v>
      </c>
      <c r="M3455" s="13"/>
    </row>
    <row r="3456" spans="12:13">
      <c r="L3456" s="1">
        <v>44663.97916665551</v>
      </c>
      <c r="M3456" s="13"/>
    </row>
    <row r="3457" spans="12:13">
      <c r="L3457" s="1">
        <v>44663.982638877729</v>
      </c>
      <c r="M3457" s="13"/>
    </row>
    <row r="3458" spans="12:13">
      <c r="L3458" s="1">
        <v>44663.986111099948</v>
      </c>
      <c r="M3458" s="13"/>
    </row>
    <row r="3459" spans="12:13">
      <c r="L3459" s="1">
        <v>44663.989583322167</v>
      </c>
      <c r="M3459" s="13"/>
    </row>
    <row r="3460" spans="12:13">
      <c r="L3460" s="1">
        <v>44663.993055544386</v>
      </c>
      <c r="M3460" s="13"/>
    </row>
    <row r="3461" spans="12:13">
      <c r="L3461" s="1">
        <v>44663.996527766605</v>
      </c>
      <c r="M3461" s="13"/>
    </row>
    <row r="3462" spans="12:13">
      <c r="L3462" s="1">
        <v>44663.999999988824</v>
      </c>
      <c r="M3462" s="13"/>
    </row>
    <row r="3463" spans="12:13">
      <c r="L3463" s="1">
        <v>44664.003472211043</v>
      </c>
      <c r="M3463" s="13"/>
    </row>
    <row r="3464" spans="12:13">
      <c r="L3464" s="1">
        <v>44664.006944433262</v>
      </c>
      <c r="M3464" s="13"/>
    </row>
    <row r="3465" spans="12:13">
      <c r="L3465" s="1">
        <v>44664.010416655481</v>
      </c>
      <c r="M3465" s="13"/>
    </row>
    <row r="3466" spans="12:13">
      <c r="L3466" s="1">
        <v>44664.0138888777</v>
      </c>
      <c r="M3466" s="13"/>
    </row>
    <row r="3467" spans="12:13">
      <c r="L3467" s="1">
        <v>44664.017361099919</v>
      </c>
      <c r="M3467" s="13"/>
    </row>
    <row r="3468" spans="12:13">
      <c r="L3468" s="1">
        <v>44664.020833322138</v>
      </c>
      <c r="M3468" s="13"/>
    </row>
    <row r="3469" spans="12:13">
      <c r="L3469" s="1">
        <v>44664.024305544357</v>
      </c>
      <c r="M3469" s="13"/>
    </row>
    <row r="3470" spans="12:13">
      <c r="L3470" s="1">
        <v>44664.027777766576</v>
      </c>
      <c r="M3470" s="13"/>
    </row>
    <row r="3471" spans="12:13">
      <c r="L3471" s="1">
        <v>44664.031249988795</v>
      </c>
      <c r="M3471" s="13"/>
    </row>
    <row r="3472" spans="12:13">
      <c r="L3472" s="1">
        <v>44664.034722211014</v>
      </c>
      <c r="M3472" s="13"/>
    </row>
    <row r="3473" spans="12:13">
      <c r="L3473" s="1">
        <v>44664.038194433233</v>
      </c>
      <c r="M3473" s="13"/>
    </row>
    <row r="3474" spans="12:13">
      <c r="L3474" s="1">
        <v>44664.041666655452</v>
      </c>
      <c r="M3474" s="13"/>
    </row>
    <row r="3475" spans="12:13">
      <c r="L3475" s="1">
        <v>44664.045138877671</v>
      </c>
      <c r="M3475" s="13"/>
    </row>
    <row r="3476" spans="12:13">
      <c r="L3476" s="1">
        <v>44664.04861109989</v>
      </c>
      <c r="M3476" s="13"/>
    </row>
    <row r="3477" spans="12:13">
      <c r="L3477" s="1">
        <v>44664.052083322109</v>
      </c>
      <c r="M3477" s="13"/>
    </row>
    <row r="3478" spans="12:13">
      <c r="L3478" s="1">
        <v>44664.055555544328</v>
      </c>
      <c r="M3478" s="13"/>
    </row>
    <row r="3479" spans="12:13">
      <c r="L3479" s="1">
        <v>44664.059027766547</v>
      </c>
      <c r="M3479" s="13"/>
    </row>
    <row r="3480" spans="12:13">
      <c r="L3480" s="1">
        <v>44664.062499988766</v>
      </c>
      <c r="M3480" s="13"/>
    </row>
    <row r="3481" spans="12:13">
      <c r="L3481" s="1">
        <v>44664.065972210985</v>
      </c>
      <c r="M3481" s="13"/>
    </row>
    <row r="3482" spans="12:13">
      <c r="L3482" s="1">
        <v>44664.069444433204</v>
      </c>
      <c r="M3482" s="13"/>
    </row>
    <row r="3483" spans="12:13">
      <c r="L3483" s="1">
        <v>44664.072916655423</v>
      </c>
      <c r="M3483" s="13"/>
    </row>
    <row r="3484" spans="12:13">
      <c r="L3484" s="1">
        <v>44664.076388877642</v>
      </c>
      <c r="M3484" s="13"/>
    </row>
    <row r="3485" spans="12:13">
      <c r="L3485" s="1">
        <v>44664.079861099861</v>
      </c>
      <c r="M3485" s="13"/>
    </row>
    <row r="3486" spans="12:13">
      <c r="L3486" s="1">
        <v>44664.08333332208</v>
      </c>
      <c r="M3486" s="13"/>
    </row>
    <row r="3487" spans="12:13">
      <c r="L3487" s="1">
        <v>44664.086805544299</v>
      </c>
      <c r="M3487" s="13"/>
    </row>
    <row r="3488" spans="12:13">
      <c r="L3488" s="1">
        <v>44664.090277766518</v>
      </c>
      <c r="M3488" s="13"/>
    </row>
    <row r="3489" spans="12:13">
      <c r="L3489" s="1">
        <v>44664.093749988737</v>
      </c>
      <c r="M3489" s="13"/>
    </row>
    <row r="3490" spans="12:13">
      <c r="L3490" s="1">
        <v>44664.097222210956</v>
      </c>
      <c r="M3490" s="13"/>
    </row>
    <row r="3491" spans="12:13">
      <c r="L3491" s="1">
        <v>44664.100694433175</v>
      </c>
      <c r="M3491" s="13"/>
    </row>
    <row r="3492" spans="12:13">
      <c r="L3492" s="1">
        <v>44664.104166655394</v>
      </c>
      <c r="M3492" s="13"/>
    </row>
    <row r="3493" spans="12:13">
      <c r="L3493" s="1">
        <v>44664.107638877613</v>
      </c>
      <c r="M3493" s="13"/>
    </row>
    <row r="3494" spans="12:13">
      <c r="L3494" s="1">
        <v>44664.111111099832</v>
      </c>
      <c r="M3494" s="13"/>
    </row>
    <row r="3495" spans="12:13">
      <c r="L3495" s="1">
        <v>44664.114583322051</v>
      </c>
      <c r="M3495" s="13"/>
    </row>
    <row r="3496" spans="12:13">
      <c r="L3496" s="1">
        <v>44664.11805554427</v>
      </c>
      <c r="M3496" s="13"/>
    </row>
    <row r="3497" spans="12:13">
      <c r="L3497" s="1">
        <v>44664.121527766489</v>
      </c>
      <c r="M3497" s="13"/>
    </row>
    <row r="3498" spans="12:13">
      <c r="L3498" s="1">
        <v>44664.124999988708</v>
      </c>
      <c r="M3498" s="13"/>
    </row>
    <row r="3499" spans="12:13">
      <c r="L3499" s="1">
        <v>44664.128472210927</v>
      </c>
      <c r="M3499" s="13"/>
    </row>
    <row r="3500" spans="12:13">
      <c r="L3500" s="1">
        <v>44664.131944433146</v>
      </c>
      <c r="M3500" s="13"/>
    </row>
    <row r="3501" spans="12:13">
      <c r="L3501" s="1">
        <v>44664.135416655365</v>
      </c>
      <c r="M3501" s="13"/>
    </row>
    <row r="3502" spans="12:13">
      <c r="L3502" s="1">
        <v>44664.138888877584</v>
      </c>
      <c r="M3502" s="13"/>
    </row>
    <row r="3503" spans="12:13">
      <c r="L3503" s="1">
        <v>44664.142361099803</v>
      </c>
      <c r="M3503" s="13"/>
    </row>
    <row r="3504" spans="12:13">
      <c r="L3504" s="1">
        <v>44664.145833322022</v>
      </c>
      <c r="M3504" s="13"/>
    </row>
    <row r="3505" spans="12:13">
      <c r="L3505" s="1">
        <v>44664.149305544241</v>
      </c>
      <c r="M3505" s="13"/>
    </row>
    <row r="3506" spans="12:13">
      <c r="L3506" s="1">
        <v>44664.15277776646</v>
      </c>
      <c r="M3506" s="13"/>
    </row>
    <row r="3507" spans="12:13">
      <c r="L3507" s="1">
        <v>44664.156249988679</v>
      </c>
      <c r="M3507" s="13"/>
    </row>
    <row r="3508" spans="12:13">
      <c r="L3508" s="1">
        <v>44664.159722210898</v>
      </c>
      <c r="M3508" s="13"/>
    </row>
    <row r="3509" spans="12:13">
      <c r="L3509" s="1">
        <v>44664.163194433117</v>
      </c>
      <c r="M3509" s="13"/>
    </row>
    <row r="3510" spans="12:13">
      <c r="L3510" s="1">
        <v>44664.166666655336</v>
      </c>
      <c r="M3510" s="13"/>
    </row>
    <row r="3511" spans="12:13">
      <c r="L3511" s="1">
        <v>44664.170138877555</v>
      </c>
      <c r="M3511" s="13"/>
    </row>
    <row r="3512" spans="12:13">
      <c r="L3512" s="1">
        <v>44664.173611099774</v>
      </c>
      <c r="M3512" s="13"/>
    </row>
    <row r="3513" spans="12:13">
      <c r="L3513" s="1">
        <v>44664.177083321993</v>
      </c>
      <c r="M3513" s="13"/>
    </row>
    <row r="3514" spans="12:13">
      <c r="L3514" s="1">
        <v>44664.180555544212</v>
      </c>
      <c r="M3514" s="13"/>
    </row>
    <row r="3515" spans="12:13">
      <c r="L3515" s="1">
        <v>44664.184027766431</v>
      </c>
      <c r="M3515" s="13"/>
    </row>
    <row r="3516" spans="12:13">
      <c r="L3516" s="1">
        <v>44664.18749998865</v>
      </c>
      <c r="M3516" s="13"/>
    </row>
    <row r="3517" spans="12:13">
      <c r="L3517" s="1">
        <v>44664.190972210868</v>
      </c>
      <c r="M3517" s="13"/>
    </row>
    <row r="3518" spans="12:13">
      <c r="L3518" s="1">
        <v>44664.194444433087</v>
      </c>
      <c r="M3518" s="13"/>
    </row>
    <row r="3519" spans="12:13">
      <c r="L3519" s="1">
        <v>44664.197916655306</v>
      </c>
      <c r="M3519" s="13"/>
    </row>
    <row r="3520" spans="12:13">
      <c r="L3520" s="1">
        <v>44664.201388877525</v>
      </c>
      <c r="M3520" s="13"/>
    </row>
    <row r="3521" spans="12:13">
      <c r="L3521" s="1">
        <v>44664.204861099744</v>
      </c>
      <c r="M3521" s="13"/>
    </row>
    <row r="3522" spans="12:13">
      <c r="L3522" s="1">
        <v>44664.208333321963</v>
      </c>
      <c r="M3522" s="13"/>
    </row>
    <row r="3523" spans="12:13">
      <c r="L3523" s="1">
        <v>44664.211805544182</v>
      </c>
      <c r="M3523" s="13"/>
    </row>
    <row r="3524" spans="12:13">
      <c r="L3524" s="1">
        <v>44664.215277766401</v>
      </c>
      <c r="M3524" s="13"/>
    </row>
    <row r="3525" spans="12:13">
      <c r="L3525" s="1">
        <v>44664.21874998862</v>
      </c>
      <c r="M3525" s="13"/>
    </row>
    <row r="3526" spans="12:13">
      <c r="L3526" s="1">
        <v>44664.222222210839</v>
      </c>
      <c r="M3526" s="13"/>
    </row>
    <row r="3527" spans="12:13">
      <c r="L3527" s="1">
        <v>44664.225694433058</v>
      </c>
      <c r="M3527" s="13"/>
    </row>
    <row r="3528" spans="12:13">
      <c r="L3528" s="1">
        <v>44664.229166655277</v>
      </c>
      <c r="M3528" s="13"/>
    </row>
    <row r="3529" spans="12:13">
      <c r="L3529" s="1">
        <v>44664.232638877496</v>
      </c>
      <c r="M3529" s="13"/>
    </row>
    <row r="3530" spans="12:13">
      <c r="L3530" s="1">
        <v>44664.236111099715</v>
      </c>
      <c r="M3530" s="13"/>
    </row>
    <row r="3531" spans="12:13">
      <c r="L3531" s="1">
        <v>44664.239583321934</v>
      </c>
      <c r="M3531" s="13"/>
    </row>
    <row r="3532" spans="12:13">
      <c r="L3532" s="1">
        <v>44664.243055544153</v>
      </c>
      <c r="M3532" s="13"/>
    </row>
    <row r="3533" spans="12:13">
      <c r="L3533" s="1">
        <v>44664.246527766372</v>
      </c>
      <c r="M3533" s="13"/>
    </row>
    <row r="3534" spans="12:13">
      <c r="L3534" s="1">
        <v>44664.249999988591</v>
      </c>
      <c r="M3534" s="13"/>
    </row>
    <row r="3535" spans="12:13">
      <c r="L3535" s="1">
        <v>44664.25347221081</v>
      </c>
      <c r="M3535" s="13"/>
    </row>
    <row r="3536" spans="12:13">
      <c r="L3536" s="1">
        <v>44664.256944433029</v>
      </c>
      <c r="M3536" s="13"/>
    </row>
    <row r="3537" spans="12:13">
      <c r="L3537" s="1">
        <v>44664.260416655248</v>
      </c>
      <c r="M3537" s="13"/>
    </row>
    <row r="3538" spans="12:13">
      <c r="L3538" s="1">
        <v>44664.263888877467</v>
      </c>
      <c r="M3538" s="13"/>
    </row>
    <row r="3539" spans="12:13">
      <c r="L3539" s="1">
        <v>44664.267361099686</v>
      </c>
      <c r="M3539" s="13"/>
    </row>
    <row r="3540" spans="12:13">
      <c r="L3540" s="1">
        <v>44664.270833321905</v>
      </c>
      <c r="M3540" s="13"/>
    </row>
    <row r="3541" spans="12:13">
      <c r="L3541" s="1">
        <v>44664.274305544124</v>
      </c>
      <c r="M3541" s="13"/>
    </row>
    <row r="3542" spans="12:13">
      <c r="L3542" s="1">
        <v>44664.277777766343</v>
      </c>
      <c r="M3542" s="13"/>
    </row>
    <row r="3543" spans="12:13">
      <c r="L3543" s="1">
        <v>44664.281249988562</v>
      </c>
      <c r="M3543" s="13"/>
    </row>
    <row r="3544" spans="12:13">
      <c r="L3544" s="1">
        <v>44664.284722210781</v>
      </c>
      <c r="M3544" s="13"/>
    </row>
    <row r="3545" spans="12:13">
      <c r="L3545" s="1">
        <v>44664.288194433</v>
      </c>
      <c r="M3545" s="13"/>
    </row>
    <row r="3546" spans="12:13">
      <c r="L3546" s="1">
        <v>44664.291666655219</v>
      </c>
      <c r="M3546" s="13"/>
    </row>
    <row r="3547" spans="12:13">
      <c r="L3547" s="1">
        <v>44664.295138877438</v>
      </c>
      <c r="M3547" s="13"/>
    </row>
    <row r="3548" spans="12:13">
      <c r="L3548" s="1">
        <v>44664.298611099657</v>
      </c>
      <c r="M3548" s="13"/>
    </row>
    <row r="3549" spans="12:13">
      <c r="L3549" s="1">
        <v>44664.302083321876</v>
      </c>
      <c r="M3549" s="13"/>
    </row>
    <row r="3550" spans="12:13">
      <c r="L3550" s="1">
        <v>44664.305555544095</v>
      </c>
      <c r="M3550" s="13"/>
    </row>
    <row r="3551" spans="12:13">
      <c r="L3551" s="1">
        <v>44664.309027766314</v>
      </c>
      <c r="M3551" s="13"/>
    </row>
    <row r="3552" spans="12:13">
      <c r="L3552" s="1">
        <v>44664.312499988533</v>
      </c>
      <c r="M3552" s="13"/>
    </row>
    <row r="3553" spans="12:13">
      <c r="L3553" s="1">
        <v>44664.315972210752</v>
      </c>
      <c r="M3553" s="13"/>
    </row>
    <row r="3554" spans="12:13">
      <c r="L3554" s="1">
        <v>44664.319444432971</v>
      </c>
      <c r="M3554" s="13"/>
    </row>
    <row r="3555" spans="12:13">
      <c r="L3555" s="1">
        <v>44664.32291665519</v>
      </c>
      <c r="M3555" s="13"/>
    </row>
    <row r="3556" spans="12:13">
      <c r="L3556" s="1">
        <v>44664.326388877409</v>
      </c>
      <c r="M3556" s="13"/>
    </row>
    <row r="3557" spans="12:13">
      <c r="L3557" s="1">
        <v>44664.329861099628</v>
      </c>
      <c r="M3557" s="13"/>
    </row>
    <row r="3558" spans="12:13">
      <c r="L3558" s="1">
        <v>44664.333333321847</v>
      </c>
      <c r="M3558" s="13"/>
    </row>
    <row r="3559" spans="12:13">
      <c r="L3559" s="1">
        <v>44664.336805544066</v>
      </c>
      <c r="M3559" s="13"/>
    </row>
    <row r="3560" spans="12:13">
      <c r="L3560" s="1">
        <v>44664.340277766285</v>
      </c>
      <c r="M3560" s="13"/>
    </row>
    <row r="3561" spans="12:13">
      <c r="L3561" s="1">
        <v>44664.343749988504</v>
      </c>
      <c r="M3561" s="13"/>
    </row>
    <row r="3562" spans="12:13">
      <c r="L3562" s="1">
        <v>44664.347222210723</v>
      </c>
      <c r="M3562" s="13"/>
    </row>
    <row r="3563" spans="12:13">
      <c r="L3563" s="1">
        <v>44664.350694432942</v>
      </c>
      <c r="M3563" s="13"/>
    </row>
    <row r="3564" spans="12:13">
      <c r="L3564" s="1">
        <v>44664.354166655161</v>
      </c>
      <c r="M3564" s="13"/>
    </row>
    <row r="3565" spans="12:13">
      <c r="L3565" s="1">
        <v>44664.35763887738</v>
      </c>
      <c r="M3565" s="13"/>
    </row>
    <row r="3566" spans="12:13">
      <c r="L3566" s="1">
        <v>44664.361111099599</v>
      </c>
      <c r="M3566" s="13"/>
    </row>
    <row r="3567" spans="12:13">
      <c r="L3567" s="1">
        <v>44664.364583321818</v>
      </c>
      <c r="M3567" s="13"/>
    </row>
    <row r="3568" spans="12:13">
      <c r="L3568" s="1">
        <v>44664.368055544037</v>
      </c>
      <c r="M3568" s="13"/>
    </row>
    <row r="3569" spans="12:13">
      <c r="L3569" s="1">
        <v>44664.371527766256</v>
      </c>
      <c r="M3569" s="13"/>
    </row>
    <row r="3570" spans="12:13">
      <c r="L3570" s="1">
        <v>44664.374999988475</v>
      </c>
      <c r="M3570" s="13"/>
    </row>
    <row r="3571" spans="12:13">
      <c r="L3571" s="1">
        <v>44664.378472210694</v>
      </c>
      <c r="M3571" s="13"/>
    </row>
    <row r="3572" spans="12:13">
      <c r="L3572" s="1">
        <v>44664.381944432913</v>
      </c>
      <c r="M3572" s="13"/>
    </row>
    <row r="3573" spans="12:13">
      <c r="L3573" s="1">
        <v>44664.385416655132</v>
      </c>
      <c r="M3573" s="13"/>
    </row>
    <row r="3574" spans="12:13">
      <c r="L3574" s="1">
        <v>44664.388888877351</v>
      </c>
      <c r="M3574" s="13"/>
    </row>
    <row r="3575" spans="12:13">
      <c r="L3575" s="1">
        <v>44664.39236109957</v>
      </c>
      <c r="M3575" s="13"/>
    </row>
    <row r="3576" spans="12:13">
      <c r="L3576" s="1">
        <v>44664.395833321789</v>
      </c>
      <c r="M3576" s="13"/>
    </row>
    <row r="3577" spans="12:13">
      <c r="L3577" s="1">
        <v>44664.399305544008</v>
      </c>
      <c r="M3577" s="13"/>
    </row>
    <row r="3578" spans="12:13">
      <c r="L3578" s="1">
        <v>44664.402777766227</v>
      </c>
      <c r="M3578" s="13"/>
    </row>
    <row r="3579" spans="12:13">
      <c r="L3579" s="1">
        <v>44664.406249988446</v>
      </c>
      <c r="M3579" s="13"/>
    </row>
    <row r="3580" spans="12:13">
      <c r="L3580" s="1">
        <v>44664.409722210665</v>
      </c>
      <c r="M3580" s="13"/>
    </row>
    <row r="3581" spans="12:13">
      <c r="L3581" s="1">
        <v>44664.413194432884</v>
      </c>
      <c r="M3581" s="13"/>
    </row>
    <row r="3582" spans="12:13">
      <c r="L3582" s="1">
        <v>44664.416666655103</v>
      </c>
      <c r="M3582" s="13"/>
    </row>
    <row r="3583" spans="12:13">
      <c r="L3583" s="1">
        <v>44664.420138877322</v>
      </c>
      <c r="M3583" s="13"/>
    </row>
    <row r="3584" spans="12:13">
      <c r="L3584" s="1">
        <v>44664.423611099541</v>
      </c>
      <c r="M3584" s="13"/>
    </row>
    <row r="3585" spans="12:13">
      <c r="L3585" s="1">
        <v>44664.42708332176</v>
      </c>
      <c r="M3585" s="13"/>
    </row>
    <row r="3586" spans="12:13">
      <c r="L3586" s="1">
        <v>44664.430555543979</v>
      </c>
      <c r="M3586" s="13"/>
    </row>
    <row r="3587" spans="12:13">
      <c r="L3587" s="1">
        <v>44664.434027766198</v>
      </c>
      <c r="M3587" s="13"/>
    </row>
    <row r="3588" spans="12:13">
      <c r="L3588" s="1">
        <v>44664.437499988417</v>
      </c>
      <c r="M3588" s="13"/>
    </row>
    <row r="3589" spans="12:13">
      <c r="L3589" s="1">
        <v>44664.440972210636</v>
      </c>
      <c r="M3589" s="13"/>
    </row>
    <row r="3590" spans="12:13">
      <c r="L3590" s="1">
        <v>44664.444444432855</v>
      </c>
      <c r="M3590" s="13"/>
    </row>
    <row r="3591" spans="12:13">
      <c r="L3591" s="1">
        <v>44664.447916655074</v>
      </c>
      <c r="M3591" s="13"/>
    </row>
    <row r="3592" spans="12:13">
      <c r="L3592" s="1">
        <v>44664.451388877293</v>
      </c>
      <c r="M3592" s="13"/>
    </row>
    <row r="3593" spans="12:13">
      <c r="L3593" s="1">
        <v>44664.454861099512</v>
      </c>
      <c r="M3593" s="13"/>
    </row>
    <row r="3594" spans="12:13">
      <c r="L3594" s="1">
        <v>44664.458333321731</v>
      </c>
      <c r="M3594" s="13"/>
    </row>
    <row r="3595" spans="12:13">
      <c r="L3595" s="1">
        <v>44664.46180554395</v>
      </c>
      <c r="M3595" s="13"/>
    </row>
    <row r="3596" spans="12:13">
      <c r="L3596" s="1">
        <v>44664.465277766169</v>
      </c>
      <c r="M3596" s="13"/>
    </row>
    <row r="3597" spans="12:13">
      <c r="L3597" s="1">
        <v>44664.468749988388</v>
      </c>
      <c r="M3597" s="13"/>
    </row>
    <row r="3598" spans="12:13">
      <c r="L3598" s="1">
        <v>44664.472222210607</v>
      </c>
      <c r="M3598" s="13"/>
    </row>
    <row r="3599" spans="12:13">
      <c r="L3599" s="1">
        <v>44664.475694432826</v>
      </c>
      <c r="M3599" s="13"/>
    </row>
    <row r="3600" spans="12:13">
      <c r="L3600" s="1">
        <v>44664.479166655045</v>
      </c>
      <c r="M3600" s="13"/>
    </row>
    <row r="3601" spans="12:13">
      <c r="L3601" s="1">
        <v>44664.482638877264</v>
      </c>
      <c r="M3601" s="13"/>
    </row>
    <row r="3602" spans="12:13">
      <c r="L3602" s="1">
        <v>44664.486111099483</v>
      </c>
      <c r="M3602" s="13"/>
    </row>
    <row r="3603" spans="12:13">
      <c r="L3603" s="1">
        <v>44664.489583321702</v>
      </c>
      <c r="M3603" s="13"/>
    </row>
    <row r="3604" spans="12:13">
      <c r="L3604" s="1">
        <v>44664.49305554392</v>
      </c>
      <c r="M3604" s="13"/>
    </row>
    <row r="3605" spans="12:13">
      <c r="L3605" s="1">
        <v>44664.496527766139</v>
      </c>
      <c r="M3605" s="13"/>
    </row>
    <row r="3606" spans="12:13">
      <c r="L3606" s="1">
        <v>44664.499999988358</v>
      </c>
      <c r="M3606" s="13"/>
    </row>
    <row r="3607" spans="12:13">
      <c r="L3607" s="1">
        <v>44664.503472210577</v>
      </c>
      <c r="M3607" s="13"/>
    </row>
    <row r="3608" spans="12:13">
      <c r="L3608" s="1">
        <v>44664.506944432796</v>
      </c>
      <c r="M3608" s="13"/>
    </row>
    <row r="3609" spans="12:13">
      <c r="L3609" s="1">
        <v>44664.510416655015</v>
      </c>
      <c r="M3609" s="13"/>
    </row>
    <row r="3610" spans="12:13">
      <c r="L3610" s="1">
        <v>44664.513888877234</v>
      </c>
      <c r="M3610" s="13"/>
    </row>
    <row r="3611" spans="12:13">
      <c r="L3611" s="1">
        <v>44664.517361099453</v>
      </c>
      <c r="M3611" s="13"/>
    </row>
    <row r="3612" spans="12:13">
      <c r="L3612" s="1">
        <v>44664.520833321672</v>
      </c>
      <c r="M3612" s="13"/>
    </row>
    <row r="3613" spans="12:13">
      <c r="L3613" s="1">
        <v>44664.524305543891</v>
      </c>
      <c r="M3613" s="13"/>
    </row>
    <row r="3614" spans="12:13">
      <c r="L3614" s="1">
        <v>44664.52777776611</v>
      </c>
      <c r="M3614" s="13"/>
    </row>
    <row r="3615" spans="12:13">
      <c r="L3615" s="1">
        <v>44664.531249988329</v>
      </c>
      <c r="M3615" s="13"/>
    </row>
    <row r="3616" spans="12:13">
      <c r="L3616" s="1">
        <v>44664.534722210548</v>
      </c>
      <c r="M3616" s="13"/>
    </row>
    <row r="3617" spans="12:13">
      <c r="L3617" s="1">
        <v>44664.538194432767</v>
      </c>
      <c r="M3617" s="13"/>
    </row>
    <row r="3618" spans="12:13">
      <c r="L3618" s="1">
        <v>44664.541666654986</v>
      </c>
      <c r="M3618" s="13"/>
    </row>
    <row r="3619" spans="12:13">
      <c r="L3619" s="1">
        <v>44664.545138877205</v>
      </c>
      <c r="M3619" s="13"/>
    </row>
    <row r="3620" spans="12:13">
      <c r="L3620" s="1">
        <v>44664.548611099424</v>
      </c>
      <c r="M3620" s="13"/>
    </row>
    <row r="3621" spans="12:13">
      <c r="L3621" s="1">
        <v>44664.552083321643</v>
      </c>
      <c r="M3621" s="13"/>
    </row>
    <row r="3622" spans="12:13">
      <c r="L3622" s="1">
        <v>44664.555555543862</v>
      </c>
      <c r="M3622" s="13"/>
    </row>
    <row r="3623" spans="12:13">
      <c r="L3623" s="1">
        <v>44664.559027766081</v>
      </c>
      <c r="M3623" s="13"/>
    </row>
    <row r="3624" spans="12:13">
      <c r="L3624" s="1">
        <v>44664.5624999883</v>
      </c>
      <c r="M3624" s="13"/>
    </row>
    <row r="3625" spans="12:13">
      <c r="L3625" s="1">
        <v>44664.565972210519</v>
      </c>
      <c r="M3625" s="13"/>
    </row>
    <row r="3626" spans="12:13">
      <c r="L3626" s="1">
        <v>44664.569444432738</v>
      </c>
      <c r="M3626" s="13"/>
    </row>
    <row r="3627" spans="12:13">
      <c r="L3627" s="1">
        <v>44664.572916654957</v>
      </c>
      <c r="M3627" s="13"/>
    </row>
    <row r="3628" spans="12:13">
      <c r="L3628" s="1">
        <v>44664.576388877176</v>
      </c>
      <c r="M3628" s="13"/>
    </row>
    <row r="3629" spans="12:13">
      <c r="L3629" s="1">
        <v>44664.579861099395</v>
      </c>
      <c r="M3629" s="13"/>
    </row>
    <row r="3630" spans="12:13">
      <c r="L3630" s="1">
        <v>44664.583333321614</v>
      </c>
      <c r="M3630" s="13"/>
    </row>
    <row r="3631" spans="12:13">
      <c r="L3631" s="1">
        <v>44664.586805543833</v>
      </c>
      <c r="M3631" s="13"/>
    </row>
    <row r="3632" spans="12:13">
      <c r="L3632" s="1">
        <v>44664.590277766052</v>
      </c>
      <c r="M3632" s="13"/>
    </row>
    <row r="3633" spans="12:13">
      <c r="L3633" s="1">
        <v>44664.593749988271</v>
      </c>
      <c r="M3633" s="13"/>
    </row>
    <row r="3634" spans="12:13">
      <c r="L3634" s="1">
        <v>44664.59722221049</v>
      </c>
      <c r="M3634" s="13"/>
    </row>
    <row r="3635" spans="12:13">
      <c r="L3635" s="1">
        <v>44664.600694432709</v>
      </c>
      <c r="M3635" s="13"/>
    </row>
    <row r="3636" spans="12:13">
      <c r="L3636" s="1">
        <v>44664.604166654928</v>
      </c>
      <c r="M3636" s="13"/>
    </row>
    <row r="3637" spans="12:13">
      <c r="L3637" s="1">
        <v>44664.607638877147</v>
      </c>
      <c r="M3637" s="13"/>
    </row>
    <row r="3638" spans="12:13">
      <c r="L3638" s="1">
        <v>44664.611111099366</v>
      </c>
      <c r="M3638" s="13"/>
    </row>
    <row r="3639" spans="12:13">
      <c r="L3639" s="1">
        <v>44664.614583321585</v>
      </c>
      <c r="M3639" s="13"/>
    </row>
    <row r="3640" spans="12:13">
      <c r="L3640" s="1">
        <v>44664.618055543804</v>
      </c>
      <c r="M3640" s="13"/>
    </row>
    <row r="3641" spans="12:13">
      <c r="L3641" s="1">
        <v>44664.621527766023</v>
      </c>
      <c r="M3641" s="13"/>
    </row>
    <row r="3642" spans="12:13">
      <c r="L3642" s="1">
        <v>44664.624999988242</v>
      </c>
      <c r="M3642" s="13"/>
    </row>
    <row r="3643" spans="12:13">
      <c r="L3643" s="1">
        <v>44664.628472210461</v>
      </c>
      <c r="M3643" s="13"/>
    </row>
    <row r="3644" spans="12:13">
      <c r="L3644" s="1">
        <v>44664.63194443268</v>
      </c>
      <c r="M3644" s="13"/>
    </row>
    <row r="3645" spans="12:13">
      <c r="L3645" s="1">
        <v>44664.635416654899</v>
      </c>
      <c r="M3645" s="13"/>
    </row>
    <row r="3646" spans="12:13">
      <c r="L3646" s="1">
        <v>44664.638888877118</v>
      </c>
      <c r="M3646" s="13"/>
    </row>
    <row r="3647" spans="12:13">
      <c r="L3647" s="1">
        <v>44664.642361099337</v>
      </c>
      <c r="M3647" s="13"/>
    </row>
    <row r="3648" spans="12:13">
      <c r="L3648" s="1">
        <v>44664.645833321556</v>
      </c>
      <c r="M3648" s="13"/>
    </row>
    <row r="3649" spans="12:13">
      <c r="L3649" s="1">
        <v>44664.649305543775</v>
      </c>
      <c r="M3649" s="13"/>
    </row>
    <row r="3650" spans="12:13">
      <c r="L3650" s="1">
        <v>44664.652777765994</v>
      </c>
      <c r="M3650" s="13"/>
    </row>
    <row r="3651" spans="12:13">
      <c r="L3651" s="1">
        <v>44664.656249988213</v>
      </c>
      <c r="M3651" s="13"/>
    </row>
    <row r="3652" spans="12:13">
      <c r="L3652" s="1">
        <v>44664.659722210432</v>
      </c>
      <c r="M3652" s="13"/>
    </row>
    <row r="3653" spans="12:13">
      <c r="L3653" s="1">
        <v>44664.663194432651</v>
      </c>
      <c r="M3653" s="13"/>
    </row>
    <row r="3654" spans="12:13">
      <c r="L3654" s="1">
        <v>44664.66666665487</v>
      </c>
      <c r="M3654" s="13"/>
    </row>
    <row r="3655" spans="12:13">
      <c r="L3655" s="1">
        <v>44664.670138877089</v>
      </c>
      <c r="M3655" s="13"/>
    </row>
    <row r="3656" spans="12:13">
      <c r="L3656" s="1">
        <v>44664.673611099308</v>
      </c>
      <c r="M3656" s="13"/>
    </row>
    <row r="3657" spans="12:13">
      <c r="L3657" s="1">
        <v>44664.677083321527</v>
      </c>
      <c r="M3657" s="13"/>
    </row>
    <row r="3658" spans="12:13">
      <c r="L3658" s="1">
        <v>44664.680555543746</v>
      </c>
      <c r="M3658" s="13"/>
    </row>
    <row r="3659" spans="12:13">
      <c r="L3659" s="1">
        <v>44664.684027765965</v>
      </c>
      <c r="M3659" s="13"/>
    </row>
    <row r="3660" spans="12:13">
      <c r="L3660" s="1">
        <v>44664.687499988184</v>
      </c>
      <c r="M3660" s="13"/>
    </row>
    <row r="3661" spans="12:13">
      <c r="L3661" s="1">
        <v>44664.690972210403</v>
      </c>
      <c r="M3661" s="13"/>
    </row>
    <row r="3662" spans="12:13">
      <c r="L3662" s="1">
        <v>44664.694444432622</v>
      </c>
      <c r="M3662" s="13"/>
    </row>
    <row r="3663" spans="12:13">
      <c r="L3663" s="1">
        <v>44664.697916654841</v>
      </c>
      <c r="M3663" s="13"/>
    </row>
    <row r="3664" spans="12:13">
      <c r="L3664" s="1">
        <v>44664.70138887706</v>
      </c>
      <c r="M3664" s="13"/>
    </row>
    <row r="3665" spans="12:13">
      <c r="L3665" s="1">
        <v>44664.704861099279</v>
      </c>
      <c r="M3665" s="13"/>
    </row>
    <row r="3666" spans="12:13">
      <c r="L3666" s="1">
        <v>44664.708333321498</v>
      </c>
      <c r="M3666" s="13"/>
    </row>
    <row r="3667" spans="12:13">
      <c r="L3667" s="1">
        <v>44664.711805543717</v>
      </c>
      <c r="M3667" s="13"/>
    </row>
    <row r="3668" spans="12:13">
      <c r="L3668" s="1">
        <v>44664.715277765936</v>
      </c>
      <c r="M3668" s="13"/>
    </row>
    <row r="3669" spans="12:13">
      <c r="L3669" s="1">
        <v>44664.718749988155</v>
      </c>
      <c r="M3669" s="13"/>
    </row>
    <row r="3670" spans="12:13">
      <c r="L3670" s="1">
        <v>44664.722222210374</v>
      </c>
      <c r="M3670" s="13"/>
    </row>
    <row r="3671" spans="12:13">
      <c r="L3671" s="1">
        <v>44664.725694432593</v>
      </c>
      <c r="M3671" s="13"/>
    </row>
    <row r="3672" spans="12:13">
      <c r="L3672" s="1">
        <v>44664.729166654812</v>
      </c>
      <c r="M3672" s="13"/>
    </row>
    <row r="3673" spans="12:13">
      <c r="L3673" s="1">
        <v>44664.732638877031</v>
      </c>
      <c r="M3673" s="13"/>
    </row>
    <row r="3674" spans="12:13">
      <c r="L3674" s="1">
        <v>44664.73611109925</v>
      </c>
      <c r="M3674" s="13"/>
    </row>
    <row r="3675" spans="12:13">
      <c r="L3675" s="1">
        <v>44664.739583321469</v>
      </c>
      <c r="M3675" s="13"/>
    </row>
    <row r="3676" spans="12:13">
      <c r="L3676" s="1">
        <v>44664.743055543688</v>
      </c>
      <c r="M3676" s="13"/>
    </row>
    <row r="3677" spans="12:13">
      <c r="L3677" s="1">
        <v>44664.746527765907</v>
      </c>
      <c r="M3677" s="13"/>
    </row>
    <row r="3678" spans="12:13">
      <c r="L3678" s="1">
        <v>44664.749999988126</v>
      </c>
      <c r="M3678" s="13"/>
    </row>
    <row r="3679" spans="12:13">
      <c r="L3679" s="1">
        <v>44664.753472210345</v>
      </c>
      <c r="M3679" s="13"/>
    </row>
    <row r="3680" spans="12:13">
      <c r="L3680" s="1">
        <v>44664.756944432564</v>
      </c>
      <c r="M3680" s="13"/>
    </row>
    <row r="3681" spans="12:13">
      <c r="L3681" s="1">
        <v>44664.760416654783</v>
      </c>
      <c r="M3681" s="13"/>
    </row>
    <row r="3682" spans="12:13">
      <c r="L3682" s="1">
        <v>44664.763888877002</v>
      </c>
      <c r="M3682" s="13"/>
    </row>
    <row r="3683" spans="12:13">
      <c r="L3683" s="1">
        <v>44664.767361099221</v>
      </c>
      <c r="M3683" s="13"/>
    </row>
    <row r="3684" spans="12:13">
      <c r="L3684" s="1">
        <v>44664.77083332144</v>
      </c>
      <c r="M3684" s="13"/>
    </row>
    <row r="3685" spans="12:13">
      <c r="L3685" s="1">
        <v>44664.774305543659</v>
      </c>
      <c r="M3685" s="13"/>
    </row>
    <row r="3686" spans="12:13">
      <c r="L3686" s="1">
        <v>44664.777777765878</v>
      </c>
      <c r="M3686" s="13"/>
    </row>
    <row r="3687" spans="12:13">
      <c r="L3687" s="1">
        <v>44664.781249988097</v>
      </c>
      <c r="M3687" s="13"/>
    </row>
    <row r="3688" spans="12:13">
      <c r="L3688" s="1">
        <v>44664.784722210316</v>
      </c>
      <c r="M3688" s="13"/>
    </row>
    <row r="3689" spans="12:13">
      <c r="L3689" s="1">
        <v>44664.788194432535</v>
      </c>
      <c r="M3689" s="13"/>
    </row>
    <row r="3690" spans="12:13">
      <c r="L3690" s="1">
        <v>44664.791666654753</v>
      </c>
      <c r="M3690" s="13"/>
    </row>
    <row r="3691" spans="12:13">
      <c r="L3691" s="1">
        <v>44664.795138876972</v>
      </c>
      <c r="M3691" s="13"/>
    </row>
    <row r="3692" spans="12:13">
      <c r="L3692" s="1">
        <v>44664.798611099191</v>
      </c>
      <c r="M3692" s="13"/>
    </row>
    <row r="3693" spans="12:13">
      <c r="L3693" s="1">
        <v>44664.80208332141</v>
      </c>
      <c r="M3693" s="13"/>
    </row>
    <row r="3694" spans="12:13">
      <c r="L3694" s="1">
        <v>44664.805555543629</v>
      </c>
      <c r="M3694" s="13"/>
    </row>
    <row r="3695" spans="12:13">
      <c r="L3695" s="1">
        <v>44664.809027765848</v>
      </c>
      <c r="M3695" s="13"/>
    </row>
    <row r="3696" spans="12:13">
      <c r="L3696" s="1">
        <v>44664.812499988067</v>
      </c>
      <c r="M3696" s="13"/>
    </row>
    <row r="3697" spans="12:13">
      <c r="L3697" s="1">
        <v>44664.815972210286</v>
      </c>
      <c r="M3697" s="13"/>
    </row>
    <row r="3698" spans="12:13">
      <c r="L3698" s="1">
        <v>44664.819444432505</v>
      </c>
      <c r="M3698" s="13"/>
    </row>
    <row r="3699" spans="12:13">
      <c r="L3699" s="1">
        <v>44664.822916654724</v>
      </c>
      <c r="M3699" s="13"/>
    </row>
    <row r="3700" spans="12:13">
      <c r="L3700" s="1">
        <v>44664.826388876943</v>
      </c>
      <c r="M3700" s="13"/>
    </row>
    <row r="3701" spans="12:13">
      <c r="L3701" s="1">
        <v>44664.829861099162</v>
      </c>
      <c r="M3701" s="13"/>
    </row>
    <row r="3702" spans="12:13">
      <c r="L3702" s="1">
        <v>44664.833333321381</v>
      </c>
      <c r="M3702" s="13"/>
    </row>
    <row r="3703" spans="12:13">
      <c r="L3703" s="1">
        <v>44664.8368055436</v>
      </c>
      <c r="M3703" s="13"/>
    </row>
    <row r="3704" spans="12:13">
      <c r="L3704" s="1">
        <v>44664.840277765819</v>
      </c>
      <c r="M3704" s="13"/>
    </row>
    <row r="3705" spans="12:13">
      <c r="L3705" s="1">
        <v>44664.843749988038</v>
      </c>
      <c r="M3705" s="13"/>
    </row>
    <row r="3706" spans="12:13">
      <c r="L3706" s="1">
        <v>44664.847222210257</v>
      </c>
      <c r="M3706" s="13"/>
    </row>
    <row r="3707" spans="12:13">
      <c r="L3707" s="1">
        <v>44664.850694432476</v>
      </c>
      <c r="M3707" s="13"/>
    </row>
    <row r="3708" spans="12:13">
      <c r="L3708" s="1">
        <v>44664.854166654695</v>
      </c>
      <c r="M3708" s="13"/>
    </row>
    <row r="3709" spans="12:13">
      <c r="L3709" s="1">
        <v>44664.857638876914</v>
      </c>
      <c r="M3709" s="13"/>
    </row>
    <row r="3710" spans="12:13">
      <c r="L3710" s="1">
        <v>44664.861111099133</v>
      </c>
      <c r="M3710" s="13"/>
    </row>
    <row r="3711" spans="12:13">
      <c r="L3711" s="1">
        <v>44664.864583321352</v>
      </c>
      <c r="M3711" s="13"/>
    </row>
    <row r="3712" spans="12:13">
      <c r="L3712" s="1">
        <v>44664.868055543571</v>
      </c>
      <c r="M3712" s="13"/>
    </row>
    <row r="3713" spans="12:13">
      <c r="L3713" s="1">
        <v>44664.87152776579</v>
      </c>
      <c r="M3713" s="13"/>
    </row>
    <row r="3714" spans="12:13">
      <c r="L3714" s="1">
        <v>44664.874999988009</v>
      </c>
      <c r="M3714" s="13"/>
    </row>
    <row r="3715" spans="12:13">
      <c r="L3715" s="1">
        <v>44664.878472210228</v>
      </c>
      <c r="M3715" s="13"/>
    </row>
    <row r="3716" spans="12:13">
      <c r="L3716" s="1">
        <v>44664.881944432447</v>
      </c>
      <c r="M3716" s="13"/>
    </row>
    <row r="3717" spans="12:13">
      <c r="L3717" s="1">
        <v>44664.885416654666</v>
      </c>
      <c r="M3717" s="13"/>
    </row>
    <row r="3718" spans="12:13">
      <c r="L3718" s="1">
        <v>44664.888888876885</v>
      </c>
      <c r="M3718" s="13"/>
    </row>
    <row r="3719" spans="12:13">
      <c r="L3719" s="1">
        <v>44664.892361099104</v>
      </c>
      <c r="M3719" s="13"/>
    </row>
    <row r="3720" spans="12:13">
      <c r="L3720" s="1">
        <v>44664.895833321323</v>
      </c>
      <c r="M3720" s="13"/>
    </row>
    <row r="3721" spans="12:13">
      <c r="L3721" s="1">
        <v>44664.899305543542</v>
      </c>
      <c r="M3721" s="13"/>
    </row>
    <row r="3722" spans="12:13">
      <c r="L3722" s="1">
        <v>44664.902777765761</v>
      </c>
      <c r="M3722" s="13"/>
    </row>
    <row r="3723" spans="12:13">
      <c r="L3723" s="1">
        <v>44664.90624998798</v>
      </c>
      <c r="M3723" s="13"/>
    </row>
    <row r="3724" spans="12:13">
      <c r="L3724" s="1">
        <v>44664.909722210199</v>
      </c>
      <c r="M3724" s="13"/>
    </row>
    <row r="3725" spans="12:13">
      <c r="L3725" s="1">
        <v>44664.913194432418</v>
      </c>
      <c r="M3725" s="13"/>
    </row>
    <row r="3726" spans="12:13">
      <c r="L3726" s="1">
        <v>44664.916666654637</v>
      </c>
      <c r="M3726" s="13"/>
    </row>
    <row r="3727" spans="12:13">
      <c r="L3727" s="1">
        <v>44664.920138876856</v>
      </c>
      <c r="M3727" s="13"/>
    </row>
    <row r="3728" spans="12:13">
      <c r="L3728" s="1">
        <v>44664.923611099075</v>
      </c>
      <c r="M3728" s="13"/>
    </row>
    <row r="3729" spans="12:13">
      <c r="L3729" s="1">
        <v>44664.927083321294</v>
      </c>
      <c r="M3729" s="13"/>
    </row>
    <row r="3730" spans="12:13">
      <c r="L3730" s="1">
        <v>44664.930555543513</v>
      </c>
      <c r="M3730" s="13"/>
    </row>
    <row r="3731" spans="12:13">
      <c r="L3731" s="1">
        <v>44664.934027765732</v>
      </c>
      <c r="M3731" s="13"/>
    </row>
    <row r="3732" spans="12:13">
      <c r="L3732" s="1">
        <v>44664.937499987951</v>
      </c>
      <c r="M3732" s="13"/>
    </row>
    <row r="3733" spans="12:13">
      <c r="L3733" s="1">
        <v>44664.94097221017</v>
      </c>
      <c r="M3733" s="13"/>
    </row>
    <row r="3734" spans="12:13">
      <c r="L3734" s="1">
        <v>44664.944444432389</v>
      </c>
      <c r="M3734" s="13"/>
    </row>
    <row r="3735" spans="12:13">
      <c r="L3735" s="1">
        <v>44664.947916654608</v>
      </c>
      <c r="M3735" s="13"/>
    </row>
    <row r="3736" spans="12:13">
      <c r="L3736" s="1">
        <v>44664.951388876827</v>
      </c>
      <c r="M3736" s="13"/>
    </row>
    <row r="3737" spans="12:13">
      <c r="L3737" s="1">
        <v>44664.954861099046</v>
      </c>
      <c r="M3737" s="13"/>
    </row>
    <row r="3738" spans="12:13">
      <c r="L3738" s="1">
        <v>44664.958333321265</v>
      </c>
      <c r="M3738" s="13"/>
    </row>
    <row r="3739" spans="12:13">
      <c r="L3739" s="1">
        <v>44664.961805543484</v>
      </c>
      <c r="M3739" s="13"/>
    </row>
    <row r="3740" spans="12:13">
      <c r="L3740" s="1">
        <v>44664.965277765703</v>
      </c>
      <c r="M3740" s="13"/>
    </row>
    <row r="3741" spans="12:13">
      <c r="L3741" s="1">
        <v>44664.968749987922</v>
      </c>
      <c r="M3741" s="13"/>
    </row>
    <row r="3742" spans="12:13">
      <c r="L3742" s="1">
        <v>44664.972222210141</v>
      </c>
      <c r="M3742" s="13"/>
    </row>
    <row r="3743" spans="12:13">
      <c r="L3743" s="1">
        <v>44664.97569443236</v>
      </c>
      <c r="M3743" s="13"/>
    </row>
    <row r="3744" spans="12:13">
      <c r="L3744" s="1">
        <v>44664.979166654579</v>
      </c>
      <c r="M3744" s="13"/>
    </row>
    <row r="3745" spans="12:13">
      <c r="L3745" s="1">
        <v>44664.982638876798</v>
      </c>
      <c r="M3745" s="13"/>
    </row>
    <row r="3746" spans="12:13">
      <c r="L3746" s="1">
        <v>44664.986111099017</v>
      </c>
      <c r="M3746" s="13"/>
    </row>
    <row r="3747" spans="12:13">
      <c r="L3747" s="1">
        <v>44664.989583321236</v>
      </c>
      <c r="M3747" s="13"/>
    </row>
    <row r="3748" spans="12:13">
      <c r="L3748" s="1">
        <v>44664.993055543455</v>
      </c>
      <c r="M3748" s="13"/>
    </row>
    <row r="3749" spans="12:13">
      <c r="L3749" s="1">
        <v>44664.996527765674</v>
      </c>
      <c r="M3749" s="13"/>
    </row>
    <row r="3750" spans="12:13">
      <c r="L3750" s="1">
        <v>44664.999999987893</v>
      </c>
      <c r="M3750" s="13"/>
    </row>
    <row r="3751" spans="12:13">
      <c r="L3751" s="1">
        <v>44665.003472210112</v>
      </c>
      <c r="M3751" s="13"/>
    </row>
    <row r="3752" spans="12:13">
      <c r="L3752" s="1">
        <v>44665.006944432331</v>
      </c>
      <c r="M3752" s="13"/>
    </row>
    <row r="3753" spans="12:13">
      <c r="L3753" s="1">
        <v>44665.01041665455</v>
      </c>
      <c r="M3753" s="13"/>
    </row>
    <row r="3754" spans="12:13">
      <c r="L3754" s="1">
        <v>44665.013888876769</v>
      </c>
      <c r="M3754" s="13"/>
    </row>
    <row r="3755" spans="12:13">
      <c r="L3755" s="1">
        <v>44665.017361098988</v>
      </c>
      <c r="M3755" s="13"/>
    </row>
    <row r="3756" spans="12:13">
      <c r="L3756" s="1">
        <v>44665.020833321207</v>
      </c>
      <c r="M3756" s="13"/>
    </row>
    <row r="3757" spans="12:13">
      <c r="L3757" s="1">
        <v>44665.024305543426</v>
      </c>
      <c r="M3757" s="13"/>
    </row>
    <row r="3758" spans="12:13">
      <c r="L3758" s="1">
        <v>44665.027777765645</v>
      </c>
      <c r="M3758" s="13"/>
    </row>
    <row r="3759" spans="12:13">
      <c r="L3759" s="1">
        <v>44665.031249987864</v>
      </c>
      <c r="M3759" s="13"/>
    </row>
    <row r="3760" spans="12:13">
      <c r="L3760" s="1">
        <v>44665.034722210083</v>
      </c>
      <c r="M3760" s="13"/>
    </row>
    <row r="3761" spans="12:13">
      <c r="L3761" s="1">
        <v>44665.038194432302</v>
      </c>
      <c r="M3761" s="13"/>
    </row>
    <row r="3762" spans="12:13">
      <c r="L3762" s="1">
        <v>44665.041666654521</v>
      </c>
      <c r="M3762" s="13"/>
    </row>
    <row r="3763" spans="12:13">
      <c r="L3763" s="1">
        <v>44665.04513887674</v>
      </c>
      <c r="M3763" s="13"/>
    </row>
    <row r="3764" spans="12:13">
      <c r="L3764" s="1">
        <v>44665.048611098959</v>
      </c>
      <c r="M3764" s="13"/>
    </row>
    <row r="3765" spans="12:13">
      <c r="L3765" s="1">
        <v>44665.052083321178</v>
      </c>
      <c r="M3765" s="13"/>
    </row>
    <row r="3766" spans="12:13">
      <c r="L3766" s="1">
        <v>44665.055555543397</v>
      </c>
      <c r="M3766" s="13"/>
    </row>
    <row r="3767" spans="12:13">
      <c r="L3767" s="1">
        <v>44665.059027765616</v>
      </c>
      <c r="M3767" s="13"/>
    </row>
    <row r="3768" spans="12:13">
      <c r="L3768" s="1">
        <v>44665.062499987835</v>
      </c>
      <c r="M3768" s="13"/>
    </row>
    <row r="3769" spans="12:13">
      <c r="L3769" s="1">
        <v>44665.065972210054</v>
      </c>
      <c r="M3769" s="13"/>
    </row>
    <row r="3770" spans="12:13">
      <c r="L3770" s="1">
        <v>44665.069444432273</v>
      </c>
      <c r="M3770" s="13"/>
    </row>
    <row r="3771" spans="12:13">
      <c r="L3771" s="1">
        <v>44665.072916654492</v>
      </c>
      <c r="M3771" s="13"/>
    </row>
    <row r="3772" spans="12:13">
      <c r="L3772" s="1">
        <v>44665.076388876711</v>
      </c>
      <c r="M3772" s="13"/>
    </row>
    <row r="3773" spans="12:13">
      <c r="L3773" s="1">
        <v>44665.07986109893</v>
      </c>
      <c r="M3773" s="13"/>
    </row>
    <row r="3774" spans="12:13">
      <c r="L3774" s="1">
        <v>44665.083333321149</v>
      </c>
      <c r="M3774" s="13"/>
    </row>
    <row r="3775" spans="12:13">
      <c r="L3775" s="1">
        <v>44665.086805543368</v>
      </c>
      <c r="M3775" s="13"/>
    </row>
    <row r="3776" spans="12:13">
      <c r="L3776" s="1">
        <v>44665.090277765587</v>
      </c>
      <c r="M3776" s="13"/>
    </row>
    <row r="3777" spans="12:13">
      <c r="L3777" s="1">
        <v>44665.093749987805</v>
      </c>
      <c r="M3777" s="13"/>
    </row>
    <row r="3778" spans="12:13">
      <c r="L3778" s="1">
        <v>44665.097222210024</v>
      </c>
      <c r="M3778" s="13"/>
    </row>
    <row r="3779" spans="12:13">
      <c r="L3779" s="1">
        <v>44665.100694432243</v>
      </c>
      <c r="M3779" s="13"/>
    </row>
    <row r="3780" spans="12:13">
      <c r="L3780" s="1">
        <v>44665.104166654462</v>
      </c>
      <c r="M3780" s="13"/>
    </row>
    <row r="3781" spans="12:13">
      <c r="L3781" s="1">
        <v>44665.107638876681</v>
      </c>
      <c r="M3781" s="13"/>
    </row>
    <row r="3782" spans="12:13">
      <c r="L3782" s="1">
        <v>44665.1111110989</v>
      </c>
      <c r="M3782" s="13"/>
    </row>
    <row r="3783" spans="12:13">
      <c r="L3783" s="1">
        <v>44665.114583321119</v>
      </c>
      <c r="M3783" s="13"/>
    </row>
    <row r="3784" spans="12:13">
      <c r="L3784" s="1">
        <v>44665.118055543338</v>
      </c>
      <c r="M3784" s="13"/>
    </row>
    <row r="3785" spans="12:13">
      <c r="L3785" s="1">
        <v>44665.121527765557</v>
      </c>
      <c r="M3785" s="13"/>
    </row>
    <row r="3786" spans="12:13">
      <c r="L3786" s="1">
        <v>44665.124999987776</v>
      </c>
      <c r="M3786" s="13"/>
    </row>
    <row r="3787" spans="12:13">
      <c r="L3787" s="1">
        <v>44665.128472209995</v>
      </c>
      <c r="M3787" s="13"/>
    </row>
    <row r="3788" spans="12:13">
      <c r="L3788" s="1">
        <v>44665.131944432214</v>
      </c>
      <c r="M3788" s="13"/>
    </row>
    <row r="3789" spans="12:13">
      <c r="L3789" s="1">
        <v>44665.135416654433</v>
      </c>
      <c r="M3789" s="13"/>
    </row>
    <row r="3790" spans="12:13">
      <c r="L3790" s="1">
        <v>44665.138888876652</v>
      </c>
      <c r="M3790" s="13"/>
    </row>
    <row r="3791" spans="12:13">
      <c r="L3791" s="1">
        <v>44665.142361098871</v>
      </c>
      <c r="M3791" s="13"/>
    </row>
    <row r="3792" spans="12:13">
      <c r="L3792" s="1">
        <v>44665.14583332109</v>
      </c>
      <c r="M3792" s="13"/>
    </row>
    <row r="3793" spans="12:13">
      <c r="L3793" s="1">
        <v>44665.149305543309</v>
      </c>
      <c r="M3793" s="13"/>
    </row>
    <row r="3794" spans="12:13">
      <c r="L3794" s="1">
        <v>44665.152777765528</v>
      </c>
      <c r="M3794" s="13"/>
    </row>
    <row r="3795" spans="12:13">
      <c r="L3795" s="1">
        <v>44665.156249987747</v>
      </c>
      <c r="M3795" s="13"/>
    </row>
    <row r="3796" spans="12:13">
      <c r="L3796" s="1">
        <v>44665.159722209966</v>
      </c>
      <c r="M3796" s="13"/>
    </row>
    <row r="3797" spans="12:13">
      <c r="L3797" s="1">
        <v>44665.163194432185</v>
      </c>
      <c r="M3797" s="13"/>
    </row>
    <row r="3798" spans="12:13">
      <c r="L3798" s="1">
        <v>44665.166666654404</v>
      </c>
      <c r="M3798" s="13"/>
    </row>
    <row r="3799" spans="12:13">
      <c r="L3799" s="1">
        <v>44665.170138876623</v>
      </c>
      <c r="M3799" s="13"/>
    </row>
    <row r="3800" spans="12:13">
      <c r="L3800" s="1">
        <v>44665.173611098842</v>
      </c>
      <c r="M3800" s="13"/>
    </row>
    <row r="3801" spans="12:13">
      <c r="L3801" s="1">
        <v>44665.177083321061</v>
      </c>
      <c r="M3801" s="13"/>
    </row>
    <row r="3802" spans="12:13">
      <c r="L3802" s="1">
        <v>44665.18055554328</v>
      </c>
      <c r="M3802" s="13"/>
    </row>
    <row r="3803" spans="12:13">
      <c r="L3803" s="1">
        <v>44665.184027765499</v>
      </c>
      <c r="M3803" s="13"/>
    </row>
    <row r="3804" spans="12:13">
      <c r="L3804" s="1">
        <v>44665.187499987718</v>
      </c>
      <c r="M3804" s="13"/>
    </row>
    <row r="3805" spans="12:13">
      <c r="L3805" s="1">
        <v>44665.190972209937</v>
      </c>
      <c r="M3805" s="13"/>
    </row>
    <row r="3806" spans="12:13">
      <c r="L3806" s="1">
        <v>44665.194444432156</v>
      </c>
      <c r="M3806" s="13"/>
    </row>
    <row r="3807" spans="12:13">
      <c r="L3807" s="1">
        <v>44665.197916654375</v>
      </c>
      <c r="M3807" s="13"/>
    </row>
    <row r="3808" spans="12:13">
      <c r="L3808" s="1">
        <v>44665.201388876594</v>
      </c>
      <c r="M3808" s="13"/>
    </row>
    <row r="3809" spans="12:13">
      <c r="L3809" s="1">
        <v>44665.204861098813</v>
      </c>
      <c r="M3809" s="13"/>
    </row>
    <row r="3810" spans="12:13">
      <c r="L3810" s="1">
        <v>44665.208333321032</v>
      </c>
      <c r="M3810" s="13"/>
    </row>
    <row r="3811" spans="12:13">
      <c r="L3811" s="1">
        <v>44665.211805543251</v>
      </c>
      <c r="M3811" s="13"/>
    </row>
    <row r="3812" spans="12:13">
      <c r="L3812" s="1">
        <v>44665.21527776547</v>
      </c>
      <c r="M3812" s="13"/>
    </row>
    <row r="3813" spans="12:13">
      <c r="L3813" s="1">
        <v>44665.218749987689</v>
      </c>
      <c r="M3813" s="13"/>
    </row>
    <row r="3814" spans="12:13">
      <c r="L3814" s="1">
        <v>44665.222222209908</v>
      </c>
      <c r="M3814" s="13"/>
    </row>
    <row r="3815" spans="12:13">
      <c r="L3815" s="1">
        <v>44665.225694432127</v>
      </c>
      <c r="M3815" s="13"/>
    </row>
    <row r="3816" spans="12:13">
      <c r="L3816" s="1">
        <v>44665.229166654346</v>
      </c>
      <c r="M3816" s="13"/>
    </row>
    <row r="3817" spans="12:13">
      <c r="L3817" s="1">
        <v>44665.232638876565</v>
      </c>
      <c r="M3817" s="13"/>
    </row>
    <row r="3818" spans="12:13">
      <c r="L3818" s="1">
        <v>44665.236111098784</v>
      </c>
      <c r="M3818" s="13"/>
    </row>
    <row r="3819" spans="12:13">
      <c r="L3819" s="1">
        <v>44665.239583321003</v>
      </c>
      <c r="M3819" s="13"/>
    </row>
    <row r="3820" spans="12:13">
      <c r="L3820" s="1">
        <v>44665.243055543222</v>
      </c>
      <c r="M3820" s="13"/>
    </row>
    <row r="3821" spans="12:13">
      <c r="L3821" s="1">
        <v>44665.246527765441</v>
      </c>
      <c r="M3821" s="13"/>
    </row>
    <row r="3822" spans="12:13">
      <c r="L3822" s="1">
        <v>44665.24999998766</v>
      </c>
      <c r="M3822" s="13"/>
    </row>
    <row r="3823" spans="12:13">
      <c r="L3823" s="1">
        <v>44665.253472209879</v>
      </c>
      <c r="M3823" s="13"/>
    </row>
    <row r="3824" spans="12:13">
      <c r="L3824" s="1">
        <v>44665.256944432098</v>
      </c>
      <c r="M3824" s="13"/>
    </row>
    <row r="3825" spans="12:13">
      <c r="L3825" s="1">
        <v>44665.260416654317</v>
      </c>
      <c r="M3825" s="13"/>
    </row>
    <row r="3826" spans="12:13">
      <c r="L3826" s="1">
        <v>44665.263888876536</v>
      </c>
      <c r="M3826" s="13"/>
    </row>
    <row r="3827" spans="12:13">
      <c r="L3827" s="1">
        <v>44665.267361098755</v>
      </c>
      <c r="M3827" s="13"/>
    </row>
    <row r="3828" spans="12:13">
      <c r="L3828" s="1">
        <v>44665.270833320974</v>
      </c>
      <c r="M3828" s="13"/>
    </row>
    <row r="3829" spans="12:13">
      <c r="L3829" s="1">
        <v>44665.274305543193</v>
      </c>
      <c r="M3829" s="13"/>
    </row>
    <row r="3830" spans="12:13">
      <c r="L3830" s="1">
        <v>44665.277777765412</v>
      </c>
      <c r="M3830" s="13"/>
    </row>
    <row r="3831" spans="12:13">
      <c r="L3831" s="1">
        <v>44665.281249987631</v>
      </c>
      <c r="M3831" s="13"/>
    </row>
    <row r="3832" spans="12:13">
      <c r="L3832" s="1">
        <v>44665.28472220985</v>
      </c>
      <c r="M3832" s="13"/>
    </row>
    <row r="3833" spans="12:13">
      <c r="L3833" s="1">
        <v>44665.288194432069</v>
      </c>
      <c r="M3833" s="13"/>
    </row>
    <row r="3834" spans="12:13">
      <c r="L3834" s="1">
        <v>44665.291666654288</v>
      </c>
      <c r="M3834" s="13"/>
    </row>
    <row r="3835" spans="12:13">
      <c r="L3835" s="1">
        <v>44665.295138876507</v>
      </c>
      <c r="M3835" s="13"/>
    </row>
    <row r="3836" spans="12:13">
      <c r="L3836" s="1">
        <v>44665.298611098726</v>
      </c>
      <c r="M3836" s="13"/>
    </row>
    <row r="3837" spans="12:13">
      <c r="L3837" s="1">
        <v>44665.302083320945</v>
      </c>
      <c r="M3837" s="13"/>
    </row>
    <row r="3838" spans="12:13">
      <c r="L3838" s="1">
        <v>44665.305555543164</v>
      </c>
      <c r="M3838" s="13"/>
    </row>
    <row r="3839" spans="12:13">
      <c r="L3839" s="1">
        <v>44665.309027765383</v>
      </c>
      <c r="M3839" s="13"/>
    </row>
    <row r="3840" spans="12:13">
      <c r="L3840" s="1">
        <v>44665.312499987602</v>
      </c>
      <c r="M3840" s="13"/>
    </row>
    <row r="3841" spans="12:13">
      <c r="L3841" s="1">
        <v>44665.315972209821</v>
      </c>
      <c r="M3841" s="13"/>
    </row>
    <row r="3842" spans="12:13">
      <c r="L3842" s="1">
        <v>44665.31944443204</v>
      </c>
      <c r="M3842" s="13"/>
    </row>
    <row r="3843" spans="12:13">
      <c r="L3843" s="1">
        <v>44665.322916654259</v>
      </c>
      <c r="M3843" s="13"/>
    </row>
    <row r="3844" spans="12:13">
      <c r="L3844" s="1">
        <v>44665.326388876478</v>
      </c>
      <c r="M3844" s="13"/>
    </row>
    <row r="3845" spans="12:13">
      <c r="L3845" s="1">
        <v>44665.329861098697</v>
      </c>
      <c r="M3845" s="13"/>
    </row>
    <row r="3846" spans="12:13">
      <c r="L3846" s="1">
        <v>44665.333333320916</v>
      </c>
      <c r="M3846" s="13"/>
    </row>
    <row r="3847" spans="12:13">
      <c r="L3847" s="1">
        <v>44665.336805543135</v>
      </c>
      <c r="M3847" s="13"/>
    </row>
    <row r="3848" spans="12:13">
      <c r="L3848" s="1">
        <v>44665.340277765354</v>
      </c>
      <c r="M3848" s="13"/>
    </row>
    <row r="3849" spans="12:13">
      <c r="L3849" s="1">
        <v>44665.343749987573</v>
      </c>
      <c r="M3849" s="13"/>
    </row>
    <row r="3850" spans="12:13">
      <c r="L3850" s="1">
        <v>44665.347222209792</v>
      </c>
      <c r="M3850" s="13"/>
    </row>
    <row r="3851" spans="12:13">
      <c r="L3851" s="1">
        <v>44665.350694432011</v>
      </c>
      <c r="M3851" s="13"/>
    </row>
    <row r="3852" spans="12:13">
      <c r="L3852" s="1">
        <v>44665.35416665423</v>
      </c>
      <c r="M3852" s="13"/>
    </row>
    <row r="3853" spans="12:13">
      <c r="L3853" s="1">
        <v>44665.357638876449</v>
      </c>
      <c r="M3853" s="13"/>
    </row>
    <row r="3854" spans="12:13">
      <c r="L3854" s="1">
        <v>44665.361111098668</v>
      </c>
      <c r="M3854" s="13"/>
    </row>
    <row r="3855" spans="12:13">
      <c r="L3855" s="1">
        <v>44665.364583320887</v>
      </c>
      <c r="M3855" s="13"/>
    </row>
    <row r="3856" spans="12:13">
      <c r="L3856" s="1">
        <v>44665.368055543106</v>
      </c>
      <c r="M3856" s="13"/>
    </row>
    <row r="3857" spans="12:13">
      <c r="L3857" s="1">
        <v>44665.371527765325</v>
      </c>
      <c r="M3857" s="13"/>
    </row>
    <row r="3858" spans="12:13">
      <c r="L3858" s="1">
        <v>44665.374999987544</v>
      </c>
      <c r="M3858" s="13"/>
    </row>
    <row r="3859" spans="12:13">
      <c r="L3859" s="1">
        <v>44665.378472209763</v>
      </c>
      <c r="M3859" s="13"/>
    </row>
    <row r="3860" spans="12:13">
      <c r="L3860" s="1">
        <v>44665.381944431982</v>
      </c>
      <c r="M3860" s="13"/>
    </row>
    <row r="3861" spans="12:13">
      <c r="L3861" s="1">
        <v>44665.385416654201</v>
      </c>
      <c r="M3861" s="13"/>
    </row>
    <row r="3862" spans="12:13">
      <c r="L3862" s="1">
        <v>44665.38888887642</v>
      </c>
      <c r="M3862" s="13"/>
    </row>
    <row r="3863" spans="12:13">
      <c r="L3863" s="1">
        <v>44665.392361098639</v>
      </c>
      <c r="M3863" s="13"/>
    </row>
    <row r="3864" spans="12:13">
      <c r="L3864" s="1">
        <v>44665.395833320857</v>
      </c>
      <c r="M3864" s="13"/>
    </row>
    <row r="3865" spans="12:13">
      <c r="L3865" s="1">
        <v>44665.399305543076</v>
      </c>
      <c r="M3865" s="13"/>
    </row>
    <row r="3866" spans="12:13">
      <c r="L3866" s="1">
        <v>44665.402777765295</v>
      </c>
      <c r="M3866" s="13"/>
    </row>
    <row r="3867" spans="12:13">
      <c r="L3867" s="1">
        <v>44665.406249987514</v>
      </c>
      <c r="M3867" s="13"/>
    </row>
    <row r="3868" spans="12:13">
      <c r="L3868" s="1">
        <v>44665.409722209733</v>
      </c>
      <c r="M3868" s="13"/>
    </row>
    <row r="3869" spans="12:13">
      <c r="L3869" s="1">
        <v>44665.413194431952</v>
      </c>
      <c r="M3869" s="13"/>
    </row>
    <row r="3870" spans="12:13">
      <c r="L3870" s="1">
        <v>44665.416666654171</v>
      </c>
      <c r="M3870" s="13"/>
    </row>
    <row r="3871" spans="12:13">
      <c r="L3871" s="1">
        <v>44665.42013887639</v>
      </c>
      <c r="M3871" s="13"/>
    </row>
    <row r="3872" spans="12:13">
      <c r="L3872" s="1">
        <v>44665.423611098609</v>
      </c>
      <c r="M3872" s="13"/>
    </row>
    <row r="3873" spans="12:13">
      <c r="L3873" s="1">
        <v>44665.427083320828</v>
      </c>
      <c r="M3873" s="13"/>
    </row>
    <row r="3874" spans="12:13">
      <c r="L3874" s="1">
        <v>44665.430555543047</v>
      </c>
      <c r="M3874" s="13"/>
    </row>
    <row r="3875" spans="12:13">
      <c r="L3875" s="1">
        <v>44665.434027765266</v>
      </c>
      <c r="M3875" s="13"/>
    </row>
    <row r="3876" spans="12:13">
      <c r="L3876" s="1">
        <v>44665.437499987485</v>
      </c>
      <c r="M3876" s="13"/>
    </row>
    <row r="3877" spans="12:13">
      <c r="L3877" s="1">
        <v>44665.440972209704</v>
      </c>
      <c r="M3877" s="13"/>
    </row>
    <row r="3878" spans="12:13">
      <c r="L3878" s="1">
        <v>44665.444444431923</v>
      </c>
      <c r="M3878" s="13"/>
    </row>
    <row r="3879" spans="12:13">
      <c r="L3879" s="1">
        <v>44665.447916654142</v>
      </c>
      <c r="M3879" s="13"/>
    </row>
    <row r="3880" spans="12:13">
      <c r="L3880" s="1">
        <v>44665.451388876361</v>
      </c>
      <c r="M3880" s="13"/>
    </row>
    <row r="3881" spans="12:13">
      <c r="L3881" s="1">
        <v>44665.45486109858</v>
      </c>
      <c r="M3881" s="13"/>
    </row>
    <row r="3882" spans="12:13">
      <c r="L3882" s="1">
        <v>44665.458333320799</v>
      </c>
      <c r="M3882" s="13"/>
    </row>
    <row r="3883" spans="12:13">
      <c r="L3883" s="1">
        <v>44665.461805543018</v>
      </c>
      <c r="M3883" s="13"/>
    </row>
    <row r="3884" spans="12:13">
      <c r="L3884" s="1">
        <v>44665.465277765237</v>
      </c>
      <c r="M3884" s="13"/>
    </row>
    <row r="3885" spans="12:13">
      <c r="L3885" s="1">
        <v>44665.468749987456</v>
      </c>
      <c r="M3885" s="13"/>
    </row>
    <row r="3886" spans="12:13">
      <c r="L3886" s="1">
        <v>44665.472222209675</v>
      </c>
      <c r="M3886" s="13"/>
    </row>
    <row r="3887" spans="12:13">
      <c r="L3887" s="1">
        <v>44665.475694431894</v>
      </c>
      <c r="M3887" s="13"/>
    </row>
    <row r="3888" spans="12:13">
      <c r="L3888" s="1">
        <v>44665.479166654113</v>
      </c>
      <c r="M3888" s="13"/>
    </row>
    <row r="3889" spans="12:13">
      <c r="L3889" s="1">
        <v>44665.482638876332</v>
      </c>
      <c r="M3889" s="13"/>
    </row>
    <row r="3890" spans="12:13">
      <c r="L3890" s="1">
        <v>44665.486111098551</v>
      </c>
      <c r="M3890" s="13"/>
    </row>
    <row r="3891" spans="12:13">
      <c r="L3891" s="1">
        <v>44665.48958332077</v>
      </c>
      <c r="M3891" s="13"/>
    </row>
    <row r="3892" spans="12:13">
      <c r="L3892" s="1">
        <v>44665.493055542989</v>
      </c>
      <c r="M3892" s="13"/>
    </row>
    <row r="3893" spans="12:13">
      <c r="L3893" s="1">
        <v>44665.496527765208</v>
      </c>
      <c r="M3893" s="13"/>
    </row>
    <row r="3894" spans="12:13">
      <c r="L3894" s="1">
        <v>44665.499999987427</v>
      </c>
      <c r="M3894" s="13"/>
    </row>
    <row r="3895" spans="12:13">
      <c r="L3895" s="1">
        <v>44665.503472209646</v>
      </c>
      <c r="M3895" s="13"/>
    </row>
    <row r="3896" spans="12:13">
      <c r="L3896" s="1">
        <v>44665.506944431865</v>
      </c>
      <c r="M3896" s="13"/>
    </row>
    <row r="3897" spans="12:13">
      <c r="L3897" s="1">
        <v>44665.510416654084</v>
      </c>
      <c r="M3897" s="13"/>
    </row>
    <row r="3898" spans="12:13">
      <c r="L3898" s="1">
        <v>44665.513888876303</v>
      </c>
      <c r="M3898" s="13"/>
    </row>
    <row r="3899" spans="12:13">
      <c r="L3899" s="1">
        <v>44665.517361098522</v>
      </c>
      <c r="M3899" s="13"/>
    </row>
    <row r="3900" spans="12:13">
      <c r="L3900" s="1">
        <v>44665.520833320741</v>
      </c>
      <c r="M3900" s="13"/>
    </row>
    <row r="3901" spans="12:13">
      <c r="L3901" s="1">
        <v>44665.52430554296</v>
      </c>
      <c r="M3901" s="13"/>
    </row>
    <row r="3902" spans="12:13">
      <c r="L3902" s="1">
        <v>44665.527777765179</v>
      </c>
      <c r="M3902" s="13"/>
    </row>
    <row r="3903" spans="12:13">
      <c r="L3903" s="1">
        <v>44665.531249987398</v>
      </c>
      <c r="M3903" s="13"/>
    </row>
    <row r="3904" spans="12:13">
      <c r="L3904" s="1">
        <v>44665.534722209617</v>
      </c>
      <c r="M3904" s="13"/>
    </row>
    <row r="3905" spans="12:13">
      <c r="L3905" s="1">
        <v>44665.538194431836</v>
      </c>
      <c r="M3905" s="13"/>
    </row>
    <row r="3906" spans="12:13">
      <c r="L3906" s="1">
        <v>44665.541666654055</v>
      </c>
      <c r="M3906" s="13"/>
    </row>
    <row r="3907" spans="12:13">
      <c r="L3907" s="1">
        <v>44665.545138876274</v>
      </c>
      <c r="M3907" s="13"/>
    </row>
    <row r="3908" spans="12:13">
      <c r="L3908" s="1">
        <v>44665.548611098493</v>
      </c>
      <c r="M3908" s="13"/>
    </row>
    <row r="3909" spans="12:13">
      <c r="L3909" s="1">
        <v>44665.552083320712</v>
      </c>
      <c r="M3909" s="13"/>
    </row>
    <row r="3910" spans="12:13">
      <c r="L3910" s="1">
        <v>44665.555555542931</v>
      </c>
      <c r="M3910" s="13"/>
    </row>
    <row r="3911" spans="12:13">
      <c r="L3911" s="1">
        <v>44665.55902776515</v>
      </c>
      <c r="M3911" s="13"/>
    </row>
    <row r="3912" spans="12:13">
      <c r="L3912" s="1">
        <v>44665.562499987369</v>
      </c>
      <c r="M3912" s="13"/>
    </row>
    <row r="3913" spans="12:13">
      <c r="L3913" s="1">
        <v>44665.565972209588</v>
      </c>
      <c r="M3913" s="13"/>
    </row>
    <row r="3914" spans="12:13">
      <c r="L3914" s="1">
        <v>44665.569444431807</v>
      </c>
      <c r="M3914" s="13"/>
    </row>
    <row r="3915" spans="12:13">
      <c r="L3915" s="1">
        <v>44665.572916654026</v>
      </c>
      <c r="M3915" s="13"/>
    </row>
    <row r="3916" spans="12:13">
      <c r="L3916" s="1">
        <v>44665.576388876245</v>
      </c>
      <c r="M3916" s="13"/>
    </row>
    <row r="3917" spans="12:13">
      <c r="L3917" s="1">
        <v>44665.579861098464</v>
      </c>
      <c r="M3917" s="13"/>
    </row>
    <row r="3918" spans="12:13">
      <c r="L3918" s="1">
        <v>44665.583333320683</v>
      </c>
      <c r="M3918" s="13"/>
    </row>
    <row r="3919" spans="12:13">
      <c r="L3919" s="1">
        <v>44665.586805542902</v>
      </c>
      <c r="M3919" s="13"/>
    </row>
    <row r="3920" spans="12:13">
      <c r="L3920" s="1">
        <v>44665.590277765121</v>
      </c>
      <c r="M3920" s="13"/>
    </row>
    <row r="3921" spans="12:13">
      <c r="L3921" s="1">
        <v>44665.59374998734</v>
      </c>
      <c r="M3921" s="13"/>
    </row>
    <row r="3922" spans="12:13">
      <c r="L3922" s="1">
        <v>44665.597222209559</v>
      </c>
      <c r="M3922" s="13"/>
    </row>
    <row r="3923" spans="12:13">
      <c r="L3923" s="1">
        <v>44665.600694431778</v>
      </c>
      <c r="M3923" s="13"/>
    </row>
    <row r="3924" spans="12:13">
      <c r="L3924" s="1">
        <v>44665.604166653997</v>
      </c>
      <c r="M3924" s="13"/>
    </row>
    <row r="3925" spans="12:13">
      <c r="L3925" s="1">
        <v>44665.607638876216</v>
      </c>
      <c r="M3925" s="13"/>
    </row>
    <row r="3926" spans="12:13">
      <c r="L3926" s="1">
        <v>44665.611111098435</v>
      </c>
      <c r="M3926" s="13"/>
    </row>
    <row r="3927" spans="12:13">
      <c r="L3927" s="1">
        <v>44665.614583320654</v>
      </c>
      <c r="M3927" s="13"/>
    </row>
    <row r="3928" spans="12:13">
      <c r="L3928" s="1">
        <v>44665.618055542873</v>
      </c>
      <c r="M3928" s="13"/>
    </row>
    <row r="3929" spans="12:13">
      <c r="L3929" s="1">
        <v>44665.621527765092</v>
      </c>
      <c r="M3929" s="13"/>
    </row>
    <row r="3930" spans="12:13">
      <c r="L3930" s="1">
        <v>44665.624999987311</v>
      </c>
      <c r="M3930" s="13"/>
    </row>
    <row r="3931" spans="12:13">
      <c r="L3931" s="1">
        <v>44665.62847220953</v>
      </c>
      <c r="M3931" s="13"/>
    </row>
    <row r="3932" spans="12:13">
      <c r="L3932" s="1">
        <v>44665.631944431749</v>
      </c>
      <c r="M3932" s="13"/>
    </row>
    <row r="3933" spans="12:13">
      <c r="L3933" s="1">
        <v>44665.635416653968</v>
      </c>
      <c r="M3933" s="13"/>
    </row>
    <row r="3934" spans="12:13">
      <c r="L3934" s="1">
        <v>44665.638888876187</v>
      </c>
      <c r="M3934" s="13"/>
    </row>
    <row r="3935" spans="12:13">
      <c r="L3935" s="1">
        <v>44665.642361098406</v>
      </c>
      <c r="M3935" s="13"/>
    </row>
    <row r="3936" spans="12:13">
      <c r="L3936" s="1">
        <v>44665.645833320625</v>
      </c>
      <c r="M3936" s="13"/>
    </row>
    <row r="3937" spans="12:13">
      <c r="L3937" s="1">
        <v>44665.649305542844</v>
      </c>
      <c r="M3937" s="13"/>
    </row>
    <row r="3938" spans="12:13">
      <c r="L3938" s="1">
        <v>44665.652777765063</v>
      </c>
      <c r="M3938" s="13"/>
    </row>
    <row r="3939" spans="12:13">
      <c r="L3939" s="1">
        <v>44665.656249987282</v>
      </c>
      <c r="M3939" s="13"/>
    </row>
    <row r="3940" spans="12:13">
      <c r="L3940" s="1">
        <v>44665.659722209501</v>
      </c>
      <c r="M3940" s="13"/>
    </row>
    <row r="3941" spans="12:13">
      <c r="L3941" s="1">
        <v>44665.66319443172</v>
      </c>
      <c r="M3941" s="13"/>
    </row>
    <row r="3942" spans="12:13">
      <c r="L3942" s="1">
        <v>44665.666666653939</v>
      </c>
      <c r="M3942" s="13"/>
    </row>
    <row r="3943" spans="12:13">
      <c r="L3943" s="1">
        <v>44665.670138876158</v>
      </c>
      <c r="M3943" s="13"/>
    </row>
    <row r="3944" spans="12:13">
      <c r="L3944" s="1">
        <v>44665.673611098377</v>
      </c>
      <c r="M3944" s="13"/>
    </row>
    <row r="3945" spans="12:13">
      <c r="L3945" s="1">
        <v>44665.677083320596</v>
      </c>
      <c r="M3945" s="13"/>
    </row>
    <row r="3946" spans="12:13">
      <c r="L3946" s="1">
        <v>44665.680555542815</v>
      </c>
      <c r="M3946" s="13"/>
    </row>
    <row r="3947" spans="12:13">
      <c r="L3947" s="1">
        <v>44665.684027765034</v>
      </c>
      <c r="M3947" s="13"/>
    </row>
    <row r="3948" spans="12:13">
      <c r="L3948" s="1">
        <v>44665.687499987253</v>
      </c>
      <c r="M3948" s="13"/>
    </row>
    <row r="3949" spans="12:13">
      <c r="L3949" s="1">
        <v>44665.690972209472</v>
      </c>
      <c r="M3949" s="13"/>
    </row>
    <row r="3950" spans="12:13">
      <c r="L3950" s="1">
        <v>44665.69444443169</v>
      </c>
      <c r="M3950" s="13"/>
    </row>
    <row r="3951" spans="12:13">
      <c r="L3951" s="1">
        <v>44665.697916653909</v>
      </c>
      <c r="M3951" s="13"/>
    </row>
    <row r="3952" spans="12:13">
      <c r="L3952" s="1">
        <v>44665.701388876128</v>
      </c>
      <c r="M3952" s="13"/>
    </row>
    <row r="3953" spans="12:13">
      <c r="L3953" s="1">
        <v>44665.704861098347</v>
      </c>
      <c r="M3953" s="13"/>
    </row>
    <row r="3954" spans="12:13">
      <c r="L3954" s="1">
        <v>44665.708333320566</v>
      </c>
      <c r="M3954" s="13"/>
    </row>
    <row r="3955" spans="12:13">
      <c r="L3955" s="1">
        <v>44665.711805542785</v>
      </c>
      <c r="M3955" s="13"/>
    </row>
    <row r="3956" spans="12:13">
      <c r="L3956" s="1">
        <v>44665.715277765004</v>
      </c>
      <c r="M3956" s="13"/>
    </row>
    <row r="3957" spans="12:13">
      <c r="L3957" s="1">
        <v>44665.718749987223</v>
      </c>
      <c r="M3957" s="13"/>
    </row>
    <row r="3958" spans="12:13">
      <c r="L3958" s="1">
        <v>44665.722222209442</v>
      </c>
      <c r="M3958" s="13"/>
    </row>
    <row r="3959" spans="12:13">
      <c r="L3959" s="1">
        <v>44665.725694431661</v>
      </c>
      <c r="M3959" s="13"/>
    </row>
    <row r="3960" spans="12:13">
      <c r="L3960" s="1">
        <v>44665.72916665388</v>
      </c>
      <c r="M3960" s="13"/>
    </row>
    <row r="3961" spans="12:13">
      <c r="L3961" s="1">
        <v>44665.732638876099</v>
      </c>
      <c r="M3961" s="13"/>
    </row>
    <row r="3962" spans="12:13">
      <c r="L3962" s="1">
        <v>44665.736111098318</v>
      </c>
      <c r="M3962" s="13"/>
    </row>
    <row r="3963" spans="12:13">
      <c r="L3963" s="1">
        <v>44665.739583320537</v>
      </c>
      <c r="M3963" s="13"/>
    </row>
    <row r="3964" spans="12:13">
      <c r="L3964" s="1">
        <v>44665.743055542756</v>
      </c>
      <c r="M3964" s="13"/>
    </row>
    <row r="3965" spans="12:13">
      <c r="L3965" s="1">
        <v>44665.746527764975</v>
      </c>
      <c r="M3965" s="13"/>
    </row>
    <row r="3966" spans="12:13">
      <c r="L3966" s="1">
        <v>44665.749999987194</v>
      </c>
      <c r="M3966" s="13"/>
    </row>
    <row r="3967" spans="12:13">
      <c r="L3967" s="1">
        <v>44665.753472209413</v>
      </c>
      <c r="M3967" s="13"/>
    </row>
    <row r="3968" spans="12:13">
      <c r="L3968" s="1">
        <v>44665.756944431632</v>
      </c>
      <c r="M3968" s="13"/>
    </row>
    <row r="3969" spans="12:13">
      <c r="L3969" s="1">
        <v>44665.760416653851</v>
      </c>
      <c r="M3969" s="13"/>
    </row>
    <row r="3970" spans="12:13">
      <c r="L3970" s="1">
        <v>44665.76388887607</v>
      </c>
      <c r="M3970" s="13"/>
    </row>
    <row r="3971" spans="12:13">
      <c r="L3971" s="1">
        <v>44665.767361098289</v>
      </c>
      <c r="M3971" s="13"/>
    </row>
    <row r="3972" spans="12:13">
      <c r="L3972" s="1">
        <v>44665.770833320508</v>
      </c>
      <c r="M3972" s="13"/>
    </row>
    <row r="3973" spans="12:13">
      <c r="L3973" s="1">
        <v>44665.774305542727</v>
      </c>
      <c r="M3973" s="13"/>
    </row>
    <row r="3974" spans="12:13">
      <c r="L3974" s="1">
        <v>44665.777777764946</v>
      </c>
      <c r="M3974" s="13"/>
    </row>
    <row r="3975" spans="12:13">
      <c r="L3975" s="1">
        <v>44665.781249987165</v>
      </c>
      <c r="M3975" s="13"/>
    </row>
    <row r="3976" spans="12:13">
      <c r="L3976" s="1">
        <v>44665.784722209384</v>
      </c>
      <c r="M3976" s="13"/>
    </row>
    <row r="3977" spans="12:13">
      <c r="L3977" s="1">
        <v>44665.788194431603</v>
      </c>
      <c r="M3977" s="13"/>
    </row>
    <row r="3978" spans="12:13">
      <c r="L3978" s="1">
        <v>44665.791666653822</v>
      </c>
      <c r="M3978" s="13"/>
    </row>
    <row r="3979" spans="12:13">
      <c r="L3979" s="1">
        <v>44665.795138876041</v>
      </c>
      <c r="M3979" s="13"/>
    </row>
    <row r="3980" spans="12:13">
      <c r="L3980" s="1">
        <v>44665.79861109826</v>
      </c>
      <c r="M3980" s="13"/>
    </row>
    <row r="3981" spans="12:13">
      <c r="L3981" s="1">
        <v>44665.802083320479</v>
      </c>
      <c r="M3981" s="13"/>
    </row>
    <row r="3982" spans="12:13">
      <c r="L3982" s="1">
        <v>44665.805555542698</v>
      </c>
      <c r="M3982" s="13"/>
    </row>
    <row r="3983" spans="12:13">
      <c r="L3983" s="1">
        <v>44665.809027764917</v>
      </c>
      <c r="M3983" s="13"/>
    </row>
    <row r="3984" spans="12:13">
      <c r="L3984" s="1">
        <v>44665.812499987136</v>
      </c>
      <c r="M3984" s="13"/>
    </row>
    <row r="3985" spans="12:13">
      <c r="L3985" s="1">
        <v>44665.815972209355</v>
      </c>
      <c r="M3985" s="13"/>
    </row>
    <row r="3986" spans="12:13">
      <c r="L3986" s="1">
        <v>44665.819444431574</v>
      </c>
      <c r="M3986" s="13"/>
    </row>
    <row r="3987" spans="12:13">
      <c r="L3987" s="1">
        <v>44665.822916653793</v>
      </c>
      <c r="M3987" s="13"/>
    </row>
    <row r="3988" spans="12:13">
      <c r="L3988" s="1">
        <v>44665.826388876012</v>
      </c>
      <c r="M3988" s="13"/>
    </row>
    <row r="3989" spans="12:13">
      <c r="L3989" s="1">
        <v>44665.829861098231</v>
      </c>
      <c r="M3989" s="13"/>
    </row>
    <row r="3990" spans="12:13">
      <c r="L3990" s="1">
        <v>44665.83333332045</v>
      </c>
      <c r="M3990" s="13"/>
    </row>
    <row r="3991" spans="12:13">
      <c r="L3991" s="1">
        <v>44665.836805542669</v>
      </c>
      <c r="M3991" s="13"/>
    </row>
    <row r="3992" spans="12:13">
      <c r="L3992" s="1">
        <v>44665.840277764888</v>
      </c>
      <c r="M3992" s="13"/>
    </row>
    <row r="3993" spans="12:13">
      <c r="L3993" s="1">
        <v>44665.843749987107</v>
      </c>
      <c r="M3993" s="13"/>
    </row>
    <row r="3994" spans="12:13">
      <c r="L3994" s="1">
        <v>44665.847222209326</v>
      </c>
      <c r="M3994" s="13"/>
    </row>
    <row r="3995" spans="12:13">
      <c r="L3995" s="1">
        <v>44665.850694431545</v>
      </c>
      <c r="M3995" s="13"/>
    </row>
    <row r="3996" spans="12:13">
      <c r="L3996" s="1">
        <v>44665.854166653764</v>
      </c>
      <c r="M3996" s="13"/>
    </row>
    <row r="3997" spans="12:13">
      <c r="L3997" s="1">
        <v>44665.857638875983</v>
      </c>
      <c r="M3997" s="13"/>
    </row>
    <row r="3998" spans="12:13">
      <c r="L3998" s="1">
        <v>44665.861111098202</v>
      </c>
      <c r="M3998" s="13"/>
    </row>
    <row r="3999" spans="12:13">
      <c r="L3999" s="1">
        <v>44665.864583320421</v>
      </c>
      <c r="M3999" s="13"/>
    </row>
    <row r="4000" spans="12:13">
      <c r="L4000" s="1">
        <v>44665.86805554264</v>
      </c>
      <c r="M4000" s="13"/>
    </row>
    <row r="4001" spans="12:13">
      <c r="L4001" s="1">
        <v>44665.871527764859</v>
      </c>
      <c r="M4001" s="13"/>
    </row>
    <row r="4002" spans="12:13">
      <c r="L4002" s="1">
        <v>44665.874999987078</v>
      </c>
      <c r="M4002" s="13"/>
    </row>
    <row r="4003" spans="12:13">
      <c r="L4003" s="1">
        <v>44665.878472209297</v>
      </c>
      <c r="M4003" s="13"/>
    </row>
    <row r="4004" spans="12:13">
      <c r="L4004" s="1">
        <v>44665.881944431516</v>
      </c>
      <c r="M4004" s="13"/>
    </row>
    <row r="4005" spans="12:13">
      <c r="L4005" s="1">
        <v>44665.885416653735</v>
      </c>
      <c r="M4005" s="13"/>
    </row>
    <row r="4006" spans="12:13">
      <c r="L4006" s="1">
        <v>44665.888888875954</v>
      </c>
      <c r="M4006" s="13"/>
    </row>
    <row r="4007" spans="12:13">
      <c r="L4007" s="1">
        <v>44665.892361098173</v>
      </c>
      <c r="M4007" s="13"/>
    </row>
    <row r="4008" spans="12:13">
      <c r="L4008" s="1">
        <v>44665.895833320392</v>
      </c>
      <c r="M4008" s="13"/>
    </row>
    <row r="4009" spans="12:13">
      <c r="L4009" s="1">
        <v>44665.899305542611</v>
      </c>
      <c r="M4009" s="13"/>
    </row>
    <row r="4010" spans="12:13">
      <c r="L4010" s="1">
        <v>44665.90277776483</v>
      </c>
      <c r="M4010" s="13"/>
    </row>
    <row r="4011" spans="12:13">
      <c r="L4011" s="1">
        <v>44665.906249987049</v>
      </c>
      <c r="M4011" s="13"/>
    </row>
    <row r="4012" spans="12:13">
      <c r="L4012" s="1">
        <v>44665.909722209268</v>
      </c>
      <c r="M4012" s="13"/>
    </row>
    <row r="4013" spans="12:13">
      <c r="L4013" s="1">
        <v>44665.913194431487</v>
      </c>
      <c r="M4013" s="13"/>
    </row>
    <row r="4014" spans="12:13">
      <c r="L4014" s="1">
        <v>44665.916666653706</v>
      </c>
      <c r="M4014" s="13"/>
    </row>
    <row r="4015" spans="12:13">
      <c r="L4015" s="1">
        <v>44665.920138875925</v>
      </c>
      <c r="M4015" s="13"/>
    </row>
    <row r="4016" spans="12:13">
      <c r="L4016" s="1">
        <v>44665.923611098144</v>
      </c>
      <c r="M4016" s="13"/>
    </row>
    <row r="4017" spans="12:13">
      <c r="L4017" s="1">
        <v>44665.927083320363</v>
      </c>
      <c r="M4017" s="13"/>
    </row>
    <row r="4018" spans="12:13">
      <c r="L4018" s="1">
        <v>44665.930555542582</v>
      </c>
      <c r="M4018" s="13"/>
    </row>
    <row r="4019" spans="12:13">
      <c r="L4019" s="1">
        <v>44665.934027764801</v>
      </c>
      <c r="M4019" s="13"/>
    </row>
    <row r="4020" spans="12:13">
      <c r="L4020" s="1">
        <v>44665.93749998702</v>
      </c>
      <c r="M4020" s="13"/>
    </row>
    <row r="4021" spans="12:13">
      <c r="L4021" s="1">
        <v>44665.940972209239</v>
      </c>
      <c r="M4021" s="13"/>
    </row>
    <row r="4022" spans="12:13">
      <c r="L4022" s="1">
        <v>44665.944444431458</v>
      </c>
      <c r="M4022" s="13"/>
    </row>
    <row r="4023" spans="12:13">
      <c r="L4023" s="1">
        <v>44665.947916653677</v>
      </c>
      <c r="M4023" s="13"/>
    </row>
    <row r="4024" spans="12:13">
      <c r="L4024" s="1">
        <v>44665.951388875896</v>
      </c>
      <c r="M4024" s="13"/>
    </row>
    <row r="4025" spans="12:13">
      <c r="L4025" s="1">
        <v>44665.954861098115</v>
      </c>
      <c r="M4025" s="13"/>
    </row>
    <row r="4026" spans="12:13">
      <c r="L4026" s="1">
        <v>44665.958333320334</v>
      </c>
      <c r="M4026" s="13"/>
    </row>
    <row r="4027" spans="12:13">
      <c r="L4027" s="1">
        <v>44665.961805542553</v>
      </c>
      <c r="M4027" s="13"/>
    </row>
    <row r="4028" spans="12:13">
      <c r="L4028" s="1">
        <v>44665.965277764772</v>
      </c>
      <c r="M4028" s="13"/>
    </row>
    <row r="4029" spans="12:13">
      <c r="L4029" s="1">
        <v>44665.968749986991</v>
      </c>
      <c r="M4029" s="13"/>
    </row>
    <row r="4030" spans="12:13">
      <c r="L4030" s="1">
        <v>44665.97222220921</v>
      </c>
      <c r="M4030" s="13"/>
    </row>
    <row r="4031" spans="12:13">
      <c r="L4031" s="1">
        <v>44665.975694431429</v>
      </c>
      <c r="M4031" s="13"/>
    </row>
    <row r="4032" spans="12:13">
      <c r="L4032" s="1">
        <v>44665.979166653648</v>
      </c>
      <c r="M4032" s="13"/>
    </row>
    <row r="4033" spans="12:13">
      <c r="L4033" s="1">
        <v>44665.982638875867</v>
      </c>
      <c r="M4033" s="13"/>
    </row>
    <row r="4034" spans="12:13">
      <c r="L4034" s="1">
        <v>44665.986111098086</v>
      </c>
      <c r="M4034" s="13"/>
    </row>
    <row r="4035" spans="12:13">
      <c r="L4035" s="1">
        <v>44665.989583320305</v>
      </c>
      <c r="M4035" s="13"/>
    </row>
    <row r="4036" spans="12:13">
      <c r="L4036" s="1">
        <v>44665.993055542524</v>
      </c>
      <c r="M4036" s="13"/>
    </row>
    <row r="4037" spans="12:13">
      <c r="L4037" s="1">
        <v>44665.996527764742</v>
      </c>
      <c r="M4037" s="13"/>
    </row>
    <row r="4038" spans="12:13">
      <c r="L4038" s="1">
        <v>44665.999999986961</v>
      </c>
      <c r="M4038" s="13"/>
    </row>
    <row r="4039" spans="12:13">
      <c r="L4039" s="1">
        <v>44666.00347220918</v>
      </c>
      <c r="M4039" s="13"/>
    </row>
    <row r="4040" spans="12:13">
      <c r="L4040" s="1">
        <v>44666.006944431399</v>
      </c>
      <c r="M4040" s="13"/>
    </row>
    <row r="4041" spans="12:13">
      <c r="L4041" s="1">
        <v>44666.010416653618</v>
      </c>
      <c r="M4041" s="13"/>
    </row>
    <row r="4042" spans="12:13">
      <c r="L4042" s="1">
        <v>44666.013888875837</v>
      </c>
      <c r="M4042" s="13"/>
    </row>
    <row r="4043" spans="12:13">
      <c r="L4043" s="1">
        <v>44666.017361098056</v>
      </c>
      <c r="M4043" s="13"/>
    </row>
    <row r="4044" spans="12:13">
      <c r="L4044" s="1">
        <v>44666.020833320275</v>
      </c>
      <c r="M4044" s="13"/>
    </row>
    <row r="4045" spans="12:13">
      <c r="L4045" s="1">
        <v>44666.024305542494</v>
      </c>
      <c r="M4045" s="13"/>
    </row>
    <row r="4046" spans="12:13">
      <c r="L4046" s="1">
        <v>44666.027777764713</v>
      </c>
      <c r="M4046" s="13"/>
    </row>
    <row r="4047" spans="12:13">
      <c r="L4047" s="1">
        <v>44666.031249986932</v>
      </c>
      <c r="M4047" s="13"/>
    </row>
    <row r="4048" spans="12:13">
      <c r="L4048" s="1">
        <v>44666.034722209151</v>
      </c>
      <c r="M4048" s="13"/>
    </row>
    <row r="4049" spans="12:13">
      <c r="L4049" s="1">
        <v>44666.03819443137</v>
      </c>
      <c r="M4049" s="13"/>
    </row>
    <row r="4050" spans="12:13">
      <c r="L4050" s="1">
        <v>44666.041666653589</v>
      </c>
      <c r="M4050" s="13"/>
    </row>
    <row r="4051" spans="12:13">
      <c r="L4051" s="1">
        <v>44666.045138875808</v>
      </c>
      <c r="M4051" s="13"/>
    </row>
    <row r="4052" spans="12:13">
      <c r="L4052" s="1">
        <v>44666.048611098027</v>
      </c>
      <c r="M4052" s="13"/>
    </row>
    <row r="4053" spans="12:13">
      <c r="L4053" s="1">
        <v>44666.052083320246</v>
      </c>
      <c r="M4053" s="13"/>
    </row>
    <row r="4054" spans="12:13">
      <c r="L4054" s="1">
        <v>44666.055555542465</v>
      </c>
      <c r="M4054" s="13"/>
    </row>
    <row r="4055" spans="12:13">
      <c r="L4055" s="1">
        <v>44666.059027764684</v>
      </c>
      <c r="M4055" s="13"/>
    </row>
    <row r="4056" spans="12:13">
      <c r="L4056" s="1">
        <v>44666.062499986903</v>
      </c>
      <c r="M4056" s="13"/>
    </row>
    <row r="4057" spans="12:13">
      <c r="L4057" s="1">
        <v>44666.065972209122</v>
      </c>
      <c r="M4057" s="13"/>
    </row>
    <row r="4058" spans="12:13">
      <c r="L4058" s="1">
        <v>44666.069444431341</v>
      </c>
      <c r="M4058" s="13"/>
    </row>
    <row r="4059" spans="12:13">
      <c r="L4059" s="1">
        <v>44666.07291665356</v>
      </c>
      <c r="M4059" s="13"/>
    </row>
    <row r="4060" spans="12:13">
      <c r="L4060" s="1">
        <v>44666.076388875779</v>
      </c>
      <c r="M4060" s="13"/>
    </row>
    <row r="4061" spans="12:13">
      <c r="L4061" s="1">
        <v>44666.079861097998</v>
      </c>
      <c r="M4061" s="13"/>
    </row>
    <row r="4062" spans="12:13">
      <c r="L4062" s="1">
        <v>44666.083333320217</v>
      </c>
      <c r="M4062" s="13"/>
    </row>
    <row r="4063" spans="12:13">
      <c r="L4063" s="1">
        <v>44666.086805542436</v>
      </c>
      <c r="M4063" s="13"/>
    </row>
    <row r="4064" spans="12:13">
      <c r="L4064" s="1">
        <v>44666.090277764655</v>
      </c>
      <c r="M4064" s="13"/>
    </row>
    <row r="4065" spans="12:13">
      <c r="L4065" s="1">
        <v>44666.093749986874</v>
      </c>
      <c r="M4065" s="13"/>
    </row>
    <row r="4066" spans="12:13">
      <c r="L4066" s="1">
        <v>44666.097222209093</v>
      </c>
      <c r="M4066" s="13"/>
    </row>
    <row r="4067" spans="12:13">
      <c r="L4067" s="1">
        <v>44666.100694431312</v>
      </c>
      <c r="M4067" s="13"/>
    </row>
    <row r="4068" spans="12:13">
      <c r="L4068" s="1">
        <v>44666.104166653531</v>
      </c>
      <c r="M4068" s="13"/>
    </row>
    <row r="4069" spans="12:13">
      <c r="L4069" s="1">
        <v>44666.10763887575</v>
      </c>
      <c r="M4069" s="13"/>
    </row>
    <row r="4070" spans="12:13">
      <c r="L4070" s="1">
        <v>44666.111111097969</v>
      </c>
      <c r="M4070" s="13"/>
    </row>
    <row r="4071" spans="12:13">
      <c r="L4071" s="1">
        <v>44666.114583320188</v>
      </c>
      <c r="M4071" s="13"/>
    </row>
    <row r="4072" spans="12:13">
      <c r="L4072" s="1">
        <v>44666.118055542407</v>
      </c>
      <c r="M4072" s="13"/>
    </row>
    <row r="4073" spans="12:13">
      <c r="L4073" s="1">
        <v>44666.121527764626</v>
      </c>
      <c r="M4073" s="13"/>
    </row>
    <row r="4074" spans="12:13">
      <c r="L4074" s="1">
        <v>44666.124999986845</v>
      </c>
      <c r="M4074" s="13"/>
    </row>
    <row r="4075" spans="12:13">
      <c r="L4075" s="1">
        <v>44666.128472209064</v>
      </c>
      <c r="M4075" s="13"/>
    </row>
    <row r="4076" spans="12:13">
      <c r="L4076" s="1">
        <v>44666.131944431283</v>
      </c>
      <c r="M4076" s="13"/>
    </row>
    <row r="4077" spans="12:13">
      <c r="L4077" s="1">
        <v>44666.135416653502</v>
      </c>
      <c r="M4077" s="13"/>
    </row>
    <row r="4078" spans="12:13">
      <c r="L4078" s="1">
        <v>44666.138888875721</v>
      </c>
      <c r="M4078" s="13"/>
    </row>
    <row r="4079" spans="12:13">
      <c r="L4079" s="1">
        <v>44666.14236109794</v>
      </c>
      <c r="M4079" s="13"/>
    </row>
    <row r="4080" spans="12:13">
      <c r="L4080" s="1">
        <v>44666.145833320159</v>
      </c>
      <c r="M4080" s="13"/>
    </row>
    <row r="4081" spans="12:13">
      <c r="L4081" s="1">
        <v>44666.149305542378</v>
      </c>
      <c r="M4081" s="13"/>
    </row>
    <row r="4082" spans="12:13">
      <c r="L4082" s="1">
        <v>44666.152777764597</v>
      </c>
      <c r="M4082" s="13"/>
    </row>
    <row r="4083" spans="12:13">
      <c r="L4083" s="1">
        <v>44666.156249986816</v>
      </c>
      <c r="M4083" s="13"/>
    </row>
    <row r="4084" spans="12:13">
      <c r="L4084" s="1">
        <v>44666.159722209035</v>
      </c>
      <c r="M4084" s="13"/>
    </row>
    <row r="4085" spans="12:13">
      <c r="L4085" s="1">
        <v>44666.163194431254</v>
      </c>
      <c r="M4085" s="13"/>
    </row>
    <row r="4086" spans="12:13">
      <c r="L4086" s="1">
        <v>44666.166666653473</v>
      </c>
      <c r="M4086" s="13"/>
    </row>
    <row r="4087" spans="12:13">
      <c r="L4087" s="1">
        <v>44666.170138875692</v>
      </c>
      <c r="M4087" s="13"/>
    </row>
    <row r="4088" spans="12:13">
      <c r="L4088" s="1">
        <v>44666.173611097911</v>
      </c>
      <c r="M4088" s="13"/>
    </row>
    <row r="4089" spans="12:13">
      <c r="L4089" s="1">
        <v>44666.17708332013</v>
      </c>
      <c r="M4089" s="13"/>
    </row>
    <row r="4090" spans="12:13">
      <c r="L4090" s="1">
        <v>44666.180555542349</v>
      </c>
      <c r="M4090" s="13"/>
    </row>
    <row r="4091" spans="12:13">
      <c r="L4091" s="1">
        <v>44666.184027764568</v>
      </c>
      <c r="M4091" s="13"/>
    </row>
    <row r="4092" spans="12:13">
      <c r="L4092" s="1">
        <v>44666.187499986787</v>
      </c>
      <c r="M4092" s="13"/>
    </row>
    <row r="4093" spans="12:13">
      <c r="L4093" s="1">
        <v>44666.190972209006</v>
      </c>
      <c r="M4093" s="13"/>
    </row>
    <row r="4094" spans="12:13">
      <c r="L4094" s="1">
        <v>44666.194444431225</v>
      </c>
      <c r="M4094" s="13"/>
    </row>
    <row r="4095" spans="12:13">
      <c r="L4095" s="1">
        <v>44666.197916653444</v>
      </c>
      <c r="M4095" s="13"/>
    </row>
    <row r="4096" spans="12:13">
      <c r="L4096" s="1">
        <v>44666.201388875663</v>
      </c>
      <c r="M4096" s="13"/>
    </row>
    <row r="4097" spans="12:13">
      <c r="L4097" s="1">
        <v>44666.204861097882</v>
      </c>
      <c r="M4097" s="13"/>
    </row>
    <row r="4098" spans="12:13">
      <c r="L4098" s="1">
        <v>44666.208333320101</v>
      </c>
      <c r="M4098" s="13"/>
    </row>
    <row r="4099" spans="12:13">
      <c r="L4099" s="1">
        <v>44666.21180554232</v>
      </c>
      <c r="M4099" s="13"/>
    </row>
    <row r="4100" spans="12:13">
      <c r="L4100" s="1">
        <v>44666.215277764539</v>
      </c>
      <c r="M4100" s="13"/>
    </row>
    <row r="4101" spans="12:13">
      <c r="L4101" s="1">
        <v>44666.218749986758</v>
      </c>
      <c r="M4101" s="13"/>
    </row>
    <row r="4102" spans="12:13">
      <c r="L4102" s="1">
        <v>44666.222222208977</v>
      </c>
      <c r="M4102" s="13"/>
    </row>
    <row r="4103" spans="12:13">
      <c r="L4103" s="1">
        <v>44666.225694431196</v>
      </c>
      <c r="M4103" s="13"/>
    </row>
    <row r="4104" spans="12:13">
      <c r="L4104" s="1">
        <v>44666.229166653415</v>
      </c>
      <c r="M4104" s="13"/>
    </row>
    <row r="4105" spans="12:13">
      <c r="L4105" s="1">
        <v>44666.232638875634</v>
      </c>
      <c r="M4105" s="13"/>
    </row>
    <row r="4106" spans="12:13">
      <c r="L4106" s="1">
        <v>44666.236111097853</v>
      </c>
      <c r="M4106" s="13"/>
    </row>
    <row r="4107" spans="12:13">
      <c r="L4107" s="1">
        <v>44666.239583320072</v>
      </c>
      <c r="M4107" s="13"/>
    </row>
    <row r="4108" spans="12:13">
      <c r="L4108" s="1">
        <v>44666.243055542291</v>
      </c>
      <c r="M4108" s="13"/>
    </row>
    <row r="4109" spans="12:13">
      <c r="L4109" s="1">
        <v>44666.24652776451</v>
      </c>
      <c r="M4109" s="13"/>
    </row>
    <row r="4110" spans="12:13">
      <c r="L4110" s="1">
        <v>44666.249999986729</v>
      </c>
      <c r="M4110" s="13"/>
    </row>
    <row r="4111" spans="12:13">
      <c r="L4111" s="1">
        <v>44666.253472208948</v>
      </c>
      <c r="M4111" s="13"/>
    </row>
    <row r="4112" spans="12:13">
      <c r="L4112" s="1">
        <v>44666.256944431167</v>
      </c>
      <c r="M4112" s="13"/>
    </row>
    <row r="4113" spans="12:13">
      <c r="L4113" s="1">
        <v>44666.260416653386</v>
      </c>
      <c r="M4113" s="13"/>
    </row>
    <row r="4114" spans="12:13">
      <c r="L4114" s="1">
        <v>44666.263888875605</v>
      </c>
      <c r="M4114" s="13"/>
    </row>
    <row r="4115" spans="12:13">
      <c r="L4115" s="1">
        <v>44666.267361097824</v>
      </c>
      <c r="M4115" s="13"/>
    </row>
    <row r="4116" spans="12:13">
      <c r="L4116" s="1">
        <v>44666.270833320043</v>
      </c>
      <c r="M4116" s="13"/>
    </row>
    <row r="4117" spans="12:13">
      <c r="L4117" s="1">
        <v>44666.274305542262</v>
      </c>
      <c r="M4117" s="13"/>
    </row>
    <row r="4118" spans="12:13">
      <c r="L4118" s="1">
        <v>44666.277777764481</v>
      </c>
      <c r="M4118" s="13"/>
    </row>
    <row r="4119" spans="12:13">
      <c r="L4119" s="1">
        <v>44666.2812499867</v>
      </c>
      <c r="M4119" s="13"/>
    </row>
    <row r="4120" spans="12:13">
      <c r="L4120" s="1">
        <v>44666.284722208919</v>
      </c>
      <c r="M4120" s="13"/>
    </row>
    <row r="4121" spans="12:13">
      <c r="L4121" s="1">
        <v>44666.288194431138</v>
      </c>
      <c r="M4121" s="13"/>
    </row>
    <row r="4122" spans="12:13">
      <c r="L4122" s="1">
        <v>44666.291666653357</v>
      </c>
      <c r="M4122" s="13"/>
    </row>
    <row r="4123" spans="12:13">
      <c r="L4123" s="1">
        <v>44666.295138875576</v>
      </c>
      <c r="M4123" s="13"/>
    </row>
    <row r="4124" spans="12:13">
      <c r="L4124" s="1">
        <v>44666.298611097794</v>
      </c>
      <c r="M4124" s="13"/>
    </row>
    <row r="4125" spans="12:13">
      <c r="L4125" s="1">
        <v>44666.302083320013</v>
      </c>
      <c r="M4125" s="13"/>
    </row>
    <row r="4126" spans="12:13">
      <c r="L4126" s="1">
        <v>44666.305555542232</v>
      </c>
      <c r="M4126" s="13"/>
    </row>
    <row r="4127" spans="12:13">
      <c r="L4127" s="1">
        <v>44666.309027764451</v>
      </c>
      <c r="M4127" s="13"/>
    </row>
    <row r="4128" spans="12:13">
      <c r="L4128" s="1">
        <v>44666.31249998667</v>
      </c>
      <c r="M4128" s="13"/>
    </row>
    <row r="4129" spans="12:13">
      <c r="L4129" s="1">
        <v>44666.315972208889</v>
      </c>
      <c r="M4129" s="13"/>
    </row>
    <row r="4130" spans="12:13">
      <c r="L4130" s="1">
        <v>44666.319444431108</v>
      </c>
      <c r="M4130" s="13"/>
    </row>
    <row r="4131" spans="12:13">
      <c r="L4131" s="1">
        <v>44666.322916653327</v>
      </c>
      <c r="M4131" s="13"/>
    </row>
    <row r="4132" spans="12:13">
      <c r="L4132" s="1">
        <v>44666.326388875546</v>
      </c>
      <c r="M4132" s="13"/>
    </row>
    <row r="4133" spans="12:13">
      <c r="L4133" s="1">
        <v>44666.329861097765</v>
      </c>
      <c r="M4133" s="13"/>
    </row>
    <row r="4134" spans="12:13">
      <c r="L4134" s="1">
        <v>44666.333333319984</v>
      </c>
      <c r="M4134" s="13"/>
    </row>
    <row r="4135" spans="12:13">
      <c r="L4135" s="1">
        <v>44666.336805542203</v>
      </c>
      <c r="M4135" s="13"/>
    </row>
    <row r="4136" spans="12:13">
      <c r="L4136" s="1">
        <v>44666.340277764422</v>
      </c>
      <c r="M4136" s="13"/>
    </row>
    <row r="4137" spans="12:13">
      <c r="L4137" s="1">
        <v>44666.343749986641</v>
      </c>
      <c r="M4137" s="13"/>
    </row>
    <row r="4138" spans="12:13">
      <c r="L4138" s="1">
        <v>44666.34722220886</v>
      </c>
      <c r="M4138" s="13"/>
    </row>
    <row r="4139" spans="12:13">
      <c r="L4139" s="1">
        <v>44666.350694431079</v>
      </c>
      <c r="M4139" s="13"/>
    </row>
    <row r="4140" spans="12:13">
      <c r="L4140" s="1">
        <v>44666.354166653298</v>
      </c>
      <c r="M4140" s="13"/>
    </row>
    <row r="4141" spans="12:13">
      <c r="L4141" s="1">
        <v>44666.357638875517</v>
      </c>
      <c r="M4141" s="13"/>
    </row>
    <row r="4142" spans="12:13">
      <c r="L4142" s="1">
        <v>44666.361111097736</v>
      </c>
      <c r="M4142" s="13"/>
    </row>
    <row r="4143" spans="12:13">
      <c r="L4143" s="1">
        <v>44666.364583319955</v>
      </c>
      <c r="M4143" s="13"/>
    </row>
    <row r="4144" spans="12:13">
      <c r="L4144" s="1">
        <v>44666.368055542174</v>
      </c>
      <c r="M4144" s="13"/>
    </row>
    <row r="4145" spans="12:13">
      <c r="L4145" s="1">
        <v>44666.371527764393</v>
      </c>
      <c r="M4145" s="13"/>
    </row>
    <row r="4146" spans="12:13">
      <c r="L4146" s="1">
        <v>44666.374999986612</v>
      </c>
      <c r="M4146" s="13"/>
    </row>
    <row r="4147" spans="12:13">
      <c r="L4147" s="1">
        <v>44666.378472208831</v>
      </c>
      <c r="M4147" s="13"/>
    </row>
    <row r="4148" spans="12:13">
      <c r="L4148" s="1">
        <v>44666.38194443105</v>
      </c>
      <c r="M4148" s="13"/>
    </row>
    <row r="4149" spans="12:13">
      <c r="L4149" s="1">
        <v>44666.385416653269</v>
      </c>
      <c r="M4149" s="13"/>
    </row>
    <row r="4150" spans="12:13">
      <c r="L4150" s="1">
        <v>44666.388888875488</v>
      </c>
      <c r="M4150" s="13"/>
    </row>
    <row r="4151" spans="12:13">
      <c r="L4151" s="1">
        <v>44666.392361097707</v>
      </c>
      <c r="M4151" s="13"/>
    </row>
    <row r="4152" spans="12:13">
      <c r="L4152" s="1">
        <v>44666.395833319926</v>
      </c>
      <c r="M4152" s="13"/>
    </row>
    <row r="4153" spans="12:13">
      <c r="L4153" s="1">
        <v>44666.399305542145</v>
      </c>
      <c r="M4153" s="13"/>
    </row>
    <row r="4154" spans="12:13">
      <c r="L4154" s="1">
        <v>44666.402777764364</v>
      </c>
      <c r="M4154" s="13"/>
    </row>
    <row r="4155" spans="12:13">
      <c r="L4155" s="1">
        <v>44666.406249986583</v>
      </c>
      <c r="M4155" s="13"/>
    </row>
    <row r="4156" spans="12:13">
      <c r="L4156" s="1">
        <v>44666.409722208802</v>
      </c>
      <c r="M4156" s="13"/>
    </row>
    <row r="4157" spans="12:13">
      <c r="L4157" s="1">
        <v>44666.413194431021</v>
      </c>
      <c r="M4157" s="13"/>
    </row>
    <row r="4158" spans="12:13">
      <c r="L4158" s="1">
        <v>44666.41666665324</v>
      </c>
      <c r="M4158" s="13"/>
    </row>
    <row r="4159" spans="12:13">
      <c r="L4159" s="1">
        <v>44666.420138875459</v>
      </c>
      <c r="M4159" s="13"/>
    </row>
    <row r="4160" spans="12:13">
      <c r="L4160" s="1">
        <v>44666.423611097678</v>
      </c>
      <c r="M4160" s="13"/>
    </row>
    <row r="4161" spans="12:13">
      <c r="L4161" s="1">
        <v>44666.427083319897</v>
      </c>
      <c r="M4161" s="13"/>
    </row>
    <row r="4162" spans="12:13">
      <c r="L4162" s="1">
        <v>44666.430555542116</v>
      </c>
      <c r="M4162" s="13"/>
    </row>
    <row r="4163" spans="12:13">
      <c r="L4163" s="1">
        <v>44666.434027764335</v>
      </c>
      <c r="M4163" s="13"/>
    </row>
    <row r="4164" spans="12:13">
      <c r="L4164" s="1">
        <v>44666.437499986554</v>
      </c>
      <c r="M4164" s="13"/>
    </row>
    <row r="4165" spans="12:13">
      <c r="L4165" s="1">
        <v>44666.440972208773</v>
      </c>
      <c r="M4165" s="13"/>
    </row>
    <row r="4166" spans="12:13">
      <c r="L4166" s="1">
        <v>44666.444444430992</v>
      </c>
      <c r="M4166" s="13"/>
    </row>
    <row r="4167" spans="12:13">
      <c r="L4167" s="1">
        <v>44666.447916653211</v>
      </c>
      <c r="M4167" s="13"/>
    </row>
    <row r="4168" spans="12:13">
      <c r="L4168" s="1">
        <v>44666.45138887543</v>
      </c>
      <c r="M4168" s="13"/>
    </row>
    <row r="4169" spans="12:13">
      <c r="L4169" s="1">
        <v>44666.454861097649</v>
      </c>
      <c r="M4169" s="13"/>
    </row>
    <row r="4170" spans="12:13">
      <c r="L4170" s="1">
        <v>44666.458333319868</v>
      </c>
      <c r="M4170" s="13"/>
    </row>
    <row r="4171" spans="12:13">
      <c r="L4171" s="1">
        <v>44666.461805542087</v>
      </c>
      <c r="M4171" s="13"/>
    </row>
    <row r="4172" spans="12:13">
      <c r="L4172" s="1">
        <v>44666.465277764306</v>
      </c>
      <c r="M4172" s="13"/>
    </row>
    <row r="4173" spans="12:13">
      <c r="L4173" s="1">
        <v>44666.468749986525</v>
      </c>
      <c r="M4173" s="13"/>
    </row>
    <row r="4174" spans="12:13">
      <c r="L4174" s="1">
        <v>44666.472222208744</v>
      </c>
      <c r="M4174" s="13"/>
    </row>
    <row r="4175" spans="12:13">
      <c r="L4175" s="1">
        <v>44666.475694430963</v>
      </c>
      <c r="M4175" s="13"/>
    </row>
    <row r="4176" spans="12:13">
      <c r="L4176" s="1">
        <v>44666.479166653182</v>
      </c>
      <c r="M4176" s="13"/>
    </row>
    <row r="4177" spans="12:13">
      <c r="L4177" s="1">
        <v>44666.482638875401</v>
      </c>
      <c r="M4177" s="13"/>
    </row>
    <row r="4178" spans="12:13">
      <c r="L4178" s="1">
        <v>44666.48611109762</v>
      </c>
      <c r="M4178" s="13"/>
    </row>
    <row r="4179" spans="12:13">
      <c r="L4179" s="1">
        <v>44666.489583319839</v>
      </c>
      <c r="M4179" s="13"/>
    </row>
    <row r="4180" spans="12:13">
      <c r="L4180" s="1">
        <v>44666.493055542058</v>
      </c>
      <c r="M4180" s="13"/>
    </row>
    <row r="4181" spans="12:13">
      <c r="L4181" s="1">
        <v>44666.496527764277</v>
      </c>
      <c r="M4181" s="13"/>
    </row>
    <row r="4182" spans="12:13">
      <c r="L4182" s="1">
        <v>44666.499999986496</v>
      </c>
      <c r="M4182" s="13"/>
    </row>
    <row r="4183" spans="12:13">
      <c r="L4183" s="1">
        <v>44666.503472208715</v>
      </c>
      <c r="M4183" s="13"/>
    </row>
    <row r="4184" spans="12:13">
      <c r="L4184" s="1">
        <v>44666.506944430934</v>
      </c>
      <c r="M4184" s="13"/>
    </row>
    <row r="4185" spans="12:13">
      <c r="L4185" s="1">
        <v>44666.510416653153</v>
      </c>
      <c r="M4185" s="13"/>
    </row>
    <row r="4186" spans="12:13">
      <c r="L4186" s="1">
        <v>44666.513888875372</v>
      </c>
      <c r="M4186" s="13"/>
    </row>
    <row r="4187" spans="12:13">
      <c r="L4187" s="1">
        <v>44666.517361097591</v>
      </c>
      <c r="M4187" s="13"/>
    </row>
    <row r="4188" spans="12:13">
      <c r="L4188" s="1">
        <v>44666.52083331981</v>
      </c>
      <c r="M4188" s="13"/>
    </row>
    <row r="4189" spans="12:13">
      <c r="L4189" s="1">
        <v>44666.524305542029</v>
      </c>
      <c r="M4189" s="13"/>
    </row>
    <row r="4190" spans="12:13">
      <c r="L4190" s="1">
        <v>44666.527777764248</v>
      </c>
      <c r="M4190" s="13"/>
    </row>
    <row r="4191" spans="12:13">
      <c r="L4191" s="1">
        <v>44666.531249986467</v>
      </c>
      <c r="M4191" s="13"/>
    </row>
    <row r="4192" spans="12:13">
      <c r="L4192" s="1">
        <v>44666.534722208686</v>
      </c>
      <c r="M4192" s="13"/>
    </row>
    <row r="4193" spans="12:13">
      <c r="L4193" s="1">
        <v>44666.538194430905</v>
      </c>
      <c r="M4193" s="13"/>
    </row>
    <row r="4194" spans="12:13">
      <c r="L4194" s="1">
        <v>44666.541666653124</v>
      </c>
      <c r="M4194" s="13"/>
    </row>
    <row r="4195" spans="12:13">
      <c r="L4195" s="1">
        <v>44666.545138875343</v>
      </c>
      <c r="M4195" s="13"/>
    </row>
    <row r="4196" spans="12:13">
      <c r="L4196" s="1">
        <v>44666.548611097562</v>
      </c>
      <c r="M4196" s="13"/>
    </row>
    <row r="4197" spans="12:13">
      <c r="L4197" s="1">
        <v>44666.552083319781</v>
      </c>
      <c r="M4197" s="13"/>
    </row>
    <row r="4198" spans="12:13">
      <c r="L4198" s="1">
        <v>44666.555555542</v>
      </c>
      <c r="M4198" s="13"/>
    </row>
    <row r="4199" spans="12:13">
      <c r="L4199" s="1">
        <v>44666.559027764219</v>
      </c>
      <c r="M4199" s="13"/>
    </row>
    <row r="4200" spans="12:13">
      <c r="L4200" s="1">
        <v>44666.562499986438</v>
      </c>
      <c r="M4200" s="13"/>
    </row>
    <row r="4201" spans="12:13">
      <c r="L4201" s="1">
        <v>44666.565972208657</v>
      </c>
      <c r="M4201" s="13"/>
    </row>
    <row r="4202" spans="12:13">
      <c r="L4202" s="1">
        <v>44666.569444430876</v>
      </c>
      <c r="M4202" s="13"/>
    </row>
    <row r="4203" spans="12:13">
      <c r="L4203" s="1">
        <v>44666.572916653095</v>
      </c>
      <c r="M4203" s="13"/>
    </row>
    <row r="4204" spans="12:13">
      <c r="L4204" s="1">
        <v>44666.576388875314</v>
      </c>
      <c r="M4204" s="13"/>
    </row>
    <row r="4205" spans="12:13">
      <c r="L4205" s="1">
        <v>44666.579861097533</v>
      </c>
      <c r="M4205" s="13"/>
    </row>
    <row r="4206" spans="12:13">
      <c r="L4206" s="1">
        <v>44666.583333319752</v>
      </c>
      <c r="M4206" s="13"/>
    </row>
    <row r="4207" spans="12:13">
      <c r="L4207" s="1">
        <v>44666.586805541971</v>
      </c>
      <c r="M4207" s="13"/>
    </row>
    <row r="4208" spans="12:13">
      <c r="L4208" s="1">
        <v>44666.59027776419</v>
      </c>
      <c r="M4208" s="13"/>
    </row>
    <row r="4209" spans="12:13">
      <c r="L4209" s="1">
        <v>44666.593749986409</v>
      </c>
      <c r="M4209" s="13"/>
    </row>
    <row r="4210" spans="12:13">
      <c r="L4210" s="1">
        <v>44666.597222208627</v>
      </c>
      <c r="M4210" s="13"/>
    </row>
    <row r="4211" spans="12:13">
      <c r="L4211" s="1">
        <v>44666.600694430846</v>
      </c>
      <c r="M4211" s="13"/>
    </row>
    <row r="4212" spans="12:13">
      <c r="L4212" s="1">
        <v>44666.604166653065</v>
      </c>
      <c r="M4212" s="13"/>
    </row>
    <row r="4213" spans="12:13">
      <c r="L4213" s="1">
        <v>44666.607638875284</v>
      </c>
      <c r="M4213" s="13"/>
    </row>
    <row r="4214" spans="12:13">
      <c r="L4214" s="1">
        <v>44666.611111097503</v>
      </c>
      <c r="M4214" s="13"/>
    </row>
    <row r="4215" spans="12:13">
      <c r="L4215" s="1">
        <v>44666.614583319722</v>
      </c>
      <c r="M4215" s="13"/>
    </row>
    <row r="4216" spans="12:13">
      <c r="L4216" s="1">
        <v>44666.618055541941</v>
      </c>
      <c r="M4216" s="13"/>
    </row>
    <row r="4217" spans="12:13">
      <c r="L4217" s="1">
        <v>44666.62152776416</v>
      </c>
      <c r="M4217" s="13"/>
    </row>
    <row r="4218" spans="12:13">
      <c r="L4218" s="1">
        <v>44666.624999986379</v>
      </c>
      <c r="M4218" s="13"/>
    </row>
    <row r="4219" spans="12:13">
      <c r="L4219" s="1">
        <v>44666.628472208598</v>
      </c>
      <c r="M4219" s="13"/>
    </row>
    <row r="4220" spans="12:13">
      <c r="L4220" s="1">
        <v>44666.631944430817</v>
      </c>
      <c r="M4220" s="13"/>
    </row>
    <row r="4221" spans="12:13">
      <c r="L4221" s="1">
        <v>44666.635416653036</v>
      </c>
      <c r="M4221" s="13"/>
    </row>
    <row r="4222" spans="12:13">
      <c r="L4222" s="1">
        <v>44666.638888875255</v>
      </c>
      <c r="M4222" s="13"/>
    </row>
    <row r="4223" spans="12:13">
      <c r="L4223" s="1">
        <v>44666.642361097474</v>
      </c>
      <c r="M4223" s="13"/>
    </row>
    <row r="4224" spans="12:13">
      <c r="L4224" s="1">
        <v>44666.645833319693</v>
      </c>
      <c r="M4224" s="13"/>
    </row>
    <row r="4225" spans="12:13">
      <c r="L4225" s="1">
        <v>44666.649305541912</v>
      </c>
      <c r="M4225" s="13"/>
    </row>
    <row r="4226" spans="12:13">
      <c r="L4226" s="1">
        <v>44666.652777764131</v>
      </c>
      <c r="M4226" s="13"/>
    </row>
    <row r="4227" spans="12:13">
      <c r="L4227" s="1">
        <v>44666.65624998635</v>
      </c>
      <c r="M4227" s="13"/>
    </row>
    <row r="4228" spans="12:13">
      <c r="L4228" s="1">
        <v>44666.659722208569</v>
      </c>
      <c r="M4228" s="13"/>
    </row>
    <row r="4229" spans="12:13">
      <c r="L4229" s="1">
        <v>44666.663194430788</v>
      </c>
      <c r="M4229" s="13"/>
    </row>
    <row r="4230" spans="12:13">
      <c r="L4230" s="1">
        <v>44666.666666653007</v>
      </c>
      <c r="M4230" s="13"/>
    </row>
    <row r="4231" spans="12:13">
      <c r="L4231" s="1">
        <v>44666.670138875226</v>
      </c>
      <c r="M4231" s="13"/>
    </row>
    <row r="4232" spans="12:13">
      <c r="L4232" s="1">
        <v>44666.673611097445</v>
      </c>
      <c r="M4232" s="13"/>
    </row>
    <row r="4233" spans="12:13">
      <c r="L4233" s="1">
        <v>44666.677083319664</v>
      </c>
      <c r="M4233" s="13"/>
    </row>
    <row r="4234" spans="12:13">
      <c r="L4234" s="1">
        <v>44666.680555541883</v>
      </c>
      <c r="M4234" s="13"/>
    </row>
    <row r="4235" spans="12:13">
      <c r="L4235" s="1">
        <v>44666.684027764102</v>
      </c>
      <c r="M4235" s="13"/>
    </row>
    <row r="4236" spans="12:13">
      <c r="L4236" s="1">
        <v>44666.687499986321</v>
      </c>
      <c r="M4236" s="13"/>
    </row>
    <row r="4237" spans="12:13">
      <c r="L4237" s="1">
        <v>44666.69097220854</v>
      </c>
      <c r="M4237" s="13"/>
    </row>
    <row r="4238" spans="12:13">
      <c r="L4238" s="1">
        <v>44666.694444430759</v>
      </c>
      <c r="M4238" s="13"/>
    </row>
    <row r="4239" spans="12:13">
      <c r="L4239" s="1">
        <v>44666.697916652978</v>
      </c>
      <c r="M4239" s="13"/>
    </row>
    <row r="4240" spans="12:13">
      <c r="L4240" s="1">
        <v>44666.701388875197</v>
      </c>
      <c r="M4240" s="13"/>
    </row>
    <row r="4241" spans="12:13">
      <c r="L4241" s="1">
        <v>44666.704861097416</v>
      </c>
      <c r="M4241" s="13"/>
    </row>
    <row r="4242" spans="12:13">
      <c r="L4242" s="1">
        <v>44666.708333319635</v>
      </c>
      <c r="M4242" s="13"/>
    </row>
    <row r="4243" spans="12:13">
      <c r="L4243" s="1">
        <v>44666.711805541854</v>
      </c>
      <c r="M4243" s="13"/>
    </row>
    <row r="4244" spans="12:13">
      <c r="L4244" s="1">
        <v>44666.715277764073</v>
      </c>
      <c r="M4244" s="13"/>
    </row>
    <row r="4245" spans="12:13">
      <c r="L4245" s="1">
        <v>44666.718749986292</v>
      </c>
      <c r="M4245" s="13"/>
    </row>
    <row r="4246" spans="12:13">
      <c r="L4246" s="1">
        <v>44666.722222208511</v>
      </c>
      <c r="M4246" s="13"/>
    </row>
    <row r="4247" spans="12:13">
      <c r="L4247" s="1">
        <v>44666.72569443073</v>
      </c>
      <c r="M4247" s="13"/>
    </row>
    <row r="4248" spans="12:13">
      <c r="L4248" s="1">
        <v>44666.729166652949</v>
      </c>
      <c r="M4248" s="13"/>
    </row>
    <row r="4249" spans="12:13">
      <c r="L4249" s="1">
        <v>44666.732638875168</v>
      </c>
      <c r="M4249" s="13"/>
    </row>
    <row r="4250" spans="12:13">
      <c r="L4250" s="1">
        <v>44666.736111097387</v>
      </c>
      <c r="M4250" s="13"/>
    </row>
    <row r="4251" spans="12:13">
      <c r="L4251" s="1">
        <v>44666.739583319606</v>
      </c>
      <c r="M4251" s="13"/>
    </row>
    <row r="4252" spans="12:13">
      <c r="L4252" s="1">
        <v>44666.743055541825</v>
      </c>
      <c r="M4252" s="13"/>
    </row>
    <row r="4253" spans="12:13">
      <c r="L4253" s="1">
        <v>44666.746527764044</v>
      </c>
      <c r="M4253" s="13"/>
    </row>
    <row r="4254" spans="12:13">
      <c r="L4254" s="1">
        <v>44666.749999986263</v>
      </c>
      <c r="M4254" s="13"/>
    </row>
    <row r="4255" spans="12:13">
      <c r="L4255" s="1">
        <v>44666.753472208482</v>
      </c>
      <c r="M4255" s="13"/>
    </row>
    <row r="4256" spans="12:13">
      <c r="L4256" s="1">
        <v>44666.756944430701</v>
      </c>
      <c r="M4256" s="13"/>
    </row>
    <row r="4257" spans="12:13">
      <c r="L4257" s="1">
        <v>44666.76041665292</v>
      </c>
      <c r="M4257" s="13"/>
    </row>
    <row r="4258" spans="12:13">
      <c r="L4258" s="1">
        <v>44666.763888875139</v>
      </c>
      <c r="M4258" s="13"/>
    </row>
    <row r="4259" spans="12:13">
      <c r="L4259" s="1">
        <v>44666.767361097358</v>
      </c>
      <c r="M4259" s="13"/>
    </row>
    <row r="4260" spans="12:13">
      <c r="L4260" s="1">
        <v>44666.770833319577</v>
      </c>
      <c r="M4260" s="13"/>
    </row>
    <row r="4261" spans="12:13">
      <c r="L4261" s="1">
        <v>44666.774305541796</v>
      </c>
      <c r="M4261" s="13"/>
    </row>
    <row r="4262" spans="12:13">
      <c r="L4262" s="1">
        <v>44666.777777764015</v>
      </c>
      <c r="M4262" s="13"/>
    </row>
    <row r="4263" spans="12:13">
      <c r="L4263" s="1">
        <v>44666.781249986234</v>
      </c>
      <c r="M4263" s="13"/>
    </row>
    <row r="4264" spans="12:13">
      <c r="L4264" s="1">
        <v>44666.784722208453</v>
      </c>
      <c r="M4264" s="13"/>
    </row>
    <row r="4265" spans="12:13">
      <c r="L4265" s="1">
        <v>44666.788194430672</v>
      </c>
      <c r="M4265" s="13"/>
    </row>
    <row r="4266" spans="12:13">
      <c r="L4266" s="1">
        <v>44666.791666652891</v>
      </c>
      <c r="M4266" s="13"/>
    </row>
    <row r="4267" spans="12:13">
      <c r="L4267" s="1">
        <v>44666.79513887511</v>
      </c>
      <c r="M4267" s="13"/>
    </row>
    <row r="4268" spans="12:13">
      <c r="L4268" s="1">
        <v>44666.798611097329</v>
      </c>
      <c r="M4268" s="13"/>
    </row>
    <row r="4269" spans="12:13">
      <c r="L4269" s="1">
        <v>44666.802083319548</v>
      </c>
      <c r="M4269" s="13"/>
    </row>
    <row r="4270" spans="12:13">
      <c r="L4270" s="1">
        <v>44666.805555541767</v>
      </c>
      <c r="M4270" s="13"/>
    </row>
    <row r="4271" spans="12:13">
      <c r="L4271" s="1">
        <v>44666.809027763986</v>
      </c>
      <c r="M4271" s="13"/>
    </row>
    <row r="4272" spans="12:13">
      <c r="L4272" s="1">
        <v>44666.812499986205</v>
      </c>
      <c r="M4272" s="13"/>
    </row>
    <row r="4273" spans="12:13">
      <c r="L4273" s="1">
        <v>44666.815972208424</v>
      </c>
      <c r="M4273" s="13"/>
    </row>
    <row r="4274" spans="12:13">
      <c r="L4274" s="1">
        <v>44666.819444430643</v>
      </c>
      <c r="M4274" s="13"/>
    </row>
    <row r="4275" spans="12:13">
      <c r="L4275" s="1">
        <v>44666.822916652862</v>
      </c>
      <c r="M4275" s="13"/>
    </row>
    <row r="4276" spans="12:13">
      <c r="L4276" s="1">
        <v>44666.826388875081</v>
      </c>
      <c r="M4276" s="13"/>
    </row>
    <row r="4277" spans="12:13">
      <c r="L4277" s="1">
        <v>44666.8298610973</v>
      </c>
      <c r="M4277" s="13"/>
    </row>
    <row r="4278" spans="12:13">
      <c r="L4278" s="1">
        <v>44666.833333319519</v>
      </c>
      <c r="M4278" s="13"/>
    </row>
    <row r="4279" spans="12:13">
      <c r="L4279" s="1">
        <v>44666.836805541738</v>
      </c>
      <c r="M4279" s="13"/>
    </row>
    <row r="4280" spans="12:13">
      <c r="L4280" s="1">
        <v>44666.840277763957</v>
      </c>
      <c r="M4280" s="13"/>
    </row>
    <row r="4281" spans="12:13">
      <c r="L4281" s="1">
        <v>44666.843749986176</v>
      </c>
      <c r="M4281" s="13"/>
    </row>
    <row r="4282" spans="12:13">
      <c r="L4282" s="1">
        <v>44666.847222208395</v>
      </c>
      <c r="M4282" s="13"/>
    </row>
    <row r="4283" spans="12:13">
      <c r="L4283" s="1">
        <v>44666.850694430614</v>
      </c>
      <c r="M4283" s="13"/>
    </row>
    <row r="4284" spans="12:13">
      <c r="L4284" s="1">
        <v>44666.854166652833</v>
      </c>
      <c r="M4284" s="13"/>
    </row>
    <row r="4285" spans="12:13">
      <c r="L4285" s="1">
        <v>44666.857638875052</v>
      </c>
      <c r="M4285" s="13"/>
    </row>
    <row r="4286" spans="12:13">
      <c r="L4286" s="1">
        <v>44666.861111097271</v>
      </c>
      <c r="M4286" s="13"/>
    </row>
    <row r="4287" spans="12:13">
      <c r="L4287" s="1">
        <v>44666.86458331949</v>
      </c>
      <c r="M4287" s="13"/>
    </row>
    <row r="4288" spans="12:13">
      <c r="L4288" s="1">
        <v>44666.868055541709</v>
      </c>
      <c r="M4288" s="13"/>
    </row>
    <row r="4289" spans="12:13">
      <c r="L4289" s="1">
        <v>44666.871527763928</v>
      </c>
      <c r="M4289" s="13"/>
    </row>
    <row r="4290" spans="12:13">
      <c r="L4290" s="1">
        <v>44666.874999986147</v>
      </c>
      <c r="M4290" s="13"/>
    </row>
    <row r="4291" spans="12:13">
      <c r="L4291" s="1">
        <v>44666.878472208366</v>
      </c>
      <c r="M4291" s="13"/>
    </row>
    <row r="4292" spans="12:13">
      <c r="L4292" s="1">
        <v>44666.881944430585</v>
      </c>
      <c r="M4292" s="13"/>
    </row>
    <row r="4293" spans="12:13">
      <c r="L4293" s="1">
        <v>44666.885416652804</v>
      </c>
      <c r="M4293" s="13"/>
    </row>
    <row r="4294" spans="12:13">
      <c r="L4294" s="1">
        <v>44666.888888875023</v>
      </c>
      <c r="M4294" s="13"/>
    </row>
    <row r="4295" spans="12:13">
      <c r="L4295" s="1">
        <v>44666.892361097242</v>
      </c>
      <c r="M4295" s="13"/>
    </row>
    <row r="4296" spans="12:13">
      <c r="L4296" s="1">
        <v>44666.895833319461</v>
      </c>
      <c r="M4296" s="13"/>
    </row>
    <row r="4297" spans="12:13">
      <c r="L4297" s="1">
        <v>44666.899305541679</v>
      </c>
      <c r="M4297" s="13"/>
    </row>
    <row r="4298" spans="12:13">
      <c r="L4298" s="1">
        <v>44666.902777763898</v>
      </c>
      <c r="M4298" s="13"/>
    </row>
    <row r="4299" spans="12:13">
      <c r="L4299" s="1">
        <v>44666.906249986117</v>
      </c>
      <c r="M4299" s="13"/>
    </row>
    <row r="4300" spans="12:13">
      <c r="L4300" s="1">
        <v>44666.909722208336</v>
      </c>
      <c r="M4300" s="13"/>
    </row>
    <row r="4301" spans="12:13">
      <c r="L4301" s="1">
        <v>44666.913194430555</v>
      </c>
      <c r="M4301" s="13"/>
    </row>
    <row r="4302" spans="12:13">
      <c r="L4302" s="1">
        <v>44666.916666652774</v>
      </c>
      <c r="M4302" s="13"/>
    </row>
    <row r="4303" spans="12:13">
      <c r="L4303" s="1">
        <v>44666.920138874993</v>
      </c>
      <c r="M4303" s="13"/>
    </row>
    <row r="4304" spans="12:13">
      <c r="L4304" s="1">
        <v>44666.923611097212</v>
      </c>
      <c r="M4304" s="13"/>
    </row>
    <row r="4305" spans="12:13">
      <c r="L4305" s="1">
        <v>44666.927083319431</v>
      </c>
      <c r="M4305" s="13"/>
    </row>
    <row r="4306" spans="12:13">
      <c r="L4306" s="1">
        <v>44666.93055554165</v>
      </c>
      <c r="M4306" s="13"/>
    </row>
    <row r="4307" spans="12:13">
      <c r="L4307" s="1">
        <v>44666.934027763869</v>
      </c>
      <c r="M4307" s="13"/>
    </row>
    <row r="4308" spans="12:13">
      <c r="L4308" s="1">
        <v>44666.937499986088</v>
      </c>
      <c r="M4308" s="13"/>
    </row>
    <row r="4309" spans="12:13">
      <c r="L4309" s="1">
        <v>44666.940972208307</v>
      </c>
      <c r="M4309" s="13"/>
    </row>
    <row r="4310" spans="12:13">
      <c r="L4310" s="1">
        <v>44666.944444430526</v>
      </c>
      <c r="M4310" s="13"/>
    </row>
    <row r="4311" spans="12:13">
      <c r="L4311" s="1">
        <v>44666.947916652745</v>
      </c>
      <c r="M4311" s="13"/>
    </row>
    <row r="4312" spans="12:13">
      <c r="L4312" s="1">
        <v>44666.951388874964</v>
      </c>
      <c r="M4312" s="13"/>
    </row>
    <row r="4313" spans="12:13">
      <c r="L4313" s="1">
        <v>44666.954861097183</v>
      </c>
      <c r="M4313" s="13"/>
    </row>
    <row r="4314" spans="12:13">
      <c r="L4314" s="1">
        <v>44666.958333319402</v>
      </c>
      <c r="M4314" s="13"/>
    </row>
    <row r="4315" spans="12:13">
      <c r="L4315" s="1">
        <v>44666.961805541621</v>
      </c>
      <c r="M4315" s="13"/>
    </row>
    <row r="4316" spans="12:13">
      <c r="L4316" s="1">
        <v>44666.96527776384</v>
      </c>
      <c r="M4316" s="13"/>
    </row>
    <row r="4317" spans="12:13">
      <c r="L4317" s="1">
        <v>44666.968749986059</v>
      </c>
      <c r="M4317" s="13"/>
    </row>
    <row r="4318" spans="12:13">
      <c r="L4318" s="1">
        <v>44666.972222208278</v>
      </c>
      <c r="M4318" s="13"/>
    </row>
    <row r="4319" spans="12:13">
      <c r="L4319" s="1">
        <v>44666.975694430497</v>
      </c>
      <c r="M4319" s="13"/>
    </row>
    <row r="4320" spans="12:13">
      <c r="L4320" s="1">
        <v>44666.979166652716</v>
      </c>
      <c r="M4320" s="13"/>
    </row>
    <row r="4321" spans="12:13">
      <c r="L4321" s="1">
        <v>44666.982638874935</v>
      </c>
      <c r="M4321" s="13"/>
    </row>
    <row r="4322" spans="12:13">
      <c r="L4322" s="1">
        <v>44666.986111097154</v>
      </c>
      <c r="M4322" s="13"/>
    </row>
    <row r="4323" spans="12:13">
      <c r="L4323" s="1">
        <v>44666.989583319373</v>
      </c>
      <c r="M4323" s="13"/>
    </row>
    <row r="4324" spans="12:13">
      <c r="L4324" s="1">
        <v>44666.993055541592</v>
      </c>
      <c r="M4324" s="13"/>
    </row>
    <row r="4325" spans="12:13">
      <c r="L4325" s="1">
        <v>44666.996527763811</v>
      </c>
      <c r="M4325" s="13"/>
    </row>
    <row r="4326" spans="12:13">
      <c r="L4326" s="1">
        <v>44666.99999998603</v>
      </c>
      <c r="M4326" s="13"/>
    </row>
    <row r="4327" spans="12:13">
      <c r="L4327" s="1">
        <v>44667.003472208249</v>
      </c>
      <c r="M4327" s="13"/>
    </row>
    <row r="4328" spans="12:13">
      <c r="L4328" s="1">
        <v>44667.006944430468</v>
      </c>
      <c r="M4328" s="13"/>
    </row>
    <row r="4329" spans="12:13">
      <c r="L4329" s="1">
        <v>44667.010416652687</v>
      </c>
      <c r="M4329" s="13"/>
    </row>
    <row r="4330" spans="12:13">
      <c r="L4330" s="1">
        <v>44667.013888874906</v>
      </c>
      <c r="M4330" s="13"/>
    </row>
    <row r="4331" spans="12:13">
      <c r="L4331" s="1">
        <v>44667.017361097125</v>
      </c>
      <c r="M4331" s="13"/>
    </row>
    <row r="4332" spans="12:13">
      <c r="L4332" s="1">
        <v>44667.020833319344</v>
      </c>
      <c r="M4332" s="13"/>
    </row>
    <row r="4333" spans="12:13">
      <c r="L4333" s="1">
        <v>44667.024305541563</v>
      </c>
      <c r="M4333" s="13"/>
    </row>
    <row r="4334" spans="12:13">
      <c r="L4334" s="1">
        <v>44667.027777763782</v>
      </c>
      <c r="M4334" s="13"/>
    </row>
    <row r="4335" spans="12:13">
      <c r="L4335" s="1">
        <v>44667.031249986001</v>
      </c>
      <c r="M4335" s="13"/>
    </row>
    <row r="4336" spans="12:13">
      <c r="L4336" s="1">
        <v>44667.03472220822</v>
      </c>
      <c r="M4336" s="13"/>
    </row>
    <row r="4337" spans="12:13">
      <c r="L4337" s="1">
        <v>44667.038194430439</v>
      </c>
      <c r="M4337" s="13"/>
    </row>
    <row r="4338" spans="12:13">
      <c r="L4338" s="1">
        <v>44667.041666652658</v>
      </c>
      <c r="M4338" s="13"/>
    </row>
    <row r="4339" spans="12:13">
      <c r="L4339" s="1">
        <v>44667.045138874877</v>
      </c>
      <c r="M4339" s="13"/>
    </row>
    <row r="4340" spans="12:13">
      <c r="L4340" s="1">
        <v>44667.048611097096</v>
      </c>
      <c r="M4340" s="13"/>
    </row>
    <row r="4341" spans="12:13">
      <c r="L4341" s="1">
        <v>44667.052083319315</v>
      </c>
      <c r="M4341" s="13"/>
    </row>
    <row r="4342" spans="12:13">
      <c r="L4342" s="1">
        <v>44667.055555541534</v>
      </c>
      <c r="M4342" s="13"/>
    </row>
    <row r="4343" spans="12:13">
      <c r="L4343" s="1">
        <v>44667.059027763753</v>
      </c>
      <c r="M4343" s="13"/>
    </row>
    <row r="4344" spans="12:13">
      <c r="L4344" s="1">
        <v>44667.062499985972</v>
      </c>
      <c r="M4344" s="13"/>
    </row>
    <row r="4345" spans="12:13">
      <c r="L4345" s="1">
        <v>44667.065972208191</v>
      </c>
      <c r="M4345" s="13"/>
    </row>
    <row r="4346" spans="12:13">
      <c r="L4346" s="1">
        <v>44667.06944443041</v>
      </c>
      <c r="M4346" s="13"/>
    </row>
    <row r="4347" spans="12:13">
      <c r="L4347" s="1">
        <v>44667.072916652629</v>
      </c>
      <c r="M4347" s="13"/>
    </row>
    <row r="4348" spans="12:13">
      <c r="L4348" s="1">
        <v>44667.076388874848</v>
      </c>
      <c r="M4348" s="13"/>
    </row>
    <row r="4349" spans="12:13">
      <c r="L4349" s="1">
        <v>44667.079861097067</v>
      </c>
      <c r="M4349" s="13"/>
    </row>
    <row r="4350" spans="12:13">
      <c r="L4350" s="1">
        <v>44667.083333319286</v>
      </c>
      <c r="M4350" s="13"/>
    </row>
    <row r="4351" spans="12:13">
      <c r="L4351" s="1">
        <v>44667.086805541505</v>
      </c>
      <c r="M4351" s="13"/>
    </row>
    <row r="4352" spans="12:13">
      <c r="L4352" s="1">
        <v>44667.090277763724</v>
      </c>
      <c r="M4352" s="13"/>
    </row>
    <row r="4353" spans="12:13">
      <c r="L4353" s="1">
        <v>44667.093749985943</v>
      </c>
      <c r="M4353" s="13"/>
    </row>
    <row r="4354" spans="12:13">
      <c r="L4354" s="1">
        <v>44667.097222208162</v>
      </c>
      <c r="M4354" s="13"/>
    </row>
    <row r="4355" spans="12:13">
      <c r="L4355" s="1">
        <v>44667.100694430381</v>
      </c>
      <c r="M4355" s="13"/>
    </row>
    <row r="4356" spans="12:13">
      <c r="L4356" s="1">
        <v>44667.1041666526</v>
      </c>
      <c r="M4356" s="13"/>
    </row>
    <row r="4357" spans="12:13">
      <c r="L4357" s="1">
        <v>44667.107638874819</v>
      </c>
      <c r="M4357" s="13"/>
    </row>
    <row r="4358" spans="12:13">
      <c r="L4358" s="1">
        <v>44667.111111097038</v>
      </c>
      <c r="M4358" s="13"/>
    </row>
    <row r="4359" spans="12:13">
      <c r="L4359" s="1">
        <v>44667.114583319257</v>
      </c>
      <c r="M4359" s="13"/>
    </row>
    <row r="4360" spans="12:13">
      <c r="L4360" s="1">
        <v>44667.118055541476</v>
      </c>
      <c r="M4360" s="13"/>
    </row>
    <row r="4361" spans="12:13">
      <c r="L4361" s="1">
        <v>44667.121527763695</v>
      </c>
      <c r="M4361" s="13"/>
    </row>
    <row r="4362" spans="12:13">
      <c r="L4362" s="1">
        <v>44667.124999985914</v>
      </c>
      <c r="M4362" s="13"/>
    </row>
    <row r="4363" spans="12:13">
      <c r="L4363" s="1">
        <v>44667.128472208133</v>
      </c>
      <c r="M4363" s="13"/>
    </row>
    <row r="4364" spans="12:13">
      <c r="L4364" s="1">
        <v>44667.131944430352</v>
      </c>
      <c r="M4364" s="13"/>
    </row>
    <row r="4365" spans="12:13">
      <c r="L4365" s="1">
        <v>44667.135416652571</v>
      </c>
      <c r="M4365" s="13"/>
    </row>
    <row r="4366" spans="12:13">
      <c r="L4366" s="1">
        <v>44667.13888887479</v>
      </c>
      <c r="M4366" s="13"/>
    </row>
    <row r="4367" spans="12:13">
      <c r="L4367" s="1">
        <v>44667.142361097009</v>
      </c>
      <c r="M4367" s="13"/>
    </row>
    <row r="4368" spans="12:13">
      <c r="L4368" s="1">
        <v>44667.145833319228</v>
      </c>
      <c r="M4368" s="13"/>
    </row>
    <row r="4369" spans="12:13">
      <c r="L4369" s="1">
        <v>44667.149305541447</v>
      </c>
      <c r="M4369" s="13"/>
    </row>
    <row r="4370" spans="12:13">
      <c r="L4370" s="1">
        <v>44667.152777763666</v>
      </c>
      <c r="M4370" s="13"/>
    </row>
    <row r="4371" spans="12:13">
      <c r="L4371" s="1">
        <v>44667.156249985885</v>
      </c>
      <c r="M4371" s="13"/>
    </row>
    <row r="4372" spans="12:13">
      <c r="L4372" s="1">
        <v>44667.159722208104</v>
      </c>
      <c r="M4372" s="13"/>
    </row>
    <row r="4373" spans="12:13">
      <c r="L4373" s="1">
        <v>44667.163194430323</v>
      </c>
      <c r="M4373" s="13"/>
    </row>
    <row r="4374" spans="12:13">
      <c r="L4374" s="1">
        <v>44667.166666652542</v>
      </c>
      <c r="M4374" s="13"/>
    </row>
    <row r="4375" spans="12:13">
      <c r="L4375" s="1">
        <v>44667.170138874761</v>
      </c>
      <c r="M4375" s="13"/>
    </row>
    <row r="4376" spans="12:13">
      <c r="L4376" s="1">
        <v>44667.17361109698</v>
      </c>
      <c r="M4376" s="13"/>
    </row>
    <row r="4377" spans="12:13">
      <c r="L4377" s="1">
        <v>44667.177083319199</v>
      </c>
      <c r="M4377" s="13"/>
    </row>
    <row r="4378" spans="12:13">
      <c r="L4378" s="1">
        <v>44667.180555541418</v>
      </c>
      <c r="M4378" s="13"/>
    </row>
    <row r="4379" spans="12:13">
      <c r="L4379" s="1">
        <v>44667.184027763637</v>
      </c>
      <c r="M4379" s="13"/>
    </row>
    <row r="4380" spans="12:13">
      <c r="L4380" s="1">
        <v>44667.187499985856</v>
      </c>
      <c r="M4380" s="13"/>
    </row>
    <row r="4381" spans="12:13">
      <c r="L4381" s="1">
        <v>44667.190972208075</v>
      </c>
      <c r="M4381" s="13"/>
    </row>
    <row r="4382" spans="12:13">
      <c r="L4382" s="1">
        <v>44667.194444430294</v>
      </c>
      <c r="M4382" s="13"/>
    </row>
    <row r="4383" spans="12:13">
      <c r="L4383" s="1">
        <v>44667.197916652513</v>
      </c>
      <c r="M4383" s="13"/>
    </row>
    <row r="4384" spans="12:13">
      <c r="L4384" s="1">
        <v>44667.201388874731</v>
      </c>
      <c r="M4384" s="13"/>
    </row>
    <row r="4385" spans="12:13">
      <c r="L4385" s="1">
        <v>44667.20486109695</v>
      </c>
      <c r="M4385" s="13"/>
    </row>
    <row r="4386" spans="12:13">
      <c r="L4386" s="1">
        <v>44667.208333319169</v>
      </c>
      <c r="M4386" s="13"/>
    </row>
    <row r="4387" spans="12:13">
      <c r="L4387" s="1">
        <v>44667.211805541388</v>
      </c>
      <c r="M4387" s="13"/>
    </row>
    <row r="4388" spans="12:13">
      <c r="L4388" s="1">
        <v>44667.215277763607</v>
      </c>
      <c r="M4388" s="13"/>
    </row>
    <row r="4389" spans="12:13">
      <c r="L4389" s="1">
        <v>44667.218749985826</v>
      </c>
      <c r="M4389" s="13"/>
    </row>
    <row r="4390" spans="12:13">
      <c r="L4390" s="1">
        <v>44667.222222208045</v>
      </c>
      <c r="M4390" s="13"/>
    </row>
    <row r="4391" spans="12:13">
      <c r="L4391" s="1">
        <v>44667.225694430264</v>
      </c>
      <c r="M4391" s="13"/>
    </row>
    <row r="4392" spans="12:13">
      <c r="L4392" s="1">
        <v>44667.229166652483</v>
      </c>
      <c r="M4392" s="13"/>
    </row>
    <row r="4393" spans="12:13">
      <c r="L4393" s="1">
        <v>44667.232638874702</v>
      </c>
      <c r="M4393" s="13"/>
    </row>
    <row r="4394" spans="12:13">
      <c r="L4394" s="1">
        <v>44667.236111096921</v>
      </c>
      <c r="M4394" s="13"/>
    </row>
    <row r="4395" spans="12:13">
      <c r="L4395" s="1">
        <v>44667.23958331914</v>
      </c>
      <c r="M4395" s="13"/>
    </row>
    <row r="4396" spans="12:13">
      <c r="L4396" s="1">
        <v>44667.243055541359</v>
      </c>
      <c r="M4396" s="13"/>
    </row>
    <row r="4397" spans="12:13">
      <c r="L4397" s="1">
        <v>44667.246527763578</v>
      </c>
      <c r="M4397" s="13"/>
    </row>
    <row r="4398" spans="12:13">
      <c r="L4398" s="1">
        <v>44667.249999985797</v>
      </c>
      <c r="M4398" s="13"/>
    </row>
    <row r="4399" spans="12:13">
      <c r="L4399" s="1">
        <v>44667.253472208016</v>
      </c>
      <c r="M4399" s="13"/>
    </row>
    <row r="4400" spans="12:13">
      <c r="L4400" s="1">
        <v>44667.256944430235</v>
      </c>
      <c r="M4400" s="13"/>
    </row>
    <row r="4401" spans="12:13">
      <c r="L4401" s="1">
        <v>44667.260416652454</v>
      </c>
      <c r="M4401" s="13"/>
    </row>
    <row r="4402" spans="12:13">
      <c r="L4402" s="1">
        <v>44667.263888874673</v>
      </c>
      <c r="M4402" s="13"/>
    </row>
    <row r="4403" spans="12:13">
      <c r="L4403" s="1">
        <v>44667.267361096892</v>
      </c>
      <c r="M4403" s="13"/>
    </row>
    <row r="4404" spans="12:13">
      <c r="L4404" s="1">
        <v>44667.270833319111</v>
      </c>
      <c r="M4404" s="13"/>
    </row>
    <row r="4405" spans="12:13">
      <c r="L4405" s="1">
        <v>44667.27430554133</v>
      </c>
      <c r="M4405" s="13"/>
    </row>
    <row r="4406" spans="12:13">
      <c r="L4406" s="1">
        <v>44667.277777763549</v>
      </c>
      <c r="M4406" s="13"/>
    </row>
    <row r="4407" spans="12:13">
      <c r="L4407" s="1">
        <v>44667.281249985768</v>
      </c>
      <c r="M4407" s="13"/>
    </row>
    <row r="4408" spans="12:13">
      <c r="L4408" s="1">
        <v>44667.284722207987</v>
      </c>
      <c r="M4408" s="13"/>
    </row>
    <row r="4409" spans="12:13">
      <c r="L4409" s="1">
        <v>44667.288194430206</v>
      </c>
      <c r="M4409" s="13"/>
    </row>
    <row r="4410" spans="12:13">
      <c r="L4410" s="1">
        <v>44667.291666652425</v>
      </c>
      <c r="M4410" s="13"/>
    </row>
    <row r="4411" spans="12:13">
      <c r="L4411" s="1">
        <v>44667.295138874644</v>
      </c>
      <c r="M4411" s="13"/>
    </row>
    <row r="4412" spans="12:13">
      <c r="L4412" s="1">
        <v>44667.298611096863</v>
      </c>
      <c r="M4412" s="13"/>
    </row>
    <row r="4413" spans="12:13">
      <c r="L4413" s="1">
        <v>44667.302083319082</v>
      </c>
      <c r="M4413" s="13"/>
    </row>
    <row r="4414" spans="12:13">
      <c r="L4414" s="1">
        <v>44667.305555541301</v>
      </c>
      <c r="M4414" s="13"/>
    </row>
    <row r="4415" spans="12:13">
      <c r="L4415" s="1">
        <v>44667.30902776352</v>
      </c>
      <c r="M4415" s="13"/>
    </row>
    <row r="4416" spans="12:13">
      <c r="L4416" s="1">
        <v>44667.312499985739</v>
      </c>
      <c r="M4416" s="13"/>
    </row>
    <row r="4417" spans="12:13">
      <c r="L4417" s="1">
        <v>44667.315972207958</v>
      </c>
      <c r="M4417" s="13"/>
    </row>
    <row r="4418" spans="12:13">
      <c r="L4418" s="1">
        <v>44667.319444430177</v>
      </c>
      <c r="M4418" s="13"/>
    </row>
    <row r="4419" spans="12:13">
      <c r="L4419" s="1">
        <v>44667.322916652396</v>
      </c>
      <c r="M4419" s="13"/>
    </row>
    <row r="4420" spans="12:13">
      <c r="L4420" s="1">
        <v>44667.326388874615</v>
      </c>
      <c r="M4420" s="13"/>
    </row>
    <row r="4421" spans="12:13">
      <c r="L4421" s="1">
        <v>44667.329861096834</v>
      </c>
      <c r="M4421" s="13"/>
    </row>
    <row r="4422" spans="12:13">
      <c r="L4422" s="1">
        <v>44667.333333319053</v>
      </c>
      <c r="M4422" s="13"/>
    </row>
    <row r="4423" spans="12:13">
      <c r="L4423" s="1">
        <v>44667.336805541272</v>
      </c>
      <c r="M4423" s="13"/>
    </row>
    <row r="4424" spans="12:13">
      <c r="L4424" s="1">
        <v>44667.340277763491</v>
      </c>
      <c r="M4424" s="13"/>
    </row>
    <row r="4425" spans="12:13">
      <c r="L4425" s="1">
        <v>44667.34374998571</v>
      </c>
      <c r="M4425" s="13"/>
    </row>
    <row r="4426" spans="12:13">
      <c r="L4426" s="1">
        <v>44667.347222207929</v>
      </c>
      <c r="M4426" s="13"/>
    </row>
    <row r="4427" spans="12:13">
      <c r="L4427" s="1">
        <v>44667.350694430148</v>
      </c>
      <c r="M4427" s="13"/>
    </row>
    <row r="4428" spans="12:13">
      <c r="L4428" s="1">
        <v>44667.354166652367</v>
      </c>
      <c r="M4428" s="13"/>
    </row>
    <row r="4429" spans="12:13">
      <c r="L4429" s="1">
        <v>44667.357638874586</v>
      </c>
      <c r="M4429" s="13"/>
    </row>
    <row r="4430" spans="12:13">
      <c r="L4430" s="1">
        <v>44667.361111096805</v>
      </c>
      <c r="M4430" s="13"/>
    </row>
    <row r="4431" spans="12:13">
      <c r="L4431" s="1">
        <v>44667.364583319024</v>
      </c>
      <c r="M4431" s="13"/>
    </row>
    <row r="4432" spans="12:13">
      <c r="L4432" s="1">
        <v>44667.368055541243</v>
      </c>
      <c r="M4432" s="13"/>
    </row>
    <row r="4433" spans="12:13">
      <c r="L4433" s="1">
        <v>44667.371527763462</v>
      </c>
      <c r="M4433" s="13"/>
    </row>
    <row r="4434" spans="12:13">
      <c r="L4434" s="1">
        <v>44667.374999985681</v>
      </c>
      <c r="M4434" s="13"/>
    </row>
    <row r="4435" spans="12:13">
      <c r="L4435" s="1">
        <v>44667.3784722079</v>
      </c>
      <c r="M4435" s="13"/>
    </row>
    <row r="4436" spans="12:13">
      <c r="L4436" s="1">
        <v>44667.381944430119</v>
      </c>
      <c r="M4436" s="13"/>
    </row>
    <row r="4437" spans="12:13">
      <c r="L4437" s="1">
        <v>44667.385416652338</v>
      </c>
      <c r="M4437" s="13"/>
    </row>
    <row r="4438" spans="12:13">
      <c r="L4438" s="1">
        <v>44667.388888874557</v>
      </c>
      <c r="M4438" s="13"/>
    </row>
    <row r="4439" spans="12:13">
      <c r="L4439" s="1">
        <v>44667.392361096776</v>
      </c>
      <c r="M4439" s="13"/>
    </row>
    <row r="4440" spans="12:13">
      <c r="L4440" s="1">
        <v>44667.395833318995</v>
      </c>
      <c r="M4440" s="13"/>
    </row>
    <row r="4441" spans="12:13">
      <c r="L4441" s="1">
        <v>44667.399305541214</v>
      </c>
      <c r="M4441" s="13"/>
    </row>
    <row r="4442" spans="12:13">
      <c r="L4442" s="1">
        <v>44667.402777763433</v>
      </c>
      <c r="M4442" s="13"/>
    </row>
    <row r="4443" spans="12:13">
      <c r="L4443" s="1">
        <v>44667.406249985652</v>
      </c>
      <c r="M4443" s="13"/>
    </row>
    <row r="4444" spans="12:13">
      <c r="L4444" s="1">
        <v>44667.409722207871</v>
      </c>
      <c r="M4444" s="13"/>
    </row>
    <row r="4445" spans="12:13">
      <c r="L4445" s="1">
        <v>44667.41319443009</v>
      </c>
      <c r="M4445" s="13"/>
    </row>
    <row r="4446" spans="12:13">
      <c r="L4446" s="1">
        <v>44667.416666652309</v>
      </c>
      <c r="M4446" s="13"/>
    </row>
    <row r="4447" spans="12:13">
      <c r="L4447" s="1">
        <v>44667.420138874528</v>
      </c>
      <c r="M4447" s="13"/>
    </row>
    <row r="4448" spans="12:13">
      <c r="L4448" s="1">
        <v>44667.423611096747</v>
      </c>
      <c r="M4448" s="13"/>
    </row>
    <row r="4449" spans="12:13">
      <c r="L4449" s="1">
        <v>44667.427083318966</v>
      </c>
      <c r="M4449" s="13"/>
    </row>
    <row r="4450" spans="12:13">
      <c r="L4450" s="1">
        <v>44667.430555541185</v>
      </c>
      <c r="M4450" s="13"/>
    </row>
    <row r="4451" spans="12:13">
      <c r="L4451" s="1">
        <v>44667.434027763404</v>
      </c>
      <c r="M4451" s="13"/>
    </row>
    <row r="4452" spans="12:13">
      <c r="L4452" s="1">
        <v>44667.437499985623</v>
      </c>
      <c r="M4452" s="13"/>
    </row>
    <row r="4453" spans="12:13">
      <c r="L4453" s="1">
        <v>44667.440972207842</v>
      </c>
      <c r="M4453" s="13"/>
    </row>
    <row r="4454" spans="12:13">
      <c r="L4454" s="1">
        <v>44667.444444430061</v>
      </c>
      <c r="M4454" s="13"/>
    </row>
    <row r="4455" spans="12:13">
      <c r="L4455" s="1">
        <v>44667.44791665228</v>
      </c>
      <c r="M4455" s="13"/>
    </row>
    <row r="4456" spans="12:13">
      <c r="L4456" s="1">
        <v>44667.451388874499</v>
      </c>
      <c r="M4456" s="13"/>
    </row>
    <row r="4457" spans="12:13">
      <c r="L4457" s="1">
        <v>44667.454861096718</v>
      </c>
      <c r="M4457" s="13"/>
    </row>
    <row r="4458" spans="12:13">
      <c r="L4458" s="1">
        <v>44667.458333318937</v>
      </c>
      <c r="M4458" s="13"/>
    </row>
    <row r="4459" spans="12:13">
      <c r="L4459" s="1">
        <v>44667.461805541156</v>
      </c>
      <c r="M4459" s="13"/>
    </row>
    <row r="4460" spans="12:13">
      <c r="L4460" s="1">
        <v>44667.465277763375</v>
      </c>
      <c r="M4460" s="13"/>
    </row>
    <row r="4461" spans="12:13">
      <c r="L4461" s="1">
        <v>44667.468749985594</v>
      </c>
      <c r="M4461" s="13"/>
    </row>
    <row r="4462" spans="12:13">
      <c r="L4462" s="1">
        <v>44667.472222207813</v>
      </c>
      <c r="M4462" s="13"/>
    </row>
    <row r="4463" spans="12:13">
      <c r="L4463" s="1">
        <v>44667.475694430032</v>
      </c>
      <c r="M4463" s="13"/>
    </row>
    <row r="4464" spans="12:13">
      <c r="L4464" s="1">
        <v>44667.479166652251</v>
      </c>
      <c r="M4464" s="13"/>
    </row>
    <row r="4465" spans="12:13">
      <c r="L4465" s="1">
        <v>44667.48263887447</v>
      </c>
      <c r="M4465" s="13"/>
    </row>
    <row r="4466" spans="12:13">
      <c r="L4466" s="1">
        <v>44667.486111096689</v>
      </c>
      <c r="M4466" s="13"/>
    </row>
    <row r="4467" spans="12:13">
      <c r="L4467" s="1">
        <v>44667.489583318908</v>
      </c>
      <c r="M4467" s="13"/>
    </row>
    <row r="4468" spans="12:13">
      <c r="L4468" s="1">
        <v>44667.493055541127</v>
      </c>
      <c r="M4468" s="13"/>
    </row>
    <row r="4469" spans="12:13">
      <c r="L4469" s="1">
        <v>44667.496527763346</v>
      </c>
      <c r="M4469" s="13"/>
    </row>
    <row r="4470" spans="12:13">
      <c r="L4470" s="1">
        <v>44667.499999985565</v>
      </c>
      <c r="M4470" s="13"/>
    </row>
    <row r="4471" spans="12:13">
      <c r="L4471" s="1">
        <v>44667.503472207783</v>
      </c>
      <c r="M4471" s="13"/>
    </row>
    <row r="4472" spans="12:13">
      <c r="L4472" s="1">
        <v>44667.506944430002</v>
      </c>
      <c r="M4472" s="13"/>
    </row>
    <row r="4473" spans="12:13">
      <c r="L4473" s="1">
        <v>44667.510416652221</v>
      </c>
      <c r="M4473" s="13"/>
    </row>
    <row r="4474" spans="12:13">
      <c r="L4474" s="1">
        <v>44667.51388887444</v>
      </c>
      <c r="M4474" s="13"/>
    </row>
    <row r="4475" spans="12:13">
      <c r="L4475" s="1">
        <v>44667.517361096659</v>
      </c>
      <c r="M4475" s="13"/>
    </row>
    <row r="4476" spans="12:13">
      <c r="L4476" s="1">
        <v>44667.520833318878</v>
      </c>
      <c r="M4476" s="13"/>
    </row>
    <row r="4477" spans="12:13">
      <c r="L4477" s="1">
        <v>44667.524305541097</v>
      </c>
      <c r="M4477" s="13"/>
    </row>
    <row r="4478" spans="12:13">
      <c r="L4478" s="1">
        <v>44667.527777763316</v>
      </c>
      <c r="M4478" s="13"/>
    </row>
    <row r="4479" spans="12:13">
      <c r="L4479" s="1">
        <v>44667.531249985535</v>
      </c>
      <c r="M4479" s="13"/>
    </row>
    <row r="4480" spans="12:13">
      <c r="L4480" s="1">
        <v>44667.534722207754</v>
      </c>
      <c r="M4480" s="13"/>
    </row>
    <row r="4481" spans="12:13">
      <c r="L4481" s="1">
        <v>44667.538194429973</v>
      </c>
      <c r="M4481" s="13"/>
    </row>
    <row r="4482" spans="12:13">
      <c r="L4482" s="1">
        <v>44667.541666652192</v>
      </c>
      <c r="M4482" s="13"/>
    </row>
    <row r="4483" spans="12:13">
      <c r="L4483" s="1">
        <v>44667.545138874411</v>
      </c>
      <c r="M4483" s="13"/>
    </row>
    <row r="4484" spans="12:13">
      <c r="L4484" s="1">
        <v>44667.54861109663</v>
      </c>
      <c r="M4484" s="13"/>
    </row>
    <row r="4485" spans="12:13">
      <c r="L4485" s="1">
        <v>44667.552083318849</v>
      </c>
      <c r="M4485" s="13"/>
    </row>
    <row r="4486" spans="12:13">
      <c r="L4486" s="1">
        <v>44667.555555541068</v>
      </c>
      <c r="M4486" s="13"/>
    </row>
    <row r="4487" spans="12:13">
      <c r="L4487" s="1">
        <v>44667.559027763287</v>
      </c>
      <c r="M4487" s="13"/>
    </row>
    <row r="4488" spans="12:13">
      <c r="L4488" s="1">
        <v>44667.562499985506</v>
      </c>
      <c r="M4488" s="13"/>
    </row>
    <row r="4489" spans="12:13">
      <c r="L4489" s="1">
        <v>44667.565972207725</v>
      </c>
      <c r="M4489" s="13"/>
    </row>
    <row r="4490" spans="12:13">
      <c r="L4490" s="1">
        <v>44667.569444429944</v>
      </c>
      <c r="M4490" s="13"/>
    </row>
    <row r="4491" spans="12:13">
      <c r="L4491" s="1">
        <v>44667.572916652163</v>
      </c>
      <c r="M4491" s="13"/>
    </row>
    <row r="4492" spans="12:13">
      <c r="L4492" s="1">
        <v>44667.576388874382</v>
      </c>
      <c r="M4492" s="13"/>
    </row>
    <row r="4493" spans="12:13">
      <c r="L4493" s="1">
        <v>44667.579861096601</v>
      </c>
      <c r="M4493" s="13"/>
    </row>
    <row r="4494" spans="12:13">
      <c r="L4494" s="1">
        <v>44667.58333331882</v>
      </c>
      <c r="M4494" s="13"/>
    </row>
    <row r="4495" spans="12:13">
      <c r="L4495" s="1">
        <v>44667.586805541039</v>
      </c>
      <c r="M4495" s="13"/>
    </row>
    <row r="4496" spans="12:13">
      <c r="L4496" s="1">
        <v>44667.590277763258</v>
      </c>
      <c r="M4496" s="13"/>
    </row>
    <row r="4497" spans="12:13">
      <c r="L4497" s="1">
        <v>44667.593749985477</v>
      </c>
      <c r="M4497" s="13"/>
    </row>
    <row r="4498" spans="12:13">
      <c r="L4498" s="1">
        <v>44667.597222207696</v>
      </c>
      <c r="M4498" s="13"/>
    </row>
    <row r="4499" spans="12:13">
      <c r="L4499" s="1">
        <v>44667.600694429915</v>
      </c>
      <c r="M4499" s="13"/>
    </row>
    <row r="4500" spans="12:13">
      <c r="L4500" s="1">
        <v>44667.604166652134</v>
      </c>
      <c r="M4500" s="13"/>
    </row>
    <row r="4501" spans="12:13">
      <c r="L4501" s="1">
        <v>44667.607638874353</v>
      </c>
      <c r="M4501" s="13"/>
    </row>
    <row r="4502" spans="12:13">
      <c r="L4502" s="1">
        <v>44667.611111096572</v>
      </c>
      <c r="M4502" s="13"/>
    </row>
    <row r="4503" spans="12:13">
      <c r="L4503" s="1">
        <v>44667.614583318791</v>
      </c>
      <c r="M4503" s="13"/>
    </row>
    <row r="4504" spans="12:13">
      <c r="L4504" s="1">
        <v>44667.61805554101</v>
      </c>
      <c r="M4504" s="13"/>
    </row>
    <row r="4505" spans="12:13">
      <c r="L4505" s="1">
        <v>44667.621527763229</v>
      </c>
      <c r="M4505" s="13"/>
    </row>
    <row r="4506" spans="12:13">
      <c r="L4506" s="1">
        <v>44667.624999985448</v>
      </c>
      <c r="M4506" s="13"/>
    </row>
    <row r="4507" spans="12:13">
      <c r="L4507" s="1">
        <v>44667.628472207667</v>
      </c>
      <c r="M4507" s="13"/>
    </row>
    <row r="4508" spans="12:13">
      <c r="L4508" s="1">
        <v>44667.631944429886</v>
      </c>
      <c r="M4508" s="13"/>
    </row>
    <row r="4509" spans="12:13">
      <c r="L4509" s="1">
        <v>44667.635416652105</v>
      </c>
      <c r="M4509" s="13"/>
    </row>
    <row r="4510" spans="12:13">
      <c r="L4510" s="1">
        <v>44667.638888874324</v>
      </c>
      <c r="M4510" s="13"/>
    </row>
    <row r="4511" spans="12:13">
      <c r="L4511" s="1">
        <v>44667.642361096543</v>
      </c>
      <c r="M4511" s="13"/>
    </row>
    <row r="4512" spans="12:13">
      <c r="L4512" s="1">
        <v>44667.645833318762</v>
      </c>
      <c r="M4512" s="13"/>
    </row>
    <row r="4513" spans="12:13">
      <c r="L4513" s="1">
        <v>44667.649305540981</v>
      </c>
      <c r="M4513" s="13"/>
    </row>
    <row r="4514" spans="12:13">
      <c r="L4514" s="1">
        <v>44667.6527777632</v>
      </c>
      <c r="M4514" s="13"/>
    </row>
    <row r="4515" spans="12:13">
      <c r="L4515" s="1">
        <v>44667.656249985419</v>
      </c>
      <c r="M4515" s="13"/>
    </row>
    <row r="4516" spans="12:13">
      <c r="L4516" s="1">
        <v>44667.659722207638</v>
      </c>
      <c r="M4516" s="13"/>
    </row>
    <row r="4517" spans="12:13">
      <c r="L4517" s="1">
        <v>44667.663194429857</v>
      </c>
      <c r="M4517" s="13"/>
    </row>
    <row r="4518" spans="12:13">
      <c r="L4518" s="1">
        <v>44667.666666652076</v>
      </c>
      <c r="M4518" s="13"/>
    </row>
    <row r="4519" spans="12:13">
      <c r="L4519" s="1">
        <v>44667.670138874295</v>
      </c>
      <c r="M4519" s="13"/>
    </row>
    <row r="4520" spans="12:13">
      <c r="L4520" s="1">
        <v>44667.673611096514</v>
      </c>
      <c r="M4520" s="13"/>
    </row>
    <row r="4521" spans="12:13">
      <c r="L4521" s="1">
        <v>44667.677083318733</v>
      </c>
      <c r="M4521" s="13"/>
    </row>
    <row r="4522" spans="12:13">
      <c r="L4522" s="1">
        <v>44667.680555540952</v>
      </c>
      <c r="M4522" s="13"/>
    </row>
    <row r="4523" spans="12:13">
      <c r="L4523" s="1">
        <v>44667.684027763171</v>
      </c>
      <c r="M4523" s="13"/>
    </row>
    <row r="4524" spans="12:13">
      <c r="L4524" s="1">
        <v>44667.68749998539</v>
      </c>
      <c r="M4524" s="13"/>
    </row>
    <row r="4525" spans="12:13">
      <c r="L4525" s="1">
        <v>44667.690972207609</v>
      </c>
      <c r="M4525" s="13"/>
    </row>
    <row r="4526" spans="12:13">
      <c r="L4526" s="1">
        <v>44667.694444429828</v>
      </c>
      <c r="M4526" s="13"/>
    </row>
    <row r="4527" spans="12:13">
      <c r="L4527" s="1">
        <v>44667.697916652047</v>
      </c>
      <c r="M4527" s="13"/>
    </row>
    <row r="4528" spans="12:13">
      <c r="L4528" s="1">
        <v>44667.701388874266</v>
      </c>
      <c r="M4528" s="13"/>
    </row>
    <row r="4529" spans="12:13">
      <c r="L4529" s="1">
        <v>44667.704861096485</v>
      </c>
      <c r="M4529" s="13"/>
    </row>
    <row r="4530" spans="12:13">
      <c r="L4530" s="1">
        <v>44667.708333318704</v>
      </c>
      <c r="M4530" s="13"/>
    </row>
    <row r="4531" spans="12:13">
      <c r="L4531" s="1">
        <v>44667.711805540923</v>
      </c>
      <c r="M4531" s="13"/>
    </row>
    <row r="4532" spans="12:13">
      <c r="L4532" s="1">
        <v>44667.715277763142</v>
      </c>
      <c r="M4532" s="13"/>
    </row>
    <row r="4533" spans="12:13">
      <c r="L4533" s="1">
        <v>44667.718749985361</v>
      </c>
      <c r="M4533" s="13"/>
    </row>
    <row r="4534" spans="12:13">
      <c r="L4534" s="1">
        <v>44667.72222220758</v>
      </c>
      <c r="M4534" s="13"/>
    </row>
    <row r="4535" spans="12:13">
      <c r="L4535" s="1">
        <v>44667.725694429799</v>
      </c>
      <c r="M4535" s="13"/>
    </row>
    <row r="4536" spans="12:13">
      <c r="L4536" s="1">
        <v>44667.729166652018</v>
      </c>
      <c r="M4536" s="13"/>
    </row>
    <row r="4537" spans="12:13">
      <c r="L4537" s="1">
        <v>44667.732638874237</v>
      </c>
      <c r="M4537" s="13"/>
    </row>
    <row r="4538" spans="12:13">
      <c r="L4538" s="1">
        <v>44667.736111096456</v>
      </c>
      <c r="M4538" s="13"/>
    </row>
    <row r="4539" spans="12:13">
      <c r="L4539" s="1">
        <v>44667.739583318675</v>
      </c>
      <c r="M4539" s="13"/>
    </row>
    <row r="4540" spans="12:13">
      <c r="L4540" s="1">
        <v>44667.743055540894</v>
      </c>
      <c r="M4540" s="13"/>
    </row>
    <row r="4541" spans="12:13">
      <c r="L4541" s="1">
        <v>44667.746527763113</v>
      </c>
      <c r="M4541" s="13"/>
    </row>
    <row r="4542" spans="12:13">
      <c r="L4542" s="1">
        <v>44667.749999985332</v>
      </c>
      <c r="M4542" s="13"/>
    </row>
    <row r="4543" spans="12:13">
      <c r="L4543" s="1">
        <v>44667.753472207551</v>
      </c>
      <c r="M4543" s="13"/>
    </row>
    <row r="4544" spans="12:13">
      <c r="L4544" s="1">
        <v>44667.75694442977</v>
      </c>
      <c r="M4544" s="13"/>
    </row>
    <row r="4545" spans="12:13">
      <c r="L4545" s="1">
        <v>44667.760416651989</v>
      </c>
      <c r="M4545" s="13"/>
    </row>
    <row r="4546" spans="12:13">
      <c r="L4546" s="1">
        <v>44667.763888874208</v>
      </c>
      <c r="M4546" s="13"/>
    </row>
    <row r="4547" spans="12:13">
      <c r="L4547" s="1">
        <v>44667.767361096427</v>
      </c>
      <c r="M4547" s="13"/>
    </row>
    <row r="4548" spans="12:13">
      <c r="L4548" s="1">
        <v>44667.770833318646</v>
      </c>
      <c r="M4548" s="13"/>
    </row>
    <row r="4549" spans="12:13">
      <c r="L4549" s="1">
        <v>44667.774305540865</v>
      </c>
      <c r="M4549" s="13"/>
    </row>
    <row r="4550" spans="12:13">
      <c r="L4550" s="1">
        <v>44667.777777763084</v>
      </c>
      <c r="M4550" s="13"/>
    </row>
    <row r="4551" spans="12:13">
      <c r="L4551" s="1">
        <v>44667.781249985303</v>
      </c>
      <c r="M4551" s="13"/>
    </row>
    <row r="4552" spans="12:13">
      <c r="L4552" s="1">
        <v>44667.784722207522</v>
      </c>
      <c r="M4552" s="13"/>
    </row>
    <row r="4553" spans="12:13">
      <c r="L4553" s="1">
        <v>44667.788194429741</v>
      </c>
      <c r="M4553" s="13"/>
    </row>
    <row r="4554" spans="12:13">
      <c r="L4554" s="1">
        <v>44667.79166665196</v>
      </c>
      <c r="M4554" s="13"/>
    </row>
    <row r="4555" spans="12:13">
      <c r="L4555" s="1">
        <v>44667.795138874179</v>
      </c>
      <c r="M4555" s="13"/>
    </row>
    <row r="4556" spans="12:13">
      <c r="L4556" s="1">
        <v>44667.798611096398</v>
      </c>
      <c r="M4556" s="13"/>
    </row>
    <row r="4557" spans="12:13">
      <c r="L4557" s="1">
        <v>44667.802083318616</v>
      </c>
      <c r="M4557" s="13"/>
    </row>
    <row r="4558" spans="12:13">
      <c r="L4558" s="1">
        <v>44667.805555540835</v>
      </c>
      <c r="M4558" s="13"/>
    </row>
    <row r="4559" spans="12:13">
      <c r="L4559" s="1">
        <v>44667.809027763054</v>
      </c>
      <c r="M4559" s="13"/>
    </row>
    <row r="4560" spans="12:13">
      <c r="L4560" s="1">
        <v>44667.812499985273</v>
      </c>
      <c r="M4560" s="13"/>
    </row>
    <row r="4561" spans="12:13">
      <c r="L4561" s="1">
        <v>44667.815972207492</v>
      </c>
      <c r="M4561" s="13"/>
    </row>
    <row r="4562" spans="12:13">
      <c r="L4562" s="1">
        <v>44667.819444429711</v>
      </c>
      <c r="M4562" s="13"/>
    </row>
    <row r="4563" spans="12:13">
      <c r="L4563" s="1">
        <v>44667.82291665193</v>
      </c>
      <c r="M4563" s="13"/>
    </row>
    <row r="4564" spans="12:13">
      <c r="L4564" s="1">
        <v>44667.826388874149</v>
      </c>
      <c r="M4564" s="13"/>
    </row>
    <row r="4565" spans="12:13">
      <c r="L4565" s="1">
        <v>44667.829861096368</v>
      </c>
      <c r="M4565" s="13"/>
    </row>
    <row r="4566" spans="12:13">
      <c r="L4566" s="1">
        <v>44667.833333318587</v>
      </c>
      <c r="M4566" s="13"/>
    </row>
    <row r="4567" spans="12:13">
      <c r="L4567" s="1">
        <v>44667.836805540806</v>
      </c>
      <c r="M4567" s="13"/>
    </row>
    <row r="4568" spans="12:13">
      <c r="L4568" s="1">
        <v>44667.840277763025</v>
      </c>
      <c r="M4568" s="13"/>
    </row>
    <row r="4569" spans="12:13">
      <c r="L4569" s="1">
        <v>44667.843749985244</v>
      </c>
      <c r="M4569" s="13"/>
    </row>
    <row r="4570" spans="12:13">
      <c r="L4570" s="1">
        <v>44667.847222207463</v>
      </c>
      <c r="M4570" s="13"/>
    </row>
    <row r="4571" spans="12:13">
      <c r="L4571" s="1">
        <v>44667.850694429682</v>
      </c>
      <c r="M4571" s="13"/>
    </row>
    <row r="4572" spans="12:13">
      <c r="L4572" s="1">
        <v>44667.854166651901</v>
      </c>
      <c r="M4572" s="13"/>
    </row>
    <row r="4573" spans="12:13">
      <c r="L4573" s="1">
        <v>44667.85763887412</v>
      </c>
      <c r="M4573" s="13"/>
    </row>
    <row r="4574" spans="12:13">
      <c r="L4574" s="1">
        <v>44667.861111096339</v>
      </c>
      <c r="M4574" s="13"/>
    </row>
    <row r="4575" spans="12:13">
      <c r="L4575" s="1">
        <v>44667.864583318558</v>
      </c>
      <c r="M4575" s="13"/>
    </row>
    <row r="4576" spans="12:13">
      <c r="L4576" s="1">
        <v>44667.868055540777</v>
      </c>
      <c r="M4576" s="13"/>
    </row>
    <row r="4577" spans="12:13">
      <c r="L4577" s="1">
        <v>44667.871527762996</v>
      </c>
      <c r="M4577" s="13"/>
    </row>
    <row r="4578" spans="12:13">
      <c r="L4578" s="1">
        <v>44667.874999985215</v>
      </c>
      <c r="M4578" s="13"/>
    </row>
    <row r="4579" spans="12:13">
      <c r="L4579" s="1">
        <v>44667.878472207434</v>
      </c>
      <c r="M4579" s="13"/>
    </row>
    <row r="4580" spans="12:13">
      <c r="L4580" s="1">
        <v>44667.881944429653</v>
      </c>
      <c r="M4580" s="13"/>
    </row>
    <row r="4581" spans="12:13">
      <c r="L4581" s="1">
        <v>44667.885416651872</v>
      </c>
      <c r="M4581" s="13"/>
    </row>
    <row r="4582" spans="12:13">
      <c r="L4582" s="1">
        <v>44667.888888874091</v>
      </c>
      <c r="M4582" s="13"/>
    </row>
    <row r="4583" spans="12:13">
      <c r="L4583" s="1">
        <v>44667.89236109631</v>
      </c>
      <c r="M4583" s="13"/>
    </row>
    <row r="4584" spans="12:13">
      <c r="L4584" s="1">
        <v>44667.895833318529</v>
      </c>
      <c r="M4584" s="13"/>
    </row>
    <row r="4585" spans="12:13">
      <c r="L4585" s="1">
        <v>44667.899305540748</v>
      </c>
      <c r="M4585" s="13"/>
    </row>
    <row r="4586" spans="12:13">
      <c r="L4586" s="1">
        <v>44667.902777762967</v>
      </c>
      <c r="M4586" s="13"/>
    </row>
    <row r="4587" spans="12:13">
      <c r="L4587" s="1">
        <v>44667.906249985186</v>
      </c>
      <c r="M4587" s="13"/>
    </row>
    <row r="4588" spans="12:13">
      <c r="L4588" s="1">
        <v>44667.909722207405</v>
      </c>
      <c r="M4588" s="13"/>
    </row>
    <row r="4589" spans="12:13">
      <c r="L4589" s="1">
        <v>44667.913194429624</v>
      </c>
      <c r="M4589" s="13"/>
    </row>
    <row r="4590" spans="12:13">
      <c r="L4590" s="1">
        <v>44667.916666651843</v>
      </c>
      <c r="M4590" s="13"/>
    </row>
    <row r="4591" spans="12:13">
      <c r="L4591" s="1">
        <v>44667.920138874062</v>
      </c>
      <c r="M4591" s="13"/>
    </row>
    <row r="4592" spans="12:13">
      <c r="L4592" s="1">
        <v>44667.923611096281</v>
      </c>
      <c r="M4592" s="13"/>
    </row>
    <row r="4593" spans="12:13">
      <c r="L4593" s="1">
        <v>44667.9270833185</v>
      </c>
      <c r="M4593" s="13"/>
    </row>
    <row r="4594" spans="12:13">
      <c r="L4594" s="1">
        <v>44667.930555540719</v>
      </c>
      <c r="M4594" s="13"/>
    </row>
    <row r="4595" spans="12:13">
      <c r="L4595" s="1">
        <v>44667.934027762938</v>
      </c>
      <c r="M4595" s="13"/>
    </row>
    <row r="4596" spans="12:13">
      <c r="L4596" s="1">
        <v>44667.937499985157</v>
      </c>
      <c r="M4596" s="13"/>
    </row>
    <row r="4597" spans="12:13">
      <c r="L4597" s="1">
        <v>44667.940972207376</v>
      </c>
      <c r="M4597" s="13"/>
    </row>
    <row r="4598" spans="12:13">
      <c r="L4598" s="1">
        <v>44667.944444429595</v>
      </c>
      <c r="M4598" s="13"/>
    </row>
    <row r="4599" spans="12:13">
      <c r="L4599" s="1">
        <v>44667.947916651814</v>
      </c>
      <c r="M4599" s="13"/>
    </row>
    <row r="4600" spans="12:13">
      <c r="L4600" s="1">
        <v>44667.951388874033</v>
      </c>
      <c r="M4600" s="13"/>
    </row>
    <row r="4601" spans="12:13">
      <c r="L4601" s="1">
        <v>44667.954861096252</v>
      </c>
      <c r="M4601" s="13"/>
    </row>
    <row r="4602" spans="12:13">
      <c r="L4602" s="1">
        <v>44667.958333318471</v>
      </c>
      <c r="M4602" s="13"/>
    </row>
    <row r="4603" spans="12:13">
      <c r="L4603" s="1">
        <v>44667.96180554069</v>
      </c>
      <c r="M4603" s="13"/>
    </row>
    <row r="4604" spans="12:13">
      <c r="L4604" s="1">
        <v>44667.965277762909</v>
      </c>
      <c r="M4604" s="13"/>
    </row>
    <row r="4605" spans="12:13">
      <c r="L4605" s="1">
        <v>44667.968749985128</v>
      </c>
      <c r="M4605" s="13"/>
    </row>
    <row r="4606" spans="12:13">
      <c r="L4606" s="1">
        <v>44667.972222207347</v>
      </c>
      <c r="M4606" s="13"/>
    </row>
    <row r="4607" spans="12:13">
      <c r="L4607" s="1">
        <v>44667.975694429566</v>
      </c>
      <c r="M4607" s="13"/>
    </row>
    <row r="4608" spans="12:13">
      <c r="L4608" s="1">
        <v>44667.979166651785</v>
      </c>
      <c r="M4608" s="13"/>
    </row>
    <row r="4609" spans="12:13">
      <c r="L4609" s="1">
        <v>44667.982638874004</v>
      </c>
      <c r="M4609" s="13"/>
    </row>
    <row r="4610" spans="12:13">
      <c r="L4610" s="1">
        <v>44667.986111096223</v>
      </c>
      <c r="M4610" s="13"/>
    </row>
    <row r="4611" spans="12:13">
      <c r="L4611" s="1">
        <v>44667.989583318442</v>
      </c>
      <c r="M4611" s="13"/>
    </row>
    <row r="4612" spans="12:13">
      <c r="L4612" s="1">
        <v>44667.993055540661</v>
      </c>
      <c r="M4612" s="13"/>
    </row>
    <row r="4613" spans="12:13">
      <c r="L4613" s="1">
        <v>44667.99652776288</v>
      </c>
      <c r="M4613" s="13"/>
    </row>
    <row r="4614" spans="12:13">
      <c r="L4614" s="1">
        <v>44667.999999985099</v>
      </c>
      <c r="M4614" s="13"/>
    </row>
    <row r="4615" spans="12:13">
      <c r="L4615" s="1">
        <v>44668.003472207318</v>
      </c>
      <c r="M4615" s="13"/>
    </row>
    <row r="4616" spans="12:13">
      <c r="L4616" s="1">
        <v>44668.006944429537</v>
      </c>
      <c r="M4616" s="13"/>
    </row>
    <row r="4617" spans="12:13">
      <c r="L4617" s="1">
        <v>44668.010416651756</v>
      </c>
      <c r="M4617" s="13"/>
    </row>
    <row r="4618" spans="12:13">
      <c r="L4618" s="1">
        <v>44668.013888873975</v>
      </c>
      <c r="M4618" s="13"/>
    </row>
    <row r="4619" spans="12:13">
      <c r="L4619" s="1">
        <v>44668.017361096194</v>
      </c>
      <c r="M4619" s="13"/>
    </row>
    <row r="4620" spans="12:13">
      <c r="L4620" s="1">
        <v>44668.020833318413</v>
      </c>
      <c r="M4620" s="13"/>
    </row>
    <row r="4621" spans="12:13">
      <c r="L4621" s="1">
        <v>44668.024305540632</v>
      </c>
      <c r="M4621" s="13"/>
    </row>
    <row r="4622" spans="12:13">
      <c r="L4622" s="1">
        <v>44668.027777762851</v>
      </c>
      <c r="M4622" s="13"/>
    </row>
    <row r="4623" spans="12:13">
      <c r="L4623" s="1">
        <v>44668.03124998507</v>
      </c>
      <c r="M4623" s="13"/>
    </row>
    <row r="4624" spans="12:13">
      <c r="L4624" s="1">
        <v>44668.034722207289</v>
      </c>
      <c r="M4624" s="13"/>
    </row>
    <row r="4625" spans="12:13">
      <c r="L4625" s="1">
        <v>44668.038194429508</v>
      </c>
      <c r="M4625" s="13"/>
    </row>
    <row r="4626" spans="12:13">
      <c r="L4626" s="1">
        <v>44668.041666651727</v>
      </c>
      <c r="M4626" s="13"/>
    </row>
    <row r="4627" spans="12:13">
      <c r="L4627" s="1">
        <v>44668.045138873946</v>
      </c>
      <c r="M4627" s="13"/>
    </row>
    <row r="4628" spans="12:13">
      <c r="L4628" s="1">
        <v>44668.048611096165</v>
      </c>
      <c r="M4628" s="13"/>
    </row>
    <row r="4629" spans="12:13">
      <c r="L4629" s="1">
        <v>44668.052083318384</v>
      </c>
      <c r="M4629" s="13"/>
    </row>
    <row r="4630" spans="12:13">
      <c r="L4630" s="1">
        <v>44668.055555540603</v>
      </c>
      <c r="M4630" s="13"/>
    </row>
    <row r="4631" spans="12:13">
      <c r="L4631" s="1">
        <v>44668.059027762822</v>
      </c>
      <c r="M4631" s="13"/>
    </row>
    <row r="4632" spans="12:13">
      <c r="L4632" s="1">
        <v>44668.062499985041</v>
      </c>
      <c r="M4632" s="13"/>
    </row>
    <row r="4633" spans="12:13">
      <c r="L4633" s="1">
        <v>44668.06597220726</v>
      </c>
      <c r="M4633" s="13"/>
    </row>
    <row r="4634" spans="12:13">
      <c r="L4634" s="1">
        <v>44668.069444429479</v>
      </c>
      <c r="M4634" s="13"/>
    </row>
    <row r="4635" spans="12:13">
      <c r="L4635" s="1">
        <v>44668.072916651698</v>
      </c>
      <c r="M4635" s="13"/>
    </row>
    <row r="4636" spans="12:13">
      <c r="L4636" s="1">
        <v>44668.076388873917</v>
      </c>
      <c r="M4636" s="13"/>
    </row>
    <row r="4637" spans="12:13">
      <c r="L4637" s="1">
        <v>44668.079861096136</v>
      </c>
      <c r="M4637" s="13"/>
    </row>
    <row r="4638" spans="12:13">
      <c r="L4638" s="1">
        <v>44668.083333318355</v>
      </c>
      <c r="M4638" s="13"/>
    </row>
    <row r="4639" spans="12:13">
      <c r="L4639" s="1">
        <v>44668.086805540574</v>
      </c>
      <c r="M4639" s="13"/>
    </row>
    <row r="4640" spans="12:13">
      <c r="L4640" s="1">
        <v>44668.090277762793</v>
      </c>
      <c r="M4640" s="13"/>
    </row>
    <row r="4641" spans="12:13">
      <c r="L4641" s="1">
        <v>44668.093749985012</v>
      </c>
      <c r="M4641" s="13"/>
    </row>
    <row r="4642" spans="12:13">
      <c r="L4642" s="1">
        <v>44668.097222207231</v>
      </c>
      <c r="M4642" s="13"/>
    </row>
    <row r="4643" spans="12:13">
      <c r="L4643" s="1">
        <v>44668.10069442945</v>
      </c>
      <c r="M4643" s="13"/>
    </row>
    <row r="4644" spans="12:13">
      <c r="L4644" s="1">
        <v>44668.104166651668</v>
      </c>
      <c r="M4644" s="13"/>
    </row>
    <row r="4645" spans="12:13">
      <c r="L4645" s="1">
        <v>44668.107638873887</v>
      </c>
      <c r="M4645" s="13"/>
    </row>
    <row r="4646" spans="12:13">
      <c r="L4646" s="1">
        <v>44668.111111096106</v>
      </c>
      <c r="M4646" s="13"/>
    </row>
    <row r="4647" spans="12:13">
      <c r="L4647" s="1">
        <v>44668.114583318325</v>
      </c>
      <c r="M4647" s="13"/>
    </row>
    <row r="4648" spans="12:13">
      <c r="L4648" s="1">
        <v>44668.118055540544</v>
      </c>
      <c r="M4648" s="13"/>
    </row>
    <row r="4649" spans="12:13">
      <c r="L4649" s="1">
        <v>44668.121527762763</v>
      </c>
      <c r="M4649" s="13"/>
    </row>
    <row r="4650" spans="12:13">
      <c r="L4650" s="1">
        <v>44668.124999984982</v>
      </c>
      <c r="M4650" s="13"/>
    </row>
    <row r="4651" spans="12:13">
      <c r="L4651" s="1">
        <v>44668.128472207201</v>
      </c>
      <c r="M4651" s="13"/>
    </row>
    <row r="4652" spans="12:13">
      <c r="L4652" s="1">
        <v>44668.13194442942</v>
      </c>
      <c r="M4652" s="13"/>
    </row>
    <row r="4653" spans="12:13">
      <c r="L4653" s="1">
        <v>44668.135416651639</v>
      </c>
      <c r="M4653" s="13"/>
    </row>
    <row r="4654" spans="12:13">
      <c r="L4654" s="1">
        <v>44668.138888873858</v>
      </c>
      <c r="M4654" s="13"/>
    </row>
    <row r="4655" spans="12:13">
      <c r="L4655" s="1">
        <v>44668.142361096077</v>
      </c>
      <c r="M4655" s="13"/>
    </row>
    <row r="4656" spans="12:13">
      <c r="L4656" s="1">
        <v>44668.145833318296</v>
      </c>
      <c r="M4656" s="13"/>
    </row>
    <row r="4657" spans="12:13">
      <c r="L4657" s="1">
        <v>44668.149305540515</v>
      </c>
      <c r="M4657" s="13"/>
    </row>
    <row r="4658" spans="12:13">
      <c r="L4658" s="1">
        <v>44668.152777762734</v>
      </c>
      <c r="M4658" s="13"/>
    </row>
    <row r="4659" spans="12:13">
      <c r="L4659" s="1">
        <v>44668.156249984953</v>
      </c>
      <c r="M4659" s="13"/>
    </row>
    <row r="4660" spans="12:13">
      <c r="L4660" s="1">
        <v>44668.159722207172</v>
      </c>
      <c r="M4660" s="13"/>
    </row>
    <row r="4661" spans="12:13">
      <c r="L4661" s="1">
        <v>44668.163194429391</v>
      </c>
      <c r="M4661" s="13"/>
    </row>
    <row r="4662" spans="12:13">
      <c r="L4662" s="1">
        <v>44668.16666665161</v>
      </c>
      <c r="M4662" s="13"/>
    </row>
    <row r="4663" spans="12:13">
      <c r="L4663" s="1">
        <v>44668.170138873829</v>
      </c>
      <c r="M4663" s="13"/>
    </row>
    <row r="4664" spans="12:13">
      <c r="L4664" s="1">
        <v>44668.173611096048</v>
      </c>
      <c r="M4664" s="13"/>
    </row>
    <row r="4665" spans="12:13">
      <c r="L4665" s="1">
        <v>44668.177083318267</v>
      </c>
      <c r="M4665" s="13"/>
    </row>
    <row r="4666" spans="12:13">
      <c r="L4666" s="1">
        <v>44668.180555540486</v>
      </c>
      <c r="M4666" s="13"/>
    </row>
    <row r="4667" spans="12:13">
      <c r="L4667" s="1">
        <v>44668.184027762705</v>
      </c>
      <c r="M4667" s="13"/>
    </row>
    <row r="4668" spans="12:13">
      <c r="L4668" s="1">
        <v>44668.187499984924</v>
      </c>
      <c r="M4668" s="13"/>
    </row>
    <row r="4669" spans="12:13">
      <c r="L4669" s="1">
        <v>44668.190972207143</v>
      </c>
      <c r="M4669" s="13"/>
    </row>
    <row r="4670" spans="12:13">
      <c r="L4670" s="1">
        <v>44668.194444429362</v>
      </c>
      <c r="M4670" s="13"/>
    </row>
    <row r="4671" spans="12:13">
      <c r="L4671" s="1">
        <v>44668.197916651581</v>
      </c>
      <c r="M4671" s="13"/>
    </row>
    <row r="4672" spans="12:13">
      <c r="L4672" s="1">
        <v>44668.2013888738</v>
      </c>
      <c r="M4672" s="13"/>
    </row>
    <row r="4673" spans="12:13">
      <c r="L4673" s="1">
        <v>44668.204861096019</v>
      </c>
      <c r="M4673" s="13"/>
    </row>
    <row r="4674" spans="12:13">
      <c r="L4674" s="1">
        <v>44668.208333318238</v>
      </c>
      <c r="M4674" s="13"/>
    </row>
    <row r="4675" spans="12:13">
      <c r="L4675" s="1">
        <v>44668.211805540457</v>
      </c>
      <c r="M4675" s="13"/>
    </row>
    <row r="4676" spans="12:13">
      <c r="L4676" s="1">
        <v>44668.215277762676</v>
      </c>
      <c r="M4676" s="13"/>
    </row>
    <row r="4677" spans="12:13">
      <c r="L4677" s="1">
        <v>44668.218749984895</v>
      </c>
      <c r="M4677" s="13"/>
    </row>
    <row r="4678" spans="12:13">
      <c r="L4678" s="1">
        <v>44668.222222207114</v>
      </c>
      <c r="M4678" s="13"/>
    </row>
    <row r="4679" spans="12:13">
      <c r="L4679" s="1">
        <v>44668.225694429333</v>
      </c>
      <c r="M4679" s="13"/>
    </row>
    <row r="4680" spans="12:13">
      <c r="L4680" s="1">
        <v>44668.229166651552</v>
      </c>
      <c r="M4680" s="13"/>
    </row>
    <row r="4681" spans="12:13">
      <c r="L4681" s="1">
        <v>44668.232638873771</v>
      </c>
      <c r="M4681" s="13"/>
    </row>
    <row r="4682" spans="12:13">
      <c r="L4682" s="1">
        <v>44668.23611109599</v>
      </c>
      <c r="M4682" s="13"/>
    </row>
    <row r="4683" spans="12:13">
      <c r="L4683" s="1">
        <v>44668.239583318209</v>
      </c>
      <c r="M4683" s="13"/>
    </row>
    <row r="4684" spans="12:13">
      <c r="L4684" s="1">
        <v>44668.243055540428</v>
      </c>
      <c r="M4684" s="13"/>
    </row>
    <row r="4685" spans="12:13">
      <c r="L4685" s="1">
        <v>44668.246527762647</v>
      </c>
      <c r="M4685" s="13"/>
    </row>
    <row r="4686" spans="12:13">
      <c r="L4686" s="1">
        <v>44668.249999984866</v>
      </c>
      <c r="M4686" s="13"/>
    </row>
    <row r="4687" spans="12:13">
      <c r="L4687" s="1">
        <v>44668.253472207085</v>
      </c>
      <c r="M4687" s="13"/>
    </row>
    <row r="4688" spans="12:13">
      <c r="L4688" s="1">
        <v>44668.256944429304</v>
      </c>
      <c r="M4688" s="13"/>
    </row>
    <row r="4689" spans="12:13">
      <c r="L4689" s="1">
        <v>44668.260416651523</v>
      </c>
      <c r="M4689" s="13"/>
    </row>
    <row r="4690" spans="12:13">
      <c r="L4690" s="1">
        <v>44668.263888873742</v>
      </c>
      <c r="M4690" s="13"/>
    </row>
    <row r="4691" spans="12:13">
      <c r="L4691" s="1">
        <v>44668.267361095961</v>
      </c>
      <c r="M4691" s="13"/>
    </row>
    <row r="4692" spans="12:13">
      <c r="L4692" s="1">
        <v>44668.27083331818</v>
      </c>
      <c r="M4692" s="13"/>
    </row>
    <row r="4693" spans="12:13">
      <c r="L4693" s="1">
        <v>44668.274305540399</v>
      </c>
      <c r="M4693" s="13"/>
    </row>
    <row r="4694" spans="12:13">
      <c r="L4694" s="1">
        <v>44668.277777762618</v>
      </c>
      <c r="M4694" s="13"/>
    </row>
    <row r="4695" spans="12:13">
      <c r="L4695" s="1">
        <v>44668.281249984837</v>
      </c>
      <c r="M4695" s="13"/>
    </row>
    <row r="4696" spans="12:13">
      <c r="L4696" s="1">
        <v>44668.284722207056</v>
      </c>
      <c r="M4696" s="13"/>
    </row>
    <row r="4697" spans="12:13">
      <c r="L4697" s="1">
        <v>44668.288194429275</v>
      </c>
      <c r="M4697" s="13"/>
    </row>
    <row r="4698" spans="12:13">
      <c r="L4698" s="1">
        <v>44668.291666651494</v>
      </c>
      <c r="M4698" s="13"/>
    </row>
    <row r="4699" spans="12:13">
      <c r="L4699" s="1">
        <v>44668.295138873713</v>
      </c>
      <c r="M4699" s="13"/>
    </row>
    <row r="4700" spans="12:13">
      <c r="L4700" s="1">
        <v>44668.298611095932</v>
      </c>
      <c r="M4700" s="13"/>
    </row>
    <row r="4701" spans="12:13">
      <c r="L4701" s="1">
        <v>44668.302083318151</v>
      </c>
      <c r="M4701" s="13"/>
    </row>
    <row r="4702" spans="12:13">
      <c r="L4702" s="1">
        <v>44668.30555554037</v>
      </c>
      <c r="M4702" s="13"/>
    </row>
    <row r="4703" spans="12:13">
      <c r="L4703" s="1">
        <v>44668.309027762589</v>
      </c>
      <c r="M4703" s="13"/>
    </row>
    <row r="4704" spans="12:13">
      <c r="L4704" s="1">
        <v>44668.312499984808</v>
      </c>
      <c r="M4704" s="13"/>
    </row>
    <row r="4705" spans="12:13">
      <c r="L4705" s="1">
        <v>44668.315972207027</v>
      </c>
      <c r="M4705" s="13"/>
    </row>
    <row r="4706" spans="12:13">
      <c r="L4706" s="1">
        <v>44668.319444429246</v>
      </c>
      <c r="M4706" s="13"/>
    </row>
    <row r="4707" spans="12:13">
      <c r="L4707" s="1">
        <v>44668.322916651465</v>
      </c>
      <c r="M4707" s="13"/>
    </row>
    <row r="4708" spans="12:13">
      <c r="L4708" s="1">
        <v>44668.326388873684</v>
      </c>
      <c r="M4708" s="13"/>
    </row>
    <row r="4709" spans="12:13">
      <c r="L4709" s="1">
        <v>44668.329861095903</v>
      </c>
      <c r="M4709" s="13"/>
    </row>
    <row r="4710" spans="12:13">
      <c r="L4710" s="1">
        <v>44668.333333318122</v>
      </c>
      <c r="M4710" s="13"/>
    </row>
    <row r="4711" spans="12:13">
      <c r="L4711" s="1">
        <v>44668.336805540341</v>
      </c>
      <c r="M4711" s="13"/>
    </row>
    <row r="4712" spans="12:13">
      <c r="L4712" s="1">
        <v>44668.34027776256</v>
      </c>
      <c r="M4712" s="13"/>
    </row>
    <row r="4713" spans="12:13">
      <c r="L4713" s="1">
        <v>44668.343749984779</v>
      </c>
      <c r="M4713" s="13"/>
    </row>
    <row r="4714" spans="12:13">
      <c r="L4714" s="1">
        <v>44668.347222206998</v>
      </c>
      <c r="M4714" s="13"/>
    </row>
    <row r="4715" spans="12:13">
      <c r="L4715" s="1">
        <v>44668.350694429217</v>
      </c>
      <c r="M4715" s="13"/>
    </row>
    <row r="4716" spans="12:13">
      <c r="L4716" s="1">
        <v>44668.354166651436</v>
      </c>
      <c r="M4716" s="13"/>
    </row>
    <row r="4717" spans="12:13">
      <c r="L4717" s="1">
        <v>44668.357638873655</v>
      </c>
      <c r="M4717" s="13"/>
    </row>
    <row r="4718" spans="12:13">
      <c r="L4718" s="1">
        <v>44668.361111095874</v>
      </c>
      <c r="M4718" s="13"/>
    </row>
    <row r="4719" spans="12:13">
      <c r="L4719" s="1">
        <v>44668.364583318093</v>
      </c>
      <c r="M4719" s="13"/>
    </row>
    <row r="4720" spans="12:13">
      <c r="L4720" s="1">
        <v>44668.368055540312</v>
      </c>
      <c r="M4720" s="13"/>
    </row>
    <row r="4721" spans="12:13">
      <c r="L4721" s="1">
        <v>44668.371527762531</v>
      </c>
      <c r="M4721" s="13"/>
    </row>
    <row r="4722" spans="12:13">
      <c r="L4722" s="1">
        <v>44668.37499998475</v>
      </c>
      <c r="M4722" s="13"/>
    </row>
    <row r="4723" spans="12:13">
      <c r="L4723" s="1">
        <v>44668.378472206969</v>
      </c>
      <c r="M4723" s="13"/>
    </row>
    <row r="4724" spans="12:13">
      <c r="L4724" s="1">
        <v>44668.381944429188</v>
      </c>
      <c r="M4724" s="13"/>
    </row>
    <row r="4725" spans="12:13">
      <c r="L4725" s="1">
        <v>44668.385416651407</v>
      </c>
      <c r="M4725" s="13"/>
    </row>
    <row r="4726" spans="12:13">
      <c r="L4726" s="1">
        <v>44668.388888873626</v>
      </c>
      <c r="M4726" s="13"/>
    </row>
    <row r="4727" spans="12:13">
      <c r="L4727" s="1">
        <v>44668.392361095845</v>
      </c>
      <c r="M4727" s="13"/>
    </row>
    <row r="4728" spans="12:13">
      <c r="L4728" s="1">
        <v>44668.395833318064</v>
      </c>
      <c r="M4728" s="13"/>
    </row>
    <row r="4729" spans="12:13">
      <c r="L4729" s="1">
        <v>44668.399305540283</v>
      </c>
      <c r="M4729" s="13"/>
    </row>
    <row r="4730" spans="12:13">
      <c r="L4730" s="1">
        <v>44668.402777762502</v>
      </c>
      <c r="M4730" s="13"/>
    </row>
    <row r="4731" spans="12:13">
      <c r="L4731" s="1">
        <v>44668.40624998472</v>
      </c>
      <c r="M4731" s="13"/>
    </row>
    <row r="4732" spans="12:13">
      <c r="L4732" s="1">
        <v>44668.409722206939</v>
      </c>
      <c r="M4732" s="13"/>
    </row>
    <row r="4733" spans="12:13">
      <c r="L4733" s="1">
        <v>44668.413194429158</v>
      </c>
      <c r="M4733" s="13"/>
    </row>
    <row r="4734" spans="12:13">
      <c r="L4734" s="1">
        <v>44668.416666651377</v>
      </c>
      <c r="M4734" s="13"/>
    </row>
    <row r="4735" spans="12:13">
      <c r="L4735" s="1">
        <v>44668.420138873596</v>
      </c>
      <c r="M4735" s="13"/>
    </row>
    <row r="4736" spans="12:13">
      <c r="L4736" s="1">
        <v>44668.423611095815</v>
      </c>
      <c r="M4736" s="13"/>
    </row>
    <row r="4737" spans="12:13">
      <c r="L4737" s="1">
        <v>44668.427083318034</v>
      </c>
      <c r="M4737" s="13"/>
    </row>
    <row r="4738" spans="12:13">
      <c r="L4738" s="1">
        <v>44668.430555540253</v>
      </c>
      <c r="M4738" s="13"/>
    </row>
    <row r="4739" spans="12:13">
      <c r="L4739" s="1">
        <v>44668.434027762472</v>
      </c>
      <c r="M4739" s="13"/>
    </row>
    <row r="4740" spans="12:13">
      <c r="L4740" s="1">
        <v>44668.437499984691</v>
      </c>
      <c r="M4740" s="13"/>
    </row>
    <row r="4741" spans="12:13">
      <c r="L4741" s="1">
        <v>44668.44097220691</v>
      </c>
      <c r="M4741" s="13"/>
    </row>
    <row r="4742" spans="12:13">
      <c r="L4742" s="1">
        <v>44668.444444429129</v>
      </c>
      <c r="M4742" s="13"/>
    </row>
    <row r="4743" spans="12:13">
      <c r="L4743" s="1">
        <v>44668.447916651348</v>
      </c>
      <c r="M4743" s="13"/>
    </row>
    <row r="4744" spans="12:13">
      <c r="L4744" s="1">
        <v>44668.451388873567</v>
      </c>
      <c r="M4744" s="13"/>
    </row>
    <row r="4745" spans="12:13">
      <c r="L4745" s="1">
        <v>44668.454861095786</v>
      </c>
      <c r="M4745" s="13"/>
    </row>
    <row r="4746" spans="12:13">
      <c r="L4746" s="1">
        <v>44668.458333318005</v>
      </c>
      <c r="M4746" s="13"/>
    </row>
    <row r="4747" spans="12:13">
      <c r="L4747" s="1">
        <v>44668.461805540224</v>
      </c>
      <c r="M4747" s="13"/>
    </row>
    <row r="4748" spans="12:13">
      <c r="L4748" s="1">
        <v>44668.465277762443</v>
      </c>
      <c r="M4748" s="13"/>
    </row>
    <row r="4749" spans="12:13">
      <c r="L4749" s="1">
        <v>44668.468749984662</v>
      </c>
      <c r="M4749" s="13"/>
    </row>
    <row r="4750" spans="12:13">
      <c r="L4750" s="1">
        <v>44668.472222206881</v>
      </c>
      <c r="M4750" s="13"/>
    </row>
    <row r="4751" spans="12:13">
      <c r="L4751" s="1">
        <v>44668.4756944291</v>
      </c>
      <c r="M4751" s="13"/>
    </row>
    <row r="4752" spans="12:13">
      <c r="L4752" s="1">
        <v>44668.479166651319</v>
      </c>
      <c r="M4752" s="13"/>
    </row>
    <row r="4753" spans="12:13">
      <c r="L4753" s="1">
        <v>44668.482638873538</v>
      </c>
      <c r="M4753" s="13"/>
    </row>
    <row r="4754" spans="12:13">
      <c r="L4754" s="1">
        <v>44668.486111095757</v>
      </c>
      <c r="M4754" s="13"/>
    </row>
    <row r="4755" spans="12:13">
      <c r="L4755" s="1">
        <v>44668.489583317976</v>
      </c>
      <c r="M4755" s="13"/>
    </row>
    <row r="4756" spans="12:13">
      <c r="L4756" s="1">
        <v>44668.493055540195</v>
      </c>
      <c r="M4756" s="13"/>
    </row>
    <row r="4757" spans="12:13">
      <c r="L4757" s="1">
        <v>44668.496527762414</v>
      </c>
      <c r="M4757" s="13"/>
    </row>
    <row r="4758" spans="12:13">
      <c r="L4758" s="1">
        <v>44668.499999984633</v>
      </c>
      <c r="M4758" s="13"/>
    </row>
    <row r="4759" spans="12:13">
      <c r="L4759" s="1">
        <v>44668.503472206852</v>
      </c>
      <c r="M4759" s="13"/>
    </row>
    <row r="4760" spans="12:13">
      <c r="L4760" s="1">
        <v>44668.506944429071</v>
      </c>
      <c r="M4760" s="13"/>
    </row>
    <row r="4761" spans="12:13">
      <c r="L4761" s="1">
        <v>44668.51041665129</v>
      </c>
      <c r="M4761" s="13"/>
    </row>
    <row r="4762" spans="12:13">
      <c r="L4762" s="1">
        <v>44668.513888873509</v>
      </c>
      <c r="M4762" s="13"/>
    </row>
    <row r="4763" spans="12:13">
      <c r="L4763" s="1">
        <v>44668.517361095728</v>
      </c>
      <c r="M4763" s="13"/>
    </row>
    <row r="4764" spans="12:13">
      <c r="L4764" s="1">
        <v>44668.520833317947</v>
      </c>
      <c r="M4764" s="13"/>
    </row>
    <row r="4765" spans="12:13">
      <c r="L4765" s="1">
        <v>44668.524305540166</v>
      </c>
      <c r="M4765" s="13"/>
    </row>
    <row r="4766" spans="12:13">
      <c r="L4766" s="1">
        <v>44668.527777762385</v>
      </c>
      <c r="M4766" s="13"/>
    </row>
    <row r="4767" spans="12:13">
      <c r="L4767" s="1">
        <v>44668.531249984604</v>
      </c>
      <c r="M4767" s="13"/>
    </row>
    <row r="4768" spans="12:13">
      <c r="L4768" s="1">
        <v>44668.534722206823</v>
      </c>
      <c r="M4768" s="13"/>
    </row>
    <row r="4769" spans="12:13">
      <c r="L4769" s="1">
        <v>44668.538194429042</v>
      </c>
      <c r="M4769" s="13"/>
    </row>
    <row r="4770" spans="12:13">
      <c r="L4770" s="1">
        <v>44668.541666651261</v>
      </c>
      <c r="M4770" s="13"/>
    </row>
    <row r="4771" spans="12:13">
      <c r="L4771" s="1">
        <v>44668.54513887348</v>
      </c>
      <c r="M4771" s="13"/>
    </row>
    <row r="4772" spans="12:13">
      <c r="L4772" s="1">
        <v>44668.548611095699</v>
      </c>
      <c r="M4772" s="13"/>
    </row>
    <row r="4773" spans="12:13">
      <c r="L4773" s="1">
        <v>44668.552083317918</v>
      </c>
      <c r="M4773" s="13"/>
    </row>
    <row r="4774" spans="12:13">
      <c r="L4774" s="1">
        <v>44668.555555540137</v>
      </c>
      <c r="M4774" s="13"/>
    </row>
    <row r="4775" spans="12:13">
      <c r="L4775" s="1">
        <v>44668.559027762356</v>
      </c>
      <c r="M4775" s="13"/>
    </row>
    <row r="4776" spans="12:13">
      <c r="L4776" s="1">
        <v>44668.562499984575</v>
      </c>
      <c r="M4776" s="13"/>
    </row>
    <row r="4777" spans="12:13">
      <c r="L4777" s="1">
        <v>44668.565972206794</v>
      </c>
      <c r="M4777" s="13"/>
    </row>
    <row r="4778" spans="12:13">
      <c r="L4778" s="1">
        <v>44668.569444429013</v>
      </c>
      <c r="M4778" s="13"/>
    </row>
    <row r="4779" spans="12:13">
      <c r="L4779" s="1">
        <v>44668.572916651232</v>
      </c>
      <c r="M4779" s="13"/>
    </row>
    <row r="4780" spans="12:13">
      <c r="L4780" s="1">
        <v>44668.576388873451</v>
      </c>
      <c r="M4780" s="13"/>
    </row>
    <row r="4781" spans="12:13">
      <c r="L4781" s="1">
        <v>44668.57986109567</v>
      </c>
      <c r="M4781" s="13"/>
    </row>
    <row r="4782" spans="12:13">
      <c r="L4782" s="1">
        <v>44668.583333317889</v>
      </c>
      <c r="M4782" s="13"/>
    </row>
    <row r="4783" spans="12:13">
      <c r="L4783" s="1">
        <v>44668.586805540108</v>
      </c>
      <c r="M4783" s="13"/>
    </row>
    <row r="4784" spans="12:13">
      <c r="L4784" s="1">
        <v>44668.590277762327</v>
      </c>
      <c r="M4784" s="13"/>
    </row>
    <row r="4785" spans="12:13">
      <c r="L4785" s="1">
        <v>44668.593749984546</v>
      </c>
      <c r="M4785" s="13"/>
    </row>
    <row r="4786" spans="12:13">
      <c r="L4786" s="1">
        <v>44668.597222206765</v>
      </c>
      <c r="M4786" s="13"/>
    </row>
    <row r="4787" spans="12:13">
      <c r="L4787" s="1">
        <v>44668.600694428984</v>
      </c>
      <c r="M4787" s="13"/>
    </row>
    <row r="4788" spans="12:13">
      <c r="L4788" s="1">
        <v>44668.604166651203</v>
      </c>
      <c r="M4788" s="13"/>
    </row>
    <row r="4789" spans="12:13">
      <c r="L4789" s="1">
        <v>44668.607638873422</v>
      </c>
      <c r="M4789" s="13"/>
    </row>
    <row r="4790" spans="12:13">
      <c r="L4790" s="1">
        <v>44668.611111095641</v>
      </c>
      <c r="M4790" s="13"/>
    </row>
    <row r="4791" spans="12:13">
      <c r="L4791" s="1">
        <v>44668.61458331786</v>
      </c>
      <c r="M4791" s="13"/>
    </row>
    <row r="4792" spans="12:13">
      <c r="L4792" s="1">
        <v>44668.618055540079</v>
      </c>
      <c r="M4792" s="13"/>
    </row>
    <row r="4793" spans="12:13">
      <c r="L4793" s="1">
        <v>44668.621527762298</v>
      </c>
      <c r="M4793" s="13"/>
    </row>
    <row r="4794" spans="12:13">
      <c r="L4794" s="1">
        <v>44668.624999984517</v>
      </c>
      <c r="M4794" s="13"/>
    </row>
    <row r="4795" spans="12:13">
      <c r="L4795" s="1">
        <v>44668.628472206736</v>
      </c>
      <c r="M4795" s="13"/>
    </row>
    <row r="4796" spans="12:13">
      <c r="L4796" s="1">
        <v>44668.631944428955</v>
      </c>
      <c r="M4796" s="13"/>
    </row>
    <row r="4797" spans="12:13">
      <c r="L4797" s="1">
        <v>44668.635416651174</v>
      </c>
      <c r="M4797" s="13"/>
    </row>
    <row r="4798" spans="12:13">
      <c r="L4798" s="1">
        <v>44668.638888873393</v>
      </c>
      <c r="M4798" s="13"/>
    </row>
    <row r="4799" spans="12:13">
      <c r="L4799" s="1">
        <v>44668.642361095612</v>
      </c>
      <c r="M4799" s="13"/>
    </row>
    <row r="4800" spans="12:13">
      <c r="L4800" s="1">
        <v>44668.645833317831</v>
      </c>
      <c r="M4800" s="13"/>
    </row>
    <row r="4801" spans="12:13">
      <c r="L4801" s="1">
        <v>44668.64930554005</v>
      </c>
      <c r="M4801" s="13"/>
    </row>
    <row r="4802" spans="12:13">
      <c r="L4802" s="1">
        <v>44668.652777762269</v>
      </c>
      <c r="M4802" s="13"/>
    </row>
    <row r="4803" spans="12:13">
      <c r="L4803" s="1">
        <v>44668.656249984488</v>
      </c>
      <c r="M4803" s="13"/>
    </row>
    <row r="4804" spans="12:13">
      <c r="L4804" s="1">
        <v>44668.659722206707</v>
      </c>
      <c r="M4804" s="13"/>
    </row>
    <row r="4805" spans="12:13">
      <c r="L4805" s="1">
        <v>44668.663194428926</v>
      </c>
      <c r="M4805" s="13"/>
    </row>
    <row r="4806" spans="12:13">
      <c r="L4806" s="1">
        <v>44668.666666651145</v>
      </c>
      <c r="M4806" s="13"/>
    </row>
    <row r="4807" spans="12:13">
      <c r="L4807" s="1">
        <v>44668.670138873364</v>
      </c>
      <c r="M4807" s="13"/>
    </row>
    <row r="4808" spans="12:13">
      <c r="L4808" s="1">
        <v>44668.673611095583</v>
      </c>
      <c r="M4808" s="13"/>
    </row>
    <row r="4809" spans="12:13">
      <c r="L4809" s="1">
        <v>44668.677083317802</v>
      </c>
      <c r="M4809" s="13"/>
    </row>
    <row r="4810" spans="12:13">
      <c r="L4810" s="1">
        <v>44668.680555540021</v>
      </c>
      <c r="M4810" s="13"/>
    </row>
    <row r="4811" spans="12:13">
      <c r="L4811" s="1">
        <v>44668.68402776224</v>
      </c>
      <c r="M4811" s="13"/>
    </row>
    <row r="4812" spans="12:13">
      <c r="L4812" s="1">
        <v>44668.687499984459</v>
      </c>
      <c r="M4812" s="13"/>
    </row>
    <row r="4813" spans="12:13">
      <c r="L4813" s="1">
        <v>44668.690972206678</v>
      </c>
      <c r="M4813" s="13"/>
    </row>
    <row r="4814" spans="12:13">
      <c r="L4814" s="1">
        <v>44668.694444428897</v>
      </c>
      <c r="M4814" s="13"/>
    </row>
    <row r="4815" spans="12:13">
      <c r="L4815" s="1">
        <v>44668.697916651116</v>
      </c>
      <c r="M4815" s="13"/>
    </row>
    <row r="4816" spans="12:13">
      <c r="L4816" s="1">
        <v>44668.701388873335</v>
      </c>
      <c r="M4816" s="13"/>
    </row>
    <row r="4817" spans="12:13">
      <c r="L4817" s="1">
        <v>44668.704861095553</v>
      </c>
      <c r="M4817" s="13"/>
    </row>
    <row r="4818" spans="12:13">
      <c r="L4818" s="1">
        <v>44668.708333317772</v>
      </c>
      <c r="M4818" s="13"/>
    </row>
    <row r="4819" spans="12:13">
      <c r="L4819" s="1">
        <v>44668.711805539991</v>
      </c>
      <c r="M4819" s="13"/>
    </row>
    <row r="4820" spans="12:13">
      <c r="L4820" s="1">
        <v>44668.71527776221</v>
      </c>
      <c r="M4820" s="13"/>
    </row>
    <row r="4821" spans="12:13">
      <c r="L4821" s="1">
        <v>44668.718749984429</v>
      </c>
      <c r="M4821" s="13"/>
    </row>
    <row r="4822" spans="12:13">
      <c r="L4822" s="1">
        <v>44668.722222206648</v>
      </c>
      <c r="M4822" s="13"/>
    </row>
    <row r="4823" spans="12:13">
      <c r="L4823" s="1">
        <v>44668.725694428867</v>
      </c>
      <c r="M4823" s="13"/>
    </row>
    <row r="4824" spans="12:13">
      <c r="L4824" s="1">
        <v>44668.729166651086</v>
      </c>
      <c r="M4824" s="13"/>
    </row>
    <row r="4825" spans="12:13">
      <c r="L4825" s="1">
        <v>44668.732638873305</v>
      </c>
      <c r="M4825" s="13"/>
    </row>
    <row r="4826" spans="12:13">
      <c r="L4826" s="1">
        <v>44668.736111095524</v>
      </c>
      <c r="M4826" s="13"/>
    </row>
    <row r="4827" spans="12:13">
      <c r="L4827" s="1">
        <v>44668.739583317743</v>
      </c>
      <c r="M4827" s="13"/>
    </row>
    <row r="4828" spans="12:13">
      <c r="L4828" s="1">
        <v>44668.743055539962</v>
      </c>
      <c r="M4828" s="13"/>
    </row>
    <row r="4829" spans="12:13">
      <c r="L4829" s="1">
        <v>44668.746527762181</v>
      </c>
      <c r="M4829" s="13"/>
    </row>
    <row r="4830" spans="12:13">
      <c r="L4830" s="1">
        <v>44668.7499999844</v>
      </c>
      <c r="M4830" s="13"/>
    </row>
    <row r="4831" spans="12:13">
      <c r="L4831" s="1">
        <v>44668.753472206619</v>
      </c>
      <c r="M4831" s="13"/>
    </row>
    <row r="4832" spans="12:13">
      <c r="L4832" s="1">
        <v>44668.756944428838</v>
      </c>
      <c r="M4832" s="13"/>
    </row>
    <row r="4833" spans="12:13">
      <c r="L4833" s="1">
        <v>44668.760416651057</v>
      </c>
      <c r="M4833" s="13"/>
    </row>
    <row r="4834" spans="12:13">
      <c r="L4834" s="1">
        <v>44668.763888873276</v>
      </c>
      <c r="M4834" s="13"/>
    </row>
    <row r="4835" spans="12:13">
      <c r="L4835" s="1">
        <v>44668.767361095495</v>
      </c>
      <c r="M4835" s="13"/>
    </row>
    <row r="4836" spans="12:13">
      <c r="L4836" s="1">
        <v>44668.770833317714</v>
      </c>
      <c r="M4836" s="13"/>
    </row>
    <row r="4837" spans="12:13">
      <c r="L4837" s="1">
        <v>44668.774305539933</v>
      </c>
      <c r="M4837" s="13"/>
    </row>
    <row r="4838" spans="12:13">
      <c r="L4838" s="1">
        <v>44668.777777762152</v>
      </c>
      <c r="M4838" s="13"/>
    </row>
    <row r="4839" spans="12:13">
      <c r="L4839" s="1">
        <v>44668.781249984371</v>
      </c>
      <c r="M4839" s="13"/>
    </row>
    <row r="4840" spans="12:13">
      <c r="L4840" s="1">
        <v>44668.78472220659</v>
      </c>
      <c r="M4840" s="13"/>
    </row>
    <row r="4841" spans="12:13">
      <c r="L4841" s="1">
        <v>44668.788194428809</v>
      </c>
      <c r="M4841" s="13"/>
    </row>
    <row r="4842" spans="12:13">
      <c r="L4842" s="1">
        <v>44668.791666651028</v>
      </c>
      <c r="M4842" s="13"/>
    </row>
    <row r="4843" spans="12:13">
      <c r="L4843" s="1">
        <v>44668.795138873247</v>
      </c>
      <c r="M4843" s="13"/>
    </row>
    <row r="4844" spans="12:13">
      <c r="L4844" s="1">
        <v>44668.798611095466</v>
      </c>
      <c r="M4844" s="13"/>
    </row>
    <row r="4845" spans="12:13">
      <c r="L4845" s="1">
        <v>44668.802083317685</v>
      </c>
      <c r="M4845" s="13"/>
    </row>
    <row r="4846" spans="12:13">
      <c r="L4846" s="1">
        <v>44668.805555539904</v>
      </c>
      <c r="M4846" s="13"/>
    </row>
    <row r="4847" spans="12:13">
      <c r="L4847" s="1">
        <v>44668.809027762123</v>
      </c>
      <c r="M4847" s="13"/>
    </row>
    <row r="4848" spans="12:13">
      <c r="L4848" s="1">
        <v>44668.812499984342</v>
      </c>
      <c r="M4848" s="13"/>
    </row>
    <row r="4849" spans="12:13">
      <c r="L4849" s="1">
        <v>44668.815972206561</v>
      </c>
      <c r="M4849" s="13"/>
    </row>
    <row r="4850" spans="12:13">
      <c r="L4850" s="1">
        <v>44668.81944442878</v>
      </c>
      <c r="M4850" s="13"/>
    </row>
    <row r="4851" spans="12:13">
      <c r="L4851" s="1">
        <v>44668.822916650999</v>
      </c>
      <c r="M4851" s="13"/>
    </row>
    <row r="4852" spans="12:13">
      <c r="L4852" s="1">
        <v>44668.826388873218</v>
      </c>
      <c r="M4852" s="13"/>
    </row>
    <row r="4853" spans="12:13">
      <c r="L4853" s="1">
        <v>44668.829861095437</v>
      </c>
      <c r="M4853" s="13"/>
    </row>
    <row r="4854" spans="12:13">
      <c r="L4854" s="1">
        <v>44668.833333317656</v>
      </c>
      <c r="M4854" s="13"/>
    </row>
    <row r="4855" spans="12:13">
      <c r="L4855" s="1">
        <v>44668.836805539875</v>
      </c>
      <c r="M4855" s="13"/>
    </row>
    <row r="4856" spans="12:13">
      <c r="L4856" s="1">
        <v>44668.840277762094</v>
      </c>
      <c r="M4856" s="13"/>
    </row>
    <row r="4857" spans="12:13">
      <c r="L4857" s="1">
        <v>44668.843749984313</v>
      </c>
      <c r="M4857" s="13"/>
    </row>
    <row r="4858" spans="12:13">
      <c r="L4858" s="1">
        <v>44668.847222206532</v>
      </c>
      <c r="M4858" s="13"/>
    </row>
    <row r="4859" spans="12:13">
      <c r="L4859" s="1">
        <v>44668.850694428751</v>
      </c>
      <c r="M4859" s="13"/>
    </row>
    <row r="4860" spans="12:13">
      <c r="L4860" s="1">
        <v>44668.85416665097</v>
      </c>
      <c r="M4860" s="13"/>
    </row>
    <row r="4861" spans="12:13">
      <c r="L4861" s="1">
        <v>44668.857638873189</v>
      </c>
      <c r="M4861" s="13"/>
    </row>
    <row r="4862" spans="12:13">
      <c r="L4862" s="1">
        <v>44668.861111095408</v>
      </c>
      <c r="M4862" s="13"/>
    </row>
    <row r="4863" spans="12:13">
      <c r="L4863" s="1">
        <v>44668.864583317627</v>
      </c>
      <c r="M4863" s="13"/>
    </row>
    <row r="4864" spans="12:13">
      <c r="L4864" s="1">
        <v>44668.868055539846</v>
      </c>
      <c r="M4864" s="13"/>
    </row>
    <row r="4865" spans="12:13">
      <c r="L4865" s="1">
        <v>44668.871527762065</v>
      </c>
      <c r="M4865" s="13"/>
    </row>
    <row r="4866" spans="12:13">
      <c r="L4866" s="1">
        <v>44668.874999984284</v>
      </c>
      <c r="M4866" s="13"/>
    </row>
    <row r="4867" spans="12:13">
      <c r="L4867" s="1">
        <v>44668.878472206503</v>
      </c>
      <c r="M4867" s="13"/>
    </row>
    <row r="4868" spans="12:13">
      <c r="L4868" s="1">
        <v>44668.881944428722</v>
      </c>
      <c r="M4868" s="13"/>
    </row>
    <row r="4869" spans="12:13">
      <c r="L4869" s="1">
        <v>44668.885416650941</v>
      </c>
      <c r="M4869" s="13"/>
    </row>
    <row r="4870" spans="12:13">
      <c r="L4870" s="1">
        <v>44668.88888887316</v>
      </c>
      <c r="M4870" s="13"/>
    </row>
    <row r="4871" spans="12:13">
      <c r="L4871" s="1">
        <v>44668.892361095379</v>
      </c>
      <c r="M4871" s="13"/>
    </row>
    <row r="4872" spans="12:13">
      <c r="L4872" s="1">
        <v>44668.895833317598</v>
      </c>
      <c r="M4872" s="13"/>
    </row>
    <row r="4873" spans="12:13">
      <c r="L4873" s="1">
        <v>44668.899305539817</v>
      </c>
      <c r="M4873" s="13"/>
    </row>
    <row r="4874" spans="12:13">
      <c r="L4874" s="1">
        <v>44668.902777762036</v>
      </c>
      <c r="M4874" s="13"/>
    </row>
    <row r="4875" spans="12:13">
      <c r="L4875" s="1">
        <v>44668.906249984255</v>
      </c>
      <c r="M4875" s="13"/>
    </row>
    <row r="4876" spans="12:13">
      <c r="L4876" s="1">
        <v>44668.909722206474</v>
      </c>
      <c r="M4876" s="13"/>
    </row>
    <row r="4877" spans="12:13">
      <c r="L4877" s="1">
        <v>44668.913194428693</v>
      </c>
      <c r="M4877" s="13"/>
    </row>
    <row r="4878" spans="12:13">
      <c r="L4878" s="1">
        <v>44668.916666650912</v>
      </c>
      <c r="M4878" s="13"/>
    </row>
    <row r="4879" spans="12:13">
      <c r="L4879" s="1">
        <v>44668.920138873131</v>
      </c>
      <c r="M4879" s="13"/>
    </row>
    <row r="4880" spans="12:13">
      <c r="L4880" s="1">
        <v>44668.92361109535</v>
      </c>
      <c r="M4880" s="13"/>
    </row>
    <row r="4881" spans="12:13">
      <c r="L4881" s="1">
        <v>44668.927083317569</v>
      </c>
      <c r="M4881" s="13"/>
    </row>
    <row r="4882" spans="12:13">
      <c r="L4882" s="1">
        <v>44668.930555539788</v>
      </c>
      <c r="M4882" s="13"/>
    </row>
    <row r="4883" spans="12:13">
      <c r="L4883" s="1">
        <v>44668.934027762007</v>
      </c>
      <c r="M4883" s="13"/>
    </row>
    <row r="4884" spans="12:13">
      <c r="L4884" s="1">
        <v>44668.937499984226</v>
      </c>
      <c r="M4884" s="13"/>
    </row>
    <row r="4885" spans="12:13">
      <c r="L4885" s="1">
        <v>44668.940972206445</v>
      </c>
      <c r="M4885" s="13"/>
    </row>
    <row r="4886" spans="12:13">
      <c r="L4886" s="1">
        <v>44668.944444428664</v>
      </c>
      <c r="M4886" s="13"/>
    </row>
    <row r="4887" spans="12:13">
      <c r="L4887" s="1">
        <v>44668.947916650883</v>
      </c>
      <c r="M4887" s="13"/>
    </row>
    <row r="4888" spans="12:13">
      <c r="L4888" s="1">
        <v>44668.951388873102</v>
      </c>
      <c r="M4888" s="13"/>
    </row>
    <row r="4889" spans="12:13">
      <c r="L4889" s="1">
        <v>44668.954861095321</v>
      </c>
      <c r="M4889" s="13"/>
    </row>
    <row r="4890" spans="12:13">
      <c r="L4890" s="1">
        <v>44668.95833331754</v>
      </c>
      <c r="M4890" s="13"/>
    </row>
    <row r="4891" spans="12:13">
      <c r="L4891" s="1">
        <v>44668.961805539759</v>
      </c>
      <c r="M4891" s="13"/>
    </row>
    <row r="4892" spans="12:13">
      <c r="L4892" s="1">
        <v>44668.965277761978</v>
      </c>
      <c r="M4892" s="13"/>
    </row>
    <row r="4893" spans="12:13">
      <c r="L4893" s="1">
        <v>44668.968749984197</v>
      </c>
      <c r="M4893" s="13"/>
    </row>
    <row r="4894" spans="12:13">
      <c r="L4894" s="1">
        <v>44668.972222206416</v>
      </c>
      <c r="M4894" s="13"/>
    </row>
    <row r="4895" spans="12:13">
      <c r="L4895" s="1">
        <v>44668.975694428635</v>
      </c>
      <c r="M4895" s="13"/>
    </row>
    <row r="4896" spans="12:13">
      <c r="L4896" s="1">
        <v>44668.979166650854</v>
      </c>
      <c r="M4896" s="13"/>
    </row>
    <row r="4897" spans="12:13">
      <c r="L4897" s="1">
        <v>44668.982638873073</v>
      </c>
      <c r="M4897" s="13"/>
    </row>
    <row r="4898" spans="12:13">
      <c r="L4898" s="1">
        <v>44668.986111095292</v>
      </c>
      <c r="M4898" s="13"/>
    </row>
    <row r="4899" spans="12:13">
      <c r="L4899" s="1">
        <v>44668.989583317511</v>
      </c>
      <c r="M4899" s="13"/>
    </row>
    <row r="4900" spans="12:13">
      <c r="L4900" s="1">
        <v>44668.99305553973</v>
      </c>
      <c r="M4900" s="13"/>
    </row>
    <row r="4901" spans="12:13">
      <c r="L4901" s="1">
        <v>44668.996527761949</v>
      </c>
      <c r="M4901" s="13"/>
    </row>
    <row r="4902" spans="12:13">
      <c r="L4902" s="1">
        <v>44668.999999984168</v>
      </c>
      <c r="M4902" s="13"/>
    </row>
    <row r="4903" spans="12:13">
      <c r="L4903" s="1">
        <v>44669.003472206387</v>
      </c>
      <c r="M4903" s="13"/>
    </row>
    <row r="4904" spans="12:13">
      <c r="L4904" s="1">
        <v>44669.006944428605</v>
      </c>
      <c r="M4904" s="13"/>
    </row>
    <row r="4905" spans="12:13">
      <c r="L4905" s="1">
        <v>44669.010416650824</v>
      </c>
      <c r="M4905" s="13"/>
    </row>
    <row r="4906" spans="12:13">
      <c r="L4906" s="1">
        <v>44669.013888873043</v>
      </c>
      <c r="M4906" s="13"/>
    </row>
    <row r="4907" spans="12:13">
      <c r="L4907" s="1">
        <v>44669.017361095262</v>
      </c>
      <c r="M4907" s="13"/>
    </row>
    <row r="4908" spans="12:13">
      <c r="L4908" s="1">
        <v>44669.020833317481</v>
      </c>
      <c r="M4908" s="13"/>
    </row>
    <row r="4909" spans="12:13">
      <c r="L4909" s="1">
        <v>44669.0243055397</v>
      </c>
      <c r="M4909" s="13"/>
    </row>
    <row r="4910" spans="12:13">
      <c r="L4910" s="1">
        <v>44669.027777761919</v>
      </c>
      <c r="M4910" s="13"/>
    </row>
    <row r="4911" spans="12:13">
      <c r="L4911" s="1">
        <v>44669.031249984138</v>
      </c>
      <c r="M4911" s="13"/>
    </row>
    <row r="4912" spans="12:13">
      <c r="L4912" s="1">
        <v>44669.034722206357</v>
      </c>
      <c r="M4912" s="13"/>
    </row>
    <row r="4913" spans="12:13">
      <c r="L4913" s="1">
        <v>44669.038194428576</v>
      </c>
      <c r="M4913" s="13"/>
    </row>
    <row r="4914" spans="12:13">
      <c r="L4914" s="1">
        <v>44669.041666650795</v>
      </c>
      <c r="M4914" s="13"/>
    </row>
    <row r="4915" spans="12:13">
      <c r="L4915" s="1">
        <v>44669.045138873014</v>
      </c>
      <c r="M4915" s="13"/>
    </row>
    <row r="4916" spans="12:13">
      <c r="L4916" s="1">
        <v>44669.048611095233</v>
      </c>
      <c r="M4916" s="13"/>
    </row>
    <row r="4917" spans="12:13">
      <c r="L4917" s="1">
        <v>44669.052083317452</v>
      </c>
      <c r="M4917" s="13"/>
    </row>
    <row r="4918" spans="12:13">
      <c r="L4918" s="1">
        <v>44669.055555539671</v>
      </c>
      <c r="M4918" s="13"/>
    </row>
    <row r="4919" spans="12:13">
      <c r="L4919" s="1">
        <v>44669.05902776189</v>
      </c>
      <c r="M4919" s="13"/>
    </row>
    <row r="4920" spans="12:13">
      <c r="L4920" s="1">
        <v>44669.062499984109</v>
      </c>
      <c r="M4920" s="13"/>
    </row>
    <row r="4921" spans="12:13">
      <c r="L4921" s="1">
        <v>44669.065972206328</v>
      </c>
      <c r="M4921" s="13"/>
    </row>
    <row r="4922" spans="12:13">
      <c r="L4922" s="1">
        <v>44669.069444428547</v>
      </c>
      <c r="M4922" s="13"/>
    </row>
    <row r="4923" spans="12:13">
      <c r="L4923" s="1">
        <v>44669.072916650766</v>
      </c>
      <c r="M4923" s="13"/>
    </row>
    <row r="4924" spans="12:13">
      <c r="L4924" s="1">
        <v>44669.076388872985</v>
      </c>
      <c r="M4924" s="13"/>
    </row>
    <row r="4925" spans="12:13">
      <c r="L4925" s="1">
        <v>44669.079861095204</v>
      </c>
      <c r="M4925" s="13"/>
    </row>
    <row r="4926" spans="12:13">
      <c r="L4926" s="1">
        <v>44669.083333317423</v>
      </c>
      <c r="M4926" s="13"/>
    </row>
    <row r="4927" spans="12:13">
      <c r="L4927" s="1">
        <v>44669.086805539642</v>
      </c>
      <c r="M4927" s="13"/>
    </row>
    <row r="4928" spans="12:13">
      <c r="L4928" s="1">
        <v>44669.090277761861</v>
      </c>
      <c r="M4928" s="13"/>
    </row>
    <row r="4929" spans="12:13">
      <c r="L4929" s="1">
        <v>44669.09374998408</v>
      </c>
      <c r="M4929" s="13"/>
    </row>
    <row r="4930" spans="12:13">
      <c r="L4930" s="1">
        <v>44669.097222206299</v>
      </c>
      <c r="M4930" s="13"/>
    </row>
    <row r="4931" spans="12:13">
      <c r="L4931" s="1">
        <v>44669.100694428518</v>
      </c>
      <c r="M4931" s="13"/>
    </row>
    <row r="4932" spans="12:13">
      <c r="L4932" s="1">
        <v>44669.104166650737</v>
      </c>
      <c r="M4932" s="13"/>
    </row>
    <row r="4933" spans="12:13">
      <c r="L4933" s="1">
        <v>44669.107638872956</v>
      </c>
      <c r="M4933" s="13"/>
    </row>
    <row r="4934" spans="12:13">
      <c r="L4934" s="1">
        <v>44669.111111095175</v>
      </c>
      <c r="M4934" s="13"/>
    </row>
    <row r="4935" spans="12:13">
      <c r="L4935" s="1">
        <v>44669.114583317394</v>
      </c>
      <c r="M4935" s="13"/>
    </row>
    <row r="4936" spans="12:13">
      <c r="L4936" s="1">
        <v>44669.118055539613</v>
      </c>
      <c r="M4936" s="13"/>
    </row>
    <row r="4937" spans="12:13">
      <c r="L4937" s="1">
        <v>44669.121527761832</v>
      </c>
      <c r="M4937" s="13"/>
    </row>
    <row r="4938" spans="12:13">
      <c r="L4938" s="1">
        <v>44669.124999984051</v>
      </c>
      <c r="M4938" s="13"/>
    </row>
    <row r="4939" spans="12:13">
      <c r="L4939" s="1">
        <v>44669.12847220627</v>
      </c>
      <c r="M4939" s="13"/>
    </row>
    <row r="4940" spans="12:13">
      <c r="L4940" s="1">
        <v>44669.131944428489</v>
      </c>
      <c r="M4940" s="13"/>
    </row>
    <row r="4941" spans="12:13">
      <c r="L4941" s="1">
        <v>44669.135416650708</v>
      </c>
      <c r="M4941" s="13"/>
    </row>
    <row r="4942" spans="12:13">
      <c r="L4942" s="1">
        <v>44669.138888872927</v>
      </c>
      <c r="M4942" s="13"/>
    </row>
    <row r="4943" spans="12:13">
      <c r="L4943" s="1">
        <v>44669.142361095146</v>
      </c>
      <c r="M4943" s="13"/>
    </row>
    <row r="4944" spans="12:13">
      <c r="L4944" s="1">
        <v>44669.145833317365</v>
      </c>
      <c r="M4944" s="13"/>
    </row>
    <row r="4945" spans="12:13">
      <c r="L4945" s="1">
        <v>44669.149305539584</v>
      </c>
      <c r="M4945" s="13"/>
    </row>
    <row r="4946" spans="12:13">
      <c r="L4946" s="1">
        <v>44669.152777761803</v>
      </c>
      <c r="M4946" s="13"/>
    </row>
    <row r="4947" spans="12:13">
      <c r="L4947" s="1">
        <v>44669.156249984022</v>
      </c>
      <c r="M4947" s="13"/>
    </row>
    <row r="4948" spans="12:13">
      <c r="L4948" s="1">
        <v>44669.159722206241</v>
      </c>
      <c r="M4948" s="13"/>
    </row>
    <row r="4949" spans="12:13">
      <c r="L4949" s="1">
        <v>44669.16319442846</v>
      </c>
      <c r="M4949" s="13"/>
    </row>
    <row r="4950" spans="12:13">
      <c r="L4950" s="1">
        <v>44669.166666650679</v>
      </c>
      <c r="M4950" s="13"/>
    </row>
    <row r="4951" spans="12:13">
      <c r="L4951" s="1">
        <v>44669.170138872898</v>
      </c>
      <c r="M4951" s="13"/>
    </row>
    <row r="4952" spans="12:13">
      <c r="L4952" s="1">
        <v>44669.173611095117</v>
      </c>
      <c r="M4952" s="13"/>
    </row>
    <row r="4953" spans="12:13">
      <c r="L4953" s="1">
        <v>44669.177083317336</v>
      </c>
      <c r="M4953" s="13"/>
    </row>
    <row r="4954" spans="12:13">
      <c r="L4954" s="1">
        <v>44669.180555539555</v>
      </c>
      <c r="M4954" s="13"/>
    </row>
    <row r="4955" spans="12:13">
      <c r="L4955" s="1">
        <v>44669.184027761774</v>
      </c>
      <c r="M4955" s="13"/>
    </row>
    <row r="4956" spans="12:13">
      <c r="L4956" s="1">
        <v>44669.187499983993</v>
      </c>
      <c r="M4956" s="13"/>
    </row>
    <row r="4957" spans="12:13">
      <c r="L4957" s="1">
        <v>44669.190972206212</v>
      </c>
      <c r="M4957" s="13"/>
    </row>
    <row r="4958" spans="12:13">
      <c r="L4958" s="1">
        <v>44669.194444428431</v>
      </c>
      <c r="M4958" s="13"/>
    </row>
    <row r="4959" spans="12:13">
      <c r="L4959" s="1">
        <v>44669.19791665065</v>
      </c>
      <c r="M4959" s="13"/>
    </row>
    <row r="4960" spans="12:13">
      <c r="L4960" s="1">
        <v>44669.201388872869</v>
      </c>
      <c r="M4960" s="13"/>
    </row>
    <row r="4961" spans="12:13">
      <c r="L4961" s="1">
        <v>44669.204861095088</v>
      </c>
      <c r="M4961" s="13"/>
    </row>
    <row r="4962" spans="12:13">
      <c r="L4962" s="1">
        <v>44669.208333317307</v>
      </c>
      <c r="M4962" s="13"/>
    </row>
    <row r="4963" spans="12:13">
      <c r="L4963" s="1">
        <v>44669.211805539526</v>
      </c>
      <c r="M4963" s="13"/>
    </row>
    <row r="4964" spans="12:13">
      <c r="L4964" s="1">
        <v>44669.215277761745</v>
      </c>
      <c r="M4964" s="13"/>
    </row>
    <row r="4965" spans="12:13">
      <c r="L4965" s="1">
        <v>44669.218749983964</v>
      </c>
      <c r="M4965" s="13"/>
    </row>
    <row r="4966" spans="12:13">
      <c r="L4966" s="1">
        <v>44669.222222206183</v>
      </c>
      <c r="M4966" s="13"/>
    </row>
    <row r="4967" spans="12:13">
      <c r="L4967" s="1">
        <v>44669.225694428402</v>
      </c>
      <c r="M4967" s="13"/>
    </row>
    <row r="4968" spans="12:13">
      <c r="L4968" s="1">
        <v>44669.229166650621</v>
      </c>
      <c r="M4968" s="13"/>
    </row>
    <row r="4969" spans="12:13">
      <c r="L4969" s="1">
        <v>44669.23263887284</v>
      </c>
      <c r="M4969" s="13"/>
    </row>
    <row r="4970" spans="12:13">
      <c r="L4970" s="1">
        <v>44669.236111095059</v>
      </c>
      <c r="M4970" s="13"/>
    </row>
    <row r="4971" spans="12:13">
      <c r="L4971" s="1">
        <v>44669.239583317278</v>
      </c>
      <c r="M4971" s="13"/>
    </row>
    <row r="4972" spans="12:13">
      <c r="L4972" s="1">
        <v>44669.243055539497</v>
      </c>
      <c r="M4972" s="13"/>
    </row>
    <row r="4973" spans="12:13">
      <c r="L4973" s="1">
        <v>44669.246527761716</v>
      </c>
      <c r="M4973" s="13"/>
    </row>
    <row r="4974" spans="12:13">
      <c r="L4974" s="1">
        <v>44669.249999983935</v>
      </c>
      <c r="M4974" s="13"/>
    </row>
    <row r="4975" spans="12:13">
      <c r="L4975" s="1">
        <v>44669.253472206154</v>
      </c>
      <c r="M4975" s="13"/>
    </row>
    <row r="4976" spans="12:13">
      <c r="L4976" s="1">
        <v>44669.256944428373</v>
      </c>
      <c r="M4976" s="13"/>
    </row>
    <row r="4977" spans="12:13">
      <c r="L4977" s="1">
        <v>44669.260416650592</v>
      </c>
      <c r="M4977" s="13"/>
    </row>
    <row r="4978" spans="12:13">
      <c r="L4978" s="1">
        <v>44669.263888872811</v>
      </c>
      <c r="M4978" s="13"/>
    </row>
    <row r="4979" spans="12:13">
      <c r="L4979" s="1">
        <v>44669.26736109503</v>
      </c>
      <c r="M4979" s="13"/>
    </row>
    <row r="4980" spans="12:13">
      <c r="L4980" s="1">
        <v>44669.270833317249</v>
      </c>
      <c r="M4980" s="13"/>
    </row>
    <row r="4981" spans="12:13">
      <c r="L4981" s="1">
        <v>44669.274305539468</v>
      </c>
      <c r="M4981" s="13"/>
    </row>
    <row r="4982" spans="12:13">
      <c r="L4982" s="1">
        <v>44669.277777761687</v>
      </c>
      <c r="M4982" s="13"/>
    </row>
    <row r="4983" spans="12:13">
      <c r="L4983" s="1">
        <v>44669.281249983906</v>
      </c>
      <c r="M4983" s="13"/>
    </row>
    <row r="4984" spans="12:13">
      <c r="L4984" s="1">
        <v>44669.284722206125</v>
      </c>
      <c r="M4984" s="13"/>
    </row>
    <row r="4985" spans="12:13">
      <c r="L4985" s="1">
        <v>44669.288194428344</v>
      </c>
      <c r="M4985" s="13"/>
    </row>
    <row r="4986" spans="12:13">
      <c r="L4986" s="1">
        <v>44669.291666650563</v>
      </c>
      <c r="M4986" s="13"/>
    </row>
    <row r="4987" spans="12:13">
      <c r="L4987" s="1">
        <v>44669.295138872782</v>
      </c>
      <c r="M4987" s="13"/>
    </row>
    <row r="4988" spans="12:13">
      <c r="L4988" s="1">
        <v>44669.298611095001</v>
      </c>
      <c r="M4988" s="13"/>
    </row>
    <row r="4989" spans="12:13">
      <c r="L4989" s="1">
        <v>44669.30208331722</v>
      </c>
      <c r="M4989" s="13"/>
    </row>
    <row r="4990" spans="12:13">
      <c r="L4990" s="1">
        <v>44669.305555539439</v>
      </c>
      <c r="M4990" s="13"/>
    </row>
    <row r="4991" spans="12:13">
      <c r="L4991" s="1">
        <v>44669.309027761657</v>
      </c>
      <c r="M4991" s="13"/>
    </row>
    <row r="4992" spans="12:13">
      <c r="L4992" s="1">
        <v>44669.312499983876</v>
      </c>
      <c r="M4992" s="13"/>
    </row>
    <row r="4993" spans="12:13">
      <c r="L4993" s="1">
        <v>44669.315972206095</v>
      </c>
      <c r="M4993" s="13"/>
    </row>
    <row r="4994" spans="12:13">
      <c r="L4994" s="1">
        <v>44669.319444428314</v>
      </c>
      <c r="M4994" s="13"/>
    </row>
    <row r="4995" spans="12:13">
      <c r="L4995" s="1">
        <v>44669.322916650533</v>
      </c>
      <c r="M4995" s="13"/>
    </row>
    <row r="4996" spans="12:13">
      <c r="L4996" s="1">
        <v>44669.326388872752</v>
      </c>
      <c r="M4996" s="13"/>
    </row>
    <row r="4997" spans="12:13">
      <c r="L4997" s="1">
        <v>44669.329861094971</v>
      </c>
      <c r="M4997" s="13"/>
    </row>
    <row r="4998" spans="12:13">
      <c r="L4998" s="1">
        <v>44669.33333331719</v>
      </c>
      <c r="M4998" s="13"/>
    </row>
    <row r="4999" spans="12:13">
      <c r="L4999" s="1">
        <v>44669.336805539409</v>
      </c>
      <c r="M4999" s="13"/>
    </row>
    <row r="5000" spans="12:13">
      <c r="L5000" s="1">
        <v>44669.340277761628</v>
      </c>
      <c r="M5000" s="13"/>
    </row>
    <row r="5001" spans="12:13">
      <c r="L5001" s="1">
        <v>44669.343749983847</v>
      </c>
      <c r="M5001" s="13"/>
    </row>
    <row r="5002" spans="12:13">
      <c r="L5002" s="1">
        <v>44669.347222206066</v>
      </c>
      <c r="M5002" s="13"/>
    </row>
    <row r="5003" spans="12:13">
      <c r="L5003" s="1">
        <v>44669.350694428285</v>
      </c>
      <c r="M5003" s="13"/>
    </row>
    <row r="5004" spans="12:13">
      <c r="L5004" s="1">
        <v>44669.354166650504</v>
      </c>
      <c r="M5004" s="13"/>
    </row>
    <row r="5005" spans="12:13">
      <c r="L5005" s="1">
        <v>44669.357638872723</v>
      </c>
      <c r="M5005" s="13"/>
    </row>
    <row r="5006" spans="12:13">
      <c r="L5006" s="1">
        <v>44669.361111094942</v>
      </c>
      <c r="M5006" s="13"/>
    </row>
    <row r="5007" spans="12:13">
      <c r="L5007" s="1">
        <v>44669.364583317161</v>
      </c>
      <c r="M5007" s="13"/>
    </row>
    <row r="5008" spans="12:13">
      <c r="L5008" s="1">
        <v>44669.36805553938</v>
      </c>
      <c r="M5008" s="13"/>
    </row>
    <row r="5009" spans="12:13">
      <c r="L5009" s="1">
        <v>44669.371527761599</v>
      </c>
      <c r="M5009" s="13"/>
    </row>
    <row r="5010" spans="12:13">
      <c r="L5010" s="1">
        <v>44669.374999983818</v>
      </c>
      <c r="M5010" s="13"/>
    </row>
    <row r="5011" spans="12:13">
      <c r="L5011" s="1">
        <v>44669.378472206037</v>
      </c>
      <c r="M5011" s="13"/>
    </row>
    <row r="5012" spans="12:13">
      <c r="L5012" s="1">
        <v>44669.381944428256</v>
      </c>
      <c r="M5012" s="13"/>
    </row>
    <row r="5013" spans="12:13">
      <c r="L5013" s="1">
        <v>44669.385416650475</v>
      </c>
      <c r="M5013" s="13"/>
    </row>
    <row r="5014" spans="12:13">
      <c r="L5014" s="1">
        <v>44669.388888872694</v>
      </c>
      <c r="M5014" s="13"/>
    </row>
    <row r="5015" spans="12:13">
      <c r="L5015" s="1">
        <v>44669.392361094913</v>
      </c>
      <c r="M5015" s="13"/>
    </row>
    <row r="5016" spans="12:13">
      <c r="L5016" s="1">
        <v>44669.395833317132</v>
      </c>
      <c r="M5016" s="13"/>
    </row>
    <row r="5017" spans="12:13">
      <c r="L5017" s="1">
        <v>44669.399305539351</v>
      </c>
      <c r="M5017" s="13"/>
    </row>
    <row r="5018" spans="12:13">
      <c r="L5018" s="1">
        <v>44669.40277776157</v>
      </c>
      <c r="M5018" s="13"/>
    </row>
    <row r="5019" spans="12:13">
      <c r="L5019" s="1">
        <v>44669.406249983789</v>
      </c>
      <c r="M5019" s="13"/>
    </row>
    <row r="5020" spans="12:13">
      <c r="L5020" s="1">
        <v>44669.409722206008</v>
      </c>
      <c r="M5020" s="13"/>
    </row>
    <row r="5021" spans="12:13">
      <c r="L5021" s="1">
        <v>44669.413194428227</v>
      </c>
      <c r="M5021" s="13"/>
    </row>
    <row r="5022" spans="12:13">
      <c r="L5022" s="1">
        <v>44669.416666650446</v>
      </c>
      <c r="M5022" s="13"/>
    </row>
    <row r="5023" spans="12:13">
      <c r="L5023" s="1">
        <v>44669.420138872665</v>
      </c>
      <c r="M5023" s="13"/>
    </row>
    <row r="5024" spans="12:13">
      <c r="L5024" s="1">
        <v>44669.423611094884</v>
      </c>
      <c r="M5024" s="13"/>
    </row>
    <row r="5025" spans="12:13">
      <c r="L5025" s="1">
        <v>44669.427083317103</v>
      </c>
      <c r="M5025" s="13"/>
    </row>
    <row r="5026" spans="12:13">
      <c r="L5026" s="1">
        <v>44669.430555539322</v>
      </c>
      <c r="M5026" s="13"/>
    </row>
    <row r="5027" spans="12:13">
      <c r="L5027" s="1">
        <v>44669.434027761541</v>
      </c>
      <c r="M5027" s="13"/>
    </row>
    <row r="5028" spans="12:13">
      <c r="L5028" s="1">
        <v>44669.43749998376</v>
      </c>
      <c r="M5028" s="13"/>
    </row>
    <row r="5029" spans="12:13">
      <c r="L5029" s="1">
        <v>44669.440972205979</v>
      </c>
      <c r="M5029" s="13"/>
    </row>
    <row r="5030" spans="12:13">
      <c r="L5030" s="1">
        <v>44669.444444428198</v>
      </c>
      <c r="M5030" s="13"/>
    </row>
    <row r="5031" spans="12:13">
      <c r="L5031" s="1">
        <v>44669.447916650417</v>
      </c>
      <c r="M5031" s="13"/>
    </row>
    <row r="5032" spans="12:13">
      <c r="L5032" s="1">
        <v>44669.451388872636</v>
      </c>
      <c r="M5032" s="13"/>
    </row>
    <row r="5033" spans="12:13">
      <c r="L5033" s="1">
        <v>44669.454861094855</v>
      </c>
      <c r="M5033" s="13"/>
    </row>
    <row r="5034" spans="12:13">
      <c r="L5034" s="1">
        <v>44669.458333317074</v>
      </c>
      <c r="M5034" s="13"/>
    </row>
    <row r="5035" spans="12:13">
      <c r="L5035" s="1">
        <v>44669.461805539293</v>
      </c>
      <c r="M5035" s="13"/>
    </row>
    <row r="5036" spans="12:13">
      <c r="L5036" s="1">
        <v>44669.465277761512</v>
      </c>
      <c r="M5036" s="13"/>
    </row>
    <row r="5037" spans="12:13">
      <c r="L5037" s="1">
        <v>44669.468749983731</v>
      </c>
      <c r="M5037" s="13"/>
    </row>
    <row r="5038" spans="12:13">
      <c r="L5038" s="1">
        <v>44669.47222220595</v>
      </c>
      <c r="M5038" s="13"/>
    </row>
    <row r="5039" spans="12:13">
      <c r="L5039" s="1">
        <v>44669.475694428169</v>
      </c>
      <c r="M5039" s="13"/>
    </row>
    <row r="5040" spans="12:13">
      <c r="L5040" s="1">
        <v>44669.479166650388</v>
      </c>
      <c r="M5040" s="13"/>
    </row>
    <row r="5041" spans="12:13">
      <c r="L5041" s="1">
        <v>44669.482638872607</v>
      </c>
      <c r="M5041" s="13"/>
    </row>
    <row r="5042" spans="12:13">
      <c r="L5042" s="1">
        <v>44669.486111094826</v>
      </c>
      <c r="M5042" s="13"/>
    </row>
    <row r="5043" spans="12:13">
      <c r="L5043" s="1">
        <v>44669.489583317045</v>
      </c>
      <c r="M5043" s="13"/>
    </row>
    <row r="5044" spans="12:13">
      <c r="L5044" s="1">
        <v>44669.493055539264</v>
      </c>
      <c r="M5044" s="13"/>
    </row>
    <row r="5045" spans="12:13">
      <c r="L5045" s="1">
        <v>44669.496527761483</v>
      </c>
      <c r="M5045" s="13"/>
    </row>
    <row r="5046" spans="12:13">
      <c r="L5046" s="1">
        <v>44669.499999983702</v>
      </c>
      <c r="M5046" s="13"/>
    </row>
    <row r="5047" spans="12:13">
      <c r="L5047" s="1">
        <v>44669.503472205921</v>
      </c>
      <c r="M5047" s="13"/>
    </row>
    <row r="5048" spans="12:13">
      <c r="L5048" s="1">
        <v>44669.50694442814</v>
      </c>
      <c r="M5048" s="13"/>
    </row>
    <row r="5049" spans="12:13">
      <c r="L5049" s="1">
        <v>44669.510416650359</v>
      </c>
      <c r="M5049" s="13"/>
    </row>
    <row r="5050" spans="12:13">
      <c r="L5050" s="1">
        <v>44669.513888872578</v>
      </c>
      <c r="M5050" s="13"/>
    </row>
    <row r="5051" spans="12:13">
      <c r="L5051" s="1">
        <v>44669.517361094797</v>
      </c>
      <c r="M5051" s="13"/>
    </row>
    <row r="5052" spans="12:13">
      <c r="L5052" s="1">
        <v>44669.520833317016</v>
      </c>
      <c r="M5052" s="13"/>
    </row>
    <row r="5053" spans="12:13">
      <c r="L5053" s="1">
        <v>44669.524305539235</v>
      </c>
      <c r="M5053" s="13"/>
    </row>
    <row r="5054" spans="12:13">
      <c r="L5054" s="1">
        <v>44669.527777761454</v>
      </c>
      <c r="M5054" s="13"/>
    </row>
    <row r="5055" spans="12:13">
      <c r="L5055" s="1">
        <v>44669.531249983673</v>
      </c>
      <c r="M5055" s="13"/>
    </row>
    <row r="5056" spans="12:13">
      <c r="L5056" s="1">
        <v>44669.534722205892</v>
      </c>
      <c r="M5056" s="13"/>
    </row>
    <row r="5057" spans="12:13">
      <c r="L5057" s="1">
        <v>44669.538194428111</v>
      </c>
      <c r="M5057" s="13"/>
    </row>
    <row r="5058" spans="12:13">
      <c r="L5058" s="1">
        <v>44669.54166665033</v>
      </c>
      <c r="M5058" s="13"/>
    </row>
    <row r="5059" spans="12:13">
      <c r="L5059" s="1">
        <v>44669.545138872549</v>
      </c>
      <c r="M5059" s="13"/>
    </row>
    <row r="5060" spans="12:13">
      <c r="L5060" s="1">
        <v>44669.548611094768</v>
      </c>
      <c r="M5060" s="13"/>
    </row>
    <row r="5061" spans="12:13">
      <c r="L5061" s="1">
        <v>44669.552083316987</v>
      </c>
      <c r="M5061" s="13"/>
    </row>
    <row r="5062" spans="12:13">
      <c r="L5062" s="1">
        <v>44669.555555539206</v>
      </c>
      <c r="M5062" s="13"/>
    </row>
    <row r="5063" spans="12:13">
      <c r="L5063" s="1">
        <v>44669.559027761425</v>
      </c>
      <c r="M5063" s="13"/>
    </row>
    <row r="5064" spans="12:13">
      <c r="L5064" s="1">
        <v>44669.562499983644</v>
      </c>
      <c r="M5064" s="13"/>
    </row>
    <row r="5065" spans="12:13">
      <c r="L5065" s="1">
        <v>44669.565972205863</v>
      </c>
      <c r="M5065" s="13"/>
    </row>
    <row r="5066" spans="12:13">
      <c r="L5066" s="1">
        <v>44669.569444428082</v>
      </c>
      <c r="M5066" s="13"/>
    </row>
    <row r="5067" spans="12:13">
      <c r="L5067" s="1">
        <v>44669.572916650301</v>
      </c>
      <c r="M5067" s="13"/>
    </row>
    <row r="5068" spans="12:13">
      <c r="L5068" s="1">
        <v>44669.57638887252</v>
      </c>
      <c r="M5068" s="13"/>
    </row>
    <row r="5069" spans="12:13">
      <c r="L5069" s="1">
        <v>44669.579861094739</v>
      </c>
      <c r="M5069" s="13"/>
    </row>
    <row r="5070" spans="12:13">
      <c r="L5070" s="1">
        <v>44669.583333316958</v>
      </c>
      <c r="M5070" s="13"/>
    </row>
    <row r="5071" spans="12:13">
      <c r="L5071" s="1">
        <v>44669.586805539177</v>
      </c>
      <c r="M5071" s="13"/>
    </row>
    <row r="5072" spans="12:13">
      <c r="L5072" s="1">
        <v>44669.590277761396</v>
      </c>
      <c r="M5072" s="13"/>
    </row>
    <row r="5073" spans="12:13">
      <c r="L5073" s="1">
        <v>44669.593749983615</v>
      </c>
      <c r="M5073" s="13"/>
    </row>
    <row r="5074" spans="12:13">
      <c r="L5074" s="1">
        <v>44669.597222205834</v>
      </c>
      <c r="M5074" s="13"/>
    </row>
    <row r="5075" spans="12:13">
      <c r="L5075" s="1">
        <v>44669.600694428053</v>
      </c>
      <c r="M5075" s="13"/>
    </row>
    <row r="5076" spans="12:13">
      <c r="L5076" s="1">
        <v>44669.604166650272</v>
      </c>
      <c r="M5076" s="13"/>
    </row>
    <row r="5077" spans="12:13">
      <c r="L5077" s="1">
        <v>44669.60763887249</v>
      </c>
      <c r="M5077" s="13"/>
    </row>
    <row r="5078" spans="12:13">
      <c r="L5078" s="1">
        <v>44669.611111094709</v>
      </c>
      <c r="M5078" s="13"/>
    </row>
    <row r="5079" spans="12:13">
      <c r="L5079" s="1">
        <v>44669.614583316928</v>
      </c>
      <c r="M5079" s="13"/>
    </row>
    <row r="5080" spans="12:13">
      <c r="L5080" s="1">
        <v>44669.618055539147</v>
      </c>
      <c r="M5080" s="13"/>
    </row>
    <row r="5081" spans="12:13">
      <c r="L5081" s="1">
        <v>44669.621527761366</v>
      </c>
      <c r="M5081" s="13"/>
    </row>
    <row r="5082" spans="12:13">
      <c r="L5082" s="1">
        <v>44669.624999983585</v>
      </c>
      <c r="M5082" s="13"/>
    </row>
    <row r="5083" spans="12:13">
      <c r="L5083" s="1">
        <v>44669.628472205804</v>
      </c>
      <c r="M5083" s="13"/>
    </row>
    <row r="5084" spans="12:13">
      <c r="L5084" s="1">
        <v>44669.631944428023</v>
      </c>
      <c r="M5084" s="13"/>
    </row>
    <row r="5085" spans="12:13">
      <c r="L5085" s="1">
        <v>44669.635416650242</v>
      </c>
      <c r="M5085" s="13"/>
    </row>
    <row r="5086" spans="12:13">
      <c r="L5086" s="1">
        <v>44669.638888872461</v>
      </c>
      <c r="M5086" s="13"/>
    </row>
    <row r="5087" spans="12:13">
      <c r="L5087" s="1">
        <v>44669.64236109468</v>
      </c>
      <c r="M5087" s="13"/>
    </row>
    <row r="5088" spans="12:13">
      <c r="L5088" s="1">
        <v>44669.645833316899</v>
      </c>
      <c r="M5088" s="13"/>
    </row>
    <row r="5089" spans="12:13">
      <c r="L5089" s="1">
        <v>44669.649305539118</v>
      </c>
      <c r="M5089" s="13"/>
    </row>
    <row r="5090" spans="12:13">
      <c r="L5090" s="1">
        <v>44669.652777761337</v>
      </c>
      <c r="M5090" s="13"/>
    </row>
    <row r="5091" spans="12:13">
      <c r="L5091" s="1">
        <v>44669.656249983556</v>
      </c>
      <c r="M5091" s="13"/>
    </row>
    <row r="5092" spans="12:13">
      <c r="L5092" s="1">
        <v>44669.659722205775</v>
      </c>
      <c r="M5092" s="13"/>
    </row>
    <row r="5093" spans="12:13">
      <c r="L5093" s="1">
        <v>44669.663194427994</v>
      </c>
      <c r="M5093" s="13"/>
    </row>
    <row r="5094" spans="12:13">
      <c r="L5094" s="1">
        <v>44669.666666650213</v>
      </c>
      <c r="M5094" s="13"/>
    </row>
    <row r="5095" spans="12:13">
      <c r="L5095" s="1">
        <v>44669.670138872432</v>
      </c>
      <c r="M5095" s="13"/>
    </row>
    <row r="5096" spans="12:13">
      <c r="L5096" s="1">
        <v>44669.673611094651</v>
      </c>
      <c r="M5096" s="13"/>
    </row>
    <row r="5097" spans="12:13">
      <c r="L5097" s="1">
        <v>44669.67708331687</v>
      </c>
      <c r="M5097" s="13"/>
    </row>
    <row r="5098" spans="12:13">
      <c r="L5098" s="1">
        <v>44669.680555539089</v>
      </c>
      <c r="M5098" s="13"/>
    </row>
    <row r="5099" spans="12:13">
      <c r="L5099" s="1">
        <v>44669.684027761308</v>
      </c>
      <c r="M5099" s="13"/>
    </row>
    <row r="5100" spans="12:13">
      <c r="L5100" s="1">
        <v>44669.687499983527</v>
      </c>
      <c r="M5100" s="13"/>
    </row>
    <row r="5101" spans="12:13">
      <c r="L5101" s="1">
        <v>44669.690972205746</v>
      </c>
      <c r="M5101" s="13"/>
    </row>
    <row r="5102" spans="12:13">
      <c r="L5102" s="1">
        <v>44669.694444427965</v>
      </c>
      <c r="M5102" s="13"/>
    </row>
    <row r="5103" spans="12:13">
      <c r="L5103" s="1">
        <v>44669.697916650184</v>
      </c>
      <c r="M5103" s="13"/>
    </row>
    <row r="5104" spans="12:13">
      <c r="L5104" s="1">
        <v>44669.701388872403</v>
      </c>
      <c r="M5104" s="13"/>
    </row>
    <row r="5105" spans="12:13">
      <c r="L5105" s="1">
        <v>44669.704861094622</v>
      </c>
      <c r="M5105" s="13"/>
    </row>
    <row r="5106" spans="12:13">
      <c r="L5106" s="1">
        <v>44669.708333316841</v>
      </c>
      <c r="M5106" s="13"/>
    </row>
    <row r="5107" spans="12:13">
      <c r="L5107" s="1">
        <v>44669.71180553906</v>
      </c>
      <c r="M5107" s="13"/>
    </row>
    <row r="5108" spans="12:13">
      <c r="L5108" s="1">
        <v>44669.715277761279</v>
      </c>
      <c r="M5108" s="13"/>
    </row>
    <row r="5109" spans="12:13">
      <c r="L5109" s="1">
        <v>44669.718749983498</v>
      </c>
      <c r="M5109" s="13"/>
    </row>
    <row r="5110" spans="12:13">
      <c r="L5110" s="1">
        <v>44669.722222205717</v>
      </c>
      <c r="M5110" s="13"/>
    </row>
    <row r="5111" spans="12:13">
      <c r="L5111" s="1">
        <v>44669.725694427936</v>
      </c>
      <c r="M5111" s="13"/>
    </row>
    <row r="5112" spans="12:13">
      <c r="L5112" s="1">
        <v>44669.729166650155</v>
      </c>
      <c r="M5112" s="13"/>
    </row>
    <row r="5113" spans="12:13">
      <c r="L5113" s="1">
        <v>44669.732638872374</v>
      </c>
      <c r="M5113" s="13"/>
    </row>
    <row r="5114" spans="12:13">
      <c r="L5114" s="1">
        <v>44669.736111094593</v>
      </c>
      <c r="M5114" s="13"/>
    </row>
    <row r="5115" spans="12:13">
      <c r="L5115" s="1">
        <v>44669.739583316812</v>
      </c>
      <c r="M5115" s="13"/>
    </row>
    <row r="5116" spans="12:13">
      <c r="L5116" s="1">
        <v>44669.743055539031</v>
      </c>
      <c r="M5116" s="13"/>
    </row>
    <row r="5117" spans="12:13">
      <c r="L5117" s="1">
        <v>44669.74652776125</v>
      </c>
      <c r="M5117" s="13"/>
    </row>
    <row r="5118" spans="12:13">
      <c r="L5118" s="1">
        <v>44669.749999983469</v>
      </c>
      <c r="M5118" s="13"/>
    </row>
    <row r="5119" spans="12:13">
      <c r="L5119" s="1">
        <v>44669.753472205688</v>
      </c>
      <c r="M5119" s="13"/>
    </row>
    <row r="5120" spans="12:13">
      <c r="L5120" s="1">
        <v>44669.756944427907</v>
      </c>
      <c r="M5120" s="13"/>
    </row>
    <row r="5121" spans="12:13">
      <c r="L5121" s="1">
        <v>44669.760416650126</v>
      </c>
      <c r="M5121" s="13"/>
    </row>
    <row r="5122" spans="12:13">
      <c r="L5122" s="1">
        <v>44669.763888872345</v>
      </c>
      <c r="M5122" s="13"/>
    </row>
    <row r="5123" spans="12:13">
      <c r="L5123" s="1">
        <v>44669.767361094564</v>
      </c>
      <c r="M5123" s="13"/>
    </row>
    <row r="5124" spans="12:13">
      <c r="L5124" s="1">
        <v>44669.770833316783</v>
      </c>
      <c r="M5124" s="13"/>
    </row>
    <row r="5125" spans="12:13">
      <c r="L5125" s="1">
        <v>44669.774305539002</v>
      </c>
      <c r="M5125" s="13"/>
    </row>
    <row r="5126" spans="12:13">
      <c r="L5126" s="1">
        <v>44669.777777761221</v>
      </c>
      <c r="M5126" s="13"/>
    </row>
    <row r="5127" spans="12:13">
      <c r="L5127" s="1">
        <v>44669.78124998344</v>
      </c>
      <c r="M5127" s="13"/>
    </row>
    <row r="5128" spans="12:13">
      <c r="L5128" s="1">
        <v>44669.784722205659</v>
      </c>
      <c r="M5128" s="13"/>
    </row>
    <row r="5129" spans="12:13">
      <c r="L5129" s="1">
        <v>44669.788194427878</v>
      </c>
      <c r="M5129" s="13"/>
    </row>
    <row r="5130" spans="12:13">
      <c r="L5130" s="1">
        <v>44669.791666650097</v>
      </c>
      <c r="M5130" s="13"/>
    </row>
    <row r="5131" spans="12:13">
      <c r="L5131" s="1">
        <v>44669.795138872316</v>
      </c>
      <c r="M5131" s="13"/>
    </row>
    <row r="5132" spans="12:13">
      <c r="L5132" s="1">
        <v>44669.798611094535</v>
      </c>
      <c r="M5132" s="13"/>
    </row>
    <row r="5133" spans="12:13">
      <c r="L5133" s="1">
        <v>44669.802083316754</v>
      </c>
      <c r="M5133" s="13"/>
    </row>
    <row r="5134" spans="12:13">
      <c r="L5134" s="1">
        <v>44669.805555538973</v>
      </c>
      <c r="M5134" s="13"/>
    </row>
    <row r="5135" spans="12:13">
      <c r="L5135" s="1">
        <v>44669.809027761192</v>
      </c>
      <c r="M5135" s="13"/>
    </row>
    <row r="5136" spans="12:13">
      <c r="L5136" s="1">
        <v>44669.812499983411</v>
      </c>
      <c r="M5136" s="13"/>
    </row>
    <row r="5137" spans="12:13">
      <c r="L5137" s="1">
        <v>44669.81597220563</v>
      </c>
      <c r="M5137" s="13"/>
    </row>
    <row r="5138" spans="12:13">
      <c r="L5138" s="1">
        <v>44669.819444427849</v>
      </c>
      <c r="M5138" s="13"/>
    </row>
    <row r="5139" spans="12:13">
      <c r="L5139" s="1">
        <v>44669.822916650068</v>
      </c>
      <c r="M5139" s="13"/>
    </row>
    <row r="5140" spans="12:13">
      <c r="L5140" s="1">
        <v>44669.826388872287</v>
      </c>
      <c r="M5140" s="13"/>
    </row>
    <row r="5141" spans="12:13">
      <c r="L5141" s="1">
        <v>44669.829861094506</v>
      </c>
      <c r="M5141" s="13"/>
    </row>
    <row r="5142" spans="12:13">
      <c r="L5142" s="1">
        <v>44669.833333316725</v>
      </c>
      <c r="M5142" s="13"/>
    </row>
    <row r="5143" spans="12:13">
      <c r="L5143" s="1">
        <v>44669.836805538944</v>
      </c>
      <c r="M5143" s="13"/>
    </row>
    <row r="5144" spans="12:13">
      <c r="L5144" s="1">
        <v>44669.840277761163</v>
      </c>
      <c r="M5144" s="13"/>
    </row>
    <row r="5145" spans="12:13">
      <c r="L5145" s="1">
        <v>44669.843749983382</v>
      </c>
      <c r="M5145" s="13"/>
    </row>
    <row r="5146" spans="12:13">
      <c r="L5146" s="1">
        <v>44669.847222205601</v>
      </c>
      <c r="M5146" s="13"/>
    </row>
    <row r="5147" spans="12:13">
      <c r="L5147" s="1">
        <v>44669.85069442782</v>
      </c>
      <c r="M5147" s="13"/>
    </row>
    <row r="5148" spans="12:13">
      <c r="L5148" s="1">
        <v>44669.854166650039</v>
      </c>
      <c r="M5148" s="13"/>
    </row>
    <row r="5149" spans="12:13">
      <c r="L5149" s="1">
        <v>44669.857638872258</v>
      </c>
      <c r="M5149" s="13"/>
    </row>
    <row r="5150" spans="12:13">
      <c r="L5150" s="1">
        <v>44669.861111094477</v>
      </c>
      <c r="M5150" s="13"/>
    </row>
    <row r="5151" spans="12:13">
      <c r="L5151" s="1">
        <v>44669.864583316696</v>
      </c>
      <c r="M5151" s="13"/>
    </row>
    <row r="5152" spans="12:13">
      <c r="L5152" s="1">
        <v>44669.868055538915</v>
      </c>
      <c r="M5152" s="13"/>
    </row>
    <row r="5153" spans="12:13">
      <c r="L5153" s="1">
        <v>44669.871527761134</v>
      </c>
      <c r="M5153" s="13"/>
    </row>
    <row r="5154" spans="12:13">
      <c r="L5154" s="1">
        <v>44669.874999983353</v>
      </c>
      <c r="M5154" s="13"/>
    </row>
    <row r="5155" spans="12:13">
      <c r="L5155" s="1">
        <v>44669.878472205572</v>
      </c>
      <c r="M5155" s="13"/>
    </row>
    <row r="5156" spans="12:13">
      <c r="L5156" s="1">
        <v>44669.881944427791</v>
      </c>
      <c r="M5156" s="13"/>
    </row>
    <row r="5157" spans="12:13">
      <c r="L5157" s="1">
        <v>44669.88541665001</v>
      </c>
      <c r="M5157" s="13"/>
    </row>
    <row r="5158" spans="12:13">
      <c r="L5158" s="1">
        <v>44669.888888872229</v>
      </c>
      <c r="M5158" s="13"/>
    </row>
    <row r="5159" spans="12:13">
      <c r="L5159" s="1">
        <v>44669.892361094448</v>
      </c>
      <c r="M5159" s="13"/>
    </row>
    <row r="5160" spans="12:13">
      <c r="L5160" s="1">
        <v>44669.895833316667</v>
      </c>
      <c r="M5160" s="13"/>
    </row>
    <row r="5161" spans="12:13">
      <c r="L5161" s="1">
        <v>44669.899305538886</v>
      </c>
      <c r="M5161" s="13"/>
    </row>
    <row r="5162" spans="12:13">
      <c r="L5162" s="1">
        <v>44669.902777761105</v>
      </c>
      <c r="M5162" s="13"/>
    </row>
    <row r="5163" spans="12:13">
      <c r="L5163" s="1">
        <v>44669.906249983324</v>
      </c>
      <c r="M5163" s="13"/>
    </row>
    <row r="5164" spans="12:13">
      <c r="L5164" s="1">
        <v>44669.909722205542</v>
      </c>
      <c r="M5164" s="13"/>
    </row>
    <row r="5165" spans="12:13">
      <c r="L5165" s="1">
        <v>44669.913194427761</v>
      </c>
      <c r="M5165" s="13"/>
    </row>
    <row r="5166" spans="12:13">
      <c r="L5166" s="1">
        <v>44669.91666664998</v>
      </c>
      <c r="M5166" s="13"/>
    </row>
    <row r="5167" spans="12:13">
      <c r="L5167" s="1">
        <v>44669.920138872199</v>
      </c>
      <c r="M5167" s="13"/>
    </row>
    <row r="5168" spans="12:13">
      <c r="L5168" s="1">
        <v>44669.923611094418</v>
      </c>
      <c r="M5168" s="13"/>
    </row>
    <row r="5169" spans="12:13">
      <c r="L5169" s="1">
        <v>44669.927083316637</v>
      </c>
      <c r="M5169" s="13"/>
    </row>
    <row r="5170" spans="12:13">
      <c r="L5170" s="1">
        <v>44669.930555538856</v>
      </c>
      <c r="M5170" s="13"/>
    </row>
    <row r="5171" spans="12:13">
      <c r="L5171" s="1">
        <v>44669.934027761075</v>
      </c>
      <c r="M5171" s="13"/>
    </row>
    <row r="5172" spans="12:13">
      <c r="L5172" s="1">
        <v>44669.937499983294</v>
      </c>
      <c r="M5172" s="13"/>
    </row>
    <row r="5173" spans="12:13">
      <c r="L5173" s="1">
        <v>44669.940972205513</v>
      </c>
      <c r="M5173" s="13"/>
    </row>
    <row r="5174" spans="12:13">
      <c r="L5174" s="1">
        <v>44669.944444427732</v>
      </c>
      <c r="M5174" s="13"/>
    </row>
    <row r="5175" spans="12:13">
      <c r="L5175" s="1">
        <v>44669.947916649951</v>
      </c>
      <c r="M5175" s="13"/>
    </row>
    <row r="5176" spans="12:13">
      <c r="L5176" s="1">
        <v>44669.95138887217</v>
      </c>
      <c r="M5176" s="13"/>
    </row>
    <row r="5177" spans="12:13">
      <c r="L5177" s="1">
        <v>44669.954861094389</v>
      </c>
      <c r="M5177" s="13"/>
    </row>
    <row r="5178" spans="12:13">
      <c r="L5178" s="1">
        <v>44669.958333316608</v>
      </c>
      <c r="M5178" s="13"/>
    </row>
    <row r="5179" spans="12:13">
      <c r="L5179" s="1">
        <v>44669.961805538827</v>
      </c>
      <c r="M5179" s="13"/>
    </row>
    <row r="5180" spans="12:13">
      <c r="L5180" s="1">
        <v>44669.965277761046</v>
      </c>
      <c r="M5180" s="13"/>
    </row>
    <row r="5181" spans="12:13">
      <c r="L5181" s="1">
        <v>44669.968749983265</v>
      </c>
      <c r="M5181" s="13"/>
    </row>
    <row r="5182" spans="12:13">
      <c r="L5182" s="1">
        <v>44669.972222205484</v>
      </c>
      <c r="M5182" s="13"/>
    </row>
    <row r="5183" spans="12:13">
      <c r="L5183" s="1">
        <v>44669.975694427703</v>
      </c>
      <c r="M5183" s="13"/>
    </row>
    <row r="5184" spans="12:13">
      <c r="L5184" s="1">
        <v>44669.979166649922</v>
      </c>
      <c r="M5184" s="13"/>
    </row>
    <row r="5185" spans="12:13">
      <c r="L5185" s="1">
        <v>44669.982638872141</v>
      </c>
      <c r="M5185" s="13"/>
    </row>
    <row r="5186" spans="12:13">
      <c r="L5186" s="1">
        <v>44669.98611109436</v>
      </c>
      <c r="M5186" s="13"/>
    </row>
    <row r="5187" spans="12:13">
      <c r="L5187" s="1">
        <v>44669.989583316579</v>
      </c>
      <c r="M5187" s="13"/>
    </row>
    <row r="5188" spans="12:13">
      <c r="L5188" s="1">
        <v>44669.993055538798</v>
      </c>
      <c r="M5188" s="13"/>
    </row>
    <row r="5189" spans="12:13">
      <c r="L5189" s="1">
        <v>44669.996527761017</v>
      </c>
      <c r="M5189" s="13"/>
    </row>
    <row r="5190" spans="12:13">
      <c r="L5190" s="1">
        <v>44669.999999983236</v>
      </c>
      <c r="M5190" s="13"/>
    </row>
    <row r="5191" spans="12:13">
      <c r="L5191" s="1">
        <v>44670.003472205455</v>
      </c>
      <c r="M5191" s="13"/>
    </row>
    <row r="5192" spans="12:13">
      <c r="L5192" s="1">
        <v>44670.006944427674</v>
      </c>
      <c r="M5192" s="13"/>
    </row>
    <row r="5193" spans="12:13">
      <c r="L5193" s="1">
        <v>44670.010416649893</v>
      </c>
      <c r="M5193" s="13"/>
    </row>
    <row r="5194" spans="12:13">
      <c r="L5194" s="1">
        <v>44670.013888872112</v>
      </c>
      <c r="M5194" s="13"/>
    </row>
    <row r="5195" spans="12:13">
      <c r="L5195" s="1">
        <v>44670.017361094331</v>
      </c>
      <c r="M5195" s="13"/>
    </row>
    <row r="5196" spans="12:13">
      <c r="L5196" s="1">
        <v>44670.02083331655</v>
      </c>
      <c r="M5196" s="13"/>
    </row>
    <row r="5197" spans="12:13">
      <c r="L5197" s="1">
        <v>44670.024305538769</v>
      </c>
      <c r="M5197" s="13"/>
    </row>
    <row r="5198" spans="12:13">
      <c r="L5198" s="1">
        <v>44670.027777760988</v>
      </c>
      <c r="M5198" s="13"/>
    </row>
    <row r="5199" spans="12:13">
      <c r="L5199" s="1">
        <v>44670.031249983207</v>
      </c>
      <c r="M5199" s="13"/>
    </row>
    <row r="5200" spans="12:13">
      <c r="L5200" s="1">
        <v>44670.034722205426</v>
      </c>
      <c r="M5200" s="13"/>
    </row>
    <row r="5201" spans="12:13">
      <c r="L5201" s="1">
        <v>44670.038194427645</v>
      </c>
      <c r="M5201" s="13"/>
    </row>
    <row r="5202" spans="12:13">
      <c r="L5202" s="1">
        <v>44670.041666649864</v>
      </c>
      <c r="M5202" s="13"/>
    </row>
    <row r="5203" spans="12:13">
      <c r="L5203" s="1">
        <v>44670.045138872083</v>
      </c>
      <c r="M5203" s="13"/>
    </row>
    <row r="5204" spans="12:13">
      <c r="L5204" s="1">
        <v>44670.048611094302</v>
      </c>
      <c r="M5204" s="13"/>
    </row>
    <row r="5205" spans="12:13">
      <c r="L5205" s="1">
        <v>44670.052083316521</v>
      </c>
      <c r="M5205" s="13"/>
    </row>
    <row r="5206" spans="12:13">
      <c r="L5206" s="1">
        <v>44670.05555553874</v>
      </c>
      <c r="M5206" s="13"/>
    </row>
    <row r="5207" spans="12:13">
      <c r="L5207" s="1">
        <v>44670.059027760959</v>
      </c>
      <c r="M5207" s="13"/>
    </row>
    <row r="5208" spans="12:13">
      <c r="L5208" s="1">
        <v>44670.062499983178</v>
      </c>
      <c r="M5208" s="13"/>
    </row>
    <row r="5209" spans="12:13">
      <c r="L5209" s="1">
        <v>44670.065972205397</v>
      </c>
      <c r="M5209" s="13"/>
    </row>
    <row r="5210" spans="12:13">
      <c r="L5210" s="1">
        <v>44670.069444427616</v>
      </c>
      <c r="M5210" s="13"/>
    </row>
    <row r="5211" spans="12:13">
      <c r="L5211" s="1">
        <v>44670.072916649835</v>
      </c>
      <c r="M5211" s="13"/>
    </row>
    <row r="5212" spans="12:13">
      <c r="L5212" s="1">
        <v>44670.076388872054</v>
      </c>
      <c r="M5212" s="13"/>
    </row>
    <row r="5213" spans="12:13">
      <c r="L5213" s="1">
        <v>44670.079861094273</v>
      </c>
      <c r="M5213" s="13"/>
    </row>
    <row r="5214" spans="12:13">
      <c r="L5214" s="1">
        <v>44670.083333316492</v>
      </c>
      <c r="M5214" s="13"/>
    </row>
    <row r="5215" spans="12:13">
      <c r="L5215" s="1">
        <v>44670.086805538711</v>
      </c>
      <c r="M5215" s="13"/>
    </row>
    <row r="5216" spans="12:13">
      <c r="L5216" s="1">
        <v>44670.09027776093</v>
      </c>
      <c r="M5216" s="13"/>
    </row>
    <row r="5217" spans="12:13">
      <c r="L5217" s="1">
        <v>44670.093749983149</v>
      </c>
      <c r="M5217" s="13"/>
    </row>
    <row r="5218" spans="12:13">
      <c r="L5218" s="1">
        <v>44670.097222205368</v>
      </c>
      <c r="M5218" s="13"/>
    </row>
    <row r="5219" spans="12:13">
      <c r="L5219" s="1">
        <v>44670.100694427587</v>
      </c>
      <c r="M5219" s="13"/>
    </row>
    <row r="5220" spans="12:13">
      <c r="L5220" s="1">
        <v>44670.104166649806</v>
      </c>
      <c r="M5220" s="13"/>
    </row>
    <row r="5221" spans="12:13">
      <c r="L5221" s="1">
        <v>44670.107638872025</v>
      </c>
      <c r="M5221" s="13"/>
    </row>
    <row r="5222" spans="12:13">
      <c r="L5222" s="1">
        <v>44670.111111094244</v>
      </c>
      <c r="M5222" s="13"/>
    </row>
    <row r="5223" spans="12:13">
      <c r="L5223" s="1">
        <v>44670.114583316463</v>
      </c>
      <c r="M5223" s="13"/>
    </row>
    <row r="5224" spans="12:13">
      <c r="L5224" s="1">
        <v>44670.118055538682</v>
      </c>
      <c r="M5224" s="13"/>
    </row>
    <row r="5225" spans="12:13">
      <c r="L5225" s="1">
        <v>44670.121527760901</v>
      </c>
      <c r="M5225" s="13"/>
    </row>
    <row r="5226" spans="12:13">
      <c r="L5226" s="1">
        <v>44670.12499998312</v>
      </c>
      <c r="M5226" s="13"/>
    </row>
    <row r="5227" spans="12:13">
      <c r="L5227" s="1">
        <v>44670.128472205339</v>
      </c>
      <c r="M5227" s="13"/>
    </row>
    <row r="5228" spans="12:13">
      <c r="L5228" s="1">
        <v>44670.131944427558</v>
      </c>
      <c r="M5228" s="13"/>
    </row>
    <row r="5229" spans="12:13">
      <c r="L5229" s="1">
        <v>44670.135416649777</v>
      </c>
      <c r="M5229" s="13"/>
    </row>
    <row r="5230" spans="12:13">
      <c r="L5230" s="1">
        <v>44670.138888871996</v>
      </c>
      <c r="M5230" s="13"/>
    </row>
    <row r="5231" spans="12:13">
      <c r="L5231" s="1">
        <v>44670.142361094215</v>
      </c>
      <c r="M5231" s="13"/>
    </row>
    <row r="5232" spans="12:13">
      <c r="L5232" s="1">
        <v>44670.145833316434</v>
      </c>
      <c r="M5232" s="13"/>
    </row>
    <row r="5233" spans="12:13">
      <c r="L5233" s="1">
        <v>44670.149305538653</v>
      </c>
      <c r="M5233" s="13"/>
    </row>
    <row r="5234" spans="12:13">
      <c r="L5234" s="1">
        <v>44670.152777760872</v>
      </c>
      <c r="M5234" s="13"/>
    </row>
    <row r="5235" spans="12:13">
      <c r="L5235" s="1">
        <v>44670.156249983091</v>
      </c>
      <c r="M5235" s="13"/>
    </row>
    <row r="5236" spans="12:13">
      <c r="L5236" s="1">
        <v>44670.15972220531</v>
      </c>
      <c r="M5236" s="13"/>
    </row>
    <row r="5237" spans="12:13">
      <c r="L5237" s="1">
        <v>44670.163194427529</v>
      </c>
      <c r="M5237" s="13"/>
    </row>
    <row r="5238" spans="12:13">
      <c r="L5238" s="1">
        <v>44670.166666649748</v>
      </c>
      <c r="M5238" s="13"/>
    </row>
    <row r="5239" spans="12:13">
      <c r="L5239" s="1">
        <v>44670.170138871967</v>
      </c>
      <c r="M5239" s="13"/>
    </row>
    <row r="5240" spans="12:13">
      <c r="L5240" s="1">
        <v>44670.173611094186</v>
      </c>
      <c r="M5240" s="13"/>
    </row>
    <row r="5241" spans="12:13">
      <c r="L5241" s="1">
        <v>44670.177083316405</v>
      </c>
      <c r="M5241" s="13"/>
    </row>
    <row r="5242" spans="12:13">
      <c r="L5242" s="1">
        <v>44670.180555538624</v>
      </c>
      <c r="M5242" s="13"/>
    </row>
    <row r="5243" spans="12:13">
      <c r="L5243" s="1">
        <v>44670.184027760843</v>
      </c>
      <c r="M5243" s="13"/>
    </row>
    <row r="5244" spans="12:13">
      <c r="L5244" s="1">
        <v>44670.187499983062</v>
      </c>
      <c r="M5244" s="13"/>
    </row>
    <row r="5245" spans="12:13">
      <c r="L5245" s="1">
        <v>44670.190972205281</v>
      </c>
      <c r="M5245" s="13"/>
    </row>
    <row r="5246" spans="12:13">
      <c r="L5246" s="1">
        <v>44670.1944444275</v>
      </c>
      <c r="M5246" s="13"/>
    </row>
    <row r="5247" spans="12:13">
      <c r="L5247" s="1">
        <v>44670.197916649719</v>
      </c>
      <c r="M5247" s="13"/>
    </row>
    <row r="5248" spans="12:13">
      <c r="L5248" s="1">
        <v>44670.201388871938</v>
      </c>
      <c r="M5248" s="13"/>
    </row>
    <row r="5249" spans="12:13">
      <c r="L5249" s="1">
        <v>44670.204861094157</v>
      </c>
      <c r="M5249" s="13"/>
    </row>
    <row r="5250" spans="12:13">
      <c r="L5250" s="1">
        <v>44670.208333316376</v>
      </c>
      <c r="M5250" s="13"/>
    </row>
    <row r="5251" spans="12:13">
      <c r="L5251" s="1">
        <v>44670.211805538594</v>
      </c>
      <c r="M5251" s="13"/>
    </row>
    <row r="5252" spans="12:13">
      <c r="L5252" s="1">
        <v>44670.215277760813</v>
      </c>
      <c r="M5252" s="13"/>
    </row>
    <row r="5253" spans="12:13">
      <c r="L5253" s="1">
        <v>44670.218749983032</v>
      </c>
      <c r="M5253" s="13"/>
    </row>
    <row r="5254" spans="12:13">
      <c r="L5254" s="1">
        <v>44670.222222205251</v>
      </c>
      <c r="M5254" s="13"/>
    </row>
    <row r="5255" spans="12:13">
      <c r="L5255" s="1">
        <v>44670.22569442747</v>
      </c>
      <c r="M5255" s="13"/>
    </row>
    <row r="5256" spans="12:13">
      <c r="L5256" s="1">
        <v>44670.229166649689</v>
      </c>
      <c r="M5256" s="13"/>
    </row>
    <row r="5257" spans="12:13">
      <c r="L5257" s="1">
        <v>44670.232638871908</v>
      </c>
      <c r="M5257" s="13"/>
    </row>
    <row r="5258" spans="12:13">
      <c r="L5258" s="1">
        <v>44670.236111094127</v>
      </c>
      <c r="M5258" s="13"/>
    </row>
    <row r="5259" spans="12:13">
      <c r="L5259" s="1">
        <v>44670.239583316346</v>
      </c>
      <c r="M5259" s="13"/>
    </row>
    <row r="5260" spans="12:13">
      <c r="L5260" s="1">
        <v>44670.243055538565</v>
      </c>
      <c r="M5260" s="13"/>
    </row>
    <row r="5261" spans="12:13">
      <c r="L5261" s="1">
        <v>44670.246527760784</v>
      </c>
      <c r="M5261" s="13"/>
    </row>
    <row r="5262" spans="12:13">
      <c r="L5262" s="1">
        <v>44670.249999983003</v>
      </c>
      <c r="M5262" s="13"/>
    </row>
    <row r="5263" spans="12:13">
      <c r="L5263" s="1">
        <v>44670.253472205222</v>
      </c>
      <c r="M5263" s="13"/>
    </row>
    <row r="5264" spans="12:13">
      <c r="L5264" s="1">
        <v>44670.256944427441</v>
      </c>
      <c r="M5264" s="13"/>
    </row>
    <row r="5265" spans="12:13">
      <c r="L5265" s="1">
        <v>44670.26041664966</v>
      </c>
      <c r="M5265" s="13"/>
    </row>
    <row r="5266" spans="12:13">
      <c r="L5266" s="1">
        <v>44670.263888871879</v>
      </c>
      <c r="M5266" s="13"/>
    </row>
    <row r="5267" spans="12:13">
      <c r="L5267" s="1">
        <v>44670.267361094098</v>
      </c>
      <c r="M5267" s="13"/>
    </row>
    <row r="5268" spans="12:13">
      <c r="L5268" s="1">
        <v>44670.270833316317</v>
      </c>
      <c r="M5268" s="13"/>
    </row>
    <row r="5269" spans="12:13">
      <c r="L5269" s="1">
        <v>44670.274305538536</v>
      </c>
      <c r="M5269" s="13"/>
    </row>
    <row r="5270" spans="12:13">
      <c r="L5270" s="1">
        <v>44670.277777760755</v>
      </c>
      <c r="M5270" s="13"/>
    </row>
    <row r="5271" spans="12:13">
      <c r="L5271" s="1">
        <v>44670.281249982974</v>
      </c>
      <c r="M5271" s="13"/>
    </row>
    <row r="5272" spans="12:13">
      <c r="L5272" s="1">
        <v>44670.284722205193</v>
      </c>
      <c r="M5272" s="13"/>
    </row>
    <row r="5273" spans="12:13">
      <c r="L5273" s="1">
        <v>44670.288194427412</v>
      </c>
      <c r="M5273" s="13"/>
    </row>
    <row r="5274" spans="12:13">
      <c r="L5274" s="1">
        <v>44670.291666649631</v>
      </c>
      <c r="M5274" s="13"/>
    </row>
    <row r="5275" spans="12:13">
      <c r="L5275" s="1">
        <v>44670.29513887185</v>
      </c>
      <c r="M5275" s="13"/>
    </row>
    <row r="5276" spans="12:13">
      <c r="L5276" s="1">
        <v>44670.298611094069</v>
      </c>
      <c r="M5276" s="13"/>
    </row>
    <row r="5277" spans="12:13">
      <c r="L5277" s="1">
        <v>44670.302083316288</v>
      </c>
      <c r="M5277" s="13"/>
    </row>
    <row r="5278" spans="12:13">
      <c r="L5278" s="1">
        <v>44670.305555538507</v>
      </c>
      <c r="M5278" s="13"/>
    </row>
    <row r="5279" spans="12:13">
      <c r="L5279" s="1">
        <v>44670.309027760726</v>
      </c>
      <c r="M5279" s="13"/>
    </row>
    <row r="5280" spans="12:13">
      <c r="L5280" s="1">
        <v>44670.312499982945</v>
      </c>
      <c r="M5280" s="13"/>
    </row>
    <row r="5281" spans="12:13">
      <c r="L5281" s="1">
        <v>44670.315972205164</v>
      </c>
      <c r="M5281" s="13"/>
    </row>
    <row r="5282" spans="12:13">
      <c r="L5282" s="1">
        <v>44670.319444427383</v>
      </c>
      <c r="M5282" s="13"/>
    </row>
    <row r="5283" spans="12:13">
      <c r="L5283" s="1">
        <v>44670.322916649602</v>
      </c>
      <c r="M5283" s="13"/>
    </row>
    <row r="5284" spans="12:13">
      <c r="L5284" s="1">
        <v>44670.326388871821</v>
      </c>
      <c r="M5284" s="13"/>
    </row>
    <row r="5285" spans="12:13">
      <c r="L5285" s="1">
        <v>44670.32986109404</v>
      </c>
      <c r="M5285" s="13"/>
    </row>
    <row r="5286" spans="12:13">
      <c r="L5286" s="1">
        <v>44670.333333316259</v>
      </c>
      <c r="M5286" s="13"/>
    </row>
    <row r="5287" spans="12:13">
      <c r="L5287" s="1">
        <v>44670.336805538478</v>
      </c>
      <c r="M5287" s="13"/>
    </row>
    <row r="5288" spans="12:13">
      <c r="L5288" s="1">
        <v>44670.340277760697</v>
      </c>
      <c r="M5288" s="13"/>
    </row>
    <row r="5289" spans="12:13">
      <c r="L5289" s="1">
        <v>44670.343749982916</v>
      </c>
      <c r="M5289" s="13"/>
    </row>
    <row r="5290" spans="12:13">
      <c r="L5290" s="1">
        <v>44670.347222205135</v>
      </c>
      <c r="M5290" s="13"/>
    </row>
    <row r="5291" spans="12:13">
      <c r="L5291" s="1">
        <v>44670.350694427354</v>
      </c>
      <c r="M5291" s="13"/>
    </row>
    <row r="5292" spans="12:13">
      <c r="L5292" s="1">
        <v>44670.354166649573</v>
      </c>
      <c r="M5292" s="13"/>
    </row>
    <row r="5293" spans="12:13">
      <c r="L5293" s="1">
        <v>44670.357638871792</v>
      </c>
      <c r="M5293" s="13"/>
    </row>
    <row r="5294" spans="12:13">
      <c r="L5294" s="1">
        <v>44670.361111094011</v>
      </c>
      <c r="M5294" s="13"/>
    </row>
    <row r="5295" spans="12:13">
      <c r="L5295" s="1">
        <v>44670.36458331623</v>
      </c>
      <c r="M5295" s="13"/>
    </row>
    <row r="5296" spans="12:13">
      <c r="L5296" s="1">
        <v>44670.368055538449</v>
      </c>
      <c r="M5296" s="13"/>
    </row>
    <row r="5297" spans="12:13">
      <c r="L5297" s="1">
        <v>44670.371527760668</v>
      </c>
      <c r="M5297" s="13"/>
    </row>
    <row r="5298" spans="12:13">
      <c r="L5298" s="1">
        <v>44670.374999982887</v>
      </c>
      <c r="M5298" s="13"/>
    </row>
    <row r="5299" spans="12:13">
      <c r="L5299" s="1">
        <v>44670.378472205106</v>
      </c>
      <c r="M5299" s="13"/>
    </row>
    <row r="5300" spans="12:13">
      <c r="L5300" s="1">
        <v>44670.381944427325</v>
      </c>
      <c r="M5300" s="13"/>
    </row>
    <row r="5301" spans="12:13">
      <c r="L5301" s="1">
        <v>44670.385416649544</v>
      </c>
      <c r="M5301" s="13"/>
    </row>
    <row r="5302" spans="12:13">
      <c r="L5302" s="1">
        <v>44670.388888871763</v>
      </c>
      <c r="M5302" s="13"/>
    </row>
    <row r="5303" spans="12:13">
      <c r="L5303" s="1">
        <v>44670.392361093982</v>
      </c>
      <c r="M5303" s="13"/>
    </row>
    <row r="5304" spans="12:13">
      <c r="L5304" s="1">
        <v>44670.395833316201</v>
      </c>
      <c r="M5304" s="13"/>
    </row>
    <row r="5305" spans="12:13">
      <c r="L5305" s="1">
        <v>44670.39930553842</v>
      </c>
      <c r="M5305" s="13"/>
    </row>
    <row r="5306" spans="12:13">
      <c r="L5306" s="1">
        <v>44670.402777760639</v>
      </c>
      <c r="M5306" s="13"/>
    </row>
    <row r="5307" spans="12:13">
      <c r="L5307" s="1">
        <v>44670.406249982858</v>
      </c>
      <c r="M5307" s="13"/>
    </row>
    <row r="5308" spans="12:13">
      <c r="L5308" s="1">
        <v>44670.409722205077</v>
      </c>
      <c r="M5308" s="13"/>
    </row>
    <row r="5309" spans="12:13">
      <c r="L5309" s="1">
        <v>44670.413194427296</v>
      </c>
      <c r="M5309" s="13"/>
    </row>
    <row r="5310" spans="12:13">
      <c r="L5310" s="1">
        <v>44670.416666649515</v>
      </c>
      <c r="M5310" s="13"/>
    </row>
    <row r="5311" spans="12:13">
      <c r="L5311" s="1">
        <v>44670.420138871734</v>
      </c>
      <c r="M5311" s="13"/>
    </row>
    <row r="5312" spans="12:13">
      <c r="L5312" s="1">
        <v>44670.423611093953</v>
      </c>
      <c r="M5312" s="13"/>
    </row>
    <row r="5313" spans="12:13">
      <c r="L5313" s="1">
        <v>44670.427083316172</v>
      </c>
      <c r="M5313" s="13"/>
    </row>
    <row r="5314" spans="12:13">
      <c r="L5314" s="1">
        <v>44670.430555538391</v>
      </c>
      <c r="M5314" s="13"/>
    </row>
    <row r="5315" spans="12:13">
      <c r="L5315" s="1">
        <v>44670.43402776061</v>
      </c>
      <c r="M5315" s="13"/>
    </row>
    <row r="5316" spans="12:13">
      <c r="L5316" s="1">
        <v>44670.437499982829</v>
      </c>
      <c r="M5316" s="13"/>
    </row>
    <row r="5317" spans="12:13">
      <c r="L5317" s="1">
        <v>44670.440972205048</v>
      </c>
      <c r="M5317" s="13"/>
    </row>
    <row r="5318" spans="12:13">
      <c r="L5318" s="1">
        <v>44670.444444427267</v>
      </c>
      <c r="M5318" s="13"/>
    </row>
    <row r="5319" spans="12:13">
      <c r="L5319" s="1">
        <v>44670.447916649486</v>
      </c>
      <c r="M5319" s="13"/>
    </row>
    <row r="5320" spans="12:13">
      <c r="L5320" s="1">
        <v>44670.451388871705</v>
      </c>
      <c r="M5320" s="13"/>
    </row>
    <row r="5321" spans="12:13">
      <c r="L5321" s="1">
        <v>44670.454861093924</v>
      </c>
      <c r="M5321" s="13"/>
    </row>
    <row r="5322" spans="12:13">
      <c r="L5322" s="1">
        <v>44670.458333316143</v>
      </c>
      <c r="M5322" s="13"/>
    </row>
    <row r="5323" spans="12:13">
      <c r="L5323" s="1">
        <v>44670.461805538362</v>
      </c>
      <c r="M5323" s="13"/>
    </row>
    <row r="5324" spans="12:13">
      <c r="L5324" s="1">
        <v>44670.465277760581</v>
      </c>
      <c r="M5324" s="13"/>
    </row>
    <row r="5325" spans="12:13">
      <c r="L5325" s="1">
        <v>44670.4687499828</v>
      </c>
      <c r="M5325" s="13"/>
    </row>
    <row r="5326" spans="12:13">
      <c r="L5326" s="1">
        <v>44670.472222205019</v>
      </c>
      <c r="M5326" s="13"/>
    </row>
    <row r="5327" spans="12:13">
      <c r="L5327" s="1">
        <v>44670.475694427238</v>
      </c>
      <c r="M5327" s="13"/>
    </row>
    <row r="5328" spans="12:13">
      <c r="L5328" s="1">
        <v>44670.479166649457</v>
      </c>
      <c r="M5328" s="13"/>
    </row>
    <row r="5329" spans="12:13">
      <c r="L5329" s="1">
        <v>44670.482638871676</v>
      </c>
      <c r="M5329" s="13"/>
    </row>
    <row r="5330" spans="12:13">
      <c r="L5330" s="1">
        <v>44670.486111093895</v>
      </c>
      <c r="M5330" s="13"/>
    </row>
    <row r="5331" spans="12:13">
      <c r="L5331" s="1">
        <v>44670.489583316114</v>
      </c>
      <c r="M5331" s="13"/>
    </row>
    <row r="5332" spans="12:13">
      <c r="L5332" s="1">
        <v>44670.493055538333</v>
      </c>
      <c r="M5332" s="13"/>
    </row>
    <row r="5333" spans="12:13">
      <c r="L5333" s="1">
        <v>44670.496527760552</v>
      </c>
      <c r="M5333" s="13"/>
    </row>
    <row r="5334" spans="12:13">
      <c r="L5334" s="1">
        <v>44670.499999982771</v>
      </c>
      <c r="M5334" s="13"/>
    </row>
    <row r="5335" spans="12:13">
      <c r="L5335" s="1">
        <v>44670.50347220499</v>
      </c>
      <c r="M5335" s="13"/>
    </row>
    <row r="5336" spans="12:13">
      <c r="L5336" s="1">
        <v>44670.506944427209</v>
      </c>
      <c r="M5336" s="13"/>
    </row>
    <row r="5337" spans="12:13">
      <c r="L5337" s="1">
        <v>44670.510416649427</v>
      </c>
      <c r="M5337" s="13"/>
    </row>
    <row r="5338" spans="12:13">
      <c r="L5338" s="1">
        <v>44670.513888871646</v>
      </c>
      <c r="M5338" s="13"/>
    </row>
    <row r="5339" spans="12:13">
      <c r="L5339" s="1">
        <v>44670.517361093865</v>
      </c>
      <c r="M5339" s="13"/>
    </row>
    <row r="5340" spans="12:13">
      <c r="L5340" s="1">
        <v>44670.520833316084</v>
      </c>
      <c r="M5340" s="13"/>
    </row>
    <row r="5341" spans="12:13">
      <c r="L5341" s="1">
        <v>44670.524305538303</v>
      </c>
      <c r="M5341" s="13"/>
    </row>
    <row r="5342" spans="12:13">
      <c r="L5342" s="1">
        <v>44670.527777760522</v>
      </c>
      <c r="M5342" s="13"/>
    </row>
    <row r="5343" spans="12:13">
      <c r="L5343" s="1">
        <v>44670.531249982741</v>
      </c>
      <c r="M5343" s="13"/>
    </row>
    <row r="5344" spans="12:13">
      <c r="L5344" s="1">
        <v>44670.53472220496</v>
      </c>
      <c r="M5344" s="13"/>
    </row>
    <row r="5345" spans="12:13">
      <c r="L5345" s="1">
        <v>44670.538194427179</v>
      </c>
      <c r="M5345" s="13"/>
    </row>
    <row r="5346" spans="12:13">
      <c r="L5346" s="1">
        <v>44670.541666649398</v>
      </c>
      <c r="M5346" s="13"/>
    </row>
    <row r="5347" spans="12:13">
      <c r="L5347" s="1">
        <v>44670.545138871617</v>
      </c>
      <c r="M5347" s="13"/>
    </row>
    <row r="5348" spans="12:13">
      <c r="L5348" s="1">
        <v>44670.548611093836</v>
      </c>
      <c r="M5348" s="13"/>
    </row>
    <row r="5349" spans="12:13">
      <c r="L5349" s="1">
        <v>44670.552083316055</v>
      </c>
      <c r="M5349" s="13"/>
    </row>
    <row r="5350" spans="12:13">
      <c r="L5350" s="1">
        <v>44670.555555538274</v>
      </c>
      <c r="M5350" s="13"/>
    </row>
    <row r="5351" spans="12:13">
      <c r="L5351" s="1">
        <v>44670.559027760493</v>
      </c>
      <c r="M5351" s="13"/>
    </row>
    <row r="5352" spans="12:13">
      <c r="L5352" s="1">
        <v>44670.562499982712</v>
      </c>
      <c r="M5352" s="13"/>
    </row>
    <row r="5353" spans="12:13">
      <c r="L5353" s="1">
        <v>44670.565972204931</v>
      </c>
      <c r="M5353" s="13"/>
    </row>
    <row r="5354" spans="12:13">
      <c r="L5354" s="1">
        <v>44670.56944442715</v>
      </c>
      <c r="M5354" s="13"/>
    </row>
    <row r="5355" spans="12:13">
      <c r="L5355" s="1">
        <v>44670.572916649369</v>
      </c>
      <c r="M5355" s="13"/>
    </row>
    <row r="5356" spans="12:13">
      <c r="L5356" s="1">
        <v>44670.576388871588</v>
      </c>
      <c r="M5356" s="13"/>
    </row>
    <row r="5357" spans="12:13">
      <c r="L5357" s="1">
        <v>44670.579861093807</v>
      </c>
      <c r="M5357" s="13"/>
    </row>
    <row r="5358" spans="12:13">
      <c r="L5358" s="1">
        <v>44670.583333316026</v>
      </c>
      <c r="M5358" s="13"/>
    </row>
    <row r="5359" spans="12:13">
      <c r="L5359" s="1">
        <v>44670.586805538245</v>
      </c>
      <c r="M5359" s="13"/>
    </row>
    <row r="5360" spans="12:13">
      <c r="L5360" s="1">
        <v>44670.590277760464</v>
      </c>
      <c r="M5360" s="13"/>
    </row>
    <row r="5361" spans="12:13">
      <c r="L5361" s="1">
        <v>44670.593749982683</v>
      </c>
      <c r="M5361" s="13"/>
    </row>
    <row r="5362" spans="12:13">
      <c r="L5362" s="1">
        <v>44670.597222204902</v>
      </c>
      <c r="M5362" s="13"/>
    </row>
    <row r="5363" spans="12:13">
      <c r="L5363" s="1">
        <v>44670.600694427121</v>
      </c>
      <c r="M5363" s="13"/>
    </row>
    <row r="5364" spans="12:13">
      <c r="L5364" s="1">
        <v>44670.60416664934</v>
      </c>
      <c r="M5364" s="13"/>
    </row>
    <row r="5365" spans="12:13">
      <c r="L5365" s="1">
        <v>44670.607638871559</v>
      </c>
      <c r="M5365" s="13"/>
    </row>
    <row r="5366" spans="12:13">
      <c r="L5366" s="1">
        <v>44670.611111093778</v>
      </c>
      <c r="M5366" s="13"/>
    </row>
    <row r="5367" spans="12:13">
      <c r="L5367" s="1">
        <v>44670.614583315997</v>
      </c>
      <c r="M5367" s="13"/>
    </row>
    <row r="5368" spans="12:13">
      <c r="L5368" s="1">
        <v>44670.618055538216</v>
      </c>
      <c r="M5368" s="13"/>
    </row>
    <row r="5369" spans="12:13">
      <c r="L5369" s="1">
        <v>44670.621527760435</v>
      </c>
      <c r="M5369" s="13"/>
    </row>
    <row r="5370" spans="12:13">
      <c r="L5370" s="1">
        <v>44670.624999982654</v>
      </c>
      <c r="M5370" s="13"/>
    </row>
    <row r="5371" spans="12:13">
      <c r="L5371" s="1">
        <v>44670.628472204873</v>
      </c>
      <c r="M5371" s="13"/>
    </row>
    <row r="5372" spans="12:13">
      <c r="L5372" s="1">
        <v>44670.631944427092</v>
      </c>
      <c r="M5372" s="13"/>
    </row>
    <row r="5373" spans="12:13">
      <c r="L5373" s="1">
        <v>44670.635416649311</v>
      </c>
      <c r="M5373" s="13"/>
    </row>
    <row r="5374" spans="12:13">
      <c r="L5374" s="1">
        <v>44670.63888887153</v>
      </c>
      <c r="M5374" s="13"/>
    </row>
    <row r="5375" spans="12:13">
      <c r="L5375" s="1">
        <v>44670.642361093749</v>
      </c>
      <c r="M5375" s="13"/>
    </row>
    <row r="5376" spans="12:13">
      <c r="L5376" s="1">
        <v>44670.645833315968</v>
      </c>
      <c r="M5376" s="13"/>
    </row>
    <row r="5377" spans="12:13">
      <c r="L5377" s="1">
        <v>44670.649305538187</v>
      </c>
      <c r="M5377" s="13"/>
    </row>
    <row r="5378" spans="12:13">
      <c r="L5378" s="1">
        <v>44670.652777760406</v>
      </c>
      <c r="M5378" s="13"/>
    </row>
    <row r="5379" spans="12:13">
      <c r="L5379" s="1">
        <v>44670.656249982625</v>
      </c>
      <c r="M5379" s="13"/>
    </row>
    <row r="5380" spans="12:13">
      <c r="L5380" s="1">
        <v>44670.659722204844</v>
      </c>
      <c r="M5380" s="13"/>
    </row>
    <row r="5381" spans="12:13">
      <c r="L5381" s="1">
        <v>44670.663194427063</v>
      </c>
      <c r="M5381" s="13"/>
    </row>
    <row r="5382" spans="12:13">
      <c r="L5382" s="1">
        <v>44670.666666649282</v>
      </c>
      <c r="M5382" s="13"/>
    </row>
    <row r="5383" spans="12:13">
      <c r="L5383" s="1">
        <v>44670.670138871501</v>
      </c>
      <c r="M5383" s="13"/>
    </row>
    <row r="5384" spans="12:13">
      <c r="L5384" s="1">
        <v>44670.67361109372</v>
      </c>
      <c r="M5384" s="13"/>
    </row>
    <row r="5385" spans="12:13">
      <c r="L5385" s="1">
        <v>44670.677083315939</v>
      </c>
      <c r="M5385" s="13"/>
    </row>
    <row r="5386" spans="12:13">
      <c r="L5386" s="1">
        <v>44670.680555538158</v>
      </c>
      <c r="M5386" s="13"/>
    </row>
    <row r="5387" spans="12:13">
      <c r="L5387" s="1">
        <v>44670.684027760377</v>
      </c>
      <c r="M5387" s="13"/>
    </row>
    <row r="5388" spans="12:13">
      <c r="L5388" s="1">
        <v>44670.687499982596</v>
      </c>
      <c r="M5388" s="13"/>
    </row>
    <row r="5389" spans="12:13">
      <c r="L5389" s="1">
        <v>44670.690972204815</v>
      </c>
      <c r="M5389" s="13"/>
    </row>
    <row r="5390" spans="12:13">
      <c r="L5390" s="1">
        <v>44670.694444427034</v>
      </c>
      <c r="M5390" s="13"/>
    </row>
    <row r="5391" spans="12:13">
      <c r="L5391" s="1">
        <v>44670.697916649253</v>
      </c>
      <c r="M5391" s="13"/>
    </row>
    <row r="5392" spans="12:13">
      <c r="L5392" s="1">
        <v>44670.701388871472</v>
      </c>
      <c r="M5392" s="13"/>
    </row>
    <row r="5393" spans="12:13">
      <c r="L5393" s="1">
        <v>44670.704861093691</v>
      </c>
      <c r="M5393" s="13"/>
    </row>
    <row r="5394" spans="12:13">
      <c r="L5394" s="1">
        <v>44670.70833331591</v>
      </c>
      <c r="M5394" s="13"/>
    </row>
    <row r="5395" spans="12:13">
      <c r="L5395" s="1">
        <v>44670.711805538129</v>
      </c>
      <c r="M5395" s="13"/>
    </row>
    <row r="5396" spans="12:13">
      <c r="L5396" s="1">
        <v>44670.715277760348</v>
      </c>
      <c r="M5396" s="13"/>
    </row>
    <row r="5397" spans="12:13">
      <c r="L5397" s="1">
        <v>44670.718749982567</v>
      </c>
      <c r="M5397" s="13"/>
    </row>
    <row r="5398" spans="12:13">
      <c r="L5398" s="1">
        <v>44670.722222204786</v>
      </c>
      <c r="M5398" s="13"/>
    </row>
    <row r="5399" spans="12:13">
      <c r="L5399" s="1">
        <v>44670.725694427005</v>
      </c>
      <c r="M5399" s="13"/>
    </row>
    <row r="5400" spans="12:13">
      <c r="L5400" s="1">
        <v>44670.729166649224</v>
      </c>
      <c r="M5400" s="13"/>
    </row>
    <row r="5401" spans="12:13">
      <c r="L5401" s="1">
        <v>44670.732638871443</v>
      </c>
      <c r="M5401" s="13"/>
    </row>
    <row r="5402" spans="12:13">
      <c r="L5402" s="1">
        <v>44670.736111093662</v>
      </c>
      <c r="M5402" s="13"/>
    </row>
    <row r="5403" spans="12:13">
      <c r="L5403" s="1">
        <v>44670.739583315881</v>
      </c>
      <c r="M5403" s="13"/>
    </row>
    <row r="5404" spans="12:13">
      <c r="L5404" s="1">
        <v>44670.7430555381</v>
      </c>
      <c r="M5404" s="13"/>
    </row>
    <row r="5405" spans="12:13">
      <c r="L5405" s="1">
        <v>44670.746527760319</v>
      </c>
      <c r="M5405" s="13"/>
    </row>
    <row r="5406" spans="12:13">
      <c r="L5406" s="1">
        <v>44670.749999982538</v>
      </c>
      <c r="M5406" s="13"/>
    </row>
    <row r="5407" spans="12:13">
      <c r="L5407" s="1">
        <v>44670.753472204757</v>
      </c>
      <c r="M5407" s="13"/>
    </row>
    <row r="5408" spans="12:13">
      <c r="L5408" s="1">
        <v>44670.756944426976</v>
      </c>
      <c r="M5408" s="13"/>
    </row>
    <row r="5409" spans="12:13">
      <c r="L5409" s="1">
        <v>44670.760416649195</v>
      </c>
      <c r="M5409" s="13"/>
    </row>
    <row r="5410" spans="12:13">
      <c r="L5410" s="1">
        <v>44670.763888871414</v>
      </c>
      <c r="M5410" s="13"/>
    </row>
    <row r="5411" spans="12:13">
      <c r="L5411" s="1">
        <v>44670.767361093633</v>
      </c>
      <c r="M5411" s="13"/>
    </row>
    <row r="5412" spans="12:13">
      <c r="L5412" s="1">
        <v>44670.770833315852</v>
      </c>
      <c r="M5412" s="13"/>
    </row>
    <row r="5413" spans="12:13">
      <c r="L5413" s="1">
        <v>44670.774305538071</v>
      </c>
      <c r="M5413" s="13"/>
    </row>
    <row r="5414" spans="12:13">
      <c r="L5414" s="1">
        <v>44670.77777776029</v>
      </c>
      <c r="M5414" s="13"/>
    </row>
    <row r="5415" spans="12:13">
      <c r="L5415" s="1">
        <v>44670.781249982509</v>
      </c>
      <c r="M5415" s="13"/>
    </row>
    <row r="5416" spans="12:13">
      <c r="L5416" s="1">
        <v>44670.784722204728</v>
      </c>
      <c r="M5416" s="13"/>
    </row>
    <row r="5417" spans="12:13">
      <c r="L5417" s="1">
        <v>44670.788194426947</v>
      </c>
      <c r="M5417" s="13"/>
    </row>
    <row r="5418" spans="12:13">
      <c r="L5418" s="1">
        <v>44670.791666649166</v>
      </c>
      <c r="M5418" s="13"/>
    </row>
    <row r="5419" spans="12:13">
      <c r="L5419" s="1">
        <v>44670.795138871385</v>
      </c>
      <c r="M5419" s="13"/>
    </row>
    <row r="5420" spans="12:13">
      <c r="L5420" s="1">
        <v>44670.798611093604</v>
      </c>
      <c r="M5420" s="13"/>
    </row>
    <row r="5421" spans="12:13">
      <c r="L5421" s="1">
        <v>44670.802083315823</v>
      </c>
      <c r="M5421" s="13"/>
    </row>
    <row r="5422" spans="12:13">
      <c r="L5422" s="1">
        <v>44670.805555538042</v>
      </c>
      <c r="M5422" s="13"/>
    </row>
    <row r="5423" spans="12:13">
      <c r="L5423" s="1">
        <v>44670.809027760261</v>
      </c>
      <c r="M5423" s="13"/>
    </row>
    <row r="5424" spans="12:13">
      <c r="L5424" s="1">
        <v>44670.812499982479</v>
      </c>
      <c r="M5424" s="13"/>
    </row>
    <row r="5425" spans="12:13">
      <c r="L5425" s="1">
        <v>44670.815972204698</v>
      </c>
      <c r="M5425" s="13"/>
    </row>
    <row r="5426" spans="12:13">
      <c r="L5426" s="1">
        <v>44670.819444426917</v>
      </c>
      <c r="M5426" s="13"/>
    </row>
    <row r="5427" spans="12:13">
      <c r="L5427" s="1">
        <v>44670.822916649136</v>
      </c>
      <c r="M5427" s="13"/>
    </row>
    <row r="5428" spans="12:13">
      <c r="L5428" s="1">
        <v>44670.826388871355</v>
      </c>
      <c r="M5428" s="13"/>
    </row>
    <row r="5429" spans="12:13">
      <c r="L5429" s="1">
        <v>44670.829861093574</v>
      </c>
      <c r="M5429" s="13"/>
    </row>
    <row r="5430" spans="12:13">
      <c r="L5430" s="1">
        <v>44670.833333315793</v>
      </c>
      <c r="M5430" s="13"/>
    </row>
    <row r="5431" spans="12:13">
      <c r="L5431" s="1">
        <v>44670.836805538012</v>
      </c>
      <c r="M5431" s="13"/>
    </row>
    <row r="5432" spans="12:13">
      <c r="L5432" s="1">
        <v>44670.840277760231</v>
      </c>
      <c r="M5432" s="13"/>
    </row>
    <row r="5433" spans="12:13">
      <c r="L5433" s="1">
        <v>44670.84374998245</v>
      </c>
      <c r="M5433" s="13"/>
    </row>
    <row r="5434" spans="12:13">
      <c r="L5434" s="1">
        <v>44670.847222204669</v>
      </c>
      <c r="M5434" s="13"/>
    </row>
    <row r="5435" spans="12:13">
      <c r="L5435" s="1">
        <v>44670.850694426888</v>
      </c>
      <c r="M5435" s="13"/>
    </row>
    <row r="5436" spans="12:13">
      <c r="L5436" s="1">
        <v>44670.854166649107</v>
      </c>
      <c r="M5436" s="13"/>
    </row>
    <row r="5437" spans="12:13">
      <c r="L5437" s="1">
        <v>44670.857638871326</v>
      </c>
      <c r="M5437" s="13"/>
    </row>
    <row r="5438" spans="12:13">
      <c r="L5438" s="1">
        <v>44670.861111093545</v>
      </c>
      <c r="M5438" s="13"/>
    </row>
    <row r="5439" spans="12:13">
      <c r="L5439" s="1">
        <v>44670.864583315764</v>
      </c>
      <c r="M5439" s="13"/>
    </row>
    <row r="5440" spans="12:13">
      <c r="L5440" s="1">
        <v>44670.868055537983</v>
      </c>
      <c r="M5440" s="13"/>
    </row>
    <row r="5441" spans="12:13">
      <c r="L5441" s="1">
        <v>44670.871527760202</v>
      </c>
      <c r="M5441" s="13"/>
    </row>
    <row r="5442" spans="12:13">
      <c r="L5442" s="1">
        <v>44670.874999982421</v>
      </c>
      <c r="M5442" s="13"/>
    </row>
    <row r="5443" spans="12:13">
      <c r="L5443" s="1">
        <v>44670.87847220464</v>
      </c>
      <c r="M5443" s="13"/>
    </row>
    <row r="5444" spans="12:13">
      <c r="L5444" s="1">
        <v>44670.881944426859</v>
      </c>
      <c r="M5444" s="13"/>
    </row>
    <row r="5445" spans="12:13">
      <c r="L5445" s="1">
        <v>44670.885416649078</v>
      </c>
      <c r="M5445" s="13"/>
    </row>
    <row r="5446" spans="12:13">
      <c r="L5446" s="1">
        <v>44670.888888871297</v>
      </c>
      <c r="M5446" s="13"/>
    </row>
    <row r="5447" spans="12:13">
      <c r="L5447" s="1">
        <v>44670.892361093516</v>
      </c>
      <c r="M5447" s="13"/>
    </row>
    <row r="5448" spans="12:13">
      <c r="L5448" s="1">
        <v>44670.895833315735</v>
      </c>
      <c r="M5448" s="13"/>
    </row>
    <row r="5449" spans="12:13">
      <c r="L5449" s="1">
        <v>44670.899305537954</v>
      </c>
      <c r="M5449" s="13"/>
    </row>
    <row r="5450" spans="12:13">
      <c r="L5450" s="1">
        <v>44670.902777760173</v>
      </c>
      <c r="M5450" s="13"/>
    </row>
    <row r="5451" spans="12:13">
      <c r="L5451" s="1">
        <v>44670.906249982392</v>
      </c>
      <c r="M5451" s="13"/>
    </row>
    <row r="5452" spans="12:13">
      <c r="L5452" s="1">
        <v>44670.909722204611</v>
      </c>
      <c r="M5452" s="13"/>
    </row>
    <row r="5453" spans="12:13">
      <c r="L5453" s="1">
        <v>44670.91319442683</v>
      </c>
      <c r="M5453" s="13"/>
    </row>
    <row r="5454" spans="12:13">
      <c r="L5454" s="1">
        <v>44670.916666649049</v>
      </c>
      <c r="M5454" s="13"/>
    </row>
    <row r="5455" spans="12:13">
      <c r="L5455" s="1">
        <v>44670.920138871268</v>
      </c>
      <c r="M5455" s="13"/>
    </row>
    <row r="5456" spans="12:13">
      <c r="L5456" s="1">
        <v>44670.923611093487</v>
      </c>
      <c r="M5456" s="13"/>
    </row>
    <row r="5457" spans="12:13">
      <c r="L5457" s="1">
        <v>44670.927083315706</v>
      </c>
      <c r="M5457" s="13"/>
    </row>
    <row r="5458" spans="12:13">
      <c r="L5458" s="1">
        <v>44670.930555537925</v>
      </c>
      <c r="M5458" s="13"/>
    </row>
    <row r="5459" spans="12:13">
      <c r="L5459" s="1">
        <v>44670.934027760144</v>
      </c>
      <c r="M5459" s="13"/>
    </row>
    <row r="5460" spans="12:13">
      <c r="L5460" s="1">
        <v>44670.937499982363</v>
      </c>
      <c r="M5460" s="13"/>
    </row>
    <row r="5461" spans="12:13">
      <c r="L5461" s="1">
        <v>44670.940972204582</v>
      </c>
      <c r="M5461" s="13"/>
    </row>
    <row r="5462" spans="12:13">
      <c r="L5462" s="1">
        <v>44670.944444426801</v>
      </c>
      <c r="M5462" s="13"/>
    </row>
    <row r="5463" spans="12:13">
      <c r="L5463" s="1">
        <v>44670.94791664902</v>
      </c>
      <c r="M5463" s="13"/>
    </row>
    <row r="5464" spans="12:13">
      <c r="L5464" s="1">
        <v>44670.951388871239</v>
      </c>
      <c r="M5464" s="13"/>
    </row>
    <row r="5465" spans="12:13">
      <c r="L5465" s="1">
        <v>44670.954861093458</v>
      </c>
      <c r="M5465" s="13"/>
    </row>
    <row r="5466" spans="12:13">
      <c r="L5466" s="1">
        <v>44670.958333315677</v>
      </c>
      <c r="M5466" s="13"/>
    </row>
    <row r="5467" spans="12:13">
      <c r="L5467" s="1">
        <v>44670.961805537896</v>
      </c>
      <c r="M5467" s="13"/>
    </row>
    <row r="5468" spans="12:13">
      <c r="L5468" s="1">
        <v>44670.965277760115</v>
      </c>
      <c r="M5468" s="13"/>
    </row>
    <row r="5469" spans="12:13">
      <c r="L5469" s="1">
        <v>44670.968749982334</v>
      </c>
      <c r="M5469" s="13"/>
    </row>
    <row r="5470" spans="12:13">
      <c r="L5470" s="1">
        <v>44670.972222204553</v>
      </c>
      <c r="M5470" s="13"/>
    </row>
    <row r="5471" spans="12:13">
      <c r="L5471" s="1">
        <v>44670.975694426772</v>
      </c>
      <c r="M5471" s="13"/>
    </row>
    <row r="5472" spans="12:13">
      <c r="L5472" s="1">
        <v>44670.979166648991</v>
      </c>
      <c r="M5472" s="13"/>
    </row>
    <row r="5473" spans="12:13">
      <c r="L5473" s="1">
        <v>44670.98263887121</v>
      </c>
      <c r="M5473" s="13"/>
    </row>
    <row r="5474" spans="12:13">
      <c r="L5474" s="1">
        <v>44670.986111093429</v>
      </c>
      <c r="M5474" s="13"/>
    </row>
    <row r="5475" spans="12:13">
      <c r="L5475" s="1">
        <v>44670.989583315648</v>
      </c>
      <c r="M5475" s="13"/>
    </row>
    <row r="5476" spans="12:13">
      <c r="L5476" s="1">
        <v>44670.993055537867</v>
      </c>
      <c r="M5476" s="13"/>
    </row>
    <row r="5477" spans="12:13">
      <c r="L5477" s="1">
        <v>44670.996527760086</v>
      </c>
      <c r="M5477" s="13"/>
    </row>
    <row r="5478" spans="12:13">
      <c r="L5478" s="1">
        <v>44670.999999982305</v>
      </c>
      <c r="M5478" s="13"/>
    </row>
    <row r="5479" spans="12:13">
      <c r="L5479" s="1">
        <v>44671.003472204524</v>
      </c>
      <c r="M5479" s="13"/>
    </row>
    <row r="5480" spans="12:13">
      <c r="L5480" s="1">
        <v>44671.006944426743</v>
      </c>
      <c r="M5480" s="13"/>
    </row>
    <row r="5481" spans="12:13">
      <c r="L5481" s="1">
        <v>44671.010416648962</v>
      </c>
      <c r="M5481" s="13"/>
    </row>
    <row r="5482" spans="12:13">
      <c r="L5482" s="1">
        <v>44671.013888871181</v>
      </c>
      <c r="M5482" s="13"/>
    </row>
    <row r="5483" spans="12:13">
      <c r="L5483" s="1">
        <v>44671.0173610934</v>
      </c>
      <c r="M5483" s="13"/>
    </row>
    <row r="5484" spans="12:13">
      <c r="L5484" s="1">
        <v>44671.020833315619</v>
      </c>
      <c r="M5484" s="13"/>
    </row>
    <row r="5485" spans="12:13">
      <c r="L5485" s="1">
        <v>44671.024305537838</v>
      </c>
      <c r="M5485" s="13"/>
    </row>
    <row r="5486" spans="12:13">
      <c r="L5486" s="1">
        <v>44671.027777760057</v>
      </c>
      <c r="M5486" s="13"/>
    </row>
    <row r="5487" spans="12:13">
      <c r="L5487" s="1">
        <v>44671.031249982276</v>
      </c>
      <c r="M5487" s="13"/>
    </row>
    <row r="5488" spans="12:13">
      <c r="L5488" s="1">
        <v>44671.034722204495</v>
      </c>
      <c r="M5488" s="13"/>
    </row>
    <row r="5489" spans="12:13">
      <c r="L5489" s="1">
        <v>44671.038194426714</v>
      </c>
      <c r="M5489" s="13"/>
    </row>
    <row r="5490" spans="12:13">
      <c r="L5490" s="1">
        <v>44671.041666648933</v>
      </c>
      <c r="M5490" s="13"/>
    </row>
    <row r="5491" spans="12:13">
      <c r="L5491" s="1">
        <v>44671.045138871152</v>
      </c>
      <c r="M5491" s="13"/>
    </row>
    <row r="5492" spans="12:13">
      <c r="L5492" s="1">
        <v>44671.048611093371</v>
      </c>
      <c r="M5492" s="13"/>
    </row>
    <row r="5493" spans="12:13">
      <c r="L5493" s="1">
        <v>44671.05208331559</v>
      </c>
      <c r="M5493" s="13"/>
    </row>
    <row r="5494" spans="12:13">
      <c r="L5494" s="1">
        <v>44671.055555537809</v>
      </c>
      <c r="M5494" s="13"/>
    </row>
    <row r="5495" spans="12:13">
      <c r="L5495" s="1">
        <v>44671.059027760028</v>
      </c>
      <c r="M5495" s="13"/>
    </row>
    <row r="5496" spans="12:13">
      <c r="L5496" s="1">
        <v>44671.062499982247</v>
      </c>
      <c r="M5496" s="13"/>
    </row>
    <row r="5497" spans="12:13">
      <c r="L5497" s="1">
        <v>44671.065972204466</v>
      </c>
      <c r="M5497" s="13"/>
    </row>
    <row r="5498" spans="12:13">
      <c r="L5498" s="1">
        <v>44671.069444426685</v>
      </c>
      <c r="M5498" s="13"/>
    </row>
    <row r="5499" spans="12:13">
      <c r="L5499" s="1">
        <v>44671.072916648904</v>
      </c>
      <c r="M5499" s="13"/>
    </row>
    <row r="5500" spans="12:13">
      <c r="L5500" s="1">
        <v>44671.076388871123</v>
      </c>
      <c r="M5500" s="13"/>
    </row>
    <row r="5501" spans="12:13">
      <c r="L5501" s="1">
        <v>44671.079861093342</v>
      </c>
      <c r="M5501" s="13"/>
    </row>
    <row r="5502" spans="12:13">
      <c r="L5502" s="1">
        <v>44671.083333315561</v>
      </c>
      <c r="M5502" s="13"/>
    </row>
    <row r="5503" spans="12:13">
      <c r="L5503" s="1">
        <v>44671.08680553778</v>
      </c>
      <c r="M5503" s="13"/>
    </row>
    <row r="5504" spans="12:13">
      <c r="L5504" s="1">
        <v>44671.090277759999</v>
      </c>
      <c r="M5504" s="13"/>
    </row>
    <row r="5505" spans="12:13">
      <c r="L5505" s="1">
        <v>44671.093749982218</v>
      </c>
      <c r="M5505" s="13"/>
    </row>
    <row r="5506" spans="12:13">
      <c r="L5506" s="1">
        <v>44671.097222204437</v>
      </c>
      <c r="M5506" s="13"/>
    </row>
    <row r="5507" spans="12:13">
      <c r="L5507" s="1">
        <v>44671.100694426656</v>
      </c>
      <c r="M5507" s="13"/>
    </row>
    <row r="5508" spans="12:13">
      <c r="L5508" s="1">
        <v>44671.104166648875</v>
      </c>
      <c r="M5508" s="13"/>
    </row>
    <row r="5509" spans="12:13">
      <c r="L5509" s="1">
        <v>44671.107638871094</v>
      </c>
      <c r="M5509" s="13"/>
    </row>
    <row r="5510" spans="12:13">
      <c r="L5510" s="1">
        <v>44671.111111093313</v>
      </c>
      <c r="M5510" s="13"/>
    </row>
    <row r="5511" spans="12:13">
      <c r="L5511" s="1">
        <v>44671.114583315531</v>
      </c>
      <c r="M5511" s="13"/>
    </row>
    <row r="5512" spans="12:13">
      <c r="L5512" s="1">
        <v>44671.11805553775</v>
      </c>
      <c r="M5512" s="13"/>
    </row>
    <row r="5513" spans="12:13">
      <c r="L5513" s="1">
        <v>44671.121527759969</v>
      </c>
      <c r="M5513" s="13"/>
    </row>
    <row r="5514" spans="12:13">
      <c r="L5514" s="1">
        <v>44671.124999982188</v>
      </c>
      <c r="M5514" s="13"/>
    </row>
    <row r="5515" spans="12:13">
      <c r="L5515" s="1">
        <v>44671.128472204407</v>
      </c>
      <c r="M5515" s="13"/>
    </row>
    <row r="5516" spans="12:13">
      <c r="L5516" s="1">
        <v>44671.131944426626</v>
      </c>
      <c r="M5516" s="13"/>
    </row>
    <row r="5517" spans="12:13">
      <c r="L5517" s="1">
        <v>44671.135416648845</v>
      </c>
      <c r="M5517" s="13"/>
    </row>
    <row r="5518" spans="12:13">
      <c r="L5518" s="1">
        <v>44671.138888871064</v>
      </c>
      <c r="M5518" s="13"/>
    </row>
    <row r="5519" spans="12:13">
      <c r="L5519" s="1">
        <v>44671.142361093283</v>
      </c>
      <c r="M5519" s="13"/>
    </row>
    <row r="5520" spans="12:13">
      <c r="L5520" s="1">
        <v>44671.145833315502</v>
      </c>
      <c r="M5520" s="13"/>
    </row>
    <row r="5521" spans="12:13">
      <c r="L5521" s="1">
        <v>44671.149305537721</v>
      </c>
      <c r="M5521" s="13"/>
    </row>
    <row r="5522" spans="12:13">
      <c r="L5522" s="1">
        <v>44671.15277775994</v>
      </c>
      <c r="M5522" s="13"/>
    </row>
    <row r="5523" spans="12:13">
      <c r="L5523" s="1">
        <v>44671.156249982159</v>
      </c>
      <c r="M5523" s="13"/>
    </row>
    <row r="5524" spans="12:13">
      <c r="L5524" s="1">
        <v>44671.159722204378</v>
      </c>
      <c r="M5524" s="13"/>
    </row>
    <row r="5525" spans="12:13">
      <c r="L5525" s="1">
        <v>44671.163194426597</v>
      </c>
      <c r="M5525" s="13"/>
    </row>
    <row r="5526" spans="12:13">
      <c r="L5526" s="1">
        <v>44671.166666648816</v>
      </c>
      <c r="M5526" s="13"/>
    </row>
    <row r="5527" spans="12:13">
      <c r="L5527" s="1">
        <v>44671.170138871035</v>
      </c>
      <c r="M5527" s="13"/>
    </row>
    <row r="5528" spans="12:13">
      <c r="L5528" s="1">
        <v>44671.173611093254</v>
      </c>
      <c r="M5528" s="13"/>
    </row>
    <row r="5529" spans="12:13">
      <c r="L5529" s="1">
        <v>44671.177083315473</v>
      </c>
      <c r="M5529" s="13"/>
    </row>
    <row r="5530" spans="12:13">
      <c r="L5530" s="1">
        <v>44671.180555537692</v>
      </c>
      <c r="M5530" s="13"/>
    </row>
    <row r="5531" spans="12:13">
      <c r="L5531" s="1">
        <v>44671.184027759911</v>
      </c>
      <c r="M5531" s="13"/>
    </row>
    <row r="5532" spans="12:13">
      <c r="L5532" s="1">
        <v>44671.18749998213</v>
      </c>
      <c r="M5532" s="13"/>
    </row>
    <row r="5533" spans="12:13">
      <c r="L5533" s="1">
        <v>44671.190972204349</v>
      </c>
      <c r="M5533" s="13"/>
    </row>
    <row r="5534" spans="12:13">
      <c r="L5534" s="1">
        <v>44671.194444426568</v>
      </c>
      <c r="M5534" s="13"/>
    </row>
    <row r="5535" spans="12:13">
      <c r="L5535" s="1">
        <v>44671.197916648787</v>
      </c>
      <c r="M5535" s="13"/>
    </row>
    <row r="5536" spans="12:13">
      <c r="L5536" s="1">
        <v>44671.201388871006</v>
      </c>
      <c r="M5536" s="13"/>
    </row>
    <row r="5537" spans="12:13">
      <c r="L5537" s="1">
        <v>44671.204861093225</v>
      </c>
      <c r="M5537" s="13"/>
    </row>
    <row r="5538" spans="12:13">
      <c r="L5538" s="1">
        <v>44671.208333315444</v>
      </c>
      <c r="M5538" s="13"/>
    </row>
    <row r="5539" spans="12:13">
      <c r="L5539" s="1">
        <v>44671.211805537663</v>
      </c>
      <c r="M5539" s="13"/>
    </row>
    <row r="5540" spans="12:13">
      <c r="L5540" s="1">
        <v>44671.215277759882</v>
      </c>
      <c r="M5540" s="13"/>
    </row>
    <row r="5541" spans="12:13">
      <c r="L5541" s="1">
        <v>44671.218749982101</v>
      </c>
      <c r="M5541" s="13"/>
    </row>
    <row r="5542" spans="12:13">
      <c r="L5542" s="1">
        <v>44671.22222220432</v>
      </c>
      <c r="M5542" s="13"/>
    </row>
    <row r="5543" spans="12:13">
      <c r="L5543" s="1">
        <v>44671.225694426539</v>
      </c>
      <c r="M5543" s="13"/>
    </row>
    <row r="5544" spans="12:13">
      <c r="L5544" s="1">
        <v>44671.229166648758</v>
      </c>
      <c r="M5544" s="13"/>
    </row>
    <row r="5545" spans="12:13">
      <c r="L5545" s="1">
        <v>44671.232638870977</v>
      </c>
      <c r="M5545" s="13"/>
    </row>
    <row r="5546" spans="12:13">
      <c r="L5546" s="1">
        <v>44671.236111093196</v>
      </c>
      <c r="M5546" s="13"/>
    </row>
    <row r="5547" spans="12:13">
      <c r="L5547" s="1">
        <v>44671.239583315415</v>
      </c>
      <c r="M5547" s="13"/>
    </row>
    <row r="5548" spans="12:13">
      <c r="L5548" s="1">
        <v>44671.243055537634</v>
      </c>
      <c r="M5548" s="13"/>
    </row>
    <row r="5549" spans="12:13">
      <c r="L5549" s="1">
        <v>44671.246527759853</v>
      </c>
      <c r="M5549" s="13"/>
    </row>
    <row r="5550" spans="12:13">
      <c r="L5550" s="1">
        <v>44671.249999982072</v>
      </c>
      <c r="M5550" s="13"/>
    </row>
    <row r="5551" spans="12:13">
      <c r="L5551" s="1">
        <v>44671.253472204291</v>
      </c>
      <c r="M5551" s="13"/>
    </row>
    <row r="5552" spans="12:13">
      <c r="L5552" s="1">
        <v>44671.25694442651</v>
      </c>
      <c r="M5552" s="13"/>
    </row>
    <row r="5553" spans="12:13">
      <c r="L5553" s="1">
        <v>44671.260416648729</v>
      </c>
      <c r="M5553" s="13"/>
    </row>
    <row r="5554" spans="12:13">
      <c r="L5554" s="1">
        <v>44671.263888870948</v>
      </c>
      <c r="M5554" s="13"/>
    </row>
    <row r="5555" spans="12:13">
      <c r="L5555" s="1">
        <v>44671.267361093167</v>
      </c>
      <c r="M5555" s="13"/>
    </row>
    <row r="5556" spans="12:13">
      <c r="L5556" s="1">
        <v>44671.270833315386</v>
      </c>
      <c r="M5556" s="13"/>
    </row>
    <row r="5557" spans="12:13">
      <c r="L5557" s="1">
        <v>44671.274305537605</v>
      </c>
      <c r="M5557" s="13"/>
    </row>
    <row r="5558" spans="12:13">
      <c r="L5558" s="1">
        <v>44671.277777759824</v>
      </c>
      <c r="M5558" s="13"/>
    </row>
    <row r="5559" spans="12:13">
      <c r="L5559" s="1">
        <v>44671.281249982043</v>
      </c>
      <c r="M5559" s="13"/>
    </row>
    <row r="5560" spans="12:13">
      <c r="L5560" s="1">
        <v>44671.284722204262</v>
      </c>
      <c r="M5560" s="13"/>
    </row>
    <row r="5561" spans="12:13">
      <c r="L5561" s="1">
        <v>44671.288194426481</v>
      </c>
      <c r="M5561" s="13"/>
    </row>
    <row r="5562" spans="12:13">
      <c r="L5562" s="1">
        <v>44671.2916666487</v>
      </c>
      <c r="M5562" s="13"/>
    </row>
    <row r="5563" spans="12:13">
      <c r="L5563" s="1">
        <v>44671.295138870919</v>
      </c>
      <c r="M5563" s="13"/>
    </row>
    <row r="5564" spans="12:13">
      <c r="L5564" s="1">
        <v>44671.298611093138</v>
      </c>
      <c r="M5564" s="13"/>
    </row>
    <row r="5565" spans="12:13">
      <c r="L5565" s="1">
        <v>44671.302083315357</v>
      </c>
      <c r="M5565" s="13"/>
    </row>
    <row r="5566" spans="12:13">
      <c r="L5566" s="1">
        <v>44671.305555537576</v>
      </c>
      <c r="M5566" s="13"/>
    </row>
    <row r="5567" spans="12:13">
      <c r="L5567" s="1">
        <v>44671.309027759795</v>
      </c>
      <c r="M5567" s="13"/>
    </row>
    <row r="5568" spans="12:13">
      <c r="L5568" s="1">
        <v>44671.312499982014</v>
      </c>
      <c r="M5568" s="13"/>
    </row>
    <row r="5569" spans="12:13">
      <c r="L5569" s="1">
        <v>44671.315972204233</v>
      </c>
      <c r="M5569" s="13"/>
    </row>
    <row r="5570" spans="12:13">
      <c r="L5570" s="1">
        <v>44671.319444426452</v>
      </c>
      <c r="M5570" s="13"/>
    </row>
    <row r="5571" spans="12:13">
      <c r="L5571" s="1">
        <v>44671.322916648671</v>
      </c>
      <c r="M5571" s="13"/>
    </row>
    <row r="5572" spans="12:13">
      <c r="L5572" s="1">
        <v>44671.32638887089</v>
      </c>
      <c r="M5572" s="13"/>
    </row>
    <row r="5573" spans="12:13">
      <c r="L5573" s="1">
        <v>44671.329861093109</v>
      </c>
      <c r="M5573" s="13"/>
    </row>
    <row r="5574" spans="12:13">
      <c r="L5574" s="1">
        <v>44671.333333315328</v>
      </c>
      <c r="M5574" s="13"/>
    </row>
    <row r="5575" spans="12:13">
      <c r="L5575" s="1">
        <v>44671.336805537547</v>
      </c>
      <c r="M5575" s="13"/>
    </row>
    <row r="5576" spans="12:13">
      <c r="L5576" s="1">
        <v>44671.340277759766</v>
      </c>
      <c r="M5576" s="13"/>
    </row>
    <row r="5577" spans="12:13">
      <c r="L5577" s="1">
        <v>44671.343749981985</v>
      </c>
      <c r="M5577" s="13"/>
    </row>
    <row r="5578" spans="12:13">
      <c r="L5578" s="1">
        <v>44671.347222204204</v>
      </c>
      <c r="M5578" s="13"/>
    </row>
    <row r="5579" spans="12:13">
      <c r="L5579" s="1">
        <v>44671.350694426423</v>
      </c>
      <c r="M5579" s="13"/>
    </row>
    <row r="5580" spans="12:13">
      <c r="L5580" s="1">
        <v>44671.354166648642</v>
      </c>
      <c r="M5580" s="13"/>
    </row>
    <row r="5581" spans="12:13">
      <c r="L5581" s="1">
        <v>44671.357638870861</v>
      </c>
      <c r="M5581" s="13"/>
    </row>
    <row r="5582" spans="12:13">
      <c r="L5582" s="1">
        <v>44671.36111109308</v>
      </c>
      <c r="M5582" s="13"/>
    </row>
    <row r="5583" spans="12:13">
      <c r="L5583" s="1">
        <v>44671.364583315299</v>
      </c>
      <c r="M5583" s="13"/>
    </row>
    <row r="5584" spans="12:13">
      <c r="L5584" s="1">
        <v>44671.368055537518</v>
      </c>
      <c r="M5584" s="13"/>
    </row>
    <row r="5585" spans="12:13">
      <c r="L5585" s="1">
        <v>44671.371527759737</v>
      </c>
      <c r="M5585" s="13"/>
    </row>
    <row r="5586" spans="12:13">
      <c r="L5586" s="1">
        <v>44671.374999981956</v>
      </c>
      <c r="M5586" s="13"/>
    </row>
    <row r="5587" spans="12:13">
      <c r="L5587" s="1">
        <v>44671.378472204175</v>
      </c>
      <c r="M5587" s="13"/>
    </row>
    <row r="5588" spans="12:13">
      <c r="L5588" s="1">
        <v>44671.381944426394</v>
      </c>
      <c r="M5588" s="13"/>
    </row>
    <row r="5589" spans="12:13">
      <c r="L5589" s="1">
        <v>44671.385416648613</v>
      </c>
      <c r="M5589" s="13"/>
    </row>
    <row r="5590" spans="12:13">
      <c r="L5590" s="1">
        <v>44671.388888870832</v>
      </c>
      <c r="M5590" s="13"/>
    </row>
    <row r="5591" spans="12:13">
      <c r="L5591" s="1">
        <v>44671.392361093051</v>
      </c>
      <c r="M5591" s="13"/>
    </row>
    <row r="5592" spans="12:13">
      <c r="L5592" s="1">
        <v>44671.39583331527</v>
      </c>
      <c r="M5592" s="13"/>
    </row>
    <row r="5593" spans="12:13">
      <c r="L5593" s="1">
        <v>44671.399305537489</v>
      </c>
      <c r="M5593" s="13"/>
    </row>
    <row r="5594" spans="12:13">
      <c r="L5594" s="1">
        <v>44671.402777759708</v>
      </c>
      <c r="M5594" s="13"/>
    </row>
    <row r="5595" spans="12:13">
      <c r="L5595" s="1">
        <v>44671.406249981927</v>
      </c>
      <c r="M5595" s="13"/>
    </row>
    <row r="5596" spans="12:13">
      <c r="L5596" s="1">
        <v>44671.409722204146</v>
      </c>
      <c r="M5596" s="13"/>
    </row>
    <row r="5597" spans="12:13">
      <c r="L5597" s="1">
        <v>44671.413194426364</v>
      </c>
      <c r="M5597" s="13"/>
    </row>
    <row r="5598" spans="12:13">
      <c r="L5598" s="1">
        <v>44671.416666648583</v>
      </c>
      <c r="M5598" s="13"/>
    </row>
    <row r="5599" spans="12:13">
      <c r="L5599" s="1">
        <v>44671.420138870802</v>
      </c>
      <c r="M5599" s="13"/>
    </row>
    <row r="5600" spans="12:13">
      <c r="L5600" s="1">
        <v>44671.423611093021</v>
      </c>
      <c r="M5600" s="13"/>
    </row>
    <row r="5601" spans="12:13">
      <c r="L5601" s="1">
        <v>44671.42708331524</v>
      </c>
      <c r="M5601" s="13"/>
    </row>
    <row r="5602" spans="12:13">
      <c r="L5602" s="1">
        <v>44671.430555537459</v>
      </c>
      <c r="M5602" s="13"/>
    </row>
    <row r="5603" spans="12:13">
      <c r="L5603" s="1">
        <v>44671.434027759678</v>
      </c>
      <c r="M5603" s="13"/>
    </row>
    <row r="5604" spans="12:13">
      <c r="L5604" s="1">
        <v>44671.437499981897</v>
      </c>
      <c r="M5604" s="13"/>
    </row>
    <row r="5605" spans="12:13">
      <c r="L5605" s="1">
        <v>44671.440972204116</v>
      </c>
      <c r="M5605" s="13"/>
    </row>
    <row r="5606" spans="12:13">
      <c r="L5606" s="1">
        <v>44671.444444426335</v>
      </c>
      <c r="M5606" s="13"/>
    </row>
    <row r="5607" spans="12:13">
      <c r="L5607" s="1">
        <v>44671.447916648554</v>
      </c>
      <c r="M5607" s="13"/>
    </row>
    <row r="5608" spans="12:13">
      <c r="L5608" s="1">
        <v>44671.451388870773</v>
      </c>
      <c r="M5608" s="13"/>
    </row>
    <row r="5609" spans="12:13">
      <c r="L5609" s="1">
        <v>44671.454861092992</v>
      </c>
      <c r="M5609" s="13"/>
    </row>
    <row r="5610" spans="12:13">
      <c r="L5610" s="1">
        <v>44671.458333315211</v>
      </c>
      <c r="M5610" s="13"/>
    </row>
    <row r="5611" spans="12:13">
      <c r="L5611" s="1">
        <v>44671.46180553743</v>
      </c>
      <c r="M5611" s="13"/>
    </row>
    <row r="5612" spans="12:13">
      <c r="L5612" s="1">
        <v>44671.465277759649</v>
      </c>
      <c r="M5612" s="13"/>
    </row>
    <row r="5613" spans="12:13">
      <c r="L5613" s="1">
        <v>44671.468749981868</v>
      </c>
      <c r="M5613" s="13"/>
    </row>
    <row r="5614" spans="12:13">
      <c r="L5614" s="1">
        <v>44671.472222204087</v>
      </c>
      <c r="M5614" s="13"/>
    </row>
    <row r="5615" spans="12:13">
      <c r="L5615" s="1">
        <v>44671.475694426306</v>
      </c>
      <c r="M5615" s="13"/>
    </row>
    <row r="5616" spans="12:13">
      <c r="L5616" s="1">
        <v>44671.479166648525</v>
      </c>
      <c r="M5616" s="13"/>
    </row>
    <row r="5617" spans="12:13">
      <c r="L5617" s="1">
        <v>44671.482638870744</v>
      </c>
      <c r="M5617" s="13"/>
    </row>
    <row r="5618" spans="12:13">
      <c r="L5618" s="1">
        <v>44671.486111092963</v>
      </c>
      <c r="M5618" s="13"/>
    </row>
    <row r="5619" spans="12:13">
      <c r="L5619" s="1">
        <v>44671.489583315182</v>
      </c>
      <c r="M5619" s="13"/>
    </row>
    <row r="5620" spans="12:13">
      <c r="L5620" s="1">
        <v>44671.493055537401</v>
      </c>
      <c r="M5620" s="13"/>
    </row>
    <row r="5621" spans="12:13">
      <c r="L5621" s="1">
        <v>44671.49652775962</v>
      </c>
      <c r="M5621" s="13"/>
    </row>
    <row r="5622" spans="12:13">
      <c r="L5622" s="1">
        <v>44671.499999981839</v>
      </c>
      <c r="M5622" s="13"/>
    </row>
    <row r="5623" spans="12:13">
      <c r="L5623" s="1">
        <v>44671.503472204058</v>
      </c>
      <c r="M5623" s="13"/>
    </row>
    <row r="5624" spans="12:13">
      <c r="L5624" s="1">
        <v>44671.506944426277</v>
      </c>
      <c r="M5624" s="13"/>
    </row>
    <row r="5625" spans="12:13">
      <c r="L5625" s="1">
        <v>44671.510416648496</v>
      </c>
      <c r="M5625" s="13"/>
    </row>
    <row r="5626" spans="12:13">
      <c r="L5626" s="1">
        <v>44671.513888870715</v>
      </c>
      <c r="M5626" s="13"/>
    </row>
    <row r="5627" spans="12:13">
      <c r="L5627" s="1">
        <v>44671.517361092934</v>
      </c>
      <c r="M5627" s="13"/>
    </row>
    <row r="5628" spans="12:13">
      <c r="L5628" s="1">
        <v>44671.520833315153</v>
      </c>
      <c r="M5628" s="13"/>
    </row>
    <row r="5629" spans="12:13">
      <c r="L5629" s="1">
        <v>44671.524305537372</v>
      </c>
      <c r="M5629" s="13"/>
    </row>
    <row r="5630" spans="12:13">
      <c r="L5630" s="1">
        <v>44671.527777759591</v>
      </c>
      <c r="M5630" s="13"/>
    </row>
    <row r="5631" spans="12:13">
      <c r="L5631" s="1">
        <v>44671.53124998181</v>
      </c>
      <c r="M5631" s="13"/>
    </row>
    <row r="5632" spans="12:13">
      <c r="L5632" s="1">
        <v>44671.534722204029</v>
      </c>
      <c r="M5632" s="13"/>
    </row>
    <row r="5633" spans="12:13">
      <c r="L5633" s="1">
        <v>44671.538194426248</v>
      </c>
      <c r="M5633" s="13"/>
    </row>
    <row r="5634" spans="12:13">
      <c r="L5634" s="1">
        <v>44671.541666648467</v>
      </c>
      <c r="M5634" s="13"/>
    </row>
    <row r="5635" spans="12:13">
      <c r="L5635" s="1">
        <v>44671.545138870686</v>
      </c>
      <c r="M5635" s="13"/>
    </row>
    <row r="5636" spans="12:13">
      <c r="L5636" s="1">
        <v>44671.548611092905</v>
      </c>
      <c r="M5636" s="13"/>
    </row>
    <row r="5637" spans="12:13">
      <c r="L5637" s="1">
        <v>44671.552083315124</v>
      </c>
      <c r="M5637" s="13"/>
    </row>
    <row r="5638" spans="12:13">
      <c r="L5638" s="1">
        <v>44671.555555537343</v>
      </c>
      <c r="M5638" s="13"/>
    </row>
    <row r="5639" spans="12:13">
      <c r="L5639" s="1">
        <v>44671.559027759562</v>
      </c>
      <c r="M5639" s="13"/>
    </row>
    <row r="5640" spans="12:13">
      <c r="L5640" s="1">
        <v>44671.562499981781</v>
      </c>
      <c r="M5640" s="13"/>
    </row>
    <row r="5641" spans="12:13">
      <c r="L5641" s="1">
        <v>44671.565972204</v>
      </c>
      <c r="M5641" s="13"/>
    </row>
    <row r="5642" spans="12:13">
      <c r="L5642" s="1">
        <v>44671.569444426219</v>
      </c>
      <c r="M5642" s="13"/>
    </row>
    <row r="5643" spans="12:13">
      <c r="L5643" s="1">
        <v>44671.572916648438</v>
      </c>
      <c r="M5643" s="13"/>
    </row>
    <row r="5644" spans="12:13">
      <c r="L5644" s="1">
        <v>44671.576388870657</v>
      </c>
      <c r="M5644" s="13"/>
    </row>
    <row r="5645" spans="12:13">
      <c r="L5645" s="1">
        <v>44671.579861092876</v>
      </c>
      <c r="M5645" s="13"/>
    </row>
    <row r="5646" spans="12:13">
      <c r="L5646" s="1">
        <v>44671.583333315095</v>
      </c>
      <c r="M5646" s="13"/>
    </row>
    <row r="5647" spans="12:13">
      <c r="L5647" s="1">
        <v>44671.586805537314</v>
      </c>
      <c r="M5647" s="13"/>
    </row>
    <row r="5648" spans="12:13">
      <c r="L5648" s="1">
        <v>44671.590277759533</v>
      </c>
      <c r="M5648" s="13"/>
    </row>
    <row r="5649" spans="12:13">
      <c r="L5649" s="1">
        <v>44671.593749981752</v>
      </c>
      <c r="M5649" s="13"/>
    </row>
    <row r="5650" spans="12:13">
      <c r="L5650" s="1">
        <v>44671.597222203971</v>
      </c>
      <c r="M5650" s="13"/>
    </row>
    <row r="5651" spans="12:13">
      <c r="L5651" s="1">
        <v>44671.60069442619</v>
      </c>
      <c r="M5651" s="13"/>
    </row>
    <row r="5652" spans="12:13">
      <c r="L5652" s="1">
        <v>44671.604166648409</v>
      </c>
      <c r="M5652" s="13"/>
    </row>
    <row r="5653" spans="12:13">
      <c r="L5653" s="1">
        <v>44671.607638870628</v>
      </c>
      <c r="M5653" s="13"/>
    </row>
    <row r="5654" spans="12:13">
      <c r="L5654" s="1">
        <v>44671.611111092847</v>
      </c>
      <c r="M5654" s="13"/>
    </row>
    <row r="5655" spans="12:13">
      <c r="L5655" s="1">
        <v>44671.614583315066</v>
      </c>
      <c r="M5655" s="13"/>
    </row>
    <row r="5656" spans="12:13">
      <c r="L5656" s="1">
        <v>44671.618055537285</v>
      </c>
      <c r="M5656" s="13"/>
    </row>
    <row r="5657" spans="12:13">
      <c r="L5657" s="1">
        <v>44671.621527759504</v>
      </c>
      <c r="M5657" s="13"/>
    </row>
    <row r="5658" spans="12:13">
      <c r="L5658" s="1">
        <v>44671.624999981723</v>
      </c>
      <c r="M5658" s="13"/>
    </row>
    <row r="5659" spans="12:13">
      <c r="L5659" s="1">
        <v>44671.628472203942</v>
      </c>
      <c r="M5659" s="13"/>
    </row>
    <row r="5660" spans="12:13">
      <c r="L5660" s="1">
        <v>44671.631944426161</v>
      </c>
      <c r="M5660" s="13"/>
    </row>
    <row r="5661" spans="12:13">
      <c r="L5661" s="1">
        <v>44671.63541664838</v>
      </c>
      <c r="M5661" s="13"/>
    </row>
    <row r="5662" spans="12:13">
      <c r="L5662" s="1">
        <v>44671.638888870599</v>
      </c>
      <c r="M5662" s="13"/>
    </row>
    <row r="5663" spans="12:13">
      <c r="L5663" s="1">
        <v>44671.642361092818</v>
      </c>
      <c r="M5663" s="13"/>
    </row>
    <row r="5664" spans="12:13">
      <c r="L5664" s="1">
        <v>44671.645833315037</v>
      </c>
      <c r="M5664" s="13"/>
    </row>
    <row r="5665" spans="12:13">
      <c r="L5665" s="1">
        <v>44671.649305537256</v>
      </c>
      <c r="M5665" s="13"/>
    </row>
    <row r="5666" spans="12:13">
      <c r="L5666" s="1">
        <v>44671.652777759475</v>
      </c>
      <c r="M5666" s="13"/>
    </row>
    <row r="5667" spans="12:13">
      <c r="L5667" s="1">
        <v>44671.656249981694</v>
      </c>
      <c r="M5667" s="13"/>
    </row>
    <row r="5668" spans="12:13">
      <c r="L5668" s="1">
        <v>44671.659722203913</v>
      </c>
      <c r="M5668" s="13"/>
    </row>
    <row r="5669" spans="12:13">
      <c r="L5669" s="1">
        <v>44671.663194426132</v>
      </c>
      <c r="M5669" s="13"/>
    </row>
    <row r="5670" spans="12:13">
      <c r="L5670" s="1">
        <v>44671.666666648351</v>
      </c>
      <c r="M5670" s="13"/>
    </row>
    <row r="5671" spans="12:13">
      <c r="L5671" s="1">
        <v>44671.67013887057</v>
      </c>
      <c r="M5671" s="13"/>
    </row>
    <row r="5672" spans="12:13">
      <c r="L5672" s="1">
        <v>44671.673611092789</v>
      </c>
      <c r="M5672" s="13"/>
    </row>
    <row r="5673" spans="12:13">
      <c r="L5673" s="1">
        <v>44671.677083315008</v>
      </c>
      <c r="M5673" s="13"/>
    </row>
    <row r="5674" spans="12:13">
      <c r="L5674" s="1">
        <v>44671.680555537227</v>
      </c>
      <c r="M5674" s="13"/>
    </row>
    <row r="5675" spans="12:13">
      <c r="L5675" s="1">
        <v>44671.684027759446</v>
      </c>
      <c r="M5675" s="13"/>
    </row>
    <row r="5676" spans="12:13">
      <c r="L5676" s="1">
        <v>44671.687499981665</v>
      </c>
      <c r="M5676" s="13"/>
    </row>
    <row r="5677" spans="12:13">
      <c r="L5677" s="1">
        <v>44671.690972203884</v>
      </c>
      <c r="M5677" s="13"/>
    </row>
    <row r="5678" spans="12:13">
      <c r="L5678" s="1">
        <v>44671.694444426103</v>
      </c>
      <c r="M5678" s="13"/>
    </row>
    <row r="5679" spans="12:13">
      <c r="L5679" s="1">
        <v>44671.697916648322</v>
      </c>
      <c r="M5679" s="13"/>
    </row>
    <row r="5680" spans="12:13">
      <c r="L5680" s="1">
        <v>44671.701388870541</v>
      </c>
      <c r="M5680" s="13"/>
    </row>
    <row r="5681" spans="12:13">
      <c r="L5681" s="1">
        <v>44671.70486109276</v>
      </c>
      <c r="M5681" s="13"/>
    </row>
    <row r="5682" spans="12:13">
      <c r="L5682" s="1">
        <v>44671.708333314979</v>
      </c>
      <c r="M5682" s="13"/>
    </row>
    <row r="5683" spans="12:13">
      <c r="L5683" s="1">
        <v>44671.711805537198</v>
      </c>
      <c r="M5683" s="13"/>
    </row>
    <row r="5684" spans="12:13">
      <c r="L5684" s="1">
        <v>44671.715277759416</v>
      </c>
      <c r="M5684" s="13"/>
    </row>
    <row r="5685" spans="12:13">
      <c r="L5685" s="1">
        <v>44671.718749981635</v>
      </c>
      <c r="M5685" s="13"/>
    </row>
    <row r="5686" spans="12:13">
      <c r="L5686" s="1">
        <v>44671.722222203854</v>
      </c>
      <c r="M5686" s="13"/>
    </row>
    <row r="5687" spans="12:13">
      <c r="L5687" s="1">
        <v>44671.725694426073</v>
      </c>
      <c r="M5687" s="13"/>
    </row>
    <row r="5688" spans="12:13">
      <c r="L5688" s="1">
        <v>44671.729166648292</v>
      </c>
      <c r="M5688" s="13"/>
    </row>
    <row r="5689" spans="12:13">
      <c r="L5689" s="1">
        <v>44671.732638870511</v>
      </c>
      <c r="M5689" s="13"/>
    </row>
    <row r="5690" spans="12:13">
      <c r="L5690" s="1">
        <v>44671.73611109273</v>
      </c>
      <c r="M5690" s="13"/>
    </row>
    <row r="5691" spans="12:13">
      <c r="L5691" s="1">
        <v>44671.739583314949</v>
      </c>
      <c r="M5691" s="13"/>
    </row>
    <row r="5692" spans="12:13">
      <c r="L5692" s="1">
        <v>44671.743055537168</v>
      </c>
      <c r="M5692" s="13"/>
    </row>
    <row r="5693" spans="12:13">
      <c r="L5693" s="1">
        <v>44671.746527759387</v>
      </c>
      <c r="M5693" s="13"/>
    </row>
    <row r="5694" spans="12:13">
      <c r="L5694" s="1">
        <v>44671.749999981606</v>
      </c>
      <c r="M5694" s="13"/>
    </row>
    <row r="5695" spans="12:13">
      <c r="L5695" s="1">
        <v>44671.753472203825</v>
      </c>
      <c r="M5695" s="13"/>
    </row>
    <row r="5696" spans="12:13">
      <c r="L5696" s="1">
        <v>44671.756944426044</v>
      </c>
      <c r="M5696" s="13"/>
    </row>
    <row r="5697" spans="12:13">
      <c r="L5697" s="1">
        <v>44671.760416648263</v>
      </c>
      <c r="M5697" s="13"/>
    </row>
    <row r="5698" spans="12:13">
      <c r="L5698" s="1">
        <v>44671.763888870482</v>
      </c>
      <c r="M5698" s="13"/>
    </row>
    <row r="5699" spans="12:13">
      <c r="L5699" s="1">
        <v>44671.767361092701</v>
      </c>
      <c r="M5699" s="13"/>
    </row>
    <row r="5700" spans="12:13">
      <c r="L5700" s="1">
        <v>44671.77083331492</v>
      </c>
      <c r="M5700" s="13"/>
    </row>
    <row r="5701" spans="12:13">
      <c r="L5701" s="1">
        <v>44671.774305537139</v>
      </c>
      <c r="M5701" s="13"/>
    </row>
    <row r="5702" spans="12:13">
      <c r="L5702" s="1">
        <v>44671.777777759358</v>
      </c>
      <c r="M5702" s="13"/>
    </row>
    <row r="5703" spans="12:13">
      <c r="L5703" s="1">
        <v>44671.781249981577</v>
      </c>
      <c r="M5703" s="13"/>
    </row>
    <row r="5704" spans="12:13">
      <c r="L5704" s="1">
        <v>44671.784722203796</v>
      </c>
      <c r="M5704" s="13"/>
    </row>
    <row r="5705" spans="12:13">
      <c r="L5705" s="1">
        <v>44671.788194426015</v>
      </c>
      <c r="M5705" s="13"/>
    </row>
    <row r="5706" spans="12:13">
      <c r="L5706" s="1">
        <v>44671.791666648234</v>
      </c>
      <c r="M5706" s="13"/>
    </row>
    <row r="5707" spans="12:13">
      <c r="L5707" s="1">
        <v>44671.795138870453</v>
      </c>
      <c r="M5707" s="13"/>
    </row>
    <row r="5708" spans="12:13">
      <c r="L5708" s="1">
        <v>44671.798611092672</v>
      </c>
      <c r="M5708" s="13"/>
    </row>
    <row r="5709" spans="12:13">
      <c r="L5709" s="1">
        <v>44671.802083314891</v>
      </c>
      <c r="M5709" s="13"/>
    </row>
    <row r="5710" spans="12:13">
      <c r="L5710" s="1">
        <v>44671.80555553711</v>
      </c>
      <c r="M5710" s="13"/>
    </row>
    <row r="5711" spans="12:13">
      <c r="L5711" s="1">
        <v>44671.809027759329</v>
      </c>
      <c r="M5711" s="13"/>
    </row>
    <row r="5712" spans="12:13">
      <c r="L5712" s="1">
        <v>44671.812499981548</v>
      </c>
      <c r="M5712" s="13"/>
    </row>
    <row r="5713" spans="12:13">
      <c r="L5713" s="1">
        <v>44671.815972203767</v>
      </c>
      <c r="M5713" s="13"/>
    </row>
    <row r="5714" spans="12:13">
      <c r="L5714" s="1">
        <v>44671.819444425986</v>
      </c>
      <c r="M5714" s="13"/>
    </row>
    <row r="5715" spans="12:13">
      <c r="L5715" s="1">
        <v>44671.822916648205</v>
      </c>
      <c r="M5715" s="13"/>
    </row>
    <row r="5716" spans="12:13">
      <c r="L5716" s="1">
        <v>44671.826388870424</v>
      </c>
      <c r="M5716" s="13"/>
    </row>
    <row r="5717" spans="12:13">
      <c r="L5717" s="1">
        <v>44671.829861092643</v>
      </c>
      <c r="M5717" s="13"/>
    </row>
    <row r="5718" spans="12:13">
      <c r="L5718" s="1">
        <v>44671.833333314862</v>
      </c>
      <c r="M5718" s="13"/>
    </row>
    <row r="5719" spans="12:13">
      <c r="L5719" s="1">
        <v>44671.836805537081</v>
      </c>
      <c r="M5719" s="13"/>
    </row>
    <row r="5720" spans="12:13">
      <c r="L5720" s="1">
        <v>44671.8402777593</v>
      </c>
      <c r="M5720" s="13"/>
    </row>
    <row r="5721" spans="12:13">
      <c r="L5721" s="1">
        <v>44671.843749981519</v>
      </c>
      <c r="M5721" s="13"/>
    </row>
    <row r="5722" spans="12:13">
      <c r="L5722" s="1">
        <v>44671.847222203738</v>
      </c>
      <c r="M5722" s="13"/>
    </row>
    <row r="5723" spans="12:13">
      <c r="L5723" s="1">
        <v>44671.850694425957</v>
      </c>
      <c r="M5723" s="13"/>
    </row>
    <row r="5724" spans="12:13">
      <c r="L5724" s="1">
        <v>44671.854166648176</v>
      </c>
      <c r="M5724" s="13"/>
    </row>
    <row r="5725" spans="12:13">
      <c r="L5725" s="1">
        <v>44671.857638870395</v>
      </c>
      <c r="M5725" s="13"/>
    </row>
    <row r="5726" spans="12:13">
      <c r="L5726" s="1">
        <v>44671.861111092614</v>
      </c>
      <c r="M5726" s="13"/>
    </row>
    <row r="5727" spans="12:13">
      <c r="L5727" s="1">
        <v>44671.864583314833</v>
      </c>
      <c r="M5727" s="13"/>
    </row>
    <row r="5728" spans="12:13">
      <c r="L5728" s="1">
        <v>44671.868055537052</v>
      </c>
      <c r="M5728" s="13"/>
    </row>
    <row r="5729" spans="12:13">
      <c r="L5729" s="1">
        <v>44671.871527759271</v>
      </c>
      <c r="M5729" s="13"/>
    </row>
    <row r="5730" spans="12:13">
      <c r="L5730" s="1">
        <v>44671.87499998149</v>
      </c>
      <c r="M5730" s="13"/>
    </row>
    <row r="5731" spans="12:13">
      <c r="L5731" s="1">
        <v>44671.878472203709</v>
      </c>
      <c r="M5731" s="13"/>
    </row>
    <row r="5732" spans="12:13">
      <c r="L5732" s="1">
        <v>44671.881944425928</v>
      </c>
      <c r="M5732" s="13"/>
    </row>
    <row r="5733" spans="12:13">
      <c r="L5733" s="1">
        <v>44671.885416648147</v>
      </c>
      <c r="M5733" s="13"/>
    </row>
    <row r="5734" spans="12:13">
      <c r="L5734" s="1">
        <v>44671.888888870366</v>
      </c>
      <c r="M5734" s="13"/>
    </row>
    <row r="5735" spans="12:13">
      <c r="L5735" s="1">
        <v>44671.892361092585</v>
      </c>
      <c r="M5735" s="13"/>
    </row>
    <row r="5736" spans="12:13">
      <c r="L5736" s="1">
        <v>44671.895833314804</v>
      </c>
      <c r="M5736" s="13"/>
    </row>
    <row r="5737" spans="12:13">
      <c r="L5737" s="1">
        <v>44671.899305537023</v>
      </c>
      <c r="M5737" s="13"/>
    </row>
    <row r="5738" spans="12:13">
      <c r="L5738" s="1">
        <v>44671.902777759242</v>
      </c>
      <c r="M5738" s="13"/>
    </row>
    <row r="5739" spans="12:13">
      <c r="L5739" s="1">
        <v>44671.906249981461</v>
      </c>
      <c r="M5739" s="13"/>
    </row>
    <row r="5740" spans="12:13">
      <c r="L5740" s="1">
        <v>44671.90972220368</v>
      </c>
      <c r="M5740" s="13"/>
    </row>
    <row r="5741" spans="12:13">
      <c r="L5741" s="1">
        <v>44671.913194425899</v>
      </c>
      <c r="M5741" s="13"/>
    </row>
    <row r="5742" spans="12:13">
      <c r="L5742" s="1">
        <v>44671.916666648118</v>
      </c>
      <c r="M5742" s="13"/>
    </row>
    <row r="5743" spans="12:13">
      <c r="L5743" s="1">
        <v>44671.920138870337</v>
      </c>
      <c r="M5743" s="13"/>
    </row>
    <row r="5744" spans="12:13">
      <c r="L5744" s="1">
        <v>44671.923611092556</v>
      </c>
      <c r="M5744" s="13"/>
    </row>
    <row r="5745" spans="12:13">
      <c r="L5745" s="1">
        <v>44671.927083314775</v>
      </c>
      <c r="M5745" s="13"/>
    </row>
    <row r="5746" spans="12:13">
      <c r="L5746" s="1">
        <v>44671.930555536994</v>
      </c>
      <c r="M5746" s="13"/>
    </row>
    <row r="5747" spans="12:13">
      <c r="L5747" s="1">
        <v>44671.934027759213</v>
      </c>
      <c r="M5747" s="13"/>
    </row>
    <row r="5748" spans="12:13">
      <c r="L5748" s="1">
        <v>44671.937499981432</v>
      </c>
      <c r="M5748" s="13"/>
    </row>
    <row r="5749" spans="12:13">
      <c r="L5749" s="1">
        <v>44671.940972203651</v>
      </c>
      <c r="M5749" s="13"/>
    </row>
    <row r="5750" spans="12:13">
      <c r="L5750" s="1">
        <v>44671.94444442587</v>
      </c>
      <c r="M5750" s="13"/>
    </row>
    <row r="5751" spans="12:13">
      <c r="L5751" s="1">
        <v>44671.947916648089</v>
      </c>
      <c r="M5751" s="13"/>
    </row>
    <row r="5752" spans="12:13">
      <c r="L5752" s="1">
        <v>44671.951388870308</v>
      </c>
      <c r="M5752" s="13"/>
    </row>
    <row r="5753" spans="12:13">
      <c r="L5753" s="1">
        <v>44671.954861092527</v>
      </c>
      <c r="M5753" s="13"/>
    </row>
    <row r="5754" spans="12:13">
      <c r="L5754" s="1">
        <v>44671.958333314746</v>
      </c>
      <c r="M5754" s="13"/>
    </row>
    <row r="5755" spans="12:13">
      <c r="L5755" s="1">
        <v>44671.961805536965</v>
      </c>
      <c r="M5755" s="13"/>
    </row>
    <row r="5756" spans="12:13">
      <c r="L5756" s="1">
        <v>44671.965277759184</v>
      </c>
      <c r="M5756" s="13"/>
    </row>
    <row r="5757" spans="12:13">
      <c r="L5757" s="1">
        <v>44671.968749981403</v>
      </c>
      <c r="M5757" s="13"/>
    </row>
    <row r="5758" spans="12:13">
      <c r="L5758" s="1">
        <v>44671.972222203622</v>
      </c>
      <c r="M5758" s="13"/>
    </row>
    <row r="5759" spans="12:13">
      <c r="L5759" s="1">
        <v>44671.975694425841</v>
      </c>
      <c r="M5759" s="13"/>
    </row>
    <row r="5760" spans="12:13">
      <c r="L5760" s="1">
        <v>44671.97916664806</v>
      </c>
      <c r="M5760" s="13"/>
    </row>
    <row r="5761" spans="12:13">
      <c r="L5761" s="1">
        <v>44671.982638870279</v>
      </c>
      <c r="M5761" s="13"/>
    </row>
    <row r="5762" spans="12:13">
      <c r="L5762" s="1">
        <v>44671.986111092498</v>
      </c>
      <c r="M5762" s="13"/>
    </row>
    <row r="5763" spans="12:13">
      <c r="L5763" s="1">
        <v>44671.989583314717</v>
      </c>
      <c r="M5763" s="13"/>
    </row>
    <row r="5764" spans="12:13">
      <c r="L5764" s="1">
        <v>44671.993055536936</v>
      </c>
      <c r="M5764" s="13"/>
    </row>
    <row r="5765" spans="12:13">
      <c r="L5765" s="1">
        <v>44671.996527759155</v>
      </c>
      <c r="M5765" s="13"/>
    </row>
    <row r="5766" spans="12:13">
      <c r="L5766" s="1">
        <v>44671.999999981374</v>
      </c>
      <c r="M5766" s="13"/>
    </row>
    <row r="5767" spans="12:13">
      <c r="L5767" s="1">
        <v>44672.003472203593</v>
      </c>
      <c r="M5767" s="13"/>
    </row>
    <row r="5768" spans="12:13">
      <c r="L5768" s="1">
        <v>44672.006944425812</v>
      </c>
      <c r="M5768" s="13"/>
    </row>
    <row r="5769" spans="12:13">
      <c r="L5769" s="1">
        <v>44672.010416648031</v>
      </c>
      <c r="M5769" s="13"/>
    </row>
    <row r="5770" spans="12:13">
      <c r="L5770" s="1">
        <v>44672.01388887025</v>
      </c>
      <c r="M5770" s="13"/>
    </row>
    <row r="5771" spans="12:13">
      <c r="L5771" s="1">
        <v>44672.017361092468</v>
      </c>
      <c r="M5771" s="13"/>
    </row>
    <row r="5772" spans="12:13">
      <c r="L5772" s="1">
        <v>44672.020833314687</v>
      </c>
      <c r="M5772" s="13"/>
    </row>
    <row r="5773" spans="12:13">
      <c r="L5773" s="1">
        <v>44672.024305536906</v>
      </c>
      <c r="M5773" s="13"/>
    </row>
    <row r="5774" spans="12:13">
      <c r="L5774" s="1">
        <v>44672.027777759125</v>
      </c>
      <c r="M5774" s="13"/>
    </row>
    <row r="5775" spans="12:13">
      <c r="L5775" s="1">
        <v>44672.031249981344</v>
      </c>
      <c r="M5775" s="13"/>
    </row>
    <row r="5776" spans="12:13">
      <c r="L5776" s="1">
        <v>44672.034722203563</v>
      </c>
      <c r="M5776" s="13"/>
    </row>
    <row r="5777" spans="12:13">
      <c r="L5777" s="1">
        <v>44672.038194425782</v>
      </c>
      <c r="M5777" s="13"/>
    </row>
    <row r="5778" spans="12:13">
      <c r="L5778" s="1">
        <v>44672.041666648001</v>
      </c>
      <c r="M5778" s="13"/>
    </row>
    <row r="5779" spans="12:13">
      <c r="L5779" s="1">
        <v>44672.04513887022</v>
      </c>
      <c r="M5779" s="13"/>
    </row>
    <row r="5780" spans="12:13">
      <c r="L5780" s="1">
        <v>44672.048611092439</v>
      </c>
      <c r="M5780" s="13"/>
    </row>
    <row r="5781" spans="12:13">
      <c r="L5781" s="1">
        <v>44672.052083314658</v>
      </c>
      <c r="M5781" s="13"/>
    </row>
    <row r="5782" spans="12:13">
      <c r="L5782" s="1">
        <v>44672.055555536877</v>
      </c>
      <c r="M5782" s="13"/>
    </row>
    <row r="5783" spans="12:13">
      <c r="L5783" s="1">
        <v>44672.059027759096</v>
      </c>
      <c r="M5783" s="13"/>
    </row>
    <row r="5784" spans="12:13">
      <c r="L5784" s="1">
        <v>44672.062499981315</v>
      </c>
      <c r="M5784" s="13"/>
    </row>
    <row r="5785" spans="12:13">
      <c r="L5785" s="1">
        <v>44672.065972203534</v>
      </c>
      <c r="M5785" s="13"/>
    </row>
    <row r="5786" spans="12:13">
      <c r="L5786" s="1">
        <v>44672.069444425753</v>
      </c>
      <c r="M5786" s="13"/>
    </row>
    <row r="5787" spans="12:13">
      <c r="L5787" s="1">
        <v>44672.072916647972</v>
      </c>
      <c r="M5787" s="13"/>
    </row>
    <row r="5788" spans="12:13">
      <c r="L5788" s="1">
        <v>44672.076388870191</v>
      </c>
      <c r="M5788" s="13"/>
    </row>
    <row r="5789" spans="12:13">
      <c r="L5789" s="1">
        <v>44672.07986109241</v>
      </c>
      <c r="M5789" s="13"/>
    </row>
    <row r="5790" spans="12:13">
      <c r="L5790" s="1">
        <v>44672.083333314629</v>
      </c>
      <c r="M5790" s="13"/>
    </row>
    <row r="5791" spans="12:13">
      <c r="L5791" s="1">
        <v>44672.086805536848</v>
      </c>
      <c r="M5791" s="13"/>
    </row>
    <row r="5792" spans="12:13">
      <c r="L5792" s="1">
        <v>44672.090277759067</v>
      </c>
      <c r="M5792" s="13"/>
    </row>
    <row r="5793" spans="12:13">
      <c r="L5793" s="1">
        <v>44672.093749981286</v>
      </c>
      <c r="M5793" s="13"/>
    </row>
    <row r="5794" spans="12:13">
      <c r="L5794" s="1">
        <v>44672.097222203505</v>
      </c>
      <c r="M5794" s="13"/>
    </row>
    <row r="5795" spans="12:13">
      <c r="L5795" s="1">
        <v>44672.100694425724</v>
      </c>
      <c r="M5795" s="13"/>
    </row>
    <row r="5796" spans="12:13">
      <c r="L5796" s="1">
        <v>44672.104166647943</v>
      </c>
      <c r="M5796" s="13"/>
    </row>
    <row r="5797" spans="12:13">
      <c r="L5797" s="1">
        <v>44672.107638870162</v>
      </c>
      <c r="M5797" s="13"/>
    </row>
    <row r="5798" spans="12:13">
      <c r="L5798" s="1">
        <v>44672.111111092381</v>
      </c>
      <c r="M5798" s="13"/>
    </row>
    <row r="5799" spans="12:13">
      <c r="L5799" s="1">
        <v>44672.1145833146</v>
      </c>
      <c r="M5799" s="13"/>
    </row>
    <row r="5800" spans="12:13">
      <c r="L5800" s="1">
        <v>44672.118055536819</v>
      </c>
      <c r="M5800" s="13"/>
    </row>
    <row r="5801" spans="12:13">
      <c r="L5801" s="1">
        <v>44672.121527759038</v>
      </c>
      <c r="M5801" s="13"/>
    </row>
    <row r="5802" spans="12:13">
      <c r="L5802" s="1">
        <v>44672.124999981257</v>
      </c>
      <c r="M5802" s="13"/>
    </row>
    <row r="5803" spans="12:13">
      <c r="L5803" s="1">
        <v>44672.128472203476</v>
      </c>
      <c r="M5803" s="13"/>
    </row>
    <row r="5804" spans="12:13">
      <c r="L5804" s="1">
        <v>44672.131944425695</v>
      </c>
      <c r="M5804" s="13"/>
    </row>
    <row r="5805" spans="12:13">
      <c r="L5805" s="1">
        <v>44672.135416647914</v>
      </c>
      <c r="M5805" s="13"/>
    </row>
    <row r="5806" spans="12:13">
      <c r="L5806" s="1">
        <v>44672.138888870133</v>
      </c>
      <c r="M5806" s="13"/>
    </row>
    <row r="5807" spans="12:13">
      <c r="L5807" s="1">
        <v>44672.142361092352</v>
      </c>
      <c r="M5807" s="13"/>
    </row>
    <row r="5808" spans="12:13">
      <c r="L5808" s="1">
        <v>44672.145833314571</v>
      </c>
      <c r="M5808" s="13"/>
    </row>
    <row r="5809" spans="12:13">
      <c r="L5809" s="1">
        <v>44672.14930553679</v>
      </c>
      <c r="M5809" s="13"/>
    </row>
    <row r="5810" spans="12:13">
      <c r="L5810" s="1">
        <v>44672.152777759009</v>
      </c>
      <c r="M5810" s="13"/>
    </row>
    <row r="5811" spans="12:13">
      <c r="L5811" s="1">
        <v>44672.156249981228</v>
      </c>
      <c r="M5811" s="13"/>
    </row>
    <row r="5812" spans="12:13">
      <c r="L5812" s="1">
        <v>44672.159722203447</v>
      </c>
      <c r="M5812" s="13"/>
    </row>
    <row r="5813" spans="12:13">
      <c r="L5813" s="1">
        <v>44672.163194425666</v>
      </c>
      <c r="M5813" s="13"/>
    </row>
    <row r="5814" spans="12:13">
      <c r="L5814" s="1">
        <v>44672.166666647885</v>
      </c>
      <c r="M5814" s="13"/>
    </row>
    <row r="5815" spans="12:13">
      <c r="L5815" s="1">
        <v>44672.170138870104</v>
      </c>
      <c r="M5815" s="13"/>
    </row>
    <row r="5816" spans="12:13">
      <c r="L5816" s="1">
        <v>44672.173611092323</v>
      </c>
      <c r="M5816" s="13"/>
    </row>
    <row r="5817" spans="12:13">
      <c r="L5817" s="1">
        <v>44672.177083314542</v>
      </c>
      <c r="M5817" s="13"/>
    </row>
    <row r="5818" spans="12:13">
      <c r="L5818" s="1">
        <v>44672.180555536761</v>
      </c>
      <c r="M5818" s="13"/>
    </row>
    <row r="5819" spans="12:13">
      <c r="L5819" s="1">
        <v>44672.18402775898</v>
      </c>
      <c r="M5819" s="13"/>
    </row>
    <row r="5820" spans="12:13">
      <c r="L5820" s="1">
        <v>44672.187499981199</v>
      </c>
      <c r="M5820" s="13"/>
    </row>
    <row r="5821" spans="12:13">
      <c r="L5821" s="1">
        <v>44672.190972203418</v>
      </c>
      <c r="M5821" s="13"/>
    </row>
    <row r="5822" spans="12:13">
      <c r="L5822" s="1">
        <v>44672.194444425637</v>
      </c>
      <c r="M5822" s="13"/>
    </row>
    <row r="5823" spans="12:13">
      <c r="L5823" s="1">
        <v>44672.197916647856</v>
      </c>
      <c r="M5823" s="13"/>
    </row>
    <row r="5824" spans="12:13">
      <c r="L5824" s="1">
        <v>44672.201388870075</v>
      </c>
      <c r="M5824" s="13"/>
    </row>
    <row r="5825" spans="12:13">
      <c r="L5825" s="1">
        <v>44672.204861092294</v>
      </c>
      <c r="M5825" s="13"/>
    </row>
    <row r="5826" spans="12:13">
      <c r="L5826" s="1">
        <v>44672.208333314513</v>
      </c>
      <c r="M5826" s="13"/>
    </row>
    <row r="5827" spans="12:13">
      <c r="L5827" s="1">
        <v>44672.211805536732</v>
      </c>
      <c r="M5827" s="13"/>
    </row>
    <row r="5828" spans="12:13">
      <c r="L5828" s="1">
        <v>44672.215277758951</v>
      </c>
      <c r="M5828" s="13"/>
    </row>
    <row r="5829" spans="12:13">
      <c r="L5829" s="1">
        <v>44672.21874998117</v>
      </c>
      <c r="M5829" s="13"/>
    </row>
    <row r="5830" spans="12:13">
      <c r="L5830" s="1">
        <v>44672.222222203389</v>
      </c>
      <c r="M5830" s="13"/>
    </row>
    <row r="5831" spans="12:13">
      <c r="L5831" s="1">
        <v>44672.225694425608</v>
      </c>
      <c r="M5831" s="13"/>
    </row>
    <row r="5832" spans="12:13">
      <c r="L5832" s="1">
        <v>44672.229166647827</v>
      </c>
      <c r="M5832" s="13"/>
    </row>
    <row r="5833" spans="12:13">
      <c r="L5833" s="1">
        <v>44672.232638870046</v>
      </c>
      <c r="M5833" s="13"/>
    </row>
    <row r="5834" spans="12:13">
      <c r="L5834" s="1">
        <v>44672.236111092265</v>
      </c>
      <c r="M5834" s="13"/>
    </row>
    <row r="5835" spans="12:13">
      <c r="L5835" s="1">
        <v>44672.239583314484</v>
      </c>
      <c r="M5835" s="13"/>
    </row>
    <row r="5836" spans="12:13">
      <c r="L5836" s="1">
        <v>44672.243055536703</v>
      </c>
      <c r="M5836" s="13"/>
    </row>
    <row r="5837" spans="12:13">
      <c r="L5837" s="1">
        <v>44672.246527758922</v>
      </c>
      <c r="M5837" s="13"/>
    </row>
    <row r="5838" spans="12:13">
      <c r="L5838" s="1">
        <v>44672.249999981141</v>
      </c>
      <c r="M5838" s="13"/>
    </row>
    <row r="5839" spans="12:13">
      <c r="L5839" s="1">
        <v>44672.25347220336</v>
      </c>
      <c r="M5839" s="13"/>
    </row>
    <row r="5840" spans="12:13">
      <c r="L5840" s="1">
        <v>44672.256944425579</v>
      </c>
      <c r="M5840" s="13"/>
    </row>
    <row r="5841" spans="12:13">
      <c r="L5841" s="1">
        <v>44672.260416647798</v>
      </c>
      <c r="M5841" s="13"/>
    </row>
    <row r="5842" spans="12:13">
      <c r="L5842" s="1">
        <v>44672.263888870017</v>
      </c>
      <c r="M5842" s="13"/>
    </row>
    <row r="5843" spans="12:13">
      <c r="L5843" s="1">
        <v>44672.267361092236</v>
      </c>
      <c r="M5843" s="13"/>
    </row>
    <row r="5844" spans="12:13">
      <c r="L5844" s="1">
        <v>44672.270833314455</v>
      </c>
      <c r="M5844" s="13"/>
    </row>
    <row r="5845" spans="12:13">
      <c r="L5845" s="1">
        <v>44672.274305536674</v>
      </c>
      <c r="M5845" s="13"/>
    </row>
    <row r="5846" spans="12:13">
      <c r="L5846" s="1">
        <v>44672.277777758893</v>
      </c>
      <c r="M5846" s="13"/>
    </row>
    <row r="5847" spans="12:13">
      <c r="L5847" s="1">
        <v>44672.281249981112</v>
      </c>
      <c r="M5847" s="13"/>
    </row>
    <row r="5848" spans="12:13">
      <c r="L5848" s="1">
        <v>44672.284722203331</v>
      </c>
      <c r="M5848" s="13"/>
    </row>
    <row r="5849" spans="12:13">
      <c r="L5849" s="1">
        <v>44672.28819442555</v>
      </c>
      <c r="M5849" s="13"/>
    </row>
    <row r="5850" spans="12:13">
      <c r="L5850" s="1">
        <v>44672.291666647769</v>
      </c>
      <c r="M5850" s="13"/>
    </row>
    <row r="5851" spans="12:13">
      <c r="L5851" s="1">
        <v>44672.295138869988</v>
      </c>
      <c r="M5851" s="13"/>
    </row>
    <row r="5852" spans="12:13">
      <c r="L5852" s="1">
        <v>44672.298611092207</v>
      </c>
      <c r="M5852" s="13"/>
    </row>
    <row r="5853" spans="12:13">
      <c r="L5853" s="1">
        <v>44672.302083314426</v>
      </c>
      <c r="M5853" s="13"/>
    </row>
    <row r="5854" spans="12:13">
      <c r="L5854" s="1">
        <v>44672.305555536645</v>
      </c>
      <c r="M5854" s="13"/>
    </row>
    <row r="5855" spans="12:13">
      <c r="L5855" s="1">
        <v>44672.309027758864</v>
      </c>
      <c r="M5855" s="13"/>
    </row>
    <row r="5856" spans="12:13">
      <c r="L5856" s="1">
        <v>44672.312499981083</v>
      </c>
      <c r="M5856" s="13"/>
    </row>
    <row r="5857" spans="12:13">
      <c r="L5857" s="1">
        <v>44672.315972203301</v>
      </c>
      <c r="M5857" s="13"/>
    </row>
    <row r="5858" spans="12:13">
      <c r="L5858" s="1">
        <v>44672.31944442552</v>
      </c>
      <c r="M5858" s="13"/>
    </row>
    <row r="5859" spans="12:13">
      <c r="L5859" s="1">
        <v>44672.322916647739</v>
      </c>
      <c r="M5859" s="13"/>
    </row>
    <row r="5860" spans="12:13">
      <c r="L5860" s="1">
        <v>44672.326388869958</v>
      </c>
      <c r="M5860" s="13"/>
    </row>
    <row r="5861" spans="12:13">
      <c r="L5861" s="1">
        <v>44672.329861092177</v>
      </c>
      <c r="M5861" s="13"/>
    </row>
    <row r="5862" spans="12:13">
      <c r="L5862" s="1">
        <v>44672.333333314396</v>
      </c>
      <c r="M5862" s="13"/>
    </row>
    <row r="5863" spans="12:13">
      <c r="L5863" s="1">
        <v>44672.336805536615</v>
      </c>
      <c r="M5863" s="13"/>
    </row>
    <row r="5864" spans="12:13">
      <c r="L5864" s="1">
        <v>44672.340277758834</v>
      </c>
      <c r="M5864" s="13"/>
    </row>
    <row r="5865" spans="12:13">
      <c r="L5865" s="1">
        <v>44672.343749981053</v>
      </c>
      <c r="M5865" s="13"/>
    </row>
    <row r="5866" spans="12:13">
      <c r="L5866" s="1">
        <v>44672.347222203272</v>
      </c>
      <c r="M5866" s="13"/>
    </row>
    <row r="5867" spans="12:13">
      <c r="L5867" s="1">
        <v>44672.350694425491</v>
      </c>
      <c r="M5867" s="13"/>
    </row>
    <row r="5868" spans="12:13">
      <c r="L5868" s="1">
        <v>44672.35416664771</v>
      </c>
      <c r="M5868" s="13"/>
    </row>
    <row r="5869" spans="12:13">
      <c r="L5869" s="1">
        <v>44672.357638869929</v>
      </c>
      <c r="M5869" s="13"/>
    </row>
    <row r="5870" spans="12:13">
      <c r="L5870" s="1">
        <v>44672.361111092148</v>
      </c>
      <c r="M5870" s="13"/>
    </row>
    <row r="5871" spans="12:13">
      <c r="L5871" s="1">
        <v>44672.364583314367</v>
      </c>
      <c r="M5871" s="13"/>
    </row>
    <row r="5872" spans="12:13">
      <c r="L5872" s="1">
        <v>44672.368055536586</v>
      </c>
      <c r="M5872" s="13"/>
    </row>
    <row r="5873" spans="12:13">
      <c r="L5873" s="1">
        <v>44672.371527758805</v>
      </c>
      <c r="M5873" s="13"/>
    </row>
    <row r="5874" spans="12:13">
      <c r="L5874" s="1">
        <v>44672.374999981024</v>
      </c>
      <c r="M5874" s="13"/>
    </row>
    <row r="5875" spans="12:13">
      <c r="L5875" s="1">
        <v>44672.378472203243</v>
      </c>
      <c r="M5875" s="13"/>
    </row>
    <row r="5876" spans="12:13">
      <c r="L5876" s="1">
        <v>44672.381944425462</v>
      </c>
      <c r="M5876" s="13"/>
    </row>
    <row r="5877" spans="12:13">
      <c r="L5877" s="1">
        <v>44672.385416647681</v>
      </c>
      <c r="M5877" s="13"/>
    </row>
    <row r="5878" spans="12:13">
      <c r="L5878" s="1">
        <v>44672.3888888699</v>
      </c>
      <c r="M5878" s="13"/>
    </row>
    <row r="5879" spans="12:13">
      <c r="L5879" s="1">
        <v>44672.392361092119</v>
      </c>
      <c r="M5879" s="13"/>
    </row>
    <row r="5880" spans="12:13">
      <c r="L5880" s="1">
        <v>44672.395833314338</v>
      </c>
      <c r="M5880" s="13"/>
    </row>
    <row r="5881" spans="12:13">
      <c r="L5881" s="1">
        <v>44672.399305536557</v>
      </c>
      <c r="M5881" s="13"/>
    </row>
    <row r="5882" spans="12:13">
      <c r="L5882" s="1">
        <v>44672.402777758776</v>
      </c>
      <c r="M5882" s="13"/>
    </row>
    <row r="5883" spans="12:13">
      <c r="L5883" s="1">
        <v>44672.406249980995</v>
      </c>
      <c r="M5883" s="13"/>
    </row>
    <row r="5884" spans="12:13">
      <c r="L5884" s="1">
        <v>44672.409722203214</v>
      </c>
      <c r="M5884" s="13"/>
    </row>
    <row r="5885" spans="12:13">
      <c r="L5885" s="1">
        <v>44672.413194425433</v>
      </c>
      <c r="M5885" s="13"/>
    </row>
    <row r="5886" spans="12:13">
      <c r="L5886" s="1">
        <v>44672.416666647652</v>
      </c>
      <c r="M5886" s="13"/>
    </row>
    <row r="5887" spans="12:13">
      <c r="L5887" s="1">
        <v>44672.420138869871</v>
      </c>
      <c r="M5887" s="13"/>
    </row>
    <row r="5888" spans="12:13">
      <c r="L5888" s="1">
        <v>44672.42361109209</v>
      </c>
      <c r="M5888" s="13"/>
    </row>
    <row r="5889" spans="12:13">
      <c r="L5889" s="1">
        <v>44672.427083314309</v>
      </c>
      <c r="M5889" s="13"/>
    </row>
    <row r="5890" spans="12:13">
      <c r="L5890" s="1">
        <v>44672.430555536528</v>
      </c>
      <c r="M5890" s="13"/>
    </row>
    <row r="5891" spans="12:13">
      <c r="L5891" s="1">
        <v>44672.434027758747</v>
      </c>
      <c r="M5891" s="13"/>
    </row>
    <row r="5892" spans="12:13">
      <c r="L5892" s="1">
        <v>44672.437499980966</v>
      </c>
      <c r="M5892" s="13"/>
    </row>
    <row r="5893" spans="12:13">
      <c r="L5893" s="1">
        <v>44672.440972203185</v>
      </c>
      <c r="M5893" s="13"/>
    </row>
    <row r="5894" spans="12:13">
      <c r="L5894" s="1">
        <v>44672.444444425404</v>
      </c>
      <c r="M5894" s="13"/>
    </row>
    <row r="5895" spans="12:13">
      <c r="L5895" s="1">
        <v>44672.447916647623</v>
      </c>
      <c r="M5895" s="13"/>
    </row>
    <row r="5896" spans="12:13">
      <c r="L5896" s="1">
        <v>44672.451388869842</v>
      </c>
      <c r="M5896" s="13"/>
    </row>
    <row r="5897" spans="12:13">
      <c r="L5897" s="1">
        <v>44672.454861092061</v>
      </c>
      <c r="M5897" s="13"/>
    </row>
    <row r="5898" spans="12:13">
      <c r="L5898" s="1">
        <v>44672.45833331428</v>
      </c>
      <c r="M5898" s="13"/>
    </row>
    <row r="5899" spans="12:13">
      <c r="L5899" s="1">
        <v>44672.461805536499</v>
      </c>
      <c r="M5899" s="13"/>
    </row>
    <row r="5900" spans="12:13">
      <c r="L5900" s="1">
        <v>44672.465277758718</v>
      </c>
      <c r="M5900" s="13"/>
    </row>
    <row r="5901" spans="12:13">
      <c r="L5901" s="1">
        <v>44672.468749980937</v>
      </c>
      <c r="M5901" s="13"/>
    </row>
    <row r="5902" spans="12:13">
      <c r="L5902" s="1">
        <v>44672.472222203156</v>
      </c>
      <c r="M5902" s="13"/>
    </row>
    <row r="5903" spans="12:13">
      <c r="L5903" s="1">
        <v>44672.475694425375</v>
      </c>
      <c r="M5903" s="13"/>
    </row>
    <row r="5904" spans="12:13">
      <c r="L5904" s="1">
        <v>44672.479166647594</v>
      </c>
      <c r="M5904" s="13"/>
    </row>
    <row r="5905" spans="12:13">
      <c r="L5905" s="1">
        <v>44672.482638869813</v>
      </c>
      <c r="M5905" s="13"/>
    </row>
    <row r="5906" spans="12:13">
      <c r="L5906" s="1">
        <v>44672.486111092032</v>
      </c>
      <c r="M5906" s="13"/>
    </row>
    <row r="5907" spans="12:13">
      <c r="L5907" s="1">
        <v>44672.489583314251</v>
      </c>
      <c r="M5907" s="13"/>
    </row>
    <row r="5908" spans="12:13">
      <c r="L5908" s="1">
        <v>44672.49305553647</v>
      </c>
      <c r="M5908" s="13"/>
    </row>
    <row r="5909" spans="12:13">
      <c r="L5909" s="1">
        <v>44672.496527758689</v>
      </c>
      <c r="M5909" s="13"/>
    </row>
    <row r="5910" spans="12:13">
      <c r="L5910" s="1">
        <v>44672.499999980908</v>
      </c>
      <c r="M5910" s="13"/>
    </row>
    <row r="5911" spans="12:13">
      <c r="L5911" s="1">
        <v>44672.503472203127</v>
      </c>
      <c r="M5911" s="13"/>
    </row>
    <row r="5912" spans="12:13">
      <c r="L5912" s="1">
        <v>44672.506944425346</v>
      </c>
      <c r="M5912" s="13"/>
    </row>
    <row r="5913" spans="12:13">
      <c r="L5913" s="1">
        <v>44672.510416647565</v>
      </c>
      <c r="M5913" s="13"/>
    </row>
    <row r="5914" spans="12:13">
      <c r="L5914" s="1">
        <v>44672.513888869784</v>
      </c>
      <c r="M5914" s="13"/>
    </row>
    <row r="5915" spans="12:13">
      <c r="L5915" s="1">
        <v>44672.517361092003</v>
      </c>
      <c r="M5915" s="13"/>
    </row>
    <row r="5916" spans="12:13">
      <c r="L5916" s="1">
        <v>44672.520833314222</v>
      </c>
      <c r="M5916" s="13"/>
    </row>
    <row r="5917" spans="12:13">
      <c r="L5917" s="1">
        <v>44672.524305536441</v>
      </c>
      <c r="M5917" s="13"/>
    </row>
    <row r="5918" spans="12:13">
      <c r="L5918" s="1">
        <v>44672.52777775866</v>
      </c>
      <c r="M5918" s="13"/>
    </row>
    <row r="5919" spans="12:13">
      <c r="L5919" s="1">
        <v>44672.531249980879</v>
      </c>
      <c r="M5919" s="13"/>
    </row>
    <row r="5920" spans="12:13">
      <c r="L5920" s="1">
        <v>44672.534722203098</v>
      </c>
      <c r="M5920" s="13"/>
    </row>
    <row r="5921" spans="12:13">
      <c r="L5921" s="1">
        <v>44672.538194425317</v>
      </c>
      <c r="M5921" s="13"/>
    </row>
    <row r="5922" spans="12:13">
      <c r="L5922" s="1">
        <v>44672.541666647536</v>
      </c>
      <c r="M5922" s="13"/>
    </row>
    <row r="5923" spans="12:13">
      <c r="L5923" s="1">
        <v>44672.545138869755</v>
      </c>
      <c r="M5923" s="13"/>
    </row>
    <row r="5924" spans="12:13">
      <c r="L5924" s="1">
        <v>44672.548611091974</v>
      </c>
      <c r="M5924" s="13"/>
    </row>
    <row r="5925" spans="12:13">
      <c r="L5925" s="1">
        <v>44672.552083314193</v>
      </c>
      <c r="M5925" s="13"/>
    </row>
    <row r="5926" spans="12:13">
      <c r="L5926" s="1">
        <v>44672.555555536412</v>
      </c>
      <c r="M5926" s="13"/>
    </row>
    <row r="5927" spans="12:13">
      <c r="L5927" s="1">
        <v>44672.559027758631</v>
      </c>
      <c r="M5927" s="13"/>
    </row>
    <row r="5928" spans="12:13">
      <c r="L5928" s="1">
        <v>44672.56249998085</v>
      </c>
      <c r="M5928" s="13"/>
    </row>
    <row r="5929" spans="12:13">
      <c r="L5929" s="1">
        <v>44672.565972203069</v>
      </c>
      <c r="M5929" s="13"/>
    </row>
    <row r="5930" spans="12:13">
      <c r="L5930" s="1">
        <v>44672.569444425288</v>
      </c>
      <c r="M5930" s="13"/>
    </row>
    <row r="5931" spans="12:13">
      <c r="L5931" s="1">
        <v>44672.572916647507</v>
      </c>
      <c r="M5931" s="13"/>
    </row>
    <row r="5932" spans="12:13">
      <c r="L5932" s="1">
        <v>44672.576388869726</v>
      </c>
      <c r="M5932" s="13"/>
    </row>
    <row r="5933" spans="12:13">
      <c r="L5933" s="1">
        <v>44672.579861091945</v>
      </c>
      <c r="M5933" s="13"/>
    </row>
    <row r="5934" spans="12:13">
      <c r="L5934" s="1">
        <v>44672.583333314164</v>
      </c>
      <c r="M5934" s="13"/>
    </row>
    <row r="5935" spans="12:13">
      <c r="L5935" s="1">
        <v>44672.586805536383</v>
      </c>
      <c r="M5935" s="13"/>
    </row>
    <row r="5936" spans="12:13">
      <c r="L5936" s="1">
        <v>44672.590277758602</v>
      </c>
      <c r="M5936" s="13"/>
    </row>
    <row r="5937" spans="12:13">
      <c r="L5937" s="1">
        <v>44672.593749980821</v>
      </c>
      <c r="M5937" s="13"/>
    </row>
    <row r="5938" spans="12:13">
      <c r="L5938" s="1">
        <v>44672.59722220304</v>
      </c>
      <c r="M5938" s="13"/>
    </row>
    <row r="5939" spans="12:13">
      <c r="L5939" s="1">
        <v>44672.600694425259</v>
      </c>
      <c r="M5939" s="13"/>
    </row>
    <row r="5940" spans="12:13">
      <c r="L5940" s="1">
        <v>44672.604166647478</v>
      </c>
      <c r="M5940" s="13"/>
    </row>
    <row r="5941" spans="12:13">
      <c r="L5941" s="1">
        <v>44672.607638869697</v>
      </c>
      <c r="M5941" s="13"/>
    </row>
    <row r="5942" spans="12:13">
      <c r="L5942" s="1">
        <v>44672.611111091916</v>
      </c>
      <c r="M5942" s="13"/>
    </row>
    <row r="5943" spans="12:13">
      <c r="L5943" s="1">
        <v>44672.614583314135</v>
      </c>
      <c r="M5943" s="13"/>
    </row>
    <row r="5944" spans="12:13">
      <c r="L5944" s="1">
        <v>44672.618055536353</v>
      </c>
      <c r="M5944" s="13"/>
    </row>
    <row r="5945" spans="12:13">
      <c r="L5945" s="1">
        <v>44672.621527758572</v>
      </c>
      <c r="M5945" s="13"/>
    </row>
    <row r="5946" spans="12:13">
      <c r="L5946" s="1">
        <v>44672.624999980791</v>
      </c>
      <c r="M5946" s="13"/>
    </row>
    <row r="5947" spans="12:13">
      <c r="L5947" s="1">
        <v>44672.62847220301</v>
      </c>
      <c r="M5947" s="13"/>
    </row>
    <row r="5948" spans="12:13">
      <c r="L5948" s="1">
        <v>44672.631944425229</v>
      </c>
      <c r="M5948" s="13"/>
    </row>
    <row r="5949" spans="12:13">
      <c r="L5949" s="1">
        <v>44672.635416647448</v>
      </c>
      <c r="M5949" s="13"/>
    </row>
    <row r="5950" spans="12:13">
      <c r="L5950" s="1">
        <v>44672.638888869667</v>
      </c>
      <c r="M5950" s="13"/>
    </row>
    <row r="5951" spans="12:13">
      <c r="L5951" s="1">
        <v>44672.642361091886</v>
      </c>
      <c r="M5951" s="13"/>
    </row>
    <row r="5952" spans="12:13">
      <c r="L5952" s="1">
        <v>44672.645833314105</v>
      </c>
      <c r="M5952" s="13"/>
    </row>
    <row r="5953" spans="12:13">
      <c r="L5953" s="1">
        <v>44672.649305536324</v>
      </c>
      <c r="M5953" s="13"/>
    </row>
    <row r="5954" spans="12:13">
      <c r="L5954" s="1">
        <v>44672.652777758543</v>
      </c>
      <c r="M5954" s="13"/>
    </row>
    <row r="5955" spans="12:13">
      <c r="L5955" s="1">
        <v>44672.656249980762</v>
      </c>
      <c r="M5955" s="13"/>
    </row>
    <row r="5956" spans="12:13">
      <c r="L5956" s="1">
        <v>44672.659722202981</v>
      </c>
      <c r="M5956" s="13"/>
    </row>
    <row r="5957" spans="12:13">
      <c r="L5957" s="1">
        <v>44672.6631944252</v>
      </c>
      <c r="M5957" s="13"/>
    </row>
    <row r="5958" spans="12:13">
      <c r="L5958" s="1">
        <v>44672.666666647419</v>
      </c>
      <c r="M5958" s="13"/>
    </row>
    <row r="5959" spans="12:13">
      <c r="L5959" s="1">
        <v>44672.670138869638</v>
      </c>
      <c r="M5959" s="13"/>
    </row>
    <row r="5960" spans="12:13">
      <c r="L5960" s="1">
        <v>44672.673611091857</v>
      </c>
      <c r="M5960" s="13"/>
    </row>
    <row r="5961" spans="12:13">
      <c r="L5961" s="1">
        <v>44672.677083314076</v>
      </c>
      <c r="M5961" s="13"/>
    </row>
    <row r="5962" spans="12:13">
      <c r="L5962" s="1">
        <v>44672.680555536295</v>
      </c>
      <c r="M5962" s="13"/>
    </row>
    <row r="5963" spans="12:13">
      <c r="L5963" s="1">
        <v>44672.684027758514</v>
      </c>
      <c r="M5963" s="13"/>
    </row>
    <row r="5964" spans="12:13">
      <c r="L5964" s="1">
        <v>44672.687499980733</v>
      </c>
      <c r="M5964" s="13"/>
    </row>
    <row r="5965" spans="12:13">
      <c r="L5965" s="1">
        <v>44672.690972202952</v>
      </c>
      <c r="M5965" s="13"/>
    </row>
    <row r="5966" spans="12:13">
      <c r="L5966" s="1">
        <v>44672.694444425171</v>
      </c>
      <c r="M5966" s="13"/>
    </row>
    <row r="5967" spans="12:13">
      <c r="L5967" s="1">
        <v>44672.69791664739</v>
      </c>
      <c r="M5967" s="13"/>
    </row>
    <row r="5968" spans="12:13">
      <c r="L5968" s="1">
        <v>44672.701388869609</v>
      </c>
      <c r="M5968" s="13"/>
    </row>
    <row r="5969" spans="12:13">
      <c r="L5969" s="1">
        <v>44672.704861091828</v>
      </c>
      <c r="M5969" s="13"/>
    </row>
    <row r="5970" spans="12:13">
      <c r="L5970" s="1">
        <v>44672.708333314047</v>
      </c>
      <c r="M5970" s="13"/>
    </row>
    <row r="5971" spans="12:13">
      <c r="L5971" s="1">
        <v>44672.711805536266</v>
      </c>
      <c r="M5971" s="13"/>
    </row>
    <row r="5972" spans="12:13">
      <c r="L5972" s="1">
        <v>44672.715277758485</v>
      </c>
      <c r="M5972" s="13"/>
    </row>
    <row r="5973" spans="12:13">
      <c r="L5973" s="1">
        <v>44672.718749980704</v>
      </c>
      <c r="M5973" s="13"/>
    </row>
    <row r="5974" spans="12:13">
      <c r="L5974" s="1">
        <v>44672.722222202923</v>
      </c>
      <c r="M5974" s="13"/>
    </row>
    <row r="5975" spans="12:13">
      <c r="L5975" s="1">
        <v>44672.725694425142</v>
      </c>
      <c r="M5975" s="13"/>
    </row>
    <row r="5976" spans="12:13">
      <c r="L5976" s="1">
        <v>44672.729166647361</v>
      </c>
      <c r="M5976" s="13"/>
    </row>
    <row r="5977" spans="12:13">
      <c r="L5977" s="1">
        <v>44672.73263886958</v>
      </c>
      <c r="M5977" s="13"/>
    </row>
    <row r="5978" spans="12:13">
      <c r="L5978" s="1">
        <v>44672.736111091799</v>
      </c>
      <c r="M5978" s="13"/>
    </row>
    <row r="5979" spans="12:13">
      <c r="L5979" s="1">
        <v>44672.739583314018</v>
      </c>
      <c r="M5979" s="13"/>
    </row>
    <row r="5980" spans="12:13">
      <c r="L5980" s="1">
        <v>44672.743055536237</v>
      </c>
      <c r="M5980" s="13"/>
    </row>
    <row r="5981" spans="12:13">
      <c r="L5981" s="1">
        <v>44672.746527758456</v>
      </c>
      <c r="M5981" s="13"/>
    </row>
    <row r="5982" spans="12:13">
      <c r="L5982" s="1">
        <v>44672.749999980675</v>
      </c>
      <c r="M5982" s="13"/>
    </row>
    <row r="5983" spans="12:13">
      <c r="L5983" s="1">
        <v>44672.753472202894</v>
      </c>
      <c r="M5983" s="13"/>
    </row>
    <row r="5984" spans="12:13">
      <c r="L5984" s="1">
        <v>44672.756944425113</v>
      </c>
      <c r="M5984" s="13"/>
    </row>
    <row r="5985" spans="12:13">
      <c r="L5985" s="1">
        <v>44672.760416647332</v>
      </c>
      <c r="M5985" s="13"/>
    </row>
    <row r="5986" spans="12:13">
      <c r="L5986" s="1">
        <v>44672.763888869551</v>
      </c>
      <c r="M5986" s="13"/>
    </row>
    <row r="5987" spans="12:13">
      <c r="L5987" s="1">
        <v>44672.76736109177</v>
      </c>
      <c r="M5987" s="13"/>
    </row>
    <row r="5988" spans="12:13">
      <c r="L5988" s="1">
        <v>44672.770833313989</v>
      </c>
      <c r="M5988" s="13"/>
    </row>
    <row r="5989" spans="12:13">
      <c r="L5989" s="1">
        <v>44672.774305536208</v>
      </c>
      <c r="M5989" s="13"/>
    </row>
    <row r="5990" spans="12:13">
      <c r="L5990" s="1">
        <v>44672.777777758427</v>
      </c>
      <c r="M5990" s="13"/>
    </row>
    <row r="5991" spans="12:13">
      <c r="L5991" s="1">
        <v>44672.781249980646</v>
      </c>
      <c r="M5991" s="13"/>
    </row>
    <row r="5992" spans="12:13">
      <c r="L5992" s="1">
        <v>44672.784722202865</v>
      </c>
      <c r="M5992" s="13"/>
    </row>
    <row r="5993" spans="12:13">
      <c r="L5993" s="1">
        <v>44672.788194425084</v>
      </c>
      <c r="M5993" s="13"/>
    </row>
    <row r="5994" spans="12:13">
      <c r="L5994" s="1">
        <v>44672.791666647303</v>
      </c>
      <c r="M5994" s="13"/>
    </row>
    <row r="5995" spans="12:13">
      <c r="L5995" s="1">
        <v>44672.795138869522</v>
      </c>
      <c r="M5995" s="13"/>
    </row>
    <row r="5996" spans="12:13">
      <c r="L5996" s="1">
        <v>44672.798611091741</v>
      </c>
      <c r="M5996" s="13"/>
    </row>
    <row r="5997" spans="12:13">
      <c r="L5997" s="1">
        <v>44672.80208331396</v>
      </c>
      <c r="M5997" s="13"/>
    </row>
    <row r="5998" spans="12:13">
      <c r="L5998" s="1">
        <v>44672.805555536179</v>
      </c>
      <c r="M5998" s="13"/>
    </row>
    <row r="5999" spans="12:13">
      <c r="L5999" s="1">
        <v>44672.809027758398</v>
      </c>
      <c r="M5999" s="13"/>
    </row>
    <row r="6000" spans="12:13">
      <c r="L6000" s="1">
        <v>44672.812499980617</v>
      </c>
      <c r="M6000" s="13"/>
    </row>
    <row r="6001" spans="12:13">
      <c r="L6001" s="1">
        <v>44672.815972202836</v>
      </c>
      <c r="M6001" s="13"/>
    </row>
    <row r="6002" spans="12:13">
      <c r="L6002" s="1">
        <v>44672.819444425055</v>
      </c>
      <c r="M6002" s="13"/>
    </row>
    <row r="6003" spans="12:13">
      <c r="L6003" s="1">
        <v>44672.822916647274</v>
      </c>
      <c r="M6003" s="13"/>
    </row>
    <row r="6004" spans="12:13">
      <c r="L6004" s="1">
        <v>44672.826388869493</v>
      </c>
      <c r="M6004" s="13"/>
    </row>
    <row r="6005" spans="12:13">
      <c r="L6005" s="1">
        <v>44672.829861091712</v>
      </c>
      <c r="M6005" s="13"/>
    </row>
    <row r="6006" spans="12:13">
      <c r="L6006" s="1">
        <v>44672.833333313931</v>
      </c>
      <c r="M6006" s="13"/>
    </row>
    <row r="6007" spans="12:13">
      <c r="L6007" s="1">
        <v>44672.83680553615</v>
      </c>
      <c r="M6007" s="13"/>
    </row>
    <row r="6008" spans="12:13">
      <c r="L6008" s="1">
        <v>44672.840277758369</v>
      </c>
      <c r="M6008" s="13"/>
    </row>
    <row r="6009" spans="12:13">
      <c r="L6009" s="1">
        <v>44672.843749980588</v>
      </c>
      <c r="M6009" s="13"/>
    </row>
    <row r="6010" spans="12:13">
      <c r="L6010" s="1">
        <v>44672.847222202807</v>
      </c>
      <c r="M6010" s="13"/>
    </row>
    <row r="6011" spans="12:13">
      <c r="L6011" s="1">
        <v>44672.850694425026</v>
      </c>
      <c r="M6011" s="13"/>
    </row>
    <row r="6012" spans="12:13">
      <c r="L6012" s="1">
        <v>44672.854166647245</v>
      </c>
      <c r="M6012" s="13"/>
    </row>
    <row r="6013" spans="12:13">
      <c r="L6013" s="1">
        <v>44672.857638869464</v>
      </c>
      <c r="M6013" s="13"/>
    </row>
    <row r="6014" spans="12:13">
      <c r="L6014" s="1">
        <v>44672.861111091683</v>
      </c>
      <c r="M6014" s="13"/>
    </row>
    <row r="6015" spans="12:13">
      <c r="L6015" s="1">
        <v>44672.864583313902</v>
      </c>
      <c r="M6015" s="13"/>
    </row>
    <row r="6016" spans="12:13">
      <c r="L6016" s="1">
        <v>44672.868055536121</v>
      </c>
      <c r="M6016" s="13"/>
    </row>
    <row r="6017" spans="12:13">
      <c r="L6017" s="1">
        <v>44672.87152775834</v>
      </c>
      <c r="M6017" s="13"/>
    </row>
    <row r="6018" spans="12:13">
      <c r="L6018" s="1">
        <v>44672.874999980559</v>
      </c>
      <c r="M6018" s="13"/>
    </row>
    <row r="6019" spans="12:13">
      <c r="L6019" s="1">
        <v>44672.878472202778</v>
      </c>
      <c r="M6019" s="13"/>
    </row>
    <row r="6020" spans="12:13">
      <c r="L6020" s="1">
        <v>44672.881944424997</v>
      </c>
      <c r="M6020" s="13"/>
    </row>
    <row r="6021" spans="12:13">
      <c r="L6021" s="1">
        <v>44672.885416647216</v>
      </c>
      <c r="M6021" s="13"/>
    </row>
    <row r="6022" spans="12:13">
      <c r="L6022" s="1">
        <v>44672.888888869435</v>
      </c>
      <c r="M6022" s="13"/>
    </row>
    <row r="6023" spans="12:13">
      <c r="L6023" s="1">
        <v>44672.892361091654</v>
      </c>
      <c r="M6023" s="13"/>
    </row>
    <row r="6024" spans="12:13">
      <c r="L6024" s="1">
        <v>44672.895833313873</v>
      </c>
      <c r="M6024" s="13"/>
    </row>
    <row r="6025" spans="12:13">
      <c r="L6025" s="1">
        <v>44672.899305536092</v>
      </c>
      <c r="M6025" s="13"/>
    </row>
    <row r="6026" spans="12:13">
      <c r="L6026" s="1">
        <v>44672.902777758311</v>
      </c>
      <c r="M6026" s="13"/>
    </row>
    <row r="6027" spans="12:13">
      <c r="L6027" s="1">
        <v>44672.90624998053</v>
      </c>
      <c r="M6027" s="13"/>
    </row>
    <row r="6028" spans="12:13">
      <c r="L6028" s="1">
        <v>44672.909722202749</v>
      </c>
      <c r="M6028" s="13"/>
    </row>
    <row r="6029" spans="12:13">
      <c r="L6029" s="1">
        <v>44672.913194424968</v>
      </c>
      <c r="M6029" s="13"/>
    </row>
    <row r="6030" spans="12:13">
      <c r="L6030" s="1">
        <v>44672.916666647187</v>
      </c>
      <c r="M6030" s="13"/>
    </row>
    <row r="6031" spans="12:13">
      <c r="L6031" s="1">
        <v>44672.920138869405</v>
      </c>
      <c r="M6031" s="13"/>
    </row>
    <row r="6032" spans="12:13">
      <c r="L6032" s="1">
        <v>44672.923611091624</v>
      </c>
      <c r="M6032" s="13"/>
    </row>
    <row r="6033" spans="12:13">
      <c r="L6033" s="1">
        <v>44672.927083313843</v>
      </c>
      <c r="M6033" s="13"/>
    </row>
    <row r="6034" spans="12:13">
      <c r="L6034" s="1">
        <v>44672.930555536062</v>
      </c>
      <c r="M6034" s="13"/>
    </row>
    <row r="6035" spans="12:13">
      <c r="L6035" s="1">
        <v>44672.934027758281</v>
      </c>
      <c r="M6035" s="13"/>
    </row>
    <row r="6036" spans="12:13">
      <c r="L6036" s="1">
        <v>44672.9374999805</v>
      </c>
      <c r="M6036" s="13"/>
    </row>
    <row r="6037" spans="12:13">
      <c r="L6037" s="1">
        <v>44672.940972202719</v>
      </c>
      <c r="M6037" s="13"/>
    </row>
    <row r="6038" spans="12:13">
      <c r="L6038" s="1">
        <v>44672.944444424938</v>
      </c>
      <c r="M6038" s="13"/>
    </row>
    <row r="6039" spans="12:13">
      <c r="L6039" s="1">
        <v>44672.947916647157</v>
      </c>
      <c r="M6039" s="13"/>
    </row>
    <row r="6040" spans="12:13">
      <c r="L6040" s="1">
        <v>44672.951388869376</v>
      </c>
      <c r="M6040" s="13"/>
    </row>
    <row r="6041" spans="12:13">
      <c r="L6041" s="1">
        <v>44672.954861091595</v>
      </c>
      <c r="M6041" s="13"/>
    </row>
    <row r="6042" spans="12:13">
      <c r="L6042" s="1">
        <v>44672.958333313814</v>
      </c>
      <c r="M6042" s="13"/>
    </row>
    <row r="6043" spans="12:13">
      <c r="L6043" s="1">
        <v>44672.961805536033</v>
      </c>
      <c r="M6043" s="13"/>
    </row>
    <row r="6044" spans="12:13">
      <c r="L6044" s="1">
        <v>44672.965277758252</v>
      </c>
      <c r="M6044" s="13"/>
    </row>
    <row r="6045" spans="12:13">
      <c r="L6045" s="1">
        <v>44672.968749980471</v>
      </c>
      <c r="M6045" s="13"/>
    </row>
    <row r="6046" spans="12:13">
      <c r="L6046" s="1">
        <v>44672.97222220269</v>
      </c>
      <c r="M6046" s="13"/>
    </row>
    <row r="6047" spans="12:13">
      <c r="L6047" s="1">
        <v>44672.975694424909</v>
      </c>
      <c r="M6047" s="13"/>
    </row>
    <row r="6048" spans="12:13">
      <c r="L6048" s="1">
        <v>44672.979166647128</v>
      </c>
      <c r="M6048" s="13"/>
    </row>
    <row r="6049" spans="12:13">
      <c r="L6049" s="1">
        <v>44672.982638869347</v>
      </c>
      <c r="M6049" s="13"/>
    </row>
    <row r="6050" spans="12:13">
      <c r="L6050" s="1">
        <v>44672.986111091566</v>
      </c>
      <c r="M6050" s="13"/>
    </row>
    <row r="6051" spans="12:13">
      <c r="L6051" s="1">
        <v>44672.989583313785</v>
      </c>
      <c r="M6051" s="13"/>
    </row>
    <row r="6052" spans="12:13">
      <c r="L6052" s="1">
        <v>44672.993055536004</v>
      </c>
      <c r="M6052" s="13"/>
    </row>
    <row r="6053" spans="12:13">
      <c r="L6053" s="1">
        <v>44672.996527758223</v>
      </c>
      <c r="M6053" s="13"/>
    </row>
    <row r="6054" spans="12:13">
      <c r="L6054" s="1">
        <v>44672.999999980442</v>
      </c>
      <c r="M6054" s="13"/>
    </row>
    <row r="6055" spans="12:13">
      <c r="L6055" s="1">
        <v>44673.003472202661</v>
      </c>
      <c r="M6055" s="13"/>
    </row>
    <row r="6056" spans="12:13">
      <c r="L6056" s="1">
        <v>44673.00694442488</v>
      </c>
      <c r="M6056" s="13"/>
    </row>
    <row r="6057" spans="12:13">
      <c r="L6057" s="1">
        <v>44673.010416647099</v>
      </c>
      <c r="M6057" s="13"/>
    </row>
    <row r="6058" spans="12:13">
      <c r="L6058" s="1">
        <v>44673.013888869318</v>
      </c>
      <c r="M6058" s="13"/>
    </row>
    <row r="6059" spans="12:13">
      <c r="L6059" s="1">
        <v>44673.017361091537</v>
      </c>
      <c r="M6059" s="13"/>
    </row>
    <row r="6060" spans="12:13">
      <c r="L6060" s="1">
        <v>44673.020833313756</v>
      </c>
      <c r="M6060" s="13"/>
    </row>
    <row r="6061" spans="12:13">
      <c r="L6061" s="1">
        <v>44673.024305535975</v>
      </c>
      <c r="M6061" s="13"/>
    </row>
    <row r="6062" spans="12:13">
      <c r="L6062" s="1">
        <v>44673.027777758194</v>
      </c>
      <c r="M6062" s="13"/>
    </row>
    <row r="6063" spans="12:13">
      <c r="L6063" s="1">
        <v>44673.031249980413</v>
      </c>
      <c r="M6063" s="13"/>
    </row>
    <row r="6064" spans="12:13">
      <c r="L6064" s="1">
        <v>44673.034722202632</v>
      </c>
      <c r="M6064" s="13"/>
    </row>
    <row r="6065" spans="12:13">
      <c r="L6065" s="1">
        <v>44673.038194424851</v>
      </c>
      <c r="M6065" s="13"/>
    </row>
    <row r="6066" spans="12:13">
      <c r="L6066" s="1">
        <v>44673.04166664707</v>
      </c>
      <c r="M6066" s="13"/>
    </row>
    <row r="6067" spans="12:13">
      <c r="L6067" s="1">
        <v>44673.045138869289</v>
      </c>
      <c r="M6067" s="13"/>
    </row>
    <row r="6068" spans="12:13">
      <c r="L6068" s="1">
        <v>44673.048611091508</v>
      </c>
      <c r="M6068" s="13"/>
    </row>
    <row r="6069" spans="12:13">
      <c r="L6069" s="1">
        <v>44673.052083313727</v>
      </c>
      <c r="M6069" s="13"/>
    </row>
    <row r="6070" spans="12:13">
      <c r="L6070" s="1">
        <v>44673.055555535946</v>
      </c>
      <c r="M6070" s="13"/>
    </row>
    <row r="6071" spans="12:13">
      <c r="L6071" s="1">
        <v>44673.059027758165</v>
      </c>
      <c r="M6071" s="13"/>
    </row>
    <row r="6072" spans="12:13">
      <c r="L6072" s="1">
        <v>44673.062499980384</v>
      </c>
      <c r="M6072" s="13"/>
    </row>
    <row r="6073" spans="12:13">
      <c r="L6073" s="1">
        <v>44673.065972202603</v>
      </c>
      <c r="M6073" s="13"/>
    </row>
    <row r="6074" spans="12:13">
      <c r="L6074" s="1">
        <v>44673.069444424822</v>
      </c>
      <c r="M6074" s="13"/>
    </row>
    <row r="6075" spans="12:13">
      <c r="L6075" s="1">
        <v>44673.072916647041</v>
      </c>
      <c r="M6075" s="13"/>
    </row>
    <row r="6076" spans="12:13">
      <c r="L6076" s="1">
        <v>44673.07638886926</v>
      </c>
      <c r="M6076" s="13"/>
    </row>
    <row r="6077" spans="12:13">
      <c r="L6077" s="1">
        <v>44673.079861091479</v>
      </c>
      <c r="M6077" s="13"/>
    </row>
    <row r="6078" spans="12:13">
      <c r="L6078" s="1">
        <v>44673.083333313698</v>
      </c>
      <c r="M6078" s="13"/>
    </row>
    <row r="6079" spans="12:13">
      <c r="L6079" s="1">
        <v>44673.086805535917</v>
      </c>
      <c r="M6079" s="13"/>
    </row>
    <row r="6080" spans="12:13">
      <c r="L6080" s="1">
        <v>44673.090277758136</v>
      </c>
      <c r="M6080" s="13"/>
    </row>
    <row r="6081" spans="12:13">
      <c r="L6081" s="1">
        <v>44673.093749980355</v>
      </c>
      <c r="M6081" s="13"/>
    </row>
    <row r="6082" spans="12:13">
      <c r="L6082" s="1">
        <v>44673.097222202574</v>
      </c>
      <c r="M6082" s="13"/>
    </row>
    <row r="6083" spans="12:13">
      <c r="L6083" s="1">
        <v>44673.100694424793</v>
      </c>
      <c r="M6083" s="13"/>
    </row>
    <row r="6084" spans="12:13">
      <c r="L6084" s="1">
        <v>44673.104166647012</v>
      </c>
      <c r="M6084" s="13"/>
    </row>
    <row r="6085" spans="12:13">
      <c r="L6085" s="1">
        <v>44673.107638869231</v>
      </c>
      <c r="M6085" s="13"/>
    </row>
    <row r="6086" spans="12:13">
      <c r="L6086" s="1">
        <v>44673.11111109145</v>
      </c>
      <c r="M6086" s="13"/>
    </row>
    <row r="6087" spans="12:13">
      <c r="L6087" s="1">
        <v>44673.114583313669</v>
      </c>
      <c r="M6087" s="13"/>
    </row>
    <row r="6088" spans="12:13">
      <c r="L6088" s="1">
        <v>44673.118055535888</v>
      </c>
      <c r="M6088" s="13"/>
    </row>
    <row r="6089" spans="12:13">
      <c r="L6089" s="1">
        <v>44673.121527758107</v>
      </c>
      <c r="M6089" s="13"/>
    </row>
    <row r="6090" spans="12:13">
      <c r="L6090" s="1">
        <v>44673.124999980326</v>
      </c>
      <c r="M6090" s="13"/>
    </row>
    <row r="6091" spans="12:13">
      <c r="L6091" s="1">
        <v>44673.128472202545</v>
      </c>
      <c r="M6091" s="13"/>
    </row>
    <row r="6092" spans="12:13">
      <c r="L6092" s="1">
        <v>44673.131944424764</v>
      </c>
      <c r="M6092" s="13"/>
    </row>
    <row r="6093" spans="12:13">
      <c r="L6093" s="1">
        <v>44673.135416646983</v>
      </c>
      <c r="M6093" s="13"/>
    </row>
    <row r="6094" spans="12:13">
      <c r="L6094" s="1">
        <v>44673.138888869202</v>
      </c>
      <c r="M6094" s="13"/>
    </row>
    <row r="6095" spans="12:13">
      <c r="L6095" s="1">
        <v>44673.142361091421</v>
      </c>
      <c r="M6095" s="13"/>
    </row>
    <row r="6096" spans="12:13">
      <c r="L6096" s="1">
        <v>44673.14583331364</v>
      </c>
      <c r="M6096" s="13"/>
    </row>
    <row r="6097" spans="12:13">
      <c r="L6097" s="1">
        <v>44673.149305535859</v>
      </c>
      <c r="M6097" s="13"/>
    </row>
    <row r="6098" spans="12:13">
      <c r="L6098" s="1">
        <v>44673.152777758078</v>
      </c>
      <c r="M6098" s="13"/>
    </row>
    <row r="6099" spans="12:13">
      <c r="L6099" s="1">
        <v>44673.156249980297</v>
      </c>
      <c r="M6099" s="13"/>
    </row>
    <row r="6100" spans="12:13">
      <c r="L6100" s="1">
        <v>44673.159722202516</v>
      </c>
      <c r="M6100" s="13"/>
    </row>
    <row r="6101" spans="12:13">
      <c r="L6101" s="1">
        <v>44673.163194424735</v>
      </c>
      <c r="M6101" s="13"/>
    </row>
    <row r="6102" spans="12:13">
      <c r="L6102" s="1">
        <v>44673.166666646954</v>
      </c>
      <c r="M6102" s="13"/>
    </row>
    <row r="6103" spans="12:13">
      <c r="L6103" s="1">
        <v>44673.170138869173</v>
      </c>
      <c r="M6103" s="13"/>
    </row>
    <row r="6104" spans="12:13">
      <c r="L6104" s="1">
        <v>44673.173611091392</v>
      </c>
      <c r="M6104" s="13"/>
    </row>
    <row r="6105" spans="12:13">
      <c r="L6105" s="1">
        <v>44673.177083313611</v>
      </c>
      <c r="M6105" s="13"/>
    </row>
    <row r="6106" spans="12:13">
      <c r="L6106" s="1">
        <v>44673.18055553583</v>
      </c>
      <c r="M6106" s="13"/>
    </row>
    <row r="6107" spans="12:13">
      <c r="L6107" s="1">
        <v>44673.184027758049</v>
      </c>
      <c r="M6107" s="13"/>
    </row>
    <row r="6108" spans="12:13">
      <c r="L6108" s="1">
        <v>44673.187499980268</v>
      </c>
      <c r="M6108" s="13"/>
    </row>
    <row r="6109" spans="12:13">
      <c r="L6109" s="1">
        <v>44673.190972202487</v>
      </c>
      <c r="M6109" s="13"/>
    </row>
    <row r="6110" spans="12:13">
      <c r="L6110" s="1">
        <v>44673.194444424706</v>
      </c>
      <c r="M6110" s="13"/>
    </row>
    <row r="6111" spans="12:13">
      <c r="L6111" s="1">
        <v>44673.197916646925</v>
      </c>
      <c r="M6111" s="13"/>
    </row>
    <row r="6112" spans="12:13">
      <c r="L6112" s="1">
        <v>44673.201388869144</v>
      </c>
      <c r="M6112" s="13"/>
    </row>
    <row r="6113" spans="12:13">
      <c r="L6113" s="1">
        <v>44673.204861091363</v>
      </c>
      <c r="M6113" s="13"/>
    </row>
    <row r="6114" spans="12:13">
      <c r="L6114" s="1">
        <v>44673.208333313582</v>
      </c>
      <c r="M6114" s="13"/>
    </row>
    <row r="6115" spans="12:13">
      <c r="L6115" s="1">
        <v>44673.211805535801</v>
      </c>
      <c r="M6115" s="13"/>
    </row>
    <row r="6116" spans="12:13">
      <c r="L6116" s="1">
        <v>44673.21527775802</v>
      </c>
      <c r="M6116" s="13"/>
    </row>
    <row r="6117" spans="12:13">
      <c r="L6117" s="1">
        <v>44673.218749980238</v>
      </c>
      <c r="M6117" s="13"/>
    </row>
    <row r="6118" spans="12:13">
      <c r="L6118" s="1">
        <v>44673.222222202457</v>
      </c>
      <c r="M6118" s="13"/>
    </row>
    <row r="6119" spans="12:13">
      <c r="L6119" s="1">
        <v>44673.225694424676</v>
      </c>
      <c r="M6119" s="13"/>
    </row>
    <row r="6120" spans="12:13">
      <c r="L6120" s="1">
        <v>44673.229166646895</v>
      </c>
      <c r="M6120" s="13"/>
    </row>
    <row r="6121" spans="12:13">
      <c r="L6121" s="1">
        <v>44673.232638869114</v>
      </c>
      <c r="M6121" s="13"/>
    </row>
    <row r="6122" spans="12:13">
      <c r="L6122" s="1">
        <v>44673.236111091333</v>
      </c>
      <c r="M6122" s="13"/>
    </row>
    <row r="6123" spans="12:13">
      <c r="L6123" s="1">
        <v>44673.239583313552</v>
      </c>
      <c r="M6123" s="13"/>
    </row>
    <row r="6124" spans="12:13">
      <c r="L6124" s="1">
        <v>44673.243055535771</v>
      </c>
      <c r="M6124" s="13"/>
    </row>
    <row r="6125" spans="12:13">
      <c r="L6125" s="1">
        <v>44673.24652775799</v>
      </c>
      <c r="M6125" s="13"/>
    </row>
    <row r="6126" spans="12:13">
      <c r="L6126" s="1">
        <v>44673.249999980209</v>
      </c>
      <c r="M6126" s="13"/>
    </row>
    <row r="6127" spans="12:13">
      <c r="L6127" s="1">
        <v>44673.253472202428</v>
      </c>
      <c r="M6127" s="13"/>
    </row>
    <row r="6128" spans="12:13">
      <c r="L6128" s="1">
        <v>44673.256944424647</v>
      </c>
      <c r="M6128" s="13"/>
    </row>
    <row r="6129" spans="12:13">
      <c r="L6129" s="1">
        <v>44673.260416646866</v>
      </c>
      <c r="M6129" s="13"/>
    </row>
    <row r="6130" spans="12:13">
      <c r="L6130" s="1">
        <v>44673.263888869085</v>
      </c>
      <c r="M6130" s="13"/>
    </row>
    <row r="6131" spans="12:13">
      <c r="L6131" s="1">
        <v>44673.267361091304</v>
      </c>
      <c r="M6131" s="13"/>
    </row>
    <row r="6132" spans="12:13">
      <c r="L6132" s="1">
        <v>44673.270833313523</v>
      </c>
      <c r="M6132" s="13"/>
    </row>
    <row r="6133" spans="12:13">
      <c r="L6133" s="1">
        <v>44673.274305535742</v>
      </c>
      <c r="M6133" s="13"/>
    </row>
    <row r="6134" spans="12:13">
      <c r="L6134" s="1">
        <v>44673.277777757961</v>
      </c>
      <c r="M6134" s="13"/>
    </row>
    <row r="6135" spans="12:13">
      <c r="L6135" s="1">
        <v>44673.28124998018</v>
      </c>
      <c r="M6135" s="13"/>
    </row>
    <row r="6136" spans="12:13">
      <c r="L6136" s="1">
        <v>44673.284722202399</v>
      </c>
      <c r="M6136" s="13"/>
    </row>
    <row r="6137" spans="12:13">
      <c r="L6137" s="1">
        <v>44673.288194424618</v>
      </c>
      <c r="M6137" s="13"/>
    </row>
    <row r="6138" spans="12:13">
      <c r="L6138" s="1">
        <v>44673.291666646837</v>
      </c>
      <c r="M6138" s="13"/>
    </row>
    <row r="6139" spans="12:13">
      <c r="L6139" s="1">
        <v>44673.295138869056</v>
      </c>
      <c r="M6139" s="13"/>
    </row>
    <row r="6140" spans="12:13">
      <c r="L6140" s="1">
        <v>44673.298611091275</v>
      </c>
      <c r="M6140" s="13"/>
    </row>
    <row r="6141" spans="12:13">
      <c r="L6141" s="1">
        <v>44673.302083313494</v>
      </c>
      <c r="M6141" s="13"/>
    </row>
    <row r="6142" spans="12:13">
      <c r="L6142" s="1">
        <v>44673.305555535713</v>
      </c>
      <c r="M6142" s="13"/>
    </row>
    <row r="6143" spans="12:13">
      <c r="L6143" s="1">
        <v>44673.309027757932</v>
      </c>
      <c r="M6143" s="13"/>
    </row>
    <row r="6144" spans="12:13">
      <c r="L6144" s="1">
        <v>44673.312499980151</v>
      </c>
      <c r="M6144" s="13"/>
    </row>
    <row r="6145" spans="12:13">
      <c r="L6145" s="1">
        <v>44673.31597220237</v>
      </c>
      <c r="M6145" s="13"/>
    </row>
    <row r="6146" spans="12:13">
      <c r="L6146" s="1">
        <v>44673.319444424589</v>
      </c>
      <c r="M6146" s="13"/>
    </row>
    <row r="6147" spans="12:13">
      <c r="L6147" s="1">
        <v>44673.322916646808</v>
      </c>
      <c r="M6147" s="13"/>
    </row>
    <row r="6148" spans="12:13">
      <c r="L6148" s="1">
        <v>44673.326388869027</v>
      </c>
      <c r="M6148" s="13"/>
    </row>
    <row r="6149" spans="12:13">
      <c r="L6149" s="1">
        <v>44673.329861091246</v>
      </c>
      <c r="M6149" s="13"/>
    </row>
    <row r="6150" spans="12:13">
      <c r="L6150" s="1">
        <v>44673.333333313465</v>
      </c>
      <c r="M6150" s="13"/>
    </row>
    <row r="6151" spans="12:13">
      <c r="L6151" s="1">
        <v>44673.336805535684</v>
      </c>
      <c r="M6151" s="13"/>
    </row>
    <row r="6152" spans="12:13">
      <c r="L6152" s="1">
        <v>44673.340277757903</v>
      </c>
      <c r="M6152" s="13"/>
    </row>
    <row r="6153" spans="12:13">
      <c r="L6153" s="1">
        <v>44673.343749980122</v>
      </c>
      <c r="M6153" s="13"/>
    </row>
    <row r="6154" spans="12:13">
      <c r="L6154" s="1">
        <v>44673.347222202341</v>
      </c>
      <c r="M6154" s="13"/>
    </row>
    <row r="6155" spans="12:13">
      <c r="L6155" s="1">
        <v>44673.35069442456</v>
      </c>
      <c r="M6155" s="13"/>
    </row>
    <row r="6156" spans="12:13">
      <c r="L6156" s="1">
        <v>44673.354166646779</v>
      </c>
      <c r="M6156" s="13"/>
    </row>
    <row r="6157" spans="12:13">
      <c r="L6157" s="1">
        <v>44673.357638868998</v>
      </c>
      <c r="M6157" s="13"/>
    </row>
    <row r="6158" spans="12:13">
      <c r="L6158" s="1">
        <v>44673.361111091217</v>
      </c>
      <c r="M6158" s="13"/>
    </row>
    <row r="6159" spans="12:13">
      <c r="L6159" s="1">
        <v>44673.364583313436</v>
      </c>
      <c r="M6159" s="13"/>
    </row>
    <row r="6160" spans="12:13">
      <c r="L6160" s="1">
        <v>44673.368055535655</v>
      </c>
      <c r="M6160" s="13"/>
    </row>
    <row r="6161" spans="12:13">
      <c r="L6161" s="1">
        <v>44673.371527757874</v>
      </c>
      <c r="M6161" s="13"/>
    </row>
    <row r="6162" spans="12:13">
      <c r="L6162" s="1">
        <v>44673.374999980093</v>
      </c>
      <c r="M6162" s="13"/>
    </row>
    <row r="6163" spans="12:13">
      <c r="L6163" s="1">
        <v>44673.378472202312</v>
      </c>
      <c r="M6163" s="13"/>
    </row>
    <row r="6164" spans="12:13">
      <c r="L6164" s="1">
        <v>44673.381944424531</v>
      </c>
      <c r="M6164" s="13"/>
    </row>
    <row r="6165" spans="12:13">
      <c r="L6165" s="1">
        <v>44673.38541664675</v>
      </c>
      <c r="M6165" s="13"/>
    </row>
    <row r="6166" spans="12:13">
      <c r="L6166" s="1">
        <v>44673.388888868969</v>
      </c>
      <c r="M6166" s="13"/>
    </row>
    <row r="6167" spans="12:13">
      <c r="L6167" s="1">
        <v>44673.392361091188</v>
      </c>
      <c r="M6167" s="13"/>
    </row>
    <row r="6168" spans="12:13">
      <c r="L6168" s="1">
        <v>44673.395833313407</v>
      </c>
      <c r="M6168" s="13"/>
    </row>
    <row r="6169" spans="12:13">
      <c r="L6169" s="1">
        <v>44673.399305535626</v>
      </c>
      <c r="M6169" s="13"/>
    </row>
    <row r="6170" spans="12:13">
      <c r="L6170" s="1">
        <v>44673.402777757845</v>
      </c>
      <c r="M6170" s="13"/>
    </row>
    <row r="6171" spans="12:13">
      <c r="L6171" s="1">
        <v>44673.406249980064</v>
      </c>
      <c r="M6171" s="13"/>
    </row>
    <row r="6172" spans="12:13">
      <c r="L6172" s="1">
        <v>44673.409722202283</v>
      </c>
      <c r="M6172" s="13"/>
    </row>
    <row r="6173" spans="12:13">
      <c r="L6173" s="1">
        <v>44673.413194424502</v>
      </c>
      <c r="M6173" s="13"/>
    </row>
    <row r="6174" spans="12:13">
      <c r="L6174" s="1">
        <v>44673.416666646721</v>
      </c>
      <c r="M6174" s="13"/>
    </row>
    <row r="6175" spans="12:13">
      <c r="L6175" s="1">
        <v>44673.42013886894</v>
      </c>
      <c r="M6175" s="13"/>
    </row>
    <row r="6176" spans="12:13">
      <c r="L6176" s="1">
        <v>44673.423611091159</v>
      </c>
      <c r="M6176" s="13"/>
    </row>
    <row r="6177" spans="12:13">
      <c r="L6177" s="1">
        <v>44673.427083313378</v>
      </c>
      <c r="M6177" s="13"/>
    </row>
    <row r="6178" spans="12:13">
      <c r="L6178" s="1">
        <v>44673.430555535597</v>
      </c>
      <c r="M6178" s="13"/>
    </row>
    <row r="6179" spans="12:13">
      <c r="L6179" s="1">
        <v>44673.434027757816</v>
      </c>
      <c r="M6179" s="13"/>
    </row>
    <row r="6180" spans="12:13">
      <c r="L6180" s="1">
        <v>44673.437499980035</v>
      </c>
      <c r="M6180" s="13"/>
    </row>
    <row r="6181" spans="12:13">
      <c r="L6181" s="1">
        <v>44673.440972202254</v>
      </c>
      <c r="M6181" s="13"/>
    </row>
    <row r="6182" spans="12:13">
      <c r="L6182" s="1">
        <v>44673.444444424473</v>
      </c>
      <c r="M6182" s="13"/>
    </row>
    <row r="6183" spans="12:13">
      <c r="L6183" s="1">
        <v>44673.447916646692</v>
      </c>
      <c r="M6183" s="13"/>
    </row>
    <row r="6184" spans="12:13">
      <c r="L6184" s="1">
        <v>44673.451388868911</v>
      </c>
      <c r="M6184" s="13"/>
    </row>
    <row r="6185" spans="12:13">
      <c r="L6185" s="1">
        <v>44673.45486109113</v>
      </c>
      <c r="M6185" s="13"/>
    </row>
    <row r="6186" spans="12:13">
      <c r="L6186" s="1">
        <v>44673.458333313349</v>
      </c>
      <c r="M6186" s="13"/>
    </row>
    <row r="6187" spans="12:13">
      <c r="L6187" s="1">
        <v>44673.461805535568</v>
      </c>
      <c r="M6187" s="13"/>
    </row>
    <row r="6188" spans="12:13">
      <c r="L6188" s="1">
        <v>44673.465277757787</v>
      </c>
      <c r="M6188" s="13"/>
    </row>
    <row r="6189" spans="12:13">
      <c r="L6189" s="1">
        <v>44673.468749980006</v>
      </c>
      <c r="M6189" s="13"/>
    </row>
    <row r="6190" spans="12:13">
      <c r="L6190" s="1">
        <v>44673.472222202225</v>
      </c>
      <c r="M6190" s="13"/>
    </row>
    <row r="6191" spans="12:13">
      <c r="L6191" s="1">
        <v>44673.475694424444</v>
      </c>
      <c r="M6191" s="13"/>
    </row>
    <row r="6192" spans="12:13">
      <c r="L6192" s="1">
        <v>44673.479166646663</v>
      </c>
      <c r="M6192" s="13"/>
    </row>
    <row r="6193" spans="12:13">
      <c r="L6193" s="1">
        <v>44673.482638868882</v>
      </c>
      <c r="M6193" s="13"/>
    </row>
    <row r="6194" spans="12:13">
      <c r="L6194" s="1">
        <v>44673.486111091101</v>
      </c>
      <c r="M6194" s="13"/>
    </row>
    <row r="6195" spans="12:13">
      <c r="L6195" s="1">
        <v>44673.48958331332</v>
      </c>
      <c r="M6195" s="13"/>
    </row>
    <row r="6196" spans="12:13">
      <c r="L6196" s="1">
        <v>44673.493055535539</v>
      </c>
      <c r="M6196" s="13"/>
    </row>
    <row r="6197" spans="12:13">
      <c r="L6197" s="1">
        <v>44673.496527757758</v>
      </c>
      <c r="M6197" s="13"/>
    </row>
    <row r="6198" spans="12:13">
      <c r="L6198" s="1">
        <v>44673.499999979977</v>
      </c>
      <c r="M6198" s="13"/>
    </row>
    <row r="6199" spans="12:13">
      <c r="L6199" s="1">
        <v>44673.503472202196</v>
      </c>
      <c r="M6199" s="13"/>
    </row>
    <row r="6200" spans="12:13">
      <c r="L6200" s="1">
        <v>44673.506944424415</v>
      </c>
      <c r="M6200" s="13"/>
    </row>
    <row r="6201" spans="12:13">
      <c r="L6201" s="1">
        <v>44673.510416646634</v>
      </c>
      <c r="M6201" s="13"/>
    </row>
    <row r="6202" spans="12:13">
      <c r="L6202" s="1">
        <v>44673.513888868853</v>
      </c>
      <c r="M6202" s="13"/>
    </row>
    <row r="6203" spans="12:13">
      <c r="L6203" s="1">
        <v>44673.517361091072</v>
      </c>
      <c r="M6203" s="13"/>
    </row>
    <row r="6204" spans="12:13">
      <c r="L6204" s="1">
        <v>44673.52083331329</v>
      </c>
      <c r="M6204" s="13"/>
    </row>
    <row r="6205" spans="12:13">
      <c r="L6205" s="1">
        <v>44673.524305535509</v>
      </c>
      <c r="M6205" s="13"/>
    </row>
    <row r="6206" spans="12:13">
      <c r="L6206" s="1">
        <v>44673.527777757728</v>
      </c>
      <c r="M6206" s="13"/>
    </row>
    <row r="6207" spans="12:13">
      <c r="L6207" s="1">
        <v>44673.531249979947</v>
      </c>
      <c r="M6207" s="13"/>
    </row>
    <row r="6208" spans="12:13">
      <c r="L6208" s="1">
        <v>44673.534722202166</v>
      </c>
      <c r="M6208" s="13"/>
    </row>
    <row r="6209" spans="12:13">
      <c r="L6209" s="1">
        <v>44673.538194424385</v>
      </c>
      <c r="M6209" s="13"/>
    </row>
    <row r="6210" spans="12:13">
      <c r="L6210" s="1">
        <v>44673.541666646604</v>
      </c>
      <c r="M6210" s="13"/>
    </row>
    <row r="6211" spans="12:13">
      <c r="L6211" s="1">
        <v>44673.545138868823</v>
      </c>
      <c r="M6211" s="13"/>
    </row>
    <row r="6212" spans="12:13">
      <c r="L6212" s="1">
        <v>44673.548611091042</v>
      </c>
      <c r="M6212" s="13"/>
    </row>
    <row r="6213" spans="12:13">
      <c r="L6213" s="1">
        <v>44673.552083313261</v>
      </c>
      <c r="M6213" s="13"/>
    </row>
    <row r="6214" spans="12:13">
      <c r="L6214" s="1">
        <v>44673.55555553548</v>
      </c>
      <c r="M6214" s="13"/>
    </row>
    <row r="6215" spans="12:13">
      <c r="L6215" s="1">
        <v>44673.559027757699</v>
      </c>
      <c r="M6215" s="13"/>
    </row>
    <row r="6216" spans="12:13">
      <c r="L6216" s="1">
        <v>44673.562499979918</v>
      </c>
      <c r="M6216" s="13"/>
    </row>
    <row r="6217" spans="12:13">
      <c r="L6217" s="1">
        <v>44673.565972202137</v>
      </c>
      <c r="M6217" s="13"/>
    </row>
    <row r="6218" spans="12:13">
      <c r="L6218" s="1">
        <v>44673.569444424356</v>
      </c>
      <c r="M6218" s="13"/>
    </row>
    <row r="6219" spans="12:13">
      <c r="L6219" s="1">
        <v>44673.572916646575</v>
      </c>
      <c r="M6219" s="13"/>
    </row>
    <row r="6220" spans="12:13">
      <c r="L6220" s="1">
        <v>44673.576388868794</v>
      </c>
      <c r="M6220" s="13"/>
    </row>
    <row r="6221" spans="12:13">
      <c r="L6221" s="1">
        <v>44673.579861091013</v>
      </c>
      <c r="M6221" s="13"/>
    </row>
    <row r="6222" spans="12:13">
      <c r="L6222" s="1">
        <v>44673.583333313232</v>
      </c>
      <c r="M6222" s="13"/>
    </row>
    <row r="6223" spans="12:13">
      <c r="L6223" s="1">
        <v>44673.586805535451</v>
      </c>
      <c r="M6223" s="13"/>
    </row>
    <row r="6224" spans="12:13">
      <c r="L6224" s="1">
        <v>44673.59027775767</v>
      </c>
      <c r="M6224" s="13"/>
    </row>
    <row r="6225" spans="12:13">
      <c r="L6225" s="1">
        <v>44673.593749979889</v>
      </c>
      <c r="M6225" s="13"/>
    </row>
    <row r="6226" spans="12:13">
      <c r="L6226" s="1">
        <v>44673.597222202108</v>
      </c>
      <c r="M6226" s="13"/>
    </row>
    <row r="6227" spans="12:13">
      <c r="L6227" s="1">
        <v>44673.600694424327</v>
      </c>
      <c r="M6227" s="13"/>
    </row>
    <row r="6228" spans="12:13">
      <c r="L6228" s="1">
        <v>44673.604166646546</v>
      </c>
      <c r="M6228" s="13"/>
    </row>
    <row r="6229" spans="12:13">
      <c r="L6229" s="1">
        <v>44673.607638868765</v>
      </c>
      <c r="M6229" s="13"/>
    </row>
    <row r="6230" spans="12:13">
      <c r="L6230" s="1">
        <v>44673.611111090984</v>
      </c>
      <c r="M6230" s="13"/>
    </row>
    <row r="6231" spans="12:13">
      <c r="L6231" s="1">
        <v>44673.614583313203</v>
      </c>
      <c r="M6231" s="13"/>
    </row>
    <row r="6232" spans="12:13">
      <c r="L6232" s="1">
        <v>44673.618055535422</v>
      </c>
      <c r="M6232" s="13"/>
    </row>
    <row r="6233" spans="12:13">
      <c r="L6233" s="1">
        <v>44673.621527757641</v>
      </c>
      <c r="M6233" s="13"/>
    </row>
    <row r="6234" spans="12:13">
      <c r="L6234" s="1">
        <v>44673.62499997986</v>
      </c>
      <c r="M6234" s="13"/>
    </row>
    <row r="6235" spans="12:13">
      <c r="L6235" s="1">
        <v>44673.628472202079</v>
      </c>
      <c r="M6235" s="13"/>
    </row>
    <row r="6236" spans="12:13">
      <c r="L6236" s="1">
        <v>44673.631944424298</v>
      </c>
      <c r="M6236" s="13"/>
    </row>
    <row r="6237" spans="12:13">
      <c r="L6237" s="1">
        <v>44673.635416646517</v>
      </c>
      <c r="M6237" s="13"/>
    </row>
    <row r="6238" spans="12:13">
      <c r="L6238" s="1">
        <v>44673.638888868736</v>
      </c>
      <c r="M6238" s="13"/>
    </row>
    <row r="6239" spans="12:13">
      <c r="L6239" s="1">
        <v>44673.642361090955</v>
      </c>
      <c r="M6239" s="13"/>
    </row>
    <row r="6240" spans="12:13">
      <c r="L6240" s="1">
        <v>44673.645833313174</v>
      </c>
      <c r="M6240" s="13"/>
    </row>
    <row r="6241" spans="12:13">
      <c r="L6241" s="1">
        <v>44673.649305535393</v>
      </c>
      <c r="M6241" s="13"/>
    </row>
    <row r="6242" spans="12:13">
      <c r="L6242" s="1">
        <v>44673.652777757612</v>
      </c>
      <c r="M6242" s="13"/>
    </row>
    <row r="6243" spans="12:13">
      <c r="L6243" s="1">
        <v>44673.656249979831</v>
      </c>
      <c r="M6243" s="13"/>
    </row>
    <row r="6244" spans="12:13">
      <c r="L6244" s="1">
        <v>44673.65972220205</v>
      </c>
      <c r="M6244" s="13"/>
    </row>
    <row r="6245" spans="12:13">
      <c r="L6245" s="1">
        <v>44673.663194424269</v>
      </c>
      <c r="M6245" s="13"/>
    </row>
    <row r="6246" spans="12:13">
      <c r="L6246" s="1">
        <v>44673.666666646488</v>
      </c>
      <c r="M6246" s="13"/>
    </row>
    <row r="6247" spans="12:13">
      <c r="L6247" s="1">
        <v>44673.670138868707</v>
      </c>
      <c r="M6247" s="13"/>
    </row>
    <row r="6248" spans="12:13">
      <c r="L6248" s="1">
        <v>44673.673611090926</v>
      </c>
      <c r="M6248" s="13"/>
    </row>
    <row r="6249" spans="12:13">
      <c r="L6249" s="1">
        <v>44673.677083313145</v>
      </c>
      <c r="M6249" s="13"/>
    </row>
    <row r="6250" spans="12:13">
      <c r="L6250" s="1">
        <v>44673.680555535364</v>
      </c>
      <c r="M6250" s="13"/>
    </row>
    <row r="6251" spans="12:13">
      <c r="L6251" s="1">
        <v>44673.684027757583</v>
      </c>
      <c r="M6251" s="13"/>
    </row>
    <row r="6252" spans="12:13">
      <c r="L6252" s="1">
        <v>44673.687499979802</v>
      </c>
      <c r="M6252" s="13"/>
    </row>
    <row r="6253" spans="12:13">
      <c r="L6253" s="1">
        <v>44673.690972202021</v>
      </c>
      <c r="M6253" s="13"/>
    </row>
    <row r="6254" spans="12:13">
      <c r="L6254" s="1">
        <v>44673.69444442424</v>
      </c>
      <c r="M6254" s="13"/>
    </row>
    <row r="6255" spans="12:13">
      <c r="L6255" s="1">
        <v>44673.697916646459</v>
      </c>
      <c r="M6255" s="13"/>
    </row>
    <row r="6256" spans="12:13">
      <c r="L6256" s="1">
        <v>44673.701388868678</v>
      </c>
      <c r="M6256" s="13"/>
    </row>
    <row r="6257" spans="12:13">
      <c r="L6257" s="1">
        <v>44673.704861090897</v>
      </c>
      <c r="M6257" s="13"/>
    </row>
    <row r="6258" spans="12:13">
      <c r="L6258" s="1">
        <v>44673.708333313116</v>
      </c>
      <c r="M6258" s="13"/>
    </row>
    <row r="6259" spans="12:13">
      <c r="L6259" s="1">
        <v>44673.711805535335</v>
      </c>
      <c r="M6259" s="13"/>
    </row>
    <row r="6260" spans="12:13">
      <c r="L6260" s="1">
        <v>44673.715277757554</v>
      </c>
      <c r="M6260" s="13"/>
    </row>
    <row r="6261" spans="12:13">
      <c r="L6261" s="1">
        <v>44673.718749979773</v>
      </c>
      <c r="M6261" s="13"/>
    </row>
    <row r="6262" spans="12:13">
      <c r="L6262" s="1">
        <v>44673.722222201992</v>
      </c>
      <c r="M6262" s="13"/>
    </row>
    <row r="6263" spans="12:13">
      <c r="L6263" s="1">
        <v>44673.725694424211</v>
      </c>
      <c r="M6263" s="13"/>
    </row>
    <row r="6264" spans="12:13">
      <c r="L6264" s="1">
        <v>44673.72916664643</v>
      </c>
      <c r="M6264" s="13"/>
    </row>
    <row r="6265" spans="12:13">
      <c r="L6265" s="1">
        <v>44673.732638868649</v>
      </c>
      <c r="M6265" s="13"/>
    </row>
    <row r="6266" spans="12:13">
      <c r="L6266" s="1">
        <v>44673.736111090868</v>
      </c>
      <c r="M6266" s="13"/>
    </row>
    <row r="6267" spans="12:13">
      <c r="L6267" s="1">
        <v>44673.739583313087</v>
      </c>
      <c r="M6267" s="13"/>
    </row>
    <row r="6268" spans="12:13">
      <c r="L6268" s="1">
        <v>44673.743055535306</v>
      </c>
      <c r="M6268" s="13"/>
    </row>
    <row r="6269" spans="12:13">
      <c r="L6269" s="1">
        <v>44673.746527757525</v>
      </c>
      <c r="M6269" s="13"/>
    </row>
    <row r="6270" spans="12:13">
      <c r="L6270" s="1">
        <v>44673.749999979744</v>
      </c>
      <c r="M6270" s="13"/>
    </row>
    <row r="6271" spans="12:13">
      <c r="L6271" s="1">
        <v>44673.753472201963</v>
      </c>
      <c r="M6271" s="13"/>
    </row>
    <row r="6272" spans="12:13">
      <c r="L6272" s="1">
        <v>44673.756944424182</v>
      </c>
      <c r="M6272" s="13"/>
    </row>
    <row r="6273" spans="12:13">
      <c r="L6273" s="1">
        <v>44673.760416646401</v>
      </c>
      <c r="M6273" s="13"/>
    </row>
    <row r="6274" spans="12:13">
      <c r="L6274" s="1">
        <v>44673.76388886862</v>
      </c>
      <c r="M6274" s="13"/>
    </row>
    <row r="6275" spans="12:13">
      <c r="L6275" s="1">
        <v>44673.767361090839</v>
      </c>
      <c r="M6275" s="13"/>
    </row>
    <row r="6276" spans="12:13">
      <c r="L6276" s="1">
        <v>44673.770833313058</v>
      </c>
      <c r="M6276" s="13"/>
    </row>
    <row r="6277" spans="12:13">
      <c r="L6277" s="1">
        <v>44673.774305535277</v>
      </c>
      <c r="M6277" s="13"/>
    </row>
    <row r="6278" spans="12:13">
      <c r="L6278" s="1">
        <v>44673.777777757496</v>
      </c>
      <c r="M6278" s="13"/>
    </row>
    <row r="6279" spans="12:13">
      <c r="L6279" s="1">
        <v>44673.781249979715</v>
      </c>
      <c r="M6279" s="13"/>
    </row>
    <row r="6280" spans="12:13">
      <c r="L6280" s="1">
        <v>44673.784722201934</v>
      </c>
      <c r="M6280" s="13"/>
    </row>
    <row r="6281" spans="12:13">
      <c r="L6281" s="1">
        <v>44673.788194424153</v>
      </c>
      <c r="M6281" s="13"/>
    </row>
    <row r="6282" spans="12:13">
      <c r="L6282" s="1">
        <v>44673.791666646372</v>
      </c>
      <c r="M6282" s="13"/>
    </row>
    <row r="6283" spans="12:13">
      <c r="L6283" s="1">
        <v>44673.795138868591</v>
      </c>
      <c r="M6283" s="13"/>
    </row>
    <row r="6284" spans="12:13">
      <c r="L6284" s="1">
        <v>44673.79861109081</v>
      </c>
      <c r="M6284" s="13"/>
    </row>
    <row r="6285" spans="12:13">
      <c r="L6285" s="1">
        <v>44673.802083313029</v>
      </c>
      <c r="M6285" s="13"/>
    </row>
    <row r="6286" spans="12:13">
      <c r="L6286" s="1">
        <v>44673.805555535248</v>
      </c>
      <c r="M6286" s="13"/>
    </row>
    <row r="6287" spans="12:13">
      <c r="L6287" s="1">
        <v>44673.809027757467</v>
      </c>
      <c r="M6287" s="13"/>
    </row>
    <row r="6288" spans="12:13">
      <c r="L6288" s="1">
        <v>44673.812499979686</v>
      </c>
      <c r="M6288" s="13"/>
    </row>
    <row r="6289" spans="12:13">
      <c r="L6289" s="1">
        <v>44673.815972201905</v>
      </c>
      <c r="M6289" s="13"/>
    </row>
    <row r="6290" spans="12:13">
      <c r="L6290" s="1">
        <v>44673.819444424124</v>
      </c>
      <c r="M6290" s="13"/>
    </row>
    <row r="6291" spans="12:13">
      <c r="L6291" s="1">
        <v>44673.822916646342</v>
      </c>
      <c r="M6291" s="13"/>
    </row>
    <row r="6292" spans="12:13">
      <c r="L6292" s="1">
        <v>44673.826388868561</v>
      </c>
      <c r="M6292" s="13"/>
    </row>
    <row r="6293" spans="12:13">
      <c r="L6293" s="1">
        <v>44673.82986109078</v>
      </c>
      <c r="M6293" s="13"/>
    </row>
    <row r="6294" spans="12:13">
      <c r="L6294" s="1">
        <v>44673.833333312999</v>
      </c>
      <c r="M6294" s="13"/>
    </row>
    <row r="6295" spans="12:13">
      <c r="L6295" s="1">
        <v>44673.836805535218</v>
      </c>
      <c r="M6295" s="13"/>
    </row>
    <row r="6296" spans="12:13">
      <c r="L6296" s="1">
        <v>44673.840277757437</v>
      </c>
      <c r="M6296" s="13"/>
    </row>
    <row r="6297" spans="12:13">
      <c r="L6297" s="1">
        <v>44673.843749979656</v>
      </c>
      <c r="M6297" s="13"/>
    </row>
    <row r="6298" spans="12:13">
      <c r="L6298" s="1">
        <v>44673.847222201875</v>
      </c>
      <c r="M6298" s="13"/>
    </row>
    <row r="6299" spans="12:13">
      <c r="L6299" s="1">
        <v>44673.850694424094</v>
      </c>
      <c r="M6299" s="13"/>
    </row>
    <row r="6300" spans="12:13">
      <c r="L6300" s="1">
        <v>44673.854166646313</v>
      </c>
      <c r="M6300" s="13"/>
    </row>
    <row r="6301" spans="12:13">
      <c r="L6301" s="1">
        <v>44673.857638868532</v>
      </c>
      <c r="M6301" s="13"/>
    </row>
    <row r="6302" spans="12:13">
      <c r="L6302" s="1">
        <v>44673.861111090751</v>
      </c>
      <c r="M6302" s="13"/>
    </row>
    <row r="6303" spans="12:13">
      <c r="L6303" s="1">
        <v>44673.86458331297</v>
      </c>
      <c r="M6303" s="13"/>
    </row>
    <row r="6304" spans="12:13">
      <c r="L6304" s="1">
        <v>44673.868055535189</v>
      </c>
      <c r="M6304" s="13"/>
    </row>
    <row r="6305" spans="12:13">
      <c r="L6305" s="1">
        <v>44673.871527757408</v>
      </c>
      <c r="M6305" s="13"/>
    </row>
    <row r="6306" spans="12:13">
      <c r="L6306" s="1">
        <v>44673.874999979627</v>
      </c>
      <c r="M6306" s="13"/>
    </row>
    <row r="6307" spans="12:13">
      <c r="L6307" s="1">
        <v>44673.878472201846</v>
      </c>
      <c r="M6307" s="13"/>
    </row>
    <row r="6308" spans="12:13">
      <c r="L6308" s="1">
        <v>44673.881944424065</v>
      </c>
      <c r="M6308" s="13"/>
    </row>
    <row r="6309" spans="12:13">
      <c r="L6309" s="1">
        <v>44673.885416646284</v>
      </c>
      <c r="M6309" s="13"/>
    </row>
    <row r="6310" spans="12:13">
      <c r="L6310" s="1">
        <v>44673.888888868503</v>
      </c>
      <c r="M6310" s="13"/>
    </row>
    <row r="6311" spans="12:13">
      <c r="L6311" s="1">
        <v>44673.892361090722</v>
      </c>
      <c r="M6311" s="13"/>
    </row>
    <row r="6312" spans="12:13">
      <c r="L6312" s="1">
        <v>44673.895833312941</v>
      </c>
      <c r="M6312" s="13"/>
    </row>
    <row r="6313" spans="12:13">
      <c r="L6313" s="1">
        <v>44673.89930553516</v>
      </c>
      <c r="M6313" s="13"/>
    </row>
    <row r="6314" spans="12:13">
      <c r="L6314" s="1">
        <v>44673.902777757379</v>
      </c>
      <c r="M6314" s="13"/>
    </row>
    <row r="6315" spans="12:13">
      <c r="L6315" s="1">
        <v>44673.906249979598</v>
      </c>
      <c r="M6315" s="13"/>
    </row>
    <row r="6316" spans="12:13">
      <c r="L6316" s="1">
        <v>44673.909722201817</v>
      </c>
      <c r="M6316" s="13"/>
    </row>
    <row r="6317" spans="12:13">
      <c r="L6317" s="1">
        <v>44673.913194424036</v>
      </c>
      <c r="M6317" s="13"/>
    </row>
    <row r="6318" spans="12:13">
      <c r="L6318" s="1">
        <v>44673.916666646255</v>
      </c>
      <c r="M6318" s="13"/>
    </row>
    <row r="6319" spans="12:13">
      <c r="L6319" s="1">
        <v>44673.920138868474</v>
      </c>
      <c r="M6319" s="13"/>
    </row>
    <row r="6320" spans="12:13">
      <c r="L6320" s="1">
        <v>44673.923611090693</v>
      </c>
      <c r="M6320" s="13"/>
    </row>
    <row r="6321" spans="12:13">
      <c r="L6321" s="1">
        <v>44673.927083312912</v>
      </c>
      <c r="M6321" s="13"/>
    </row>
    <row r="6322" spans="12:13">
      <c r="L6322" s="1">
        <v>44673.930555535131</v>
      </c>
      <c r="M6322" s="13"/>
    </row>
    <row r="6323" spans="12:13">
      <c r="L6323" s="1">
        <v>44673.93402775735</v>
      </c>
      <c r="M6323" s="13"/>
    </row>
    <row r="6324" spans="12:13">
      <c r="L6324" s="1">
        <v>44673.937499979569</v>
      </c>
      <c r="M6324" s="13"/>
    </row>
    <row r="6325" spans="12:13">
      <c r="L6325" s="1">
        <v>44673.940972201788</v>
      </c>
      <c r="M6325" s="13"/>
    </row>
    <row r="6326" spans="12:13">
      <c r="L6326" s="1">
        <v>44673.944444424007</v>
      </c>
      <c r="M6326" s="13"/>
    </row>
    <row r="6327" spans="12:13">
      <c r="L6327" s="1">
        <v>44673.947916646226</v>
      </c>
      <c r="M6327" s="13"/>
    </row>
    <row r="6328" spans="12:13">
      <c r="L6328" s="1">
        <v>44673.951388868445</v>
      </c>
      <c r="M6328" s="13"/>
    </row>
    <row r="6329" spans="12:13">
      <c r="L6329" s="1">
        <v>44673.954861090664</v>
      </c>
      <c r="M6329" s="13"/>
    </row>
    <row r="6330" spans="12:13">
      <c r="L6330" s="1">
        <v>44673.958333312883</v>
      </c>
      <c r="M6330" s="13"/>
    </row>
    <row r="6331" spans="12:13">
      <c r="L6331" s="1">
        <v>44673.961805535102</v>
      </c>
      <c r="M6331" s="13"/>
    </row>
    <row r="6332" spans="12:13">
      <c r="L6332" s="1">
        <v>44673.965277757321</v>
      </c>
      <c r="M6332" s="13"/>
    </row>
    <row r="6333" spans="12:13">
      <c r="L6333" s="1">
        <v>44673.96874997954</v>
      </c>
      <c r="M6333" s="13"/>
    </row>
    <row r="6334" spans="12:13">
      <c r="L6334" s="1">
        <v>44673.972222201759</v>
      </c>
      <c r="M6334" s="13"/>
    </row>
    <row r="6335" spans="12:13">
      <c r="L6335" s="1">
        <v>44673.975694423978</v>
      </c>
      <c r="M6335" s="13"/>
    </row>
    <row r="6336" spans="12:13">
      <c r="L6336" s="1">
        <v>44673.979166646197</v>
      </c>
      <c r="M6336" s="13"/>
    </row>
    <row r="6337" spans="12:13">
      <c r="L6337" s="1">
        <v>44673.982638868416</v>
      </c>
      <c r="M6337" s="13"/>
    </row>
    <row r="6338" spans="12:13">
      <c r="L6338" s="1">
        <v>44673.986111090635</v>
      </c>
      <c r="M6338" s="13"/>
    </row>
    <row r="6339" spans="12:13">
      <c r="L6339" s="1">
        <v>44673.989583312854</v>
      </c>
      <c r="M6339" s="13"/>
    </row>
    <row r="6340" spans="12:13">
      <c r="L6340" s="1">
        <v>44673.993055535073</v>
      </c>
      <c r="M6340" s="13"/>
    </row>
    <row r="6341" spans="12:13">
      <c r="L6341" s="1">
        <v>44673.996527757292</v>
      </c>
      <c r="M6341" s="13"/>
    </row>
    <row r="6342" spans="12:13">
      <c r="L6342" s="1">
        <v>44673.999999979511</v>
      </c>
      <c r="M6342" s="13"/>
    </row>
    <row r="6343" spans="12:13">
      <c r="L6343" s="1">
        <v>44674.00347220173</v>
      </c>
      <c r="M6343" s="13"/>
    </row>
    <row r="6344" spans="12:13">
      <c r="L6344" s="1">
        <v>44674.006944423949</v>
      </c>
      <c r="M6344" s="13"/>
    </row>
    <row r="6345" spans="12:13">
      <c r="L6345" s="1">
        <v>44674.010416646168</v>
      </c>
      <c r="M6345" s="13"/>
    </row>
    <row r="6346" spans="12:13">
      <c r="L6346" s="1">
        <v>44674.013888868387</v>
      </c>
      <c r="M6346" s="13"/>
    </row>
    <row r="6347" spans="12:13">
      <c r="L6347" s="1">
        <v>44674.017361090606</v>
      </c>
      <c r="M6347" s="13"/>
    </row>
    <row r="6348" spans="12:13">
      <c r="L6348" s="1">
        <v>44674.020833312825</v>
      </c>
      <c r="M6348" s="13"/>
    </row>
    <row r="6349" spans="12:13">
      <c r="L6349" s="1">
        <v>44674.024305535044</v>
      </c>
      <c r="M6349" s="13"/>
    </row>
    <row r="6350" spans="12:13">
      <c r="L6350" s="1">
        <v>44674.027777757263</v>
      </c>
      <c r="M6350" s="13"/>
    </row>
    <row r="6351" spans="12:13">
      <c r="L6351" s="1">
        <v>44674.031249979482</v>
      </c>
      <c r="M6351" s="13"/>
    </row>
    <row r="6352" spans="12:13">
      <c r="L6352" s="1">
        <v>44674.034722201701</v>
      </c>
      <c r="M6352" s="13"/>
    </row>
    <row r="6353" spans="12:13">
      <c r="L6353" s="1">
        <v>44674.03819442392</v>
      </c>
      <c r="M6353" s="13"/>
    </row>
    <row r="6354" spans="12:13">
      <c r="L6354" s="1">
        <v>44674.041666646139</v>
      </c>
      <c r="M6354" s="13"/>
    </row>
    <row r="6355" spans="12:13">
      <c r="L6355" s="1">
        <v>44674.045138868358</v>
      </c>
      <c r="M6355" s="13"/>
    </row>
    <row r="6356" spans="12:13">
      <c r="L6356" s="1">
        <v>44674.048611090577</v>
      </c>
      <c r="M6356" s="13"/>
    </row>
    <row r="6357" spans="12:13">
      <c r="L6357" s="1">
        <v>44674.052083312796</v>
      </c>
      <c r="M6357" s="13"/>
    </row>
    <row r="6358" spans="12:13">
      <c r="L6358" s="1">
        <v>44674.055555535015</v>
      </c>
      <c r="M6358" s="13"/>
    </row>
    <row r="6359" spans="12:13">
      <c r="L6359" s="1">
        <v>44674.059027757234</v>
      </c>
      <c r="M6359" s="13"/>
    </row>
    <row r="6360" spans="12:13">
      <c r="L6360" s="1">
        <v>44674.062499979453</v>
      </c>
      <c r="M6360" s="13"/>
    </row>
    <row r="6361" spans="12:13">
      <c r="L6361" s="1">
        <v>44674.065972201672</v>
      </c>
      <c r="M6361" s="13"/>
    </row>
    <row r="6362" spans="12:13">
      <c r="L6362" s="1">
        <v>44674.069444423891</v>
      </c>
      <c r="M6362" s="13"/>
    </row>
    <row r="6363" spans="12:13">
      <c r="L6363" s="1">
        <v>44674.07291664611</v>
      </c>
      <c r="M6363" s="13"/>
    </row>
    <row r="6364" spans="12:13">
      <c r="L6364" s="1">
        <v>44674.076388868329</v>
      </c>
      <c r="M6364" s="13"/>
    </row>
    <row r="6365" spans="12:13">
      <c r="L6365" s="1">
        <v>44674.079861090548</v>
      </c>
      <c r="M6365" s="13"/>
    </row>
    <row r="6366" spans="12:13">
      <c r="L6366" s="1">
        <v>44674.083333312767</v>
      </c>
      <c r="M6366" s="13"/>
    </row>
    <row r="6367" spans="12:13">
      <c r="L6367" s="1">
        <v>44674.086805534986</v>
      </c>
      <c r="M6367" s="13"/>
    </row>
    <row r="6368" spans="12:13">
      <c r="L6368" s="1">
        <v>44674.090277757205</v>
      </c>
      <c r="M6368" s="13"/>
    </row>
    <row r="6369" spans="12:13">
      <c r="L6369" s="1">
        <v>44674.093749979424</v>
      </c>
      <c r="M6369" s="13"/>
    </row>
    <row r="6370" spans="12:13">
      <c r="L6370" s="1">
        <v>44674.097222201643</v>
      </c>
      <c r="M6370" s="13"/>
    </row>
    <row r="6371" spans="12:13">
      <c r="L6371" s="1">
        <v>44674.100694423862</v>
      </c>
      <c r="M6371" s="13"/>
    </row>
    <row r="6372" spans="12:13">
      <c r="L6372" s="1">
        <v>44674.104166646081</v>
      </c>
      <c r="M6372" s="13"/>
    </row>
    <row r="6373" spans="12:13">
      <c r="L6373" s="1">
        <v>44674.1076388683</v>
      </c>
      <c r="M6373" s="13"/>
    </row>
    <row r="6374" spans="12:13">
      <c r="L6374" s="1">
        <v>44674.111111090519</v>
      </c>
      <c r="M6374" s="13"/>
    </row>
    <row r="6375" spans="12:13">
      <c r="L6375" s="1">
        <v>44674.114583312738</v>
      </c>
      <c r="M6375" s="13"/>
    </row>
    <row r="6376" spans="12:13">
      <c r="L6376" s="1">
        <v>44674.118055534957</v>
      </c>
      <c r="M6376" s="13"/>
    </row>
    <row r="6377" spans="12:13">
      <c r="L6377" s="1">
        <v>44674.121527757175</v>
      </c>
      <c r="M6377" s="13"/>
    </row>
    <row r="6378" spans="12:13">
      <c r="L6378" s="1">
        <v>44674.124999979394</v>
      </c>
      <c r="M6378" s="13"/>
    </row>
    <row r="6379" spans="12:13">
      <c r="L6379" s="1">
        <v>44674.128472201613</v>
      </c>
      <c r="M6379" s="13"/>
    </row>
    <row r="6380" spans="12:13">
      <c r="L6380" s="1">
        <v>44674.131944423832</v>
      </c>
      <c r="M6380" s="13"/>
    </row>
    <row r="6381" spans="12:13">
      <c r="L6381" s="1">
        <v>44674.135416646051</v>
      </c>
      <c r="M6381" s="13"/>
    </row>
    <row r="6382" spans="12:13">
      <c r="L6382" s="1">
        <v>44674.13888886827</v>
      </c>
      <c r="M6382" s="13"/>
    </row>
    <row r="6383" spans="12:13">
      <c r="L6383" s="1">
        <v>44674.142361090489</v>
      </c>
      <c r="M6383" s="13"/>
    </row>
    <row r="6384" spans="12:13">
      <c r="L6384" s="1">
        <v>44674.145833312708</v>
      </c>
      <c r="M6384" s="13"/>
    </row>
    <row r="6385" spans="12:13">
      <c r="L6385" s="1">
        <v>44674.149305534927</v>
      </c>
      <c r="M6385" s="13"/>
    </row>
    <row r="6386" spans="12:13">
      <c r="L6386" s="1">
        <v>44674.152777757146</v>
      </c>
      <c r="M6386" s="13"/>
    </row>
    <row r="6387" spans="12:13">
      <c r="L6387" s="1">
        <v>44674.156249979365</v>
      </c>
      <c r="M6387" s="13"/>
    </row>
    <row r="6388" spans="12:13">
      <c r="L6388" s="1">
        <v>44674.159722201584</v>
      </c>
      <c r="M6388" s="13"/>
    </row>
    <row r="6389" spans="12:13">
      <c r="L6389" s="1">
        <v>44674.163194423803</v>
      </c>
      <c r="M6389" s="13"/>
    </row>
    <row r="6390" spans="12:13">
      <c r="L6390" s="1">
        <v>44674.166666646022</v>
      </c>
      <c r="M6390" s="13"/>
    </row>
    <row r="6391" spans="12:13">
      <c r="L6391" s="1">
        <v>44674.170138868241</v>
      </c>
      <c r="M6391" s="13"/>
    </row>
    <row r="6392" spans="12:13">
      <c r="L6392" s="1">
        <v>44674.17361109046</v>
      </c>
      <c r="M6392" s="13"/>
    </row>
    <row r="6393" spans="12:13">
      <c r="L6393" s="1">
        <v>44674.177083312679</v>
      </c>
      <c r="M6393" s="13"/>
    </row>
    <row r="6394" spans="12:13">
      <c r="L6394" s="1">
        <v>44674.180555534898</v>
      </c>
      <c r="M6394" s="13"/>
    </row>
    <row r="6395" spans="12:13">
      <c r="L6395" s="1">
        <v>44674.184027757117</v>
      </c>
      <c r="M6395" s="13"/>
    </row>
    <row r="6396" spans="12:13">
      <c r="L6396" s="1">
        <v>44674.187499979336</v>
      </c>
      <c r="M6396" s="13"/>
    </row>
    <row r="6397" spans="12:13">
      <c r="L6397" s="1">
        <v>44674.190972201555</v>
      </c>
      <c r="M6397" s="13"/>
    </row>
    <row r="6398" spans="12:13">
      <c r="L6398" s="1">
        <v>44674.194444423774</v>
      </c>
      <c r="M6398" s="13"/>
    </row>
    <row r="6399" spans="12:13">
      <c r="L6399" s="1">
        <v>44674.197916645993</v>
      </c>
      <c r="M6399" s="13"/>
    </row>
    <row r="6400" spans="12:13">
      <c r="L6400" s="1">
        <v>44674.201388868212</v>
      </c>
      <c r="M6400" s="13"/>
    </row>
    <row r="6401" spans="12:13">
      <c r="L6401" s="1">
        <v>44674.204861090431</v>
      </c>
      <c r="M6401" s="13"/>
    </row>
    <row r="6402" spans="12:13">
      <c r="L6402" s="1">
        <v>44674.20833331265</v>
      </c>
      <c r="M6402" s="13"/>
    </row>
    <row r="6403" spans="12:13">
      <c r="L6403" s="1">
        <v>44674.211805534869</v>
      </c>
      <c r="M6403" s="13"/>
    </row>
    <row r="6404" spans="12:13">
      <c r="L6404" s="1">
        <v>44674.215277757088</v>
      </c>
      <c r="M6404" s="13"/>
    </row>
    <row r="6405" spans="12:13">
      <c r="L6405" s="1">
        <v>44674.218749979307</v>
      </c>
      <c r="M6405" s="13"/>
    </row>
    <row r="6406" spans="12:13">
      <c r="L6406" s="1">
        <v>44674.222222201526</v>
      </c>
      <c r="M6406" s="13"/>
    </row>
    <row r="6407" spans="12:13">
      <c r="L6407" s="1">
        <v>44674.225694423745</v>
      </c>
      <c r="M6407" s="13"/>
    </row>
    <row r="6408" spans="12:13">
      <c r="L6408" s="1">
        <v>44674.229166645964</v>
      </c>
      <c r="M6408" s="13"/>
    </row>
    <row r="6409" spans="12:13">
      <c r="L6409" s="1">
        <v>44674.232638868183</v>
      </c>
      <c r="M6409" s="13"/>
    </row>
    <row r="6410" spans="12:13">
      <c r="L6410" s="1">
        <v>44674.236111090402</v>
      </c>
      <c r="M6410" s="13"/>
    </row>
    <row r="6411" spans="12:13">
      <c r="L6411" s="1">
        <v>44674.239583312621</v>
      </c>
      <c r="M6411" s="13"/>
    </row>
    <row r="6412" spans="12:13">
      <c r="L6412" s="1">
        <v>44674.24305553484</v>
      </c>
      <c r="M6412" s="13"/>
    </row>
    <row r="6413" spans="12:13">
      <c r="L6413" s="1">
        <v>44674.246527757059</v>
      </c>
      <c r="M6413" s="13"/>
    </row>
    <row r="6414" spans="12:13">
      <c r="L6414" s="1">
        <v>44674.249999979278</v>
      </c>
      <c r="M6414" s="13"/>
    </row>
    <row r="6415" spans="12:13">
      <c r="L6415" s="1">
        <v>44674.253472201497</v>
      </c>
      <c r="M6415" s="13"/>
    </row>
    <row r="6416" spans="12:13">
      <c r="L6416" s="1">
        <v>44674.256944423716</v>
      </c>
      <c r="M6416" s="13"/>
    </row>
    <row r="6417" spans="12:13">
      <c r="L6417" s="1">
        <v>44674.260416645935</v>
      </c>
      <c r="M6417" s="13"/>
    </row>
    <row r="6418" spans="12:13">
      <c r="L6418" s="1">
        <v>44674.263888868154</v>
      </c>
      <c r="M6418" s="13"/>
    </row>
    <row r="6419" spans="12:13">
      <c r="L6419" s="1">
        <v>44674.267361090373</v>
      </c>
      <c r="M6419" s="13"/>
    </row>
    <row r="6420" spans="12:13">
      <c r="L6420" s="1">
        <v>44674.270833312592</v>
      </c>
      <c r="M6420" s="13"/>
    </row>
    <row r="6421" spans="12:13">
      <c r="L6421" s="1">
        <v>44674.274305534811</v>
      </c>
      <c r="M6421" s="13"/>
    </row>
    <row r="6422" spans="12:13">
      <c r="L6422" s="1">
        <v>44674.27777775703</v>
      </c>
      <c r="M6422" s="13"/>
    </row>
    <row r="6423" spans="12:13">
      <c r="L6423" s="1">
        <v>44674.281249979249</v>
      </c>
      <c r="M6423" s="13"/>
    </row>
    <row r="6424" spans="12:13">
      <c r="L6424" s="1">
        <v>44674.284722201468</v>
      </c>
      <c r="M6424" s="13"/>
    </row>
    <row r="6425" spans="12:13">
      <c r="L6425" s="1">
        <v>44674.288194423687</v>
      </c>
      <c r="M6425" s="13"/>
    </row>
    <row r="6426" spans="12:13">
      <c r="L6426" s="1">
        <v>44674.291666645906</v>
      </c>
      <c r="M6426" s="13"/>
    </row>
    <row r="6427" spans="12:13">
      <c r="L6427" s="1">
        <v>44674.295138868125</v>
      </c>
      <c r="M6427" s="13"/>
    </row>
    <row r="6428" spans="12:13">
      <c r="L6428" s="1">
        <v>44674.298611090344</v>
      </c>
      <c r="M6428" s="13"/>
    </row>
    <row r="6429" spans="12:13">
      <c r="L6429" s="1">
        <v>44674.302083312563</v>
      </c>
      <c r="M6429" s="13"/>
    </row>
    <row r="6430" spans="12:13">
      <c r="L6430" s="1">
        <v>44674.305555534782</v>
      </c>
      <c r="M6430" s="13"/>
    </row>
    <row r="6431" spans="12:13">
      <c r="L6431" s="1">
        <v>44674.309027757001</v>
      </c>
      <c r="M6431" s="13"/>
    </row>
    <row r="6432" spans="12:13">
      <c r="L6432" s="1">
        <v>44674.31249997922</v>
      </c>
      <c r="M6432" s="13"/>
    </row>
    <row r="6433" spans="12:13">
      <c r="L6433" s="1">
        <v>44674.315972201439</v>
      </c>
      <c r="M6433" s="13"/>
    </row>
    <row r="6434" spans="12:13">
      <c r="L6434" s="1">
        <v>44674.319444423658</v>
      </c>
      <c r="M6434" s="13"/>
    </row>
    <row r="6435" spans="12:13">
      <c r="L6435" s="1">
        <v>44674.322916645877</v>
      </c>
      <c r="M6435" s="13"/>
    </row>
    <row r="6436" spans="12:13">
      <c r="L6436" s="1">
        <v>44674.326388868096</v>
      </c>
      <c r="M6436" s="13"/>
    </row>
    <row r="6437" spans="12:13">
      <c r="L6437" s="1">
        <v>44674.329861090315</v>
      </c>
      <c r="M6437" s="13"/>
    </row>
    <row r="6438" spans="12:13">
      <c r="L6438" s="1">
        <v>44674.333333312534</v>
      </c>
      <c r="M6438" s="13"/>
    </row>
    <row r="6439" spans="12:13">
      <c r="L6439" s="1">
        <v>44674.336805534753</v>
      </c>
      <c r="M6439" s="13"/>
    </row>
    <row r="6440" spans="12:13">
      <c r="L6440" s="1">
        <v>44674.340277756972</v>
      </c>
      <c r="M6440" s="13"/>
    </row>
    <row r="6441" spans="12:13">
      <c r="L6441" s="1">
        <v>44674.343749979191</v>
      </c>
      <c r="M6441" s="13"/>
    </row>
    <row r="6442" spans="12:13">
      <c r="L6442" s="1">
        <v>44674.34722220141</v>
      </c>
      <c r="M6442" s="13"/>
    </row>
    <row r="6443" spans="12:13">
      <c r="L6443" s="1">
        <v>44674.350694423629</v>
      </c>
      <c r="M6443" s="13"/>
    </row>
    <row r="6444" spans="12:13">
      <c r="L6444" s="1">
        <v>44674.354166645848</v>
      </c>
      <c r="M6444" s="13"/>
    </row>
    <row r="6445" spans="12:13">
      <c r="L6445" s="1">
        <v>44674.357638868067</v>
      </c>
      <c r="M6445" s="13"/>
    </row>
    <row r="6446" spans="12:13">
      <c r="L6446" s="1">
        <v>44674.361111090286</v>
      </c>
      <c r="M6446" s="13"/>
    </row>
    <row r="6447" spans="12:13">
      <c r="L6447" s="1">
        <v>44674.364583312505</v>
      </c>
      <c r="M6447" s="13"/>
    </row>
    <row r="6448" spans="12:13">
      <c r="L6448" s="1">
        <v>44674.368055534724</v>
      </c>
      <c r="M6448" s="13"/>
    </row>
    <row r="6449" spans="12:13">
      <c r="L6449" s="1">
        <v>44674.371527756943</v>
      </c>
      <c r="M6449" s="13"/>
    </row>
    <row r="6450" spans="12:13">
      <c r="L6450" s="1">
        <v>44674.374999979162</v>
      </c>
      <c r="M6450" s="13"/>
    </row>
    <row r="6451" spans="12:13">
      <c r="L6451" s="1">
        <v>44674.378472201381</v>
      </c>
      <c r="M6451" s="13"/>
    </row>
    <row r="6452" spans="12:13">
      <c r="L6452" s="1">
        <v>44674.3819444236</v>
      </c>
      <c r="M6452" s="13"/>
    </row>
    <row r="6453" spans="12:13">
      <c r="L6453" s="1">
        <v>44674.385416645819</v>
      </c>
      <c r="M6453" s="13"/>
    </row>
    <row r="6454" spans="12:13">
      <c r="L6454" s="1">
        <v>44674.388888868038</v>
      </c>
      <c r="M6454" s="13"/>
    </row>
    <row r="6455" spans="12:13">
      <c r="L6455" s="1">
        <v>44674.392361090257</v>
      </c>
      <c r="M6455" s="13"/>
    </row>
    <row r="6456" spans="12:13">
      <c r="L6456" s="1">
        <v>44674.395833312476</v>
      </c>
      <c r="M6456" s="13"/>
    </row>
    <row r="6457" spans="12:13">
      <c r="L6457" s="1">
        <v>44674.399305534695</v>
      </c>
      <c r="M6457" s="13"/>
    </row>
    <row r="6458" spans="12:13">
      <c r="L6458" s="1">
        <v>44674.402777756914</v>
      </c>
      <c r="M6458" s="13"/>
    </row>
    <row r="6459" spans="12:13">
      <c r="L6459" s="1">
        <v>44674.406249979133</v>
      </c>
      <c r="M6459" s="13"/>
    </row>
    <row r="6460" spans="12:13">
      <c r="L6460" s="1">
        <v>44674.409722201352</v>
      </c>
      <c r="M6460" s="13"/>
    </row>
    <row r="6461" spans="12:13">
      <c r="L6461" s="1">
        <v>44674.413194423571</v>
      </c>
      <c r="M6461" s="13"/>
    </row>
    <row r="6462" spans="12:13">
      <c r="L6462" s="1">
        <v>44674.41666664579</v>
      </c>
      <c r="M6462" s="13"/>
    </row>
    <row r="6463" spans="12:13">
      <c r="L6463" s="1">
        <v>44674.420138868009</v>
      </c>
      <c r="M6463" s="13"/>
    </row>
    <row r="6464" spans="12:13">
      <c r="L6464" s="1">
        <v>44674.423611090227</v>
      </c>
      <c r="M6464" s="13"/>
    </row>
    <row r="6465" spans="12:13">
      <c r="L6465" s="1">
        <v>44674.427083312446</v>
      </c>
      <c r="M6465" s="13"/>
    </row>
    <row r="6466" spans="12:13">
      <c r="L6466" s="1">
        <v>44674.430555534665</v>
      </c>
      <c r="M6466" s="13"/>
    </row>
    <row r="6467" spans="12:13">
      <c r="L6467" s="1">
        <v>44674.434027756884</v>
      </c>
      <c r="M6467" s="13"/>
    </row>
    <row r="6468" spans="12:13">
      <c r="L6468" s="1">
        <v>44674.437499979103</v>
      </c>
      <c r="M6468" s="13"/>
    </row>
    <row r="6469" spans="12:13">
      <c r="L6469" s="1">
        <v>44674.440972201322</v>
      </c>
      <c r="M6469" s="13"/>
    </row>
    <row r="6470" spans="12:13">
      <c r="L6470" s="1">
        <v>44674.444444423541</v>
      </c>
      <c r="M6470" s="13"/>
    </row>
    <row r="6471" spans="12:13">
      <c r="L6471" s="1">
        <v>44674.44791664576</v>
      </c>
      <c r="M6471" s="13"/>
    </row>
    <row r="6472" spans="12:13">
      <c r="L6472" s="1">
        <v>44674.451388867979</v>
      </c>
      <c r="M6472" s="13"/>
    </row>
    <row r="6473" spans="12:13">
      <c r="L6473" s="1">
        <v>44674.454861090198</v>
      </c>
      <c r="M6473" s="13"/>
    </row>
    <row r="6474" spans="12:13">
      <c r="L6474" s="1">
        <v>44674.458333312417</v>
      </c>
      <c r="M6474" s="13"/>
    </row>
    <row r="6475" spans="12:13">
      <c r="L6475" s="1">
        <v>44674.461805534636</v>
      </c>
      <c r="M6475" s="13"/>
    </row>
    <row r="6476" spans="12:13">
      <c r="L6476" s="1">
        <v>44674.465277756855</v>
      </c>
      <c r="M6476" s="13"/>
    </row>
    <row r="6477" spans="12:13">
      <c r="L6477" s="1">
        <v>44674.468749979074</v>
      </c>
      <c r="M6477" s="13"/>
    </row>
    <row r="6478" spans="12:13">
      <c r="L6478" s="1">
        <v>44674.472222201293</v>
      </c>
      <c r="M6478" s="13"/>
    </row>
    <row r="6479" spans="12:13">
      <c r="L6479" s="1">
        <v>44674.475694423512</v>
      </c>
      <c r="M6479" s="13"/>
    </row>
    <row r="6480" spans="12:13">
      <c r="L6480" s="1">
        <v>44674.479166645731</v>
      </c>
      <c r="M6480" s="13"/>
    </row>
    <row r="6481" spans="12:13">
      <c r="L6481" s="1">
        <v>44674.48263886795</v>
      </c>
      <c r="M6481" s="13"/>
    </row>
    <row r="6482" spans="12:13">
      <c r="L6482" s="1">
        <v>44674.486111090169</v>
      </c>
      <c r="M6482" s="13"/>
    </row>
    <row r="6483" spans="12:13">
      <c r="L6483" s="1">
        <v>44674.489583312388</v>
      </c>
      <c r="M6483" s="13"/>
    </row>
    <row r="6484" spans="12:13">
      <c r="L6484" s="1">
        <v>44674.493055534607</v>
      </c>
      <c r="M6484" s="13"/>
    </row>
    <row r="6485" spans="12:13">
      <c r="L6485" s="1">
        <v>44674.496527756826</v>
      </c>
      <c r="M6485" s="13"/>
    </row>
    <row r="6486" spans="12:13">
      <c r="L6486" s="1">
        <v>44674.499999979045</v>
      </c>
      <c r="M6486" s="13"/>
    </row>
    <row r="6487" spans="12:13">
      <c r="L6487" s="1">
        <v>44674.503472201264</v>
      </c>
      <c r="M6487" s="13"/>
    </row>
    <row r="6488" spans="12:13">
      <c r="L6488" s="1">
        <v>44674.506944423483</v>
      </c>
      <c r="M6488" s="13"/>
    </row>
    <row r="6489" spans="12:13">
      <c r="L6489" s="1">
        <v>44674.510416645702</v>
      </c>
      <c r="M6489" s="13"/>
    </row>
    <row r="6490" spans="12:13">
      <c r="L6490" s="1">
        <v>44674.513888867921</v>
      </c>
      <c r="M6490" s="13"/>
    </row>
    <row r="6491" spans="12:13">
      <c r="L6491" s="1">
        <v>44674.51736109014</v>
      </c>
      <c r="M6491" s="13"/>
    </row>
    <row r="6492" spans="12:13">
      <c r="L6492" s="1">
        <v>44674.520833312359</v>
      </c>
      <c r="M6492" s="13"/>
    </row>
    <row r="6493" spans="12:13">
      <c r="L6493" s="1">
        <v>44674.524305534578</v>
      </c>
      <c r="M6493" s="13"/>
    </row>
    <row r="6494" spans="12:13">
      <c r="L6494" s="1">
        <v>44674.527777756797</v>
      </c>
      <c r="M6494" s="13"/>
    </row>
    <row r="6495" spans="12:13">
      <c r="L6495" s="1">
        <v>44674.531249979016</v>
      </c>
      <c r="M6495" s="13"/>
    </row>
    <row r="6496" spans="12:13">
      <c r="L6496" s="1">
        <v>44674.534722201235</v>
      </c>
      <c r="M6496" s="13"/>
    </row>
    <row r="6497" spans="12:13">
      <c r="L6497" s="1">
        <v>44674.538194423454</v>
      </c>
      <c r="M6497" s="13"/>
    </row>
    <row r="6498" spans="12:13">
      <c r="L6498" s="1">
        <v>44674.541666645673</v>
      </c>
      <c r="M6498" s="13"/>
    </row>
    <row r="6499" spans="12:13">
      <c r="L6499" s="1">
        <v>44674.545138867892</v>
      </c>
      <c r="M6499" s="13"/>
    </row>
    <row r="6500" spans="12:13">
      <c r="L6500" s="1">
        <v>44674.548611090111</v>
      </c>
      <c r="M6500" s="13"/>
    </row>
    <row r="6501" spans="12:13">
      <c r="L6501" s="1">
        <v>44674.55208331233</v>
      </c>
      <c r="M6501" s="13"/>
    </row>
    <row r="6502" spans="12:13">
      <c r="L6502" s="1">
        <v>44674.555555534549</v>
      </c>
      <c r="M6502" s="13"/>
    </row>
    <row r="6503" spans="12:13">
      <c r="L6503" s="1">
        <v>44674.559027756768</v>
      </c>
      <c r="M6503" s="13"/>
    </row>
    <row r="6504" spans="12:13">
      <c r="L6504" s="1">
        <v>44674.562499978987</v>
      </c>
      <c r="M6504" s="13"/>
    </row>
    <row r="6505" spans="12:13">
      <c r="L6505" s="1">
        <v>44674.565972201206</v>
      </c>
      <c r="M6505" s="13"/>
    </row>
    <row r="6506" spans="12:13">
      <c r="L6506" s="1">
        <v>44674.569444423425</v>
      </c>
      <c r="M6506" s="13"/>
    </row>
    <row r="6507" spans="12:13">
      <c r="L6507" s="1">
        <v>44674.572916645644</v>
      </c>
      <c r="M6507" s="13"/>
    </row>
    <row r="6508" spans="12:13">
      <c r="L6508" s="1">
        <v>44674.576388867863</v>
      </c>
      <c r="M6508" s="13"/>
    </row>
    <row r="6509" spans="12:13">
      <c r="L6509" s="1">
        <v>44674.579861090082</v>
      </c>
      <c r="M6509" s="13"/>
    </row>
    <row r="6510" spans="12:13">
      <c r="L6510" s="1">
        <v>44674.583333312301</v>
      </c>
      <c r="M6510" s="13"/>
    </row>
    <row r="6511" spans="12:13">
      <c r="L6511" s="1">
        <v>44674.58680553452</v>
      </c>
      <c r="M6511" s="13"/>
    </row>
    <row r="6512" spans="12:13">
      <c r="L6512" s="1">
        <v>44674.590277756739</v>
      </c>
      <c r="M6512" s="13"/>
    </row>
    <row r="6513" spans="12:13">
      <c r="L6513" s="1">
        <v>44674.593749978958</v>
      </c>
      <c r="M6513" s="13"/>
    </row>
    <row r="6514" spans="12:13">
      <c r="L6514" s="1">
        <v>44674.597222201177</v>
      </c>
      <c r="M6514" s="13"/>
    </row>
    <row r="6515" spans="12:13">
      <c r="L6515" s="1">
        <v>44674.600694423396</v>
      </c>
      <c r="M6515" s="13"/>
    </row>
    <row r="6516" spans="12:13">
      <c r="L6516" s="1">
        <v>44674.604166645615</v>
      </c>
      <c r="M6516" s="13"/>
    </row>
    <row r="6517" spans="12:13">
      <c r="L6517" s="1">
        <v>44674.607638867834</v>
      </c>
      <c r="M6517" s="13"/>
    </row>
    <row r="6518" spans="12:13">
      <c r="L6518" s="1">
        <v>44674.611111090053</v>
      </c>
      <c r="M6518" s="13"/>
    </row>
    <row r="6519" spans="12:13">
      <c r="L6519" s="1">
        <v>44674.614583312272</v>
      </c>
      <c r="M6519" s="13"/>
    </row>
    <row r="6520" spans="12:13">
      <c r="L6520" s="1">
        <v>44674.618055534491</v>
      </c>
      <c r="M6520" s="13"/>
    </row>
    <row r="6521" spans="12:13">
      <c r="L6521" s="1">
        <v>44674.62152775671</v>
      </c>
      <c r="M6521" s="13"/>
    </row>
    <row r="6522" spans="12:13">
      <c r="L6522" s="1">
        <v>44674.624999978929</v>
      </c>
      <c r="M6522" s="13"/>
    </row>
    <row r="6523" spans="12:13">
      <c r="L6523" s="1">
        <v>44674.628472201148</v>
      </c>
      <c r="M6523" s="13"/>
    </row>
    <row r="6524" spans="12:13">
      <c r="L6524" s="1">
        <v>44674.631944423367</v>
      </c>
      <c r="M6524" s="13"/>
    </row>
    <row r="6525" spans="12:13">
      <c r="L6525" s="1">
        <v>44674.635416645586</v>
      </c>
      <c r="M6525" s="13"/>
    </row>
    <row r="6526" spans="12:13">
      <c r="L6526" s="1">
        <v>44674.638888867805</v>
      </c>
      <c r="M6526" s="13"/>
    </row>
    <row r="6527" spans="12:13">
      <c r="L6527" s="1">
        <v>44674.642361090024</v>
      </c>
      <c r="M6527" s="13"/>
    </row>
    <row r="6528" spans="12:13">
      <c r="L6528" s="1">
        <v>44674.645833312243</v>
      </c>
      <c r="M6528" s="13"/>
    </row>
    <row r="6529" spans="12:13">
      <c r="L6529" s="1">
        <v>44674.649305534462</v>
      </c>
      <c r="M6529" s="13"/>
    </row>
    <row r="6530" spans="12:13">
      <c r="L6530" s="1">
        <v>44674.652777756681</v>
      </c>
      <c r="M6530" s="13"/>
    </row>
    <row r="6531" spans="12:13">
      <c r="L6531" s="1">
        <v>44674.6562499789</v>
      </c>
      <c r="M6531" s="13"/>
    </row>
    <row r="6532" spans="12:13">
      <c r="L6532" s="1">
        <v>44674.659722201119</v>
      </c>
      <c r="M6532" s="13"/>
    </row>
    <row r="6533" spans="12:13">
      <c r="L6533" s="1">
        <v>44674.663194423338</v>
      </c>
      <c r="M6533" s="13"/>
    </row>
    <row r="6534" spans="12:13">
      <c r="L6534" s="1">
        <v>44674.666666645557</v>
      </c>
      <c r="M6534" s="13"/>
    </row>
    <row r="6535" spans="12:13">
      <c r="L6535" s="1">
        <v>44674.670138867776</v>
      </c>
      <c r="M6535" s="13"/>
    </row>
    <row r="6536" spans="12:13">
      <c r="L6536" s="1">
        <v>44674.673611089995</v>
      </c>
      <c r="M6536" s="13"/>
    </row>
    <row r="6537" spans="12:13">
      <c r="L6537" s="1">
        <v>44674.677083312214</v>
      </c>
      <c r="M6537" s="13"/>
    </row>
    <row r="6538" spans="12:13">
      <c r="L6538" s="1">
        <v>44674.680555534433</v>
      </c>
      <c r="M6538" s="13"/>
    </row>
    <row r="6539" spans="12:13">
      <c r="L6539" s="1">
        <v>44674.684027756652</v>
      </c>
      <c r="M6539" s="13"/>
    </row>
    <row r="6540" spans="12:13">
      <c r="L6540" s="1">
        <v>44674.687499978871</v>
      </c>
      <c r="M6540" s="13"/>
    </row>
    <row r="6541" spans="12:13">
      <c r="L6541" s="1">
        <v>44674.69097220109</v>
      </c>
      <c r="M6541" s="13"/>
    </row>
    <row r="6542" spans="12:13">
      <c r="L6542" s="1">
        <v>44674.694444423309</v>
      </c>
      <c r="M6542" s="13"/>
    </row>
    <row r="6543" spans="12:13">
      <c r="L6543" s="1">
        <v>44674.697916645528</v>
      </c>
      <c r="M6543" s="13"/>
    </row>
    <row r="6544" spans="12:13">
      <c r="L6544" s="1">
        <v>44674.701388867747</v>
      </c>
      <c r="M6544" s="13"/>
    </row>
    <row r="6545" spans="12:13">
      <c r="L6545" s="1">
        <v>44674.704861089966</v>
      </c>
      <c r="M6545" s="13"/>
    </row>
    <row r="6546" spans="12:13">
      <c r="L6546" s="1">
        <v>44674.708333312185</v>
      </c>
      <c r="M6546" s="13"/>
    </row>
    <row r="6547" spans="12:13">
      <c r="L6547" s="1">
        <v>44674.711805534404</v>
      </c>
      <c r="M6547" s="13"/>
    </row>
    <row r="6548" spans="12:13">
      <c r="L6548" s="1">
        <v>44674.715277756623</v>
      </c>
      <c r="M6548" s="13"/>
    </row>
    <row r="6549" spans="12:13">
      <c r="L6549" s="1">
        <v>44674.718749978842</v>
      </c>
      <c r="M6549" s="13"/>
    </row>
    <row r="6550" spans="12:13">
      <c r="L6550" s="1">
        <v>44674.722222201061</v>
      </c>
      <c r="M6550" s="13"/>
    </row>
    <row r="6551" spans="12:13">
      <c r="L6551" s="1">
        <v>44674.725694423279</v>
      </c>
      <c r="M6551" s="13"/>
    </row>
    <row r="6552" spans="12:13">
      <c r="L6552" s="1">
        <v>44674.729166645498</v>
      </c>
      <c r="M6552" s="13"/>
    </row>
    <row r="6553" spans="12:13">
      <c r="L6553" s="1">
        <v>44674.732638867717</v>
      </c>
      <c r="M6553" s="13"/>
    </row>
    <row r="6554" spans="12:13">
      <c r="L6554" s="1">
        <v>44674.736111089936</v>
      </c>
      <c r="M6554" s="13"/>
    </row>
    <row r="6555" spans="12:13">
      <c r="L6555" s="1">
        <v>44674.739583312155</v>
      </c>
      <c r="M6555" s="13"/>
    </row>
    <row r="6556" spans="12:13">
      <c r="L6556" s="1">
        <v>44674.743055534374</v>
      </c>
      <c r="M6556" s="13"/>
    </row>
    <row r="6557" spans="12:13">
      <c r="L6557" s="1">
        <v>44674.746527756593</v>
      </c>
      <c r="M6557" s="13"/>
    </row>
    <row r="6558" spans="12:13">
      <c r="L6558" s="1">
        <v>44674.749999978812</v>
      </c>
      <c r="M6558" s="13"/>
    </row>
    <row r="6559" spans="12:13">
      <c r="L6559" s="1">
        <v>44674.753472201031</v>
      </c>
      <c r="M6559" s="13"/>
    </row>
    <row r="6560" spans="12:13">
      <c r="L6560" s="1">
        <v>44674.75694442325</v>
      </c>
      <c r="M6560" s="13"/>
    </row>
    <row r="6561" spans="12:13">
      <c r="L6561" s="1">
        <v>44674.760416645469</v>
      </c>
      <c r="M6561" s="13"/>
    </row>
    <row r="6562" spans="12:13">
      <c r="L6562" s="1">
        <v>44674.763888867688</v>
      </c>
      <c r="M6562" s="13"/>
    </row>
    <row r="6563" spans="12:13">
      <c r="L6563" s="1">
        <v>44674.767361089907</v>
      </c>
      <c r="M6563" s="13"/>
    </row>
    <row r="6564" spans="12:13">
      <c r="L6564" s="1">
        <v>44674.770833312126</v>
      </c>
      <c r="M6564" s="13"/>
    </row>
    <row r="6565" spans="12:13">
      <c r="L6565" s="1">
        <v>44674.774305534345</v>
      </c>
      <c r="M6565" s="13"/>
    </row>
    <row r="6566" spans="12:13">
      <c r="L6566" s="1">
        <v>44674.777777756564</v>
      </c>
      <c r="M6566" s="13"/>
    </row>
    <row r="6567" spans="12:13">
      <c r="L6567" s="1">
        <v>44674.781249978783</v>
      </c>
      <c r="M6567" s="13"/>
    </row>
    <row r="6568" spans="12:13">
      <c r="L6568" s="1">
        <v>44674.784722201002</v>
      </c>
      <c r="M6568" s="13"/>
    </row>
    <row r="6569" spans="12:13">
      <c r="L6569" s="1">
        <v>44674.788194423221</v>
      </c>
      <c r="M6569" s="13"/>
    </row>
    <row r="6570" spans="12:13">
      <c r="L6570" s="1">
        <v>44674.79166664544</v>
      </c>
      <c r="M6570" s="13"/>
    </row>
    <row r="6571" spans="12:13">
      <c r="L6571" s="1">
        <v>44674.795138867659</v>
      </c>
      <c r="M6571" s="13"/>
    </row>
    <row r="6572" spans="12:13">
      <c r="L6572" s="1">
        <v>44674.798611089878</v>
      </c>
      <c r="M6572" s="13"/>
    </row>
    <row r="6573" spans="12:13">
      <c r="L6573" s="1">
        <v>44674.802083312097</v>
      </c>
      <c r="M6573" s="13"/>
    </row>
    <row r="6574" spans="12:13">
      <c r="L6574" s="1">
        <v>44674.805555534316</v>
      </c>
      <c r="M6574" s="13"/>
    </row>
    <row r="6575" spans="12:13">
      <c r="L6575" s="1">
        <v>44674.809027756535</v>
      </c>
      <c r="M6575" s="13"/>
    </row>
    <row r="6576" spans="12:13">
      <c r="L6576" s="1">
        <v>44674.812499978754</v>
      </c>
      <c r="M6576" s="13"/>
    </row>
    <row r="6577" spans="12:13">
      <c r="L6577" s="1">
        <v>44674.815972200973</v>
      </c>
      <c r="M6577" s="13"/>
    </row>
    <row r="6578" spans="12:13">
      <c r="L6578" s="1">
        <v>44674.819444423192</v>
      </c>
      <c r="M6578" s="13"/>
    </row>
    <row r="6579" spans="12:13">
      <c r="L6579" s="1">
        <v>44674.822916645411</v>
      </c>
      <c r="M6579" s="13"/>
    </row>
    <row r="6580" spans="12:13">
      <c r="L6580" s="1">
        <v>44674.82638886763</v>
      </c>
      <c r="M6580" s="13"/>
    </row>
    <row r="6581" spans="12:13">
      <c r="L6581" s="1">
        <v>44674.829861089849</v>
      </c>
      <c r="M6581" s="13"/>
    </row>
    <row r="6582" spans="12:13">
      <c r="L6582" s="1">
        <v>44674.833333312068</v>
      </c>
      <c r="M6582" s="13"/>
    </row>
    <row r="6583" spans="12:13">
      <c r="L6583" s="1">
        <v>44674.836805534287</v>
      </c>
      <c r="M6583" s="13"/>
    </row>
    <row r="6584" spans="12:13">
      <c r="L6584" s="1">
        <v>44674.840277756506</v>
      </c>
      <c r="M6584" s="13"/>
    </row>
    <row r="6585" spans="12:13">
      <c r="L6585" s="1">
        <v>44674.843749978725</v>
      </c>
      <c r="M6585" s="13"/>
    </row>
    <row r="6586" spans="12:13">
      <c r="L6586" s="1">
        <v>44674.847222200944</v>
      </c>
      <c r="M6586" s="13"/>
    </row>
    <row r="6587" spans="12:13">
      <c r="L6587" s="1">
        <v>44674.850694423163</v>
      </c>
      <c r="M6587" s="13"/>
    </row>
    <row r="6588" spans="12:13">
      <c r="L6588" s="1">
        <v>44674.854166645382</v>
      </c>
      <c r="M6588" s="13"/>
    </row>
    <row r="6589" spans="12:13">
      <c r="L6589" s="1">
        <v>44674.857638867601</v>
      </c>
      <c r="M6589" s="13"/>
    </row>
    <row r="6590" spans="12:13">
      <c r="L6590" s="1">
        <v>44674.86111108982</v>
      </c>
      <c r="M6590" s="13"/>
    </row>
    <row r="6591" spans="12:13">
      <c r="L6591" s="1">
        <v>44674.864583312039</v>
      </c>
      <c r="M6591" s="13"/>
    </row>
    <row r="6592" spans="12:13">
      <c r="L6592" s="1">
        <v>44674.868055534258</v>
      </c>
      <c r="M6592" s="13"/>
    </row>
    <row r="6593" spans="12:13">
      <c r="L6593" s="1">
        <v>44674.871527756477</v>
      </c>
      <c r="M6593" s="13"/>
    </row>
    <row r="6594" spans="12:13">
      <c r="L6594" s="1">
        <v>44674.874999978696</v>
      </c>
      <c r="M6594" s="13"/>
    </row>
    <row r="6595" spans="12:13">
      <c r="L6595" s="1">
        <v>44674.878472200915</v>
      </c>
      <c r="M6595" s="13"/>
    </row>
    <row r="6596" spans="12:13">
      <c r="L6596" s="1">
        <v>44674.881944423134</v>
      </c>
      <c r="M6596" s="13"/>
    </row>
    <row r="6597" spans="12:13">
      <c r="L6597" s="1">
        <v>44674.885416645353</v>
      </c>
      <c r="M6597" s="13"/>
    </row>
    <row r="6598" spans="12:13">
      <c r="L6598" s="1">
        <v>44674.888888867572</v>
      </c>
      <c r="M6598" s="13"/>
    </row>
    <row r="6599" spans="12:13">
      <c r="L6599" s="1">
        <v>44674.892361089791</v>
      </c>
      <c r="M6599" s="13"/>
    </row>
    <row r="6600" spans="12:13">
      <c r="L6600" s="1">
        <v>44674.89583331201</v>
      </c>
      <c r="M6600" s="13"/>
    </row>
    <row r="6601" spans="12:13">
      <c r="L6601" s="1">
        <v>44674.899305534229</v>
      </c>
      <c r="M6601" s="13"/>
    </row>
    <row r="6602" spans="12:13">
      <c r="L6602" s="1">
        <v>44674.902777756448</v>
      </c>
      <c r="M6602" s="13"/>
    </row>
    <row r="6603" spans="12:13">
      <c r="L6603" s="1">
        <v>44674.906249978667</v>
      </c>
      <c r="M6603" s="13"/>
    </row>
    <row r="6604" spans="12:13">
      <c r="L6604" s="1">
        <v>44674.909722200886</v>
      </c>
      <c r="M6604" s="13"/>
    </row>
    <row r="6605" spans="12:13">
      <c r="L6605" s="1">
        <v>44674.913194423105</v>
      </c>
      <c r="M6605" s="13"/>
    </row>
    <row r="6606" spans="12:13">
      <c r="L6606" s="1">
        <v>44674.916666645324</v>
      </c>
      <c r="M6606" s="13"/>
    </row>
    <row r="6607" spans="12:13">
      <c r="L6607" s="1">
        <v>44674.920138867543</v>
      </c>
      <c r="M6607" s="13"/>
    </row>
    <row r="6608" spans="12:13">
      <c r="L6608" s="1">
        <v>44674.923611089762</v>
      </c>
      <c r="M6608" s="13"/>
    </row>
    <row r="6609" spans="12:13">
      <c r="L6609" s="1">
        <v>44674.927083311981</v>
      </c>
      <c r="M6609" s="13"/>
    </row>
    <row r="6610" spans="12:13">
      <c r="L6610" s="1">
        <v>44674.9305555342</v>
      </c>
      <c r="M6610" s="13"/>
    </row>
    <row r="6611" spans="12:13">
      <c r="L6611" s="1">
        <v>44674.934027756419</v>
      </c>
      <c r="M6611" s="13"/>
    </row>
    <row r="6612" spans="12:13">
      <c r="L6612" s="1">
        <v>44674.937499978638</v>
      </c>
      <c r="M6612" s="13"/>
    </row>
    <row r="6613" spans="12:13">
      <c r="L6613" s="1">
        <v>44674.940972200857</v>
      </c>
      <c r="M6613" s="13"/>
    </row>
    <row r="6614" spans="12:13">
      <c r="L6614" s="1">
        <v>44674.944444423076</v>
      </c>
      <c r="M6614" s="13"/>
    </row>
    <row r="6615" spans="12:13">
      <c r="L6615" s="1">
        <v>44674.947916645295</v>
      </c>
      <c r="M6615" s="13"/>
    </row>
    <row r="6616" spans="12:13">
      <c r="L6616" s="1">
        <v>44674.951388867514</v>
      </c>
      <c r="M6616" s="13"/>
    </row>
    <row r="6617" spans="12:13">
      <c r="L6617" s="1">
        <v>44674.954861089733</v>
      </c>
      <c r="M6617" s="13"/>
    </row>
    <row r="6618" spans="12:13">
      <c r="L6618" s="1">
        <v>44674.958333311952</v>
      </c>
      <c r="M6618" s="13"/>
    </row>
    <row r="6619" spans="12:13">
      <c r="L6619" s="1">
        <v>44674.961805534171</v>
      </c>
      <c r="M6619" s="13"/>
    </row>
    <row r="6620" spans="12:13">
      <c r="L6620" s="1">
        <v>44674.96527775639</v>
      </c>
      <c r="M6620" s="13"/>
    </row>
    <row r="6621" spans="12:13">
      <c r="L6621" s="1">
        <v>44674.968749978609</v>
      </c>
      <c r="M6621" s="13"/>
    </row>
    <row r="6622" spans="12:13">
      <c r="L6622" s="1">
        <v>44674.972222200828</v>
      </c>
      <c r="M6622" s="13"/>
    </row>
    <row r="6623" spans="12:13">
      <c r="L6623" s="1">
        <v>44674.975694423047</v>
      </c>
      <c r="M6623" s="13"/>
    </row>
    <row r="6624" spans="12:13">
      <c r="L6624" s="1">
        <v>44674.979166645266</v>
      </c>
      <c r="M6624" s="13"/>
    </row>
    <row r="6625" spans="12:13">
      <c r="L6625" s="1">
        <v>44674.982638867485</v>
      </c>
      <c r="M6625" s="13"/>
    </row>
    <row r="6626" spans="12:13">
      <c r="L6626" s="1">
        <v>44674.986111089704</v>
      </c>
      <c r="M6626" s="13"/>
    </row>
    <row r="6627" spans="12:13">
      <c r="L6627" s="1">
        <v>44674.989583311923</v>
      </c>
      <c r="M6627" s="13"/>
    </row>
    <row r="6628" spans="12:13">
      <c r="L6628" s="1">
        <v>44674.993055534142</v>
      </c>
      <c r="M6628" s="13"/>
    </row>
    <row r="6629" spans="12:13">
      <c r="L6629" s="1">
        <v>44674.996527756361</v>
      </c>
      <c r="M6629" s="13"/>
    </row>
    <row r="6630" spans="12:13">
      <c r="L6630" s="1">
        <v>44674.99999997858</v>
      </c>
      <c r="M6630" s="13"/>
    </row>
    <row r="6631" spans="12:13">
      <c r="L6631" s="1">
        <v>44675.003472200799</v>
      </c>
      <c r="M6631" s="13"/>
    </row>
    <row r="6632" spans="12:13">
      <c r="L6632" s="1">
        <v>44675.006944423018</v>
      </c>
      <c r="M6632" s="13"/>
    </row>
    <row r="6633" spans="12:13">
      <c r="L6633" s="1">
        <v>44675.010416645237</v>
      </c>
      <c r="M6633" s="13"/>
    </row>
    <row r="6634" spans="12:13">
      <c r="L6634" s="1">
        <v>44675.013888867456</v>
      </c>
      <c r="M6634" s="13"/>
    </row>
    <row r="6635" spans="12:13">
      <c r="L6635" s="1">
        <v>44675.017361089675</v>
      </c>
      <c r="M6635" s="13"/>
    </row>
    <row r="6636" spans="12:13">
      <c r="L6636" s="1">
        <v>44675.020833311894</v>
      </c>
      <c r="M6636" s="13"/>
    </row>
    <row r="6637" spans="12:13">
      <c r="L6637" s="1">
        <v>44675.024305534113</v>
      </c>
      <c r="M6637" s="13"/>
    </row>
    <row r="6638" spans="12:13">
      <c r="L6638" s="1">
        <v>44675.027777756331</v>
      </c>
      <c r="M6638" s="13"/>
    </row>
    <row r="6639" spans="12:13">
      <c r="L6639" s="1">
        <v>44675.03124997855</v>
      </c>
      <c r="M6639" s="13"/>
    </row>
    <row r="6640" spans="12:13">
      <c r="L6640" s="1">
        <v>44675.034722200769</v>
      </c>
      <c r="M6640" s="13"/>
    </row>
    <row r="6641" spans="12:13">
      <c r="L6641" s="1">
        <v>44675.038194422988</v>
      </c>
      <c r="M6641" s="13"/>
    </row>
    <row r="6642" spans="12:13">
      <c r="L6642" s="1">
        <v>44675.041666645207</v>
      </c>
      <c r="M6642" s="13"/>
    </row>
    <row r="6643" spans="12:13">
      <c r="L6643" s="1">
        <v>44675.045138867426</v>
      </c>
      <c r="M6643" s="13"/>
    </row>
    <row r="6644" spans="12:13">
      <c r="L6644" s="1">
        <v>44675.048611089645</v>
      </c>
      <c r="M6644" s="13"/>
    </row>
    <row r="6645" spans="12:13">
      <c r="L6645" s="1">
        <v>44675.052083311864</v>
      </c>
      <c r="M6645" s="13"/>
    </row>
    <row r="6646" spans="12:13">
      <c r="L6646" s="1">
        <v>44675.055555534083</v>
      </c>
      <c r="M6646" s="13"/>
    </row>
    <row r="6647" spans="12:13">
      <c r="L6647" s="1">
        <v>44675.059027756302</v>
      </c>
      <c r="M6647" s="13"/>
    </row>
    <row r="6648" spans="12:13">
      <c r="L6648" s="1">
        <v>44675.062499978521</v>
      </c>
      <c r="M6648" s="13"/>
    </row>
    <row r="6649" spans="12:13">
      <c r="L6649" s="1">
        <v>44675.06597220074</v>
      </c>
      <c r="M6649" s="13"/>
    </row>
    <row r="6650" spans="12:13">
      <c r="L6650" s="1">
        <v>44675.069444422959</v>
      </c>
      <c r="M6650" s="13"/>
    </row>
    <row r="6651" spans="12:13">
      <c r="L6651" s="1">
        <v>44675.072916645178</v>
      </c>
      <c r="M6651" s="13"/>
    </row>
    <row r="6652" spans="12:13">
      <c r="L6652" s="1">
        <v>44675.076388867397</v>
      </c>
      <c r="M6652" s="13"/>
    </row>
    <row r="6653" spans="12:13">
      <c r="L6653" s="1">
        <v>44675.079861089616</v>
      </c>
      <c r="M6653" s="13"/>
    </row>
    <row r="6654" spans="12:13">
      <c r="L6654" s="1">
        <v>44675.083333311835</v>
      </c>
      <c r="M6654" s="13"/>
    </row>
    <row r="6655" spans="12:13">
      <c r="L6655" s="1">
        <v>44675.086805534054</v>
      </c>
      <c r="M6655" s="13"/>
    </row>
    <row r="6656" spans="12:13">
      <c r="L6656" s="1">
        <v>44675.090277756273</v>
      </c>
      <c r="M6656" s="13"/>
    </row>
    <row r="6657" spans="12:13">
      <c r="L6657" s="1">
        <v>44675.093749978492</v>
      </c>
      <c r="M6657" s="13"/>
    </row>
    <row r="6658" spans="12:13">
      <c r="L6658" s="1">
        <v>44675.097222200711</v>
      </c>
      <c r="M6658" s="13"/>
    </row>
    <row r="6659" spans="12:13">
      <c r="L6659" s="1">
        <v>44675.10069442293</v>
      </c>
      <c r="M6659" s="13"/>
    </row>
    <row r="6660" spans="12:13">
      <c r="L6660" s="1">
        <v>44675.104166645149</v>
      </c>
      <c r="M6660" s="13"/>
    </row>
    <row r="6661" spans="12:13">
      <c r="L6661" s="1">
        <v>44675.107638867368</v>
      </c>
      <c r="M6661" s="13"/>
    </row>
    <row r="6662" spans="12:13">
      <c r="L6662" s="1">
        <v>44675.111111089587</v>
      </c>
      <c r="M6662" s="13"/>
    </row>
    <row r="6663" spans="12:13">
      <c r="L6663" s="1">
        <v>44675.114583311806</v>
      </c>
      <c r="M6663" s="13"/>
    </row>
    <row r="6664" spans="12:13">
      <c r="L6664" s="1">
        <v>44675.118055534025</v>
      </c>
      <c r="M6664" s="13"/>
    </row>
    <row r="6665" spans="12:13">
      <c r="L6665" s="1">
        <v>44675.121527756244</v>
      </c>
      <c r="M6665" s="13"/>
    </row>
    <row r="6666" spans="12:13">
      <c r="L6666" s="1">
        <v>44675.124999978463</v>
      </c>
      <c r="M6666" s="13"/>
    </row>
    <row r="6667" spans="12:13">
      <c r="L6667" s="1">
        <v>44675.128472200682</v>
      </c>
      <c r="M6667" s="13"/>
    </row>
    <row r="6668" spans="12:13">
      <c r="L6668" s="1">
        <v>44675.131944422901</v>
      </c>
      <c r="M6668" s="13"/>
    </row>
    <row r="6669" spans="12:13">
      <c r="L6669" s="1">
        <v>44675.13541664512</v>
      </c>
      <c r="M6669" s="13"/>
    </row>
    <row r="6670" spans="12:13">
      <c r="L6670" s="1">
        <v>44675.138888867339</v>
      </c>
      <c r="M6670" s="13"/>
    </row>
    <row r="6671" spans="12:13">
      <c r="L6671" s="1">
        <v>44675.142361089558</v>
      </c>
      <c r="M6671" s="13"/>
    </row>
    <row r="6672" spans="12:13">
      <c r="L6672" s="1">
        <v>44675.145833311777</v>
      </c>
      <c r="M6672" s="13"/>
    </row>
    <row r="6673" spans="12:13">
      <c r="L6673" s="1">
        <v>44675.149305533996</v>
      </c>
      <c r="M6673" s="13"/>
    </row>
    <row r="6674" spans="12:13">
      <c r="L6674" s="1">
        <v>44675.152777756215</v>
      </c>
      <c r="M6674" s="13"/>
    </row>
    <row r="6675" spans="12:13">
      <c r="L6675" s="1">
        <v>44675.156249978434</v>
      </c>
      <c r="M6675" s="13"/>
    </row>
    <row r="6676" spans="12:13">
      <c r="L6676" s="1">
        <v>44675.159722200653</v>
      </c>
      <c r="M6676" s="13"/>
    </row>
    <row r="6677" spans="12:13">
      <c r="L6677" s="1">
        <v>44675.163194422872</v>
      </c>
      <c r="M6677" s="13"/>
    </row>
    <row r="6678" spans="12:13">
      <c r="L6678" s="1">
        <v>44675.166666645091</v>
      </c>
      <c r="M6678" s="13"/>
    </row>
    <row r="6679" spans="12:13">
      <c r="L6679" s="1">
        <v>44675.17013886731</v>
      </c>
      <c r="M6679" s="13"/>
    </row>
    <row r="6680" spans="12:13">
      <c r="L6680" s="1">
        <v>44675.173611089529</v>
      </c>
      <c r="M6680" s="13"/>
    </row>
    <row r="6681" spans="12:13">
      <c r="L6681" s="1">
        <v>44675.177083311748</v>
      </c>
      <c r="M6681" s="13"/>
    </row>
    <row r="6682" spans="12:13">
      <c r="L6682" s="1">
        <v>44675.180555533967</v>
      </c>
      <c r="M6682" s="13"/>
    </row>
    <row r="6683" spans="12:13">
      <c r="L6683" s="1">
        <v>44675.184027756186</v>
      </c>
      <c r="M6683" s="13"/>
    </row>
    <row r="6684" spans="12:13">
      <c r="L6684" s="1">
        <v>44675.187499978405</v>
      </c>
      <c r="M6684" s="13"/>
    </row>
    <row r="6685" spans="12:13">
      <c r="L6685" s="1">
        <v>44675.190972200624</v>
      </c>
      <c r="M6685" s="13"/>
    </row>
    <row r="6686" spans="12:13">
      <c r="L6686" s="1">
        <v>44675.194444422843</v>
      </c>
      <c r="M6686" s="13"/>
    </row>
    <row r="6687" spans="12:13">
      <c r="L6687" s="1">
        <v>44675.197916645062</v>
      </c>
      <c r="M6687" s="13"/>
    </row>
    <row r="6688" spans="12:13">
      <c r="L6688" s="1">
        <v>44675.201388867281</v>
      </c>
      <c r="M6688" s="13"/>
    </row>
    <row r="6689" spans="12:13">
      <c r="L6689" s="1">
        <v>44675.2048610895</v>
      </c>
      <c r="M6689" s="13"/>
    </row>
    <row r="6690" spans="12:13">
      <c r="L6690" s="1">
        <v>44675.208333311719</v>
      </c>
      <c r="M6690" s="13"/>
    </row>
    <row r="6691" spans="12:13">
      <c r="L6691" s="1">
        <v>44675.211805533938</v>
      </c>
      <c r="M6691" s="13"/>
    </row>
    <row r="6692" spans="12:13">
      <c r="L6692" s="1">
        <v>44675.215277756157</v>
      </c>
      <c r="M6692" s="13"/>
    </row>
    <row r="6693" spans="12:13">
      <c r="L6693" s="1">
        <v>44675.218749978376</v>
      </c>
      <c r="M6693" s="13"/>
    </row>
    <row r="6694" spans="12:13">
      <c r="L6694" s="1">
        <v>44675.222222200595</v>
      </c>
      <c r="M6694" s="13"/>
    </row>
    <row r="6695" spans="12:13">
      <c r="L6695" s="1">
        <v>44675.225694422814</v>
      </c>
      <c r="M6695" s="13"/>
    </row>
    <row r="6696" spans="12:13">
      <c r="L6696" s="1">
        <v>44675.229166645033</v>
      </c>
      <c r="M6696" s="13"/>
    </row>
    <row r="6697" spans="12:13">
      <c r="L6697" s="1">
        <v>44675.232638867252</v>
      </c>
      <c r="M6697" s="13"/>
    </row>
    <row r="6698" spans="12:13">
      <c r="L6698" s="1">
        <v>44675.236111089471</v>
      </c>
      <c r="M6698" s="13"/>
    </row>
    <row r="6699" spans="12:13">
      <c r="L6699" s="1">
        <v>44675.23958331169</v>
      </c>
      <c r="M6699" s="13"/>
    </row>
    <row r="6700" spans="12:13">
      <c r="L6700" s="1">
        <v>44675.243055533909</v>
      </c>
      <c r="M6700" s="13"/>
    </row>
    <row r="6701" spans="12:13">
      <c r="L6701" s="1">
        <v>44675.246527756128</v>
      </c>
      <c r="M6701" s="13"/>
    </row>
    <row r="6702" spans="12:13">
      <c r="L6702" s="1">
        <v>44675.249999978347</v>
      </c>
      <c r="M6702" s="13"/>
    </row>
    <row r="6703" spans="12:13">
      <c r="L6703" s="1">
        <v>44675.253472200566</v>
      </c>
      <c r="M6703" s="13"/>
    </row>
    <row r="6704" spans="12:13">
      <c r="L6704" s="1">
        <v>44675.256944422785</v>
      </c>
      <c r="M6704" s="13"/>
    </row>
    <row r="6705" spans="12:13">
      <c r="L6705" s="1">
        <v>44675.260416645004</v>
      </c>
      <c r="M6705" s="13"/>
    </row>
    <row r="6706" spans="12:13">
      <c r="L6706" s="1">
        <v>44675.263888867223</v>
      </c>
      <c r="M6706" s="13"/>
    </row>
    <row r="6707" spans="12:13">
      <c r="L6707" s="1">
        <v>44675.267361089442</v>
      </c>
      <c r="M6707" s="13"/>
    </row>
    <row r="6708" spans="12:13">
      <c r="L6708" s="1">
        <v>44675.270833311661</v>
      </c>
      <c r="M6708" s="13"/>
    </row>
    <row r="6709" spans="12:13">
      <c r="L6709" s="1">
        <v>44675.27430553388</v>
      </c>
      <c r="M6709" s="13"/>
    </row>
    <row r="6710" spans="12:13">
      <c r="L6710" s="1">
        <v>44675.277777756099</v>
      </c>
      <c r="M6710" s="13"/>
    </row>
    <row r="6711" spans="12:13">
      <c r="L6711" s="1">
        <v>44675.281249978318</v>
      </c>
      <c r="M6711" s="13"/>
    </row>
    <row r="6712" spans="12:13">
      <c r="L6712" s="1">
        <v>44675.284722200537</v>
      </c>
      <c r="M6712" s="13"/>
    </row>
    <row r="6713" spans="12:13">
      <c r="L6713" s="1">
        <v>44675.288194422756</v>
      </c>
      <c r="M6713" s="13"/>
    </row>
    <row r="6714" spans="12:13">
      <c r="L6714" s="1">
        <v>44675.291666644975</v>
      </c>
      <c r="M6714" s="13"/>
    </row>
    <row r="6715" spans="12:13">
      <c r="L6715" s="1">
        <v>44675.295138867194</v>
      </c>
      <c r="M6715" s="13"/>
    </row>
    <row r="6716" spans="12:13">
      <c r="L6716" s="1">
        <v>44675.298611089413</v>
      </c>
      <c r="M6716" s="13"/>
    </row>
    <row r="6717" spans="12:13">
      <c r="L6717" s="1">
        <v>44675.302083311632</v>
      </c>
      <c r="M6717" s="13"/>
    </row>
    <row r="6718" spans="12:13">
      <c r="L6718" s="1">
        <v>44675.305555533851</v>
      </c>
      <c r="M6718" s="13"/>
    </row>
    <row r="6719" spans="12:13">
      <c r="L6719" s="1">
        <v>44675.30902775607</v>
      </c>
      <c r="M6719" s="13"/>
    </row>
    <row r="6720" spans="12:13">
      <c r="L6720" s="1">
        <v>44675.312499978289</v>
      </c>
      <c r="M6720" s="13"/>
    </row>
    <row r="6721" spans="12:13">
      <c r="L6721" s="1">
        <v>44675.315972200508</v>
      </c>
      <c r="M6721" s="13"/>
    </row>
    <row r="6722" spans="12:13">
      <c r="L6722" s="1">
        <v>44675.319444422727</v>
      </c>
      <c r="M6722" s="13"/>
    </row>
    <row r="6723" spans="12:13">
      <c r="L6723" s="1">
        <v>44675.322916644946</v>
      </c>
      <c r="M6723" s="13"/>
    </row>
    <row r="6724" spans="12:13">
      <c r="L6724" s="1">
        <v>44675.326388867164</v>
      </c>
      <c r="M6724" s="13"/>
    </row>
    <row r="6725" spans="12:13">
      <c r="L6725" s="1">
        <v>44675.329861089383</v>
      </c>
      <c r="M6725" s="13"/>
    </row>
    <row r="6726" spans="12:13">
      <c r="L6726" s="1">
        <v>44675.333333311602</v>
      </c>
      <c r="M6726" s="13"/>
    </row>
    <row r="6727" spans="12:13">
      <c r="L6727" s="1">
        <v>44675.336805533821</v>
      </c>
      <c r="M6727" s="13"/>
    </row>
    <row r="6728" spans="12:13">
      <c r="L6728" s="1">
        <v>44675.34027775604</v>
      </c>
      <c r="M6728" s="13"/>
    </row>
    <row r="6729" spans="12:13">
      <c r="L6729" s="1">
        <v>44675.343749978259</v>
      </c>
      <c r="M6729" s="13"/>
    </row>
    <row r="6730" spans="12:13">
      <c r="L6730" s="1">
        <v>44675.347222200478</v>
      </c>
      <c r="M6730" s="13"/>
    </row>
    <row r="6731" spans="12:13">
      <c r="L6731" s="1">
        <v>44675.350694422697</v>
      </c>
      <c r="M6731" s="13"/>
    </row>
    <row r="6732" spans="12:13">
      <c r="L6732" s="1">
        <v>44675.354166644916</v>
      </c>
      <c r="M6732" s="13"/>
    </row>
    <row r="6733" spans="12:13">
      <c r="L6733" s="1">
        <v>44675.357638867135</v>
      </c>
      <c r="M6733" s="13"/>
    </row>
    <row r="6734" spans="12:13">
      <c r="L6734" s="1">
        <v>44675.361111089354</v>
      </c>
      <c r="M6734" s="13"/>
    </row>
    <row r="6735" spans="12:13">
      <c r="L6735" s="1">
        <v>44675.364583311573</v>
      </c>
      <c r="M6735" s="13"/>
    </row>
    <row r="6736" spans="12:13">
      <c r="L6736" s="1">
        <v>44675.368055533792</v>
      </c>
      <c r="M6736" s="13"/>
    </row>
    <row r="6737" spans="12:13">
      <c r="L6737" s="1">
        <v>44675.371527756011</v>
      </c>
      <c r="M6737" s="13"/>
    </row>
    <row r="6738" spans="12:13">
      <c r="L6738" s="1">
        <v>44675.37499997823</v>
      </c>
      <c r="M6738" s="13"/>
    </row>
    <row r="6739" spans="12:13">
      <c r="L6739" s="1">
        <v>44675.378472200449</v>
      </c>
      <c r="M6739" s="13"/>
    </row>
    <row r="6740" spans="12:13">
      <c r="L6740" s="1">
        <v>44675.381944422668</v>
      </c>
      <c r="M6740" s="13"/>
    </row>
    <row r="6741" spans="12:13">
      <c r="L6741" s="1">
        <v>44675.385416644887</v>
      </c>
      <c r="M6741" s="13"/>
    </row>
    <row r="6742" spans="12:13">
      <c r="L6742" s="1">
        <v>44675.388888867106</v>
      </c>
      <c r="M6742" s="13"/>
    </row>
    <row r="6743" spans="12:13">
      <c r="L6743" s="1">
        <v>44675.392361089325</v>
      </c>
      <c r="M6743" s="13"/>
    </row>
    <row r="6744" spans="12:13">
      <c r="L6744" s="1">
        <v>44675.395833311544</v>
      </c>
      <c r="M6744" s="13"/>
    </row>
    <row r="6745" spans="12:13">
      <c r="L6745" s="1">
        <v>44675.399305533763</v>
      </c>
      <c r="M6745" s="13"/>
    </row>
    <row r="6746" spans="12:13">
      <c r="L6746" s="1">
        <v>44675.402777755982</v>
      </c>
      <c r="M6746" s="13"/>
    </row>
    <row r="6747" spans="12:13">
      <c r="L6747" s="1">
        <v>44675.406249978201</v>
      </c>
      <c r="M6747" s="13"/>
    </row>
    <row r="6748" spans="12:13">
      <c r="L6748" s="1">
        <v>44675.40972220042</v>
      </c>
      <c r="M6748" s="13"/>
    </row>
    <row r="6749" spans="12:13">
      <c r="L6749" s="1">
        <v>44675.413194422639</v>
      </c>
      <c r="M6749" s="13"/>
    </row>
    <row r="6750" spans="12:13">
      <c r="L6750" s="1">
        <v>44675.416666644858</v>
      </c>
      <c r="M6750" s="13"/>
    </row>
    <row r="6751" spans="12:13">
      <c r="L6751" s="1">
        <v>44675.420138867077</v>
      </c>
      <c r="M6751" s="13"/>
    </row>
    <row r="6752" spans="12:13">
      <c r="L6752" s="1">
        <v>44675.423611089296</v>
      </c>
      <c r="M6752" s="13"/>
    </row>
    <row r="6753" spans="12:13">
      <c r="L6753" s="1">
        <v>44675.427083311515</v>
      </c>
      <c r="M6753" s="13"/>
    </row>
    <row r="6754" spans="12:13">
      <c r="L6754" s="1">
        <v>44675.430555533734</v>
      </c>
      <c r="M6754" s="13"/>
    </row>
    <row r="6755" spans="12:13">
      <c r="L6755" s="1">
        <v>44675.434027755953</v>
      </c>
      <c r="M6755" s="13"/>
    </row>
    <row r="6756" spans="12:13">
      <c r="L6756" s="1">
        <v>44675.437499978172</v>
      </c>
      <c r="M6756" s="13"/>
    </row>
    <row r="6757" spans="12:13">
      <c r="L6757" s="1">
        <v>44675.440972200391</v>
      </c>
      <c r="M6757" s="13"/>
    </row>
    <row r="6758" spans="12:13">
      <c r="L6758" s="1">
        <v>44675.44444442261</v>
      </c>
      <c r="M6758" s="13"/>
    </row>
    <row r="6759" spans="12:13">
      <c r="L6759" s="1">
        <v>44675.447916644829</v>
      </c>
      <c r="M6759" s="13"/>
    </row>
    <row r="6760" spans="12:13">
      <c r="L6760" s="1">
        <v>44675.451388867048</v>
      </c>
      <c r="M6760" s="13"/>
    </row>
    <row r="6761" spans="12:13">
      <c r="L6761" s="1">
        <v>44675.454861089267</v>
      </c>
      <c r="M6761" s="13"/>
    </row>
    <row r="6762" spans="12:13">
      <c r="L6762" s="1">
        <v>44675.458333311486</v>
      </c>
      <c r="M6762" s="13"/>
    </row>
    <row r="6763" spans="12:13">
      <c r="L6763" s="1">
        <v>44675.461805533705</v>
      </c>
      <c r="M6763" s="13"/>
    </row>
    <row r="6764" spans="12:13">
      <c r="L6764" s="1">
        <v>44675.465277755924</v>
      </c>
      <c r="M6764" s="13"/>
    </row>
    <row r="6765" spans="12:13">
      <c r="L6765" s="1">
        <v>44675.468749978143</v>
      </c>
      <c r="M6765" s="13"/>
    </row>
    <row r="6766" spans="12:13">
      <c r="L6766" s="1">
        <v>44675.472222200362</v>
      </c>
      <c r="M6766" s="13"/>
    </row>
    <row r="6767" spans="12:13">
      <c r="L6767" s="1">
        <v>44675.475694422581</v>
      </c>
      <c r="M6767" s="13"/>
    </row>
    <row r="6768" spans="12:13">
      <c r="L6768" s="1">
        <v>44675.4791666448</v>
      </c>
      <c r="M6768" s="13"/>
    </row>
    <row r="6769" spans="12:13">
      <c r="L6769" s="1">
        <v>44675.482638867019</v>
      </c>
      <c r="M6769" s="13"/>
    </row>
    <row r="6770" spans="12:13">
      <c r="L6770" s="1">
        <v>44675.486111089238</v>
      </c>
      <c r="M6770" s="13"/>
    </row>
    <row r="6771" spans="12:13">
      <c r="L6771" s="1">
        <v>44675.489583311457</v>
      </c>
      <c r="M6771" s="13"/>
    </row>
    <row r="6772" spans="12:13">
      <c r="L6772" s="1">
        <v>44675.493055533676</v>
      </c>
      <c r="M6772" s="13"/>
    </row>
    <row r="6773" spans="12:13">
      <c r="L6773" s="1">
        <v>44675.496527755895</v>
      </c>
      <c r="M6773" s="13"/>
    </row>
    <row r="6774" spans="12:13">
      <c r="L6774" s="1">
        <v>44675.499999978114</v>
      </c>
      <c r="M6774" s="13"/>
    </row>
    <row r="6775" spans="12:13">
      <c r="L6775" s="1">
        <v>44675.503472200333</v>
      </c>
      <c r="M6775" s="13"/>
    </row>
    <row r="6776" spans="12:13">
      <c r="L6776" s="1">
        <v>44675.506944422552</v>
      </c>
      <c r="M6776" s="13"/>
    </row>
    <row r="6777" spans="12:13">
      <c r="L6777" s="1">
        <v>44675.510416644771</v>
      </c>
      <c r="M6777" s="13"/>
    </row>
    <row r="6778" spans="12:13">
      <c r="L6778" s="1">
        <v>44675.51388886699</v>
      </c>
      <c r="M6778" s="13"/>
    </row>
    <row r="6779" spans="12:13">
      <c r="L6779" s="1">
        <v>44675.517361089209</v>
      </c>
      <c r="M6779" s="13"/>
    </row>
    <row r="6780" spans="12:13">
      <c r="L6780" s="1">
        <v>44675.520833311428</v>
      </c>
      <c r="M6780" s="13"/>
    </row>
    <row r="6781" spans="12:13">
      <c r="L6781" s="1">
        <v>44675.524305533647</v>
      </c>
      <c r="M6781" s="13"/>
    </row>
    <row r="6782" spans="12:13">
      <c r="L6782" s="1">
        <v>44675.527777755866</v>
      </c>
      <c r="M6782" s="13"/>
    </row>
    <row r="6783" spans="12:13">
      <c r="L6783" s="1">
        <v>44675.531249978085</v>
      </c>
      <c r="M6783" s="13"/>
    </row>
    <row r="6784" spans="12:13">
      <c r="L6784" s="1">
        <v>44675.534722200304</v>
      </c>
      <c r="M6784" s="13"/>
    </row>
    <row r="6785" spans="12:13">
      <c r="L6785" s="1">
        <v>44675.538194422523</v>
      </c>
      <c r="M6785" s="13"/>
    </row>
    <row r="6786" spans="12:13">
      <c r="L6786" s="1">
        <v>44675.541666644742</v>
      </c>
      <c r="M6786" s="13"/>
    </row>
    <row r="6787" spans="12:13">
      <c r="L6787" s="1">
        <v>44675.545138866961</v>
      </c>
      <c r="M6787" s="13"/>
    </row>
    <row r="6788" spans="12:13">
      <c r="L6788" s="1">
        <v>44675.54861108918</v>
      </c>
      <c r="M6788" s="13"/>
    </row>
    <row r="6789" spans="12:13">
      <c r="L6789" s="1">
        <v>44675.552083311399</v>
      </c>
      <c r="M6789" s="13"/>
    </row>
    <row r="6790" spans="12:13">
      <c r="L6790" s="1">
        <v>44675.555555533618</v>
      </c>
      <c r="M6790" s="13"/>
    </row>
    <row r="6791" spans="12:13">
      <c r="L6791" s="1">
        <v>44675.559027755837</v>
      </c>
      <c r="M6791" s="13"/>
    </row>
    <row r="6792" spans="12:13">
      <c r="L6792" s="1">
        <v>44675.562499978056</v>
      </c>
      <c r="M6792" s="13"/>
    </row>
    <row r="6793" spans="12:13">
      <c r="L6793" s="1">
        <v>44675.565972200275</v>
      </c>
      <c r="M6793" s="13"/>
    </row>
    <row r="6794" spans="12:13">
      <c r="L6794" s="1">
        <v>44675.569444422494</v>
      </c>
      <c r="M6794" s="13"/>
    </row>
    <row r="6795" spans="12:13">
      <c r="L6795" s="1">
        <v>44675.572916644713</v>
      </c>
      <c r="M6795" s="13"/>
    </row>
    <row r="6796" spans="12:13">
      <c r="L6796" s="1">
        <v>44675.576388866932</v>
      </c>
      <c r="M6796" s="13"/>
    </row>
    <row r="6797" spans="12:13">
      <c r="L6797" s="1">
        <v>44675.579861089151</v>
      </c>
      <c r="M6797" s="13"/>
    </row>
    <row r="6798" spans="12:13">
      <c r="L6798" s="1">
        <v>44675.58333331137</v>
      </c>
      <c r="M6798" s="13"/>
    </row>
    <row r="6799" spans="12:13">
      <c r="L6799" s="1">
        <v>44675.586805533589</v>
      </c>
      <c r="M6799" s="13"/>
    </row>
    <row r="6800" spans="12:13">
      <c r="L6800" s="1">
        <v>44675.590277755808</v>
      </c>
      <c r="M6800" s="13"/>
    </row>
    <row r="6801" spans="12:13">
      <c r="L6801" s="1">
        <v>44675.593749978027</v>
      </c>
      <c r="M6801" s="13"/>
    </row>
    <row r="6802" spans="12:13">
      <c r="L6802" s="1">
        <v>44675.597222200246</v>
      </c>
      <c r="M6802" s="13"/>
    </row>
    <row r="6803" spans="12:13">
      <c r="L6803" s="1">
        <v>44675.600694422465</v>
      </c>
      <c r="M6803" s="13"/>
    </row>
    <row r="6804" spans="12:13">
      <c r="L6804" s="1">
        <v>44675.604166644684</v>
      </c>
      <c r="M6804" s="13"/>
    </row>
    <row r="6805" spans="12:13">
      <c r="L6805" s="1">
        <v>44675.607638866903</v>
      </c>
      <c r="M6805" s="13"/>
    </row>
    <row r="6806" spans="12:13">
      <c r="L6806" s="1">
        <v>44675.611111089122</v>
      </c>
      <c r="M6806" s="13"/>
    </row>
    <row r="6807" spans="12:13">
      <c r="L6807" s="1">
        <v>44675.614583311341</v>
      </c>
      <c r="M6807" s="13"/>
    </row>
    <row r="6808" spans="12:13">
      <c r="L6808" s="1">
        <v>44675.61805553356</v>
      </c>
      <c r="M6808" s="13"/>
    </row>
    <row r="6809" spans="12:13">
      <c r="L6809" s="1">
        <v>44675.621527755779</v>
      </c>
      <c r="M6809" s="13"/>
    </row>
    <row r="6810" spans="12:13">
      <c r="L6810" s="1">
        <v>44675.624999977998</v>
      </c>
      <c r="M6810" s="13"/>
    </row>
    <row r="6811" spans="12:13">
      <c r="L6811" s="1">
        <v>44675.628472200216</v>
      </c>
      <c r="M6811" s="13"/>
    </row>
    <row r="6812" spans="12:13">
      <c r="L6812" s="1">
        <v>44675.631944422435</v>
      </c>
      <c r="M6812" s="13"/>
    </row>
    <row r="6813" spans="12:13">
      <c r="L6813" s="1">
        <v>44675.635416644654</v>
      </c>
      <c r="M6813" s="13"/>
    </row>
    <row r="6814" spans="12:13">
      <c r="L6814" s="1">
        <v>44675.638888866873</v>
      </c>
      <c r="M6814" s="13"/>
    </row>
    <row r="6815" spans="12:13">
      <c r="L6815" s="1">
        <v>44675.642361089092</v>
      </c>
      <c r="M6815" s="13"/>
    </row>
    <row r="6816" spans="12:13">
      <c r="L6816" s="1">
        <v>44675.645833311311</v>
      </c>
      <c r="M6816" s="13"/>
    </row>
    <row r="6817" spans="12:13">
      <c r="L6817" s="1">
        <v>44675.64930553353</v>
      </c>
      <c r="M6817" s="13"/>
    </row>
    <row r="6818" spans="12:13">
      <c r="L6818" s="1">
        <v>44675.652777755749</v>
      </c>
      <c r="M6818" s="13"/>
    </row>
    <row r="6819" spans="12:13">
      <c r="L6819" s="1">
        <v>44675.656249977968</v>
      </c>
      <c r="M6819" s="13"/>
    </row>
    <row r="6820" spans="12:13">
      <c r="L6820" s="1">
        <v>44675.659722200187</v>
      </c>
      <c r="M6820" s="13"/>
    </row>
    <row r="6821" spans="12:13">
      <c r="L6821" s="1">
        <v>44675.663194422406</v>
      </c>
      <c r="M6821" s="13"/>
    </row>
    <row r="6822" spans="12:13">
      <c r="L6822" s="1">
        <v>44675.666666644625</v>
      </c>
      <c r="M6822" s="13"/>
    </row>
    <row r="6823" spans="12:13">
      <c r="L6823" s="1">
        <v>44675.670138866844</v>
      </c>
      <c r="M6823" s="13"/>
    </row>
    <row r="6824" spans="12:13">
      <c r="L6824" s="1">
        <v>44675.673611089063</v>
      </c>
      <c r="M6824" s="13"/>
    </row>
    <row r="6825" spans="12:13">
      <c r="L6825" s="1">
        <v>44675.677083311282</v>
      </c>
      <c r="M6825" s="13"/>
    </row>
    <row r="6826" spans="12:13">
      <c r="L6826" s="1">
        <v>44675.680555533501</v>
      </c>
      <c r="M6826" s="13"/>
    </row>
    <row r="6827" spans="12:13">
      <c r="L6827" s="1">
        <v>44675.68402775572</v>
      </c>
      <c r="M6827" s="13"/>
    </row>
    <row r="6828" spans="12:13">
      <c r="L6828" s="1">
        <v>44675.687499977939</v>
      </c>
      <c r="M6828" s="13"/>
    </row>
    <row r="6829" spans="12:13">
      <c r="L6829" s="1">
        <v>44675.690972200158</v>
      </c>
      <c r="M6829" s="13"/>
    </row>
    <row r="6830" spans="12:13">
      <c r="L6830" s="1">
        <v>44675.694444422377</v>
      </c>
      <c r="M6830" s="13"/>
    </row>
    <row r="6831" spans="12:13">
      <c r="L6831" s="1">
        <v>44675.697916644596</v>
      </c>
      <c r="M6831" s="13"/>
    </row>
    <row r="6832" spans="12:13">
      <c r="L6832" s="1">
        <v>44675.701388866815</v>
      </c>
      <c r="M6832" s="13"/>
    </row>
    <row r="6833" spans="12:13">
      <c r="L6833" s="1">
        <v>44675.704861089034</v>
      </c>
      <c r="M6833" s="13"/>
    </row>
    <row r="6834" spans="12:13">
      <c r="L6834" s="1">
        <v>44675.708333311253</v>
      </c>
      <c r="M6834" s="13"/>
    </row>
    <row r="6835" spans="12:13">
      <c r="L6835" s="1">
        <v>44675.711805533472</v>
      </c>
      <c r="M6835" s="13"/>
    </row>
    <row r="6836" spans="12:13">
      <c r="L6836" s="1">
        <v>44675.715277755691</v>
      </c>
      <c r="M6836" s="13"/>
    </row>
    <row r="6837" spans="12:13">
      <c r="L6837" s="1">
        <v>44675.71874997791</v>
      </c>
      <c r="M6837" s="13"/>
    </row>
    <row r="6838" spans="12:13">
      <c r="L6838" s="1">
        <v>44675.722222200129</v>
      </c>
      <c r="M6838" s="13"/>
    </row>
    <row r="6839" spans="12:13">
      <c r="L6839" s="1">
        <v>44675.725694422348</v>
      </c>
      <c r="M6839" s="13"/>
    </row>
    <row r="6840" spans="12:13">
      <c r="L6840" s="1">
        <v>44675.729166644567</v>
      </c>
      <c r="M6840" s="13"/>
    </row>
    <row r="6841" spans="12:13">
      <c r="L6841" s="1">
        <v>44675.732638866786</v>
      </c>
      <c r="M6841" s="13"/>
    </row>
    <row r="6842" spans="12:13">
      <c r="L6842" s="1">
        <v>44675.736111089005</v>
      </c>
      <c r="M6842" s="13"/>
    </row>
    <row r="6843" spans="12:13">
      <c r="L6843" s="1">
        <v>44675.739583311224</v>
      </c>
      <c r="M6843" s="13"/>
    </row>
    <row r="6844" spans="12:13">
      <c r="L6844" s="1">
        <v>44675.743055533443</v>
      </c>
      <c r="M6844" s="13"/>
    </row>
    <row r="6845" spans="12:13">
      <c r="L6845" s="1">
        <v>44675.746527755662</v>
      </c>
      <c r="M6845" s="13"/>
    </row>
    <row r="6846" spans="12:13">
      <c r="L6846" s="1">
        <v>44675.749999977881</v>
      </c>
      <c r="M6846" s="13"/>
    </row>
    <row r="6847" spans="12:13">
      <c r="L6847" s="1">
        <v>44675.7534722001</v>
      </c>
      <c r="M6847" s="13"/>
    </row>
    <row r="6848" spans="12:13">
      <c r="L6848" s="1">
        <v>44675.756944422319</v>
      </c>
      <c r="M6848" s="13"/>
    </row>
    <row r="6849" spans="12:13">
      <c r="L6849" s="1">
        <v>44675.760416644538</v>
      </c>
      <c r="M6849" s="13"/>
    </row>
    <row r="6850" spans="12:13">
      <c r="L6850" s="1">
        <v>44675.763888866757</v>
      </c>
      <c r="M6850" s="13"/>
    </row>
    <row r="6851" spans="12:13">
      <c r="L6851" s="1">
        <v>44675.767361088976</v>
      </c>
      <c r="M6851" s="13"/>
    </row>
    <row r="6852" spans="12:13">
      <c r="L6852" s="1">
        <v>44675.770833311195</v>
      </c>
      <c r="M6852" s="13"/>
    </row>
    <row r="6853" spans="12:13">
      <c r="L6853" s="1">
        <v>44675.774305533414</v>
      </c>
      <c r="M6853" s="13"/>
    </row>
    <row r="6854" spans="12:13">
      <c r="L6854" s="1">
        <v>44675.777777755633</v>
      </c>
      <c r="M6854" s="13"/>
    </row>
    <row r="6855" spans="12:13">
      <c r="L6855" s="1">
        <v>44675.781249977852</v>
      </c>
      <c r="M6855" s="13"/>
    </row>
    <row r="6856" spans="12:13">
      <c r="L6856" s="1">
        <v>44675.784722200071</v>
      </c>
      <c r="M6856" s="13"/>
    </row>
    <row r="6857" spans="12:13">
      <c r="L6857" s="1">
        <v>44675.78819442229</v>
      </c>
      <c r="M6857" s="13"/>
    </row>
    <row r="6858" spans="12:13">
      <c r="L6858" s="1">
        <v>44675.791666644509</v>
      </c>
      <c r="M6858" s="13"/>
    </row>
    <row r="6859" spans="12:13">
      <c r="L6859" s="1">
        <v>44675.795138866728</v>
      </c>
      <c r="M6859" s="13"/>
    </row>
    <row r="6860" spans="12:13">
      <c r="L6860" s="1">
        <v>44675.798611088947</v>
      </c>
      <c r="M6860" s="13"/>
    </row>
    <row r="6861" spans="12:13">
      <c r="L6861" s="1">
        <v>44675.802083311166</v>
      </c>
      <c r="M6861" s="13"/>
    </row>
    <row r="6862" spans="12:13">
      <c r="L6862" s="1">
        <v>44675.805555533385</v>
      </c>
      <c r="M6862" s="13"/>
    </row>
    <row r="6863" spans="12:13">
      <c r="L6863" s="1">
        <v>44675.809027755604</v>
      </c>
      <c r="M6863" s="13"/>
    </row>
    <row r="6864" spans="12:13">
      <c r="L6864" s="1">
        <v>44675.812499977823</v>
      </c>
      <c r="M6864" s="13"/>
    </row>
    <row r="6865" spans="12:13">
      <c r="L6865" s="1">
        <v>44675.815972200042</v>
      </c>
      <c r="M6865" s="13"/>
    </row>
    <row r="6866" spans="12:13">
      <c r="L6866" s="1">
        <v>44675.819444422261</v>
      </c>
      <c r="M6866" s="13"/>
    </row>
    <row r="6867" spans="12:13">
      <c r="L6867" s="1">
        <v>44675.82291664448</v>
      </c>
      <c r="M6867" s="13"/>
    </row>
    <row r="6868" spans="12:13">
      <c r="L6868" s="1">
        <v>44675.826388866699</v>
      </c>
      <c r="M6868" s="13"/>
    </row>
    <row r="6869" spans="12:13">
      <c r="L6869" s="1">
        <v>44675.829861088918</v>
      </c>
      <c r="M6869" s="13"/>
    </row>
    <row r="6870" spans="12:13">
      <c r="L6870" s="1">
        <v>44675.833333311137</v>
      </c>
      <c r="M6870" s="13"/>
    </row>
    <row r="6871" spans="12:13">
      <c r="L6871" s="1">
        <v>44675.836805533356</v>
      </c>
      <c r="M6871" s="13"/>
    </row>
    <row r="6872" spans="12:13">
      <c r="L6872" s="1">
        <v>44675.840277755575</v>
      </c>
      <c r="M6872" s="13"/>
    </row>
    <row r="6873" spans="12:13">
      <c r="L6873" s="1">
        <v>44675.843749977794</v>
      </c>
      <c r="M6873" s="13"/>
    </row>
    <row r="6874" spans="12:13">
      <c r="L6874" s="1">
        <v>44675.847222200013</v>
      </c>
      <c r="M6874" s="13"/>
    </row>
    <row r="6875" spans="12:13">
      <c r="L6875" s="1">
        <v>44675.850694422232</v>
      </c>
      <c r="M6875" s="13"/>
    </row>
    <row r="6876" spans="12:13">
      <c r="L6876" s="1">
        <v>44675.854166644451</v>
      </c>
      <c r="M6876" s="13"/>
    </row>
    <row r="6877" spans="12:13">
      <c r="L6877" s="1">
        <v>44675.85763886667</v>
      </c>
      <c r="M6877" s="13"/>
    </row>
    <row r="6878" spans="12:13">
      <c r="L6878" s="1">
        <v>44675.861111088889</v>
      </c>
      <c r="M6878" s="13"/>
    </row>
    <row r="6879" spans="12:13">
      <c r="L6879" s="1">
        <v>44675.864583311108</v>
      </c>
      <c r="M6879" s="13"/>
    </row>
    <row r="6880" spans="12:13">
      <c r="L6880" s="1">
        <v>44675.868055533327</v>
      </c>
      <c r="M6880" s="13"/>
    </row>
    <row r="6881" spans="12:13">
      <c r="L6881" s="1">
        <v>44675.871527755546</v>
      </c>
      <c r="M6881" s="13"/>
    </row>
    <row r="6882" spans="12:13">
      <c r="L6882" s="1">
        <v>44675.874999977765</v>
      </c>
      <c r="M6882" s="13"/>
    </row>
    <row r="6883" spans="12:13">
      <c r="L6883" s="1">
        <v>44675.878472199984</v>
      </c>
      <c r="M6883" s="13"/>
    </row>
    <row r="6884" spans="12:13">
      <c r="L6884" s="1">
        <v>44675.881944422203</v>
      </c>
      <c r="M6884" s="13"/>
    </row>
    <row r="6885" spans="12:13">
      <c r="L6885" s="1">
        <v>44675.885416644422</v>
      </c>
      <c r="M6885" s="13"/>
    </row>
    <row r="6886" spans="12:13">
      <c r="L6886" s="1">
        <v>44675.888888866641</v>
      </c>
      <c r="M6886" s="13"/>
    </row>
    <row r="6887" spans="12:13">
      <c r="L6887" s="1">
        <v>44675.89236108886</v>
      </c>
      <c r="M6887" s="13"/>
    </row>
    <row r="6888" spans="12:13">
      <c r="L6888" s="1">
        <v>44675.895833311079</v>
      </c>
      <c r="M6888" s="13"/>
    </row>
    <row r="6889" spans="12:13">
      <c r="L6889" s="1">
        <v>44675.899305533298</v>
      </c>
      <c r="M6889" s="13"/>
    </row>
    <row r="6890" spans="12:13">
      <c r="L6890" s="1">
        <v>44675.902777755517</v>
      </c>
      <c r="M6890" s="13"/>
    </row>
    <row r="6891" spans="12:13">
      <c r="L6891" s="1">
        <v>44675.906249977736</v>
      </c>
      <c r="M6891" s="13"/>
    </row>
    <row r="6892" spans="12:13">
      <c r="L6892" s="1">
        <v>44675.909722199955</v>
      </c>
      <c r="M6892" s="13"/>
    </row>
    <row r="6893" spans="12:13">
      <c r="L6893" s="1">
        <v>44675.913194422174</v>
      </c>
      <c r="M6893" s="13"/>
    </row>
    <row r="6894" spans="12:13">
      <c r="L6894" s="1">
        <v>44675.916666644393</v>
      </c>
      <c r="M6894" s="13"/>
    </row>
    <row r="6895" spans="12:13">
      <c r="L6895" s="1">
        <v>44675.920138866612</v>
      </c>
      <c r="M6895" s="13"/>
    </row>
    <row r="6896" spans="12:13">
      <c r="L6896" s="1">
        <v>44675.923611088831</v>
      </c>
      <c r="M6896" s="13"/>
    </row>
    <row r="6897" spans="12:13">
      <c r="L6897" s="1">
        <v>44675.92708331105</v>
      </c>
      <c r="M6897" s="13"/>
    </row>
    <row r="6898" spans="12:13">
      <c r="L6898" s="1">
        <v>44675.930555533268</v>
      </c>
      <c r="M6898" s="13"/>
    </row>
    <row r="6899" spans="12:13">
      <c r="L6899" s="1">
        <v>44675.934027755487</v>
      </c>
      <c r="M6899" s="13"/>
    </row>
    <row r="6900" spans="12:13">
      <c r="L6900" s="1">
        <v>44675.937499977706</v>
      </c>
      <c r="M6900" s="13"/>
    </row>
    <row r="6901" spans="12:13">
      <c r="L6901" s="1">
        <v>44675.940972199925</v>
      </c>
      <c r="M6901" s="13"/>
    </row>
    <row r="6902" spans="12:13">
      <c r="L6902" s="1">
        <v>44675.944444422144</v>
      </c>
      <c r="M6902" s="13"/>
    </row>
    <row r="6903" spans="12:13">
      <c r="L6903" s="1">
        <v>44675.947916644363</v>
      </c>
      <c r="M6903" s="13"/>
    </row>
    <row r="6904" spans="12:13">
      <c r="L6904" s="1">
        <v>44675.951388866582</v>
      </c>
      <c r="M6904" s="13"/>
    </row>
    <row r="6905" spans="12:13">
      <c r="L6905" s="1">
        <v>44675.954861088801</v>
      </c>
      <c r="M6905" s="13"/>
    </row>
    <row r="6906" spans="12:13">
      <c r="L6906" s="1">
        <v>44675.95833331102</v>
      </c>
      <c r="M6906" s="13"/>
    </row>
    <row r="6907" spans="12:13">
      <c r="L6907" s="1">
        <v>44675.961805533239</v>
      </c>
      <c r="M6907" s="13"/>
    </row>
    <row r="6908" spans="12:13">
      <c r="L6908" s="1">
        <v>44675.965277755458</v>
      </c>
      <c r="M6908" s="13"/>
    </row>
    <row r="6909" spans="12:13">
      <c r="L6909" s="1">
        <v>44675.968749977677</v>
      </c>
      <c r="M6909" s="13"/>
    </row>
    <row r="6910" spans="12:13">
      <c r="L6910" s="1">
        <v>44675.972222199896</v>
      </c>
      <c r="M6910" s="13"/>
    </row>
    <row r="6911" spans="12:13">
      <c r="L6911" s="1">
        <v>44675.975694422115</v>
      </c>
      <c r="M6911" s="13"/>
    </row>
    <row r="6912" spans="12:13">
      <c r="L6912" s="1">
        <v>44675.979166644334</v>
      </c>
      <c r="M6912" s="13"/>
    </row>
    <row r="6913" spans="12:13">
      <c r="L6913" s="1">
        <v>44675.982638866553</v>
      </c>
      <c r="M6913" s="13"/>
    </row>
    <row r="6914" spans="12:13">
      <c r="L6914" s="1">
        <v>44675.986111088772</v>
      </c>
      <c r="M6914" s="13"/>
    </row>
    <row r="6915" spans="12:13">
      <c r="L6915" s="1">
        <v>44675.989583310991</v>
      </c>
      <c r="M6915" s="13"/>
    </row>
    <row r="6916" spans="12:13">
      <c r="L6916" s="1">
        <v>44675.99305553321</v>
      </c>
      <c r="M6916" s="13"/>
    </row>
    <row r="6917" spans="12:13">
      <c r="L6917" s="1">
        <v>44675.996527755429</v>
      </c>
      <c r="M6917" s="13"/>
    </row>
    <row r="6918" spans="12:13">
      <c r="L6918" s="1">
        <v>44675.999999977648</v>
      </c>
      <c r="M6918" s="13"/>
    </row>
    <row r="6919" spans="12:13">
      <c r="L6919" s="1">
        <v>44676.003472199867</v>
      </c>
      <c r="M6919" s="13"/>
    </row>
    <row r="6920" spans="12:13">
      <c r="L6920" s="1">
        <v>44676.006944422086</v>
      </c>
      <c r="M6920" s="13"/>
    </row>
    <row r="6921" spans="12:13">
      <c r="L6921" s="1">
        <v>44676.010416644305</v>
      </c>
      <c r="M6921" s="13"/>
    </row>
    <row r="6922" spans="12:13">
      <c r="L6922" s="1">
        <v>44676.013888866524</v>
      </c>
      <c r="M6922" s="13"/>
    </row>
    <row r="6923" spans="12:13">
      <c r="L6923" s="1">
        <v>44676.017361088743</v>
      </c>
      <c r="M6923" s="13"/>
    </row>
    <row r="6924" spans="12:13">
      <c r="L6924" s="1">
        <v>44676.020833310962</v>
      </c>
      <c r="M6924" s="13"/>
    </row>
    <row r="6925" spans="12:13">
      <c r="L6925" s="1">
        <v>44676.024305533181</v>
      </c>
      <c r="M6925" s="13"/>
    </row>
    <row r="6926" spans="12:13">
      <c r="L6926" s="1">
        <v>44676.0277777554</v>
      </c>
      <c r="M6926" s="13"/>
    </row>
    <row r="6927" spans="12:13">
      <c r="L6927" s="1">
        <v>44676.031249977619</v>
      </c>
      <c r="M6927" s="13"/>
    </row>
    <row r="6928" spans="12:13">
      <c r="L6928" s="1">
        <v>44676.034722199838</v>
      </c>
      <c r="M6928" s="13"/>
    </row>
    <row r="6929" spans="12:13">
      <c r="L6929" s="1">
        <v>44676.038194422057</v>
      </c>
      <c r="M6929" s="13"/>
    </row>
    <row r="6930" spans="12:13">
      <c r="L6930" s="1">
        <v>44676.041666644276</v>
      </c>
      <c r="M6930" s="13"/>
    </row>
    <row r="6931" spans="12:13">
      <c r="L6931" s="1">
        <v>44676.045138866495</v>
      </c>
      <c r="M6931" s="13"/>
    </row>
    <row r="6932" spans="12:13">
      <c r="L6932" s="1">
        <v>44676.048611088714</v>
      </c>
      <c r="M6932" s="13"/>
    </row>
    <row r="6933" spans="12:13">
      <c r="L6933" s="1">
        <v>44676.052083310933</v>
      </c>
      <c r="M6933" s="13"/>
    </row>
    <row r="6934" spans="12:13">
      <c r="L6934" s="1">
        <v>44676.055555533152</v>
      </c>
      <c r="M6934" s="13"/>
    </row>
    <row r="6935" spans="12:13">
      <c r="L6935" s="1">
        <v>44676.059027755371</v>
      </c>
      <c r="M6935" s="13"/>
    </row>
    <row r="6936" spans="12:13">
      <c r="L6936" s="1">
        <v>44676.06249997759</v>
      </c>
      <c r="M6936" s="13"/>
    </row>
    <row r="6937" spans="12:13">
      <c r="L6937" s="1">
        <v>44676.065972199809</v>
      </c>
      <c r="M6937" s="13"/>
    </row>
    <row r="6938" spans="12:13">
      <c r="L6938" s="1">
        <v>44676.069444422028</v>
      </c>
      <c r="M6938" s="13"/>
    </row>
    <row r="6939" spans="12:13">
      <c r="L6939" s="1">
        <v>44676.072916644247</v>
      </c>
      <c r="M6939" s="13"/>
    </row>
    <row r="6940" spans="12:13">
      <c r="L6940" s="1">
        <v>44676.076388866466</v>
      </c>
      <c r="M6940" s="13"/>
    </row>
    <row r="6941" spans="12:13">
      <c r="L6941" s="1">
        <v>44676.079861088685</v>
      </c>
      <c r="M6941" s="13"/>
    </row>
    <row r="6942" spans="12:13">
      <c r="L6942" s="1">
        <v>44676.083333310904</v>
      </c>
      <c r="M6942" s="13"/>
    </row>
    <row r="6943" spans="12:13">
      <c r="L6943" s="1">
        <v>44676.086805533123</v>
      </c>
      <c r="M6943" s="13"/>
    </row>
    <row r="6944" spans="12:13">
      <c r="L6944" s="1">
        <v>44676.090277755342</v>
      </c>
      <c r="M6944" s="13"/>
    </row>
    <row r="6945" spans="12:13">
      <c r="L6945" s="1">
        <v>44676.093749977561</v>
      </c>
      <c r="M6945" s="13"/>
    </row>
    <row r="6946" spans="12:13">
      <c r="L6946" s="1">
        <v>44676.09722219978</v>
      </c>
      <c r="M6946" s="13"/>
    </row>
    <row r="6947" spans="12:13">
      <c r="L6947" s="1">
        <v>44676.100694421999</v>
      </c>
      <c r="M6947" s="13"/>
    </row>
    <row r="6948" spans="12:13">
      <c r="L6948" s="1">
        <v>44676.104166644218</v>
      </c>
      <c r="M6948" s="13"/>
    </row>
    <row r="6949" spans="12:13">
      <c r="L6949" s="1">
        <v>44676.107638866437</v>
      </c>
      <c r="M6949" s="13"/>
    </row>
    <row r="6950" spans="12:13">
      <c r="L6950" s="1">
        <v>44676.111111088656</v>
      </c>
      <c r="M6950" s="13"/>
    </row>
    <row r="6951" spans="12:13">
      <c r="L6951" s="1">
        <v>44676.114583310875</v>
      </c>
      <c r="M6951" s="13"/>
    </row>
    <row r="6952" spans="12:13">
      <c r="L6952" s="1">
        <v>44676.118055533094</v>
      </c>
      <c r="M6952" s="13"/>
    </row>
    <row r="6953" spans="12:13">
      <c r="L6953" s="1">
        <v>44676.121527755313</v>
      </c>
      <c r="M6953" s="13"/>
    </row>
    <row r="6954" spans="12:13">
      <c r="L6954" s="1">
        <v>44676.124999977532</v>
      </c>
      <c r="M6954" s="13"/>
    </row>
    <row r="6955" spans="12:13">
      <c r="L6955" s="1">
        <v>44676.128472199751</v>
      </c>
      <c r="M6955" s="13"/>
    </row>
    <row r="6956" spans="12:13">
      <c r="L6956" s="1">
        <v>44676.13194442197</v>
      </c>
      <c r="M6956" s="13"/>
    </row>
    <row r="6957" spans="12:13">
      <c r="L6957" s="1">
        <v>44676.135416644189</v>
      </c>
      <c r="M6957" s="13"/>
    </row>
    <row r="6958" spans="12:13">
      <c r="L6958" s="1">
        <v>44676.138888866408</v>
      </c>
      <c r="M6958" s="13"/>
    </row>
    <row r="6959" spans="12:13">
      <c r="L6959" s="1">
        <v>44676.142361088627</v>
      </c>
      <c r="M6959" s="13"/>
    </row>
    <row r="6960" spans="12:13">
      <c r="L6960" s="1">
        <v>44676.145833310846</v>
      </c>
      <c r="M6960" s="13"/>
    </row>
    <row r="6961" spans="12:13">
      <c r="L6961" s="1">
        <v>44676.149305533065</v>
      </c>
      <c r="M6961" s="13"/>
    </row>
    <row r="6962" spans="12:13">
      <c r="L6962" s="1">
        <v>44676.152777755284</v>
      </c>
      <c r="M6962" s="13"/>
    </row>
    <row r="6963" spans="12:13">
      <c r="L6963" s="1">
        <v>44676.156249977503</v>
      </c>
      <c r="M6963" s="13"/>
    </row>
    <row r="6964" spans="12:13">
      <c r="L6964" s="1">
        <v>44676.159722199722</v>
      </c>
      <c r="M6964" s="13"/>
    </row>
    <row r="6965" spans="12:13">
      <c r="L6965" s="1">
        <v>44676.163194421941</v>
      </c>
      <c r="M6965" s="13"/>
    </row>
    <row r="6966" spans="12:13">
      <c r="L6966" s="1">
        <v>44676.16666664416</v>
      </c>
      <c r="M6966" s="13"/>
    </row>
    <row r="6967" spans="12:13">
      <c r="L6967" s="1">
        <v>44676.170138866379</v>
      </c>
      <c r="M6967" s="13"/>
    </row>
    <row r="6968" spans="12:13">
      <c r="L6968" s="1">
        <v>44676.173611088598</v>
      </c>
      <c r="M6968" s="13"/>
    </row>
    <row r="6969" spans="12:13">
      <c r="L6969" s="1">
        <v>44676.177083310817</v>
      </c>
      <c r="M6969" s="13"/>
    </row>
    <row r="6970" spans="12:13">
      <c r="L6970" s="1">
        <v>44676.180555533036</v>
      </c>
      <c r="M6970" s="13"/>
    </row>
    <row r="6971" spans="12:13">
      <c r="L6971" s="1">
        <v>44676.184027755255</v>
      </c>
      <c r="M6971" s="13"/>
    </row>
    <row r="6972" spans="12:13">
      <c r="L6972" s="1">
        <v>44676.187499977474</v>
      </c>
      <c r="M6972" s="13"/>
    </row>
    <row r="6973" spans="12:13">
      <c r="L6973" s="1">
        <v>44676.190972199693</v>
      </c>
      <c r="M6973" s="13"/>
    </row>
    <row r="6974" spans="12:13">
      <c r="L6974" s="1">
        <v>44676.194444421912</v>
      </c>
      <c r="M6974" s="13"/>
    </row>
    <row r="6975" spans="12:13">
      <c r="L6975" s="1">
        <v>44676.197916644131</v>
      </c>
      <c r="M6975" s="13"/>
    </row>
    <row r="6976" spans="12:13">
      <c r="L6976" s="1">
        <v>44676.20138886635</v>
      </c>
      <c r="M6976" s="13"/>
    </row>
    <row r="6977" spans="12:13">
      <c r="L6977" s="1">
        <v>44676.204861088569</v>
      </c>
      <c r="M6977" s="13"/>
    </row>
    <row r="6978" spans="12:13">
      <c r="L6978" s="1">
        <v>44676.208333310788</v>
      </c>
      <c r="M6978" s="13"/>
    </row>
    <row r="6979" spans="12:13">
      <c r="L6979" s="1">
        <v>44676.211805533007</v>
      </c>
      <c r="M6979" s="13"/>
    </row>
    <row r="6980" spans="12:13">
      <c r="L6980" s="1">
        <v>44676.215277755226</v>
      </c>
      <c r="M6980" s="13"/>
    </row>
    <row r="6981" spans="12:13">
      <c r="L6981" s="1">
        <v>44676.218749977445</v>
      </c>
      <c r="M6981" s="13"/>
    </row>
    <row r="6982" spans="12:13">
      <c r="L6982" s="1">
        <v>44676.222222199664</v>
      </c>
      <c r="M6982" s="13"/>
    </row>
    <row r="6983" spans="12:13">
      <c r="L6983" s="1">
        <v>44676.225694421883</v>
      </c>
      <c r="M6983" s="13"/>
    </row>
    <row r="6984" spans="12:13">
      <c r="L6984" s="1">
        <v>44676.229166644101</v>
      </c>
      <c r="M6984" s="13"/>
    </row>
    <row r="6985" spans="12:13">
      <c r="L6985" s="1">
        <v>44676.23263886632</v>
      </c>
      <c r="M6985" s="13"/>
    </row>
    <row r="6986" spans="12:13">
      <c r="L6986" s="1">
        <v>44676.236111088539</v>
      </c>
      <c r="M6986" s="13"/>
    </row>
    <row r="6987" spans="12:13">
      <c r="L6987" s="1">
        <v>44676.239583310758</v>
      </c>
      <c r="M6987" s="13"/>
    </row>
    <row r="6988" spans="12:13">
      <c r="L6988" s="1">
        <v>44676.243055532977</v>
      </c>
      <c r="M6988" s="13"/>
    </row>
    <row r="6989" spans="12:13">
      <c r="L6989" s="1">
        <v>44676.246527755196</v>
      </c>
      <c r="M6989" s="13"/>
    </row>
    <row r="6990" spans="12:13">
      <c r="L6990" s="1">
        <v>44676.249999977415</v>
      </c>
      <c r="M6990" s="13"/>
    </row>
    <row r="6991" spans="12:13">
      <c r="L6991" s="1">
        <v>44676.253472199634</v>
      </c>
      <c r="M6991" s="13"/>
    </row>
    <row r="6992" spans="12:13">
      <c r="L6992" s="1">
        <v>44676.256944421853</v>
      </c>
      <c r="M6992" s="13"/>
    </row>
    <row r="6993" spans="12:13">
      <c r="L6993" s="1">
        <v>44676.260416644072</v>
      </c>
      <c r="M6993" s="13"/>
    </row>
    <row r="6994" spans="12:13">
      <c r="L6994" s="1">
        <v>44676.263888866291</v>
      </c>
      <c r="M6994" s="13"/>
    </row>
    <row r="6995" spans="12:13">
      <c r="L6995" s="1">
        <v>44676.26736108851</v>
      </c>
      <c r="M6995" s="13"/>
    </row>
    <row r="6996" spans="12:13">
      <c r="L6996" s="1">
        <v>44676.270833310729</v>
      </c>
      <c r="M6996" s="13"/>
    </row>
    <row r="6997" spans="12:13">
      <c r="L6997" s="1">
        <v>44676.274305532948</v>
      </c>
      <c r="M6997" s="13"/>
    </row>
    <row r="6998" spans="12:13">
      <c r="L6998" s="1">
        <v>44676.277777755167</v>
      </c>
      <c r="M6998" s="13"/>
    </row>
    <row r="6999" spans="12:13">
      <c r="L6999" s="1">
        <v>44676.281249977386</v>
      </c>
      <c r="M6999" s="13"/>
    </row>
    <row r="7000" spans="12:13">
      <c r="L7000" s="1">
        <v>44676.284722199605</v>
      </c>
      <c r="M7000" s="13"/>
    </row>
    <row r="7001" spans="12:13">
      <c r="L7001" s="1">
        <v>44676.288194421824</v>
      </c>
      <c r="M7001" s="13"/>
    </row>
    <row r="7002" spans="12:13">
      <c r="L7002" s="1">
        <v>44676.291666644043</v>
      </c>
      <c r="M7002" s="13"/>
    </row>
    <row r="7003" spans="12:13">
      <c r="L7003" s="1">
        <v>44676.295138866262</v>
      </c>
      <c r="M7003" s="13"/>
    </row>
    <row r="7004" spans="12:13">
      <c r="L7004" s="1">
        <v>44676.298611088481</v>
      </c>
      <c r="M7004" s="13"/>
    </row>
    <row r="7005" spans="12:13">
      <c r="L7005" s="1">
        <v>44676.3020833107</v>
      </c>
      <c r="M7005" s="13"/>
    </row>
    <row r="7006" spans="12:13">
      <c r="L7006" s="1">
        <v>44676.305555532919</v>
      </c>
      <c r="M7006" s="13"/>
    </row>
    <row r="7007" spans="12:13">
      <c r="L7007" s="1">
        <v>44676.309027755138</v>
      </c>
      <c r="M7007" s="13"/>
    </row>
    <row r="7008" spans="12:13">
      <c r="L7008" s="1">
        <v>44676.312499977357</v>
      </c>
      <c r="M7008" s="13"/>
    </row>
    <row r="7009" spans="12:13">
      <c r="L7009" s="1">
        <v>44676.315972199576</v>
      </c>
      <c r="M7009" s="13"/>
    </row>
    <row r="7010" spans="12:13">
      <c r="L7010" s="1">
        <v>44676.319444421795</v>
      </c>
      <c r="M7010" s="13"/>
    </row>
    <row r="7011" spans="12:13">
      <c r="L7011" s="1">
        <v>44676.322916644014</v>
      </c>
      <c r="M7011" s="13"/>
    </row>
    <row r="7012" spans="12:13">
      <c r="L7012" s="1">
        <v>44676.326388866233</v>
      </c>
      <c r="M7012" s="13"/>
    </row>
    <row r="7013" spans="12:13">
      <c r="L7013" s="1">
        <v>44676.329861088452</v>
      </c>
      <c r="M7013" s="13"/>
    </row>
    <row r="7014" spans="12:13">
      <c r="L7014" s="1">
        <v>44676.333333310671</v>
      </c>
      <c r="M7014" s="13"/>
    </row>
    <row r="7015" spans="12:13">
      <c r="L7015" s="1">
        <v>44676.33680553289</v>
      </c>
      <c r="M7015" s="13"/>
    </row>
    <row r="7016" spans="12:13">
      <c r="L7016" s="1">
        <v>44676.340277755109</v>
      </c>
      <c r="M7016" s="13"/>
    </row>
    <row r="7017" spans="12:13">
      <c r="L7017" s="1">
        <v>44676.343749977328</v>
      </c>
      <c r="M7017" s="13"/>
    </row>
    <row r="7018" spans="12:13">
      <c r="L7018" s="1">
        <v>44676.347222199547</v>
      </c>
      <c r="M7018" s="13"/>
    </row>
    <row r="7019" spans="12:13">
      <c r="L7019" s="1">
        <v>44676.350694421766</v>
      </c>
      <c r="M7019" s="13"/>
    </row>
    <row r="7020" spans="12:13">
      <c r="L7020" s="1">
        <v>44676.354166643985</v>
      </c>
      <c r="M7020" s="13"/>
    </row>
    <row r="7021" spans="12:13">
      <c r="L7021" s="1">
        <v>44676.357638866204</v>
      </c>
      <c r="M7021" s="13"/>
    </row>
    <row r="7022" spans="12:13">
      <c r="L7022" s="1">
        <v>44676.361111088423</v>
      </c>
      <c r="M7022" s="13"/>
    </row>
    <row r="7023" spans="12:13">
      <c r="L7023" s="1">
        <v>44676.364583310642</v>
      </c>
      <c r="M7023" s="13"/>
    </row>
    <row r="7024" spans="12:13">
      <c r="L7024" s="1">
        <v>44676.368055532861</v>
      </c>
      <c r="M7024" s="13"/>
    </row>
    <row r="7025" spans="12:13">
      <c r="L7025" s="1">
        <v>44676.37152775508</v>
      </c>
      <c r="M7025" s="13"/>
    </row>
    <row r="7026" spans="12:13">
      <c r="L7026" s="1">
        <v>44676.374999977299</v>
      </c>
      <c r="M7026" s="13"/>
    </row>
    <row r="7027" spans="12:13">
      <c r="L7027" s="1">
        <v>44676.378472199518</v>
      </c>
      <c r="M7027" s="13"/>
    </row>
    <row r="7028" spans="12:13">
      <c r="L7028" s="1">
        <v>44676.381944421737</v>
      </c>
      <c r="M7028" s="13"/>
    </row>
    <row r="7029" spans="12:13">
      <c r="L7029" s="1">
        <v>44676.385416643956</v>
      </c>
      <c r="M7029" s="13"/>
    </row>
    <row r="7030" spans="12:13">
      <c r="L7030" s="1">
        <v>44676.388888866175</v>
      </c>
      <c r="M7030" s="13"/>
    </row>
    <row r="7031" spans="12:13">
      <c r="L7031" s="1">
        <v>44676.392361088394</v>
      </c>
      <c r="M7031" s="13"/>
    </row>
    <row r="7032" spans="12:13">
      <c r="L7032" s="1">
        <v>44676.395833310613</v>
      </c>
      <c r="M7032" s="13"/>
    </row>
    <row r="7033" spans="12:13">
      <c r="L7033" s="1">
        <v>44676.399305532832</v>
      </c>
      <c r="M7033" s="13"/>
    </row>
    <row r="7034" spans="12:13">
      <c r="L7034" s="1">
        <v>44676.402777755051</v>
      </c>
      <c r="M7034" s="13"/>
    </row>
    <row r="7035" spans="12:13">
      <c r="L7035" s="1">
        <v>44676.40624997727</v>
      </c>
      <c r="M7035" s="13"/>
    </row>
    <row r="7036" spans="12:13">
      <c r="L7036" s="1">
        <v>44676.409722199489</v>
      </c>
      <c r="M7036" s="13"/>
    </row>
    <row r="7037" spans="12:13">
      <c r="L7037" s="1">
        <v>44676.413194421708</v>
      </c>
      <c r="M7037" s="13"/>
    </row>
    <row r="7038" spans="12:13">
      <c r="L7038" s="1">
        <v>44676.416666643927</v>
      </c>
      <c r="M7038" s="13"/>
    </row>
    <row r="7039" spans="12:13">
      <c r="L7039" s="1">
        <v>44676.420138866146</v>
      </c>
      <c r="M7039" s="13"/>
    </row>
    <row r="7040" spans="12:13">
      <c r="L7040" s="1">
        <v>44676.423611088365</v>
      </c>
      <c r="M7040" s="13"/>
    </row>
    <row r="7041" spans="12:13">
      <c r="L7041" s="1">
        <v>44676.427083310584</v>
      </c>
      <c r="M7041" s="13"/>
    </row>
    <row r="7042" spans="12:13">
      <c r="L7042" s="1">
        <v>44676.430555532803</v>
      </c>
      <c r="M7042" s="13"/>
    </row>
    <row r="7043" spans="12:13">
      <c r="L7043" s="1">
        <v>44676.434027755022</v>
      </c>
      <c r="M7043" s="13"/>
    </row>
    <row r="7044" spans="12:13">
      <c r="L7044" s="1">
        <v>44676.437499977241</v>
      </c>
      <c r="M7044" s="13"/>
    </row>
    <row r="7045" spans="12:13">
      <c r="L7045" s="1">
        <v>44676.44097219946</v>
      </c>
      <c r="M7045" s="13"/>
    </row>
    <row r="7046" spans="12:13">
      <c r="L7046" s="1">
        <v>44676.444444421679</v>
      </c>
      <c r="M7046" s="13"/>
    </row>
    <row r="7047" spans="12:13">
      <c r="L7047" s="1">
        <v>44676.447916643898</v>
      </c>
      <c r="M7047" s="13"/>
    </row>
    <row r="7048" spans="12:13">
      <c r="L7048" s="1">
        <v>44676.451388866117</v>
      </c>
      <c r="M7048" s="13"/>
    </row>
    <row r="7049" spans="12:13">
      <c r="L7049" s="1">
        <v>44676.454861088336</v>
      </c>
      <c r="M7049" s="13"/>
    </row>
    <row r="7050" spans="12:13">
      <c r="L7050" s="1">
        <v>44676.458333310555</v>
      </c>
      <c r="M7050" s="13"/>
    </row>
    <row r="7051" spans="12:13">
      <c r="L7051" s="1">
        <v>44676.461805532774</v>
      </c>
      <c r="M7051" s="13"/>
    </row>
    <row r="7052" spans="12:13">
      <c r="L7052" s="1">
        <v>44676.465277754993</v>
      </c>
      <c r="M7052" s="13"/>
    </row>
    <row r="7053" spans="12:13">
      <c r="L7053" s="1">
        <v>44676.468749977212</v>
      </c>
      <c r="M7053" s="13"/>
    </row>
    <row r="7054" spans="12:13">
      <c r="L7054" s="1">
        <v>44676.472222199431</v>
      </c>
      <c r="M7054" s="13"/>
    </row>
    <row r="7055" spans="12:13">
      <c r="L7055" s="1">
        <v>44676.47569442165</v>
      </c>
      <c r="M7055" s="13"/>
    </row>
    <row r="7056" spans="12:13">
      <c r="L7056" s="1">
        <v>44676.479166643869</v>
      </c>
      <c r="M7056" s="13"/>
    </row>
    <row r="7057" spans="12:13">
      <c r="L7057" s="1">
        <v>44676.482638866088</v>
      </c>
      <c r="M7057" s="13"/>
    </row>
    <row r="7058" spans="12:13">
      <c r="L7058" s="1">
        <v>44676.486111088307</v>
      </c>
      <c r="M7058" s="13"/>
    </row>
    <row r="7059" spans="12:13">
      <c r="L7059" s="1">
        <v>44676.489583310526</v>
      </c>
      <c r="M7059" s="13"/>
    </row>
    <row r="7060" spans="12:13">
      <c r="L7060" s="1">
        <v>44676.493055532745</v>
      </c>
      <c r="M7060" s="13"/>
    </row>
    <row r="7061" spans="12:13">
      <c r="L7061" s="1">
        <v>44676.496527754964</v>
      </c>
      <c r="M7061" s="13"/>
    </row>
    <row r="7062" spans="12:13">
      <c r="L7062" s="1">
        <v>44676.499999977183</v>
      </c>
      <c r="M7062" s="13"/>
    </row>
    <row r="7063" spans="12:13">
      <c r="L7063" s="1">
        <v>44676.503472199402</v>
      </c>
      <c r="M7063" s="13"/>
    </row>
    <row r="7064" spans="12:13">
      <c r="L7064" s="1">
        <v>44676.506944421621</v>
      </c>
      <c r="M7064" s="13"/>
    </row>
    <row r="7065" spans="12:13">
      <c r="L7065" s="1">
        <v>44676.51041664384</v>
      </c>
      <c r="M7065" s="13"/>
    </row>
    <row r="7066" spans="12:13">
      <c r="L7066" s="1">
        <v>44676.513888866059</v>
      </c>
      <c r="M7066" s="13"/>
    </row>
    <row r="7067" spans="12:13">
      <c r="L7067" s="1">
        <v>44676.517361088278</v>
      </c>
      <c r="M7067" s="13"/>
    </row>
    <row r="7068" spans="12:13">
      <c r="L7068" s="1">
        <v>44676.520833310497</v>
      </c>
      <c r="M7068" s="13"/>
    </row>
    <row r="7069" spans="12:13">
      <c r="L7069" s="1">
        <v>44676.524305532716</v>
      </c>
      <c r="M7069" s="13"/>
    </row>
    <row r="7070" spans="12:13">
      <c r="L7070" s="1">
        <v>44676.527777754935</v>
      </c>
      <c r="M7070" s="13"/>
    </row>
    <row r="7071" spans="12:13">
      <c r="L7071" s="1">
        <v>44676.531249977153</v>
      </c>
      <c r="M7071" s="13"/>
    </row>
    <row r="7072" spans="12:13">
      <c r="L7072" s="1">
        <v>44676.534722199372</v>
      </c>
      <c r="M7072" s="13"/>
    </row>
    <row r="7073" spans="12:13">
      <c r="L7073" s="1">
        <v>44676.538194421591</v>
      </c>
      <c r="M7073" s="13"/>
    </row>
    <row r="7074" spans="12:13">
      <c r="L7074" s="1">
        <v>44676.54166664381</v>
      </c>
      <c r="M7074" s="13"/>
    </row>
    <row r="7075" spans="12:13">
      <c r="L7075" s="1">
        <v>44676.545138866029</v>
      </c>
      <c r="M7075" s="13"/>
    </row>
    <row r="7076" spans="12:13">
      <c r="L7076" s="1">
        <v>44676.548611088248</v>
      </c>
      <c r="M7076" s="13"/>
    </row>
    <row r="7077" spans="12:13">
      <c r="L7077" s="1">
        <v>44676.552083310467</v>
      </c>
      <c r="M7077" s="13"/>
    </row>
    <row r="7078" spans="12:13">
      <c r="L7078" s="1">
        <v>44676.555555532686</v>
      </c>
      <c r="M7078" s="13"/>
    </row>
    <row r="7079" spans="12:13">
      <c r="L7079" s="1">
        <v>44676.559027754905</v>
      </c>
      <c r="M7079" s="13"/>
    </row>
    <row r="7080" spans="12:13">
      <c r="L7080" s="1">
        <v>44676.562499977124</v>
      </c>
      <c r="M7080" s="13"/>
    </row>
    <row r="7081" spans="12:13">
      <c r="L7081" s="1">
        <v>44676.565972199343</v>
      </c>
      <c r="M7081" s="13"/>
    </row>
    <row r="7082" spans="12:13">
      <c r="L7082" s="1">
        <v>44676.569444421562</v>
      </c>
      <c r="M7082" s="13"/>
    </row>
    <row r="7083" spans="12:13">
      <c r="L7083" s="1">
        <v>44676.572916643781</v>
      </c>
      <c r="M7083" s="13"/>
    </row>
    <row r="7084" spans="12:13">
      <c r="L7084" s="1">
        <v>44676.576388866</v>
      </c>
      <c r="M7084" s="13"/>
    </row>
    <row r="7085" spans="12:13">
      <c r="L7085" s="1">
        <v>44676.579861088219</v>
      </c>
      <c r="M7085" s="13"/>
    </row>
    <row r="7086" spans="12:13">
      <c r="L7086" s="1">
        <v>44676.583333310438</v>
      </c>
      <c r="M7086" s="13"/>
    </row>
    <row r="7087" spans="12:13">
      <c r="L7087" s="1">
        <v>44676.586805532657</v>
      </c>
      <c r="M7087" s="13"/>
    </row>
    <row r="7088" spans="12:13">
      <c r="L7088" s="1">
        <v>44676.590277754876</v>
      </c>
      <c r="M7088" s="13"/>
    </row>
    <row r="7089" spans="12:13">
      <c r="L7089" s="1">
        <v>44676.593749977095</v>
      </c>
      <c r="M7089" s="13"/>
    </row>
    <row r="7090" spans="12:13">
      <c r="L7090" s="1">
        <v>44676.597222199314</v>
      </c>
      <c r="M7090" s="13"/>
    </row>
    <row r="7091" spans="12:13">
      <c r="L7091" s="1">
        <v>44676.600694421533</v>
      </c>
      <c r="M7091" s="13"/>
    </row>
    <row r="7092" spans="12:13">
      <c r="L7092" s="1">
        <v>44676.604166643752</v>
      </c>
      <c r="M7092" s="13"/>
    </row>
    <row r="7093" spans="12:13">
      <c r="L7093" s="1">
        <v>44676.607638865971</v>
      </c>
      <c r="M7093" s="13"/>
    </row>
    <row r="7094" spans="12:13">
      <c r="L7094" s="1">
        <v>44676.61111108819</v>
      </c>
      <c r="M7094" s="13"/>
    </row>
    <row r="7095" spans="12:13">
      <c r="L7095" s="1">
        <v>44676.614583310409</v>
      </c>
      <c r="M7095" s="13"/>
    </row>
    <row r="7096" spans="12:13">
      <c r="L7096" s="1">
        <v>44676.618055532628</v>
      </c>
      <c r="M7096" s="13"/>
    </row>
    <row r="7097" spans="12:13">
      <c r="L7097" s="1">
        <v>44676.621527754847</v>
      </c>
      <c r="M7097" s="13"/>
    </row>
    <row r="7098" spans="12:13">
      <c r="L7098" s="1">
        <v>44676.624999977066</v>
      </c>
      <c r="M7098" s="13"/>
    </row>
    <row r="7099" spans="12:13">
      <c r="L7099" s="1">
        <v>44676.628472199285</v>
      </c>
      <c r="M7099" s="13"/>
    </row>
    <row r="7100" spans="12:13">
      <c r="L7100" s="1">
        <v>44676.631944421504</v>
      </c>
      <c r="M7100" s="13"/>
    </row>
    <row r="7101" spans="12:13">
      <c r="L7101" s="1">
        <v>44676.635416643723</v>
      </c>
      <c r="M7101" s="13"/>
    </row>
    <row r="7102" spans="12:13">
      <c r="L7102" s="1">
        <v>44676.638888865942</v>
      </c>
      <c r="M7102" s="13"/>
    </row>
    <row r="7103" spans="12:13">
      <c r="L7103" s="1">
        <v>44676.642361088161</v>
      </c>
      <c r="M7103" s="13"/>
    </row>
    <row r="7104" spans="12:13">
      <c r="L7104" s="1">
        <v>44676.64583331038</v>
      </c>
      <c r="M7104" s="13"/>
    </row>
    <row r="7105" spans="12:13">
      <c r="L7105" s="1">
        <v>44676.649305532599</v>
      </c>
      <c r="M7105" s="13"/>
    </row>
    <row r="7106" spans="12:13">
      <c r="L7106" s="1">
        <v>44676.652777754818</v>
      </c>
      <c r="M7106" s="13"/>
    </row>
    <row r="7107" spans="12:13">
      <c r="L7107" s="1">
        <v>44676.656249977037</v>
      </c>
      <c r="M7107" s="13"/>
    </row>
    <row r="7108" spans="12:13">
      <c r="L7108" s="1">
        <v>44676.659722199256</v>
      </c>
      <c r="M7108" s="13"/>
    </row>
    <row r="7109" spans="12:13">
      <c r="L7109" s="1">
        <v>44676.663194421475</v>
      </c>
      <c r="M7109" s="13"/>
    </row>
    <row r="7110" spans="12:13">
      <c r="L7110" s="1">
        <v>44676.666666643694</v>
      </c>
      <c r="M7110" s="13"/>
    </row>
    <row r="7111" spans="12:13">
      <c r="L7111" s="1">
        <v>44676.670138865913</v>
      </c>
      <c r="M7111" s="13"/>
    </row>
    <row r="7112" spans="12:13">
      <c r="L7112" s="1">
        <v>44676.673611088132</v>
      </c>
      <c r="M7112" s="13"/>
    </row>
    <row r="7113" spans="12:13">
      <c r="L7113" s="1">
        <v>44676.677083310351</v>
      </c>
      <c r="M7113" s="13"/>
    </row>
    <row r="7114" spans="12:13">
      <c r="L7114" s="1">
        <v>44676.68055553257</v>
      </c>
      <c r="M7114" s="13"/>
    </row>
    <row r="7115" spans="12:13">
      <c r="L7115" s="1">
        <v>44676.684027754789</v>
      </c>
      <c r="M7115" s="13"/>
    </row>
    <row r="7116" spans="12:13">
      <c r="L7116" s="1">
        <v>44676.687499977008</v>
      </c>
      <c r="M7116" s="13"/>
    </row>
    <row r="7117" spans="12:13">
      <c r="L7117" s="1">
        <v>44676.690972199227</v>
      </c>
      <c r="M7117" s="13"/>
    </row>
    <row r="7118" spans="12:13">
      <c r="L7118" s="1">
        <v>44676.694444421446</v>
      </c>
      <c r="M7118" s="13"/>
    </row>
    <row r="7119" spans="12:13">
      <c r="L7119" s="1">
        <v>44676.697916643665</v>
      </c>
      <c r="M7119" s="13"/>
    </row>
    <row r="7120" spans="12:13">
      <c r="L7120" s="1">
        <v>44676.701388865884</v>
      </c>
      <c r="M7120" s="13"/>
    </row>
    <row r="7121" spans="12:13">
      <c r="L7121" s="1">
        <v>44676.704861088103</v>
      </c>
      <c r="M7121" s="13"/>
    </row>
    <row r="7122" spans="12:13">
      <c r="L7122" s="1">
        <v>44676.708333310322</v>
      </c>
      <c r="M7122" s="13"/>
    </row>
    <row r="7123" spans="12:13">
      <c r="L7123" s="1">
        <v>44676.711805532541</v>
      </c>
      <c r="M7123" s="13"/>
    </row>
    <row r="7124" spans="12:13">
      <c r="L7124" s="1">
        <v>44676.71527775476</v>
      </c>
      <c r="M7124" s="13"/>
    </row>
    <row r="7125" spans="12:13">
      <c r="L7125" s="1">
        <v>44676.718749976979</v>
      </c>
      <c r="M7125" s="13"/>
    </row>
    <row r="7126" spans="12:13">
      <c r="L7126" s="1">
        <v>44676.722222199198</v>
      </c>
      <c r="M7126" s="13"/>
    </row>
    <row r="7127" spans="12:13">
      <c r="L7127" s="1">
        <v>44676.725694421417</v>
      </c>
      <c r="M7127" s="13"/>
    </row>
    <row r="7128" spans="12:13">
      <c r="L7128" s="1">
        <v>44676.729166643636</v>
      </c>
      <c r="M7128" s="13"/>
    </row>
    <row r="7129" spans="12:13">
      <c r="L7129" s="1">
        <v>44676.732638865855</v>
      </c>
      <c r="M7129" s="13"/>
    </row>
    <row r="7130" spans="12:13">
      <c r="L7130" s="1">
        <v>44676.736111088074</v>
      </c>
      <c r="M7130" s="13"/>
    </row>
    <row r="7131" spans="12:13">
      <c r="L7131" s="1">
        <v>44676.739583310293</v>
      </c>
      <c r="M7131" s="13"/>
    </row>
    <row r="7132" spans="12:13">
      <c r="L7132" s="1">
        <v>44676.743055532512</v>
      </c>
      <c r="M7132" s="13"/>
    </row>
    <row r="7133" spans="12:13">
      <c r="L7133" s="1">
        <v>44676.746527754731</v>
      </c>
      <c r="M7133" s="13"/>
    </row>
    <row r="7134" spans="12:13">
      <c r="L7134" s="1">
        <v>44676.74999997695</v>
      </c>
      <c r="M7134" s="13"/>
    </row>
    <row r="7135" spans="12:13">
      <c r="L7135" s="1">
        <v>44676.753472199169</v>
      </c>
      <c r="M7135" s="13"/>
    </row>
    <row r="7136" spans="12:13">
      <c r="L7136" s="1">
        <v>44676.756944421388</v>
      </c>
      <c r="M7136" s="13"/>
    </row>
    <row r="7137" spans="12:13">
      <c r="L7137" s="1">
        <v>44676.760416643607</v>
      </c>
      <c r="M7137" s="13"/>
    </row>
    <row r="7138" spans="12:13">
      <c r="L7138" s="1">
        <v>44676.763888865826</v>
      </c>
      <c r="M7138" s="13"/>
    </row>
    <row r="7139" spans="12:13">
      <c r="L7139" s="1">
        <v>44676.767361088045</v>
      </c>
      <c r="M7139" s="13"/>
    </row>
    <row r="7140" spans="12:13">
      <c r="L7140" s="1">
        <v>44676.770833310264</v>
      </c>
      <c r="M7140" s="13"/>
    </row>
    <row r="7141" spans="12:13">
      <c r="L7141" s="1">
        <v>44676.774305532483</v>
      </c>
      <c r="M7141" s="13"/>
    </row>
    <row r="7142" spans="12:13">
      <c r="L7142" s="1">
        <v>44676.777777754702</v>
      </c>
      <c r="M7142" s="13"/>
    </row>
    <row r="7143" spans="12:13">
      <c r="L7143" s="1">
        <v>44676.781249976921</v>
      </c>
      <c r="M7143" s="13"/>
    </row>
    <row r="7144" spans="12:13">
      <c r="L7144" s="1">
        <v>44676.78472219914</v>
      </c>
      <c r="M7144" s="13"/>
    </row>
    <row r="7145" spans="12:13">
      <c r="L7145" s="1">
        <v>44676.788194421359</v>
      </c>
      <c r="M7145" s="13"/>
    </row>
    <row r="7146" spans="12:13">
      <c r="L7146" s="1">
        <v>44676.791666643578</v>
      </c>
      <c r="M7146" s="13"/>
    </row>
    <row r="7147" spans="12:13">
      <c r="L7147" s="1">
        <v>44676.795138865797</v>
      </c>
      <c r="M7147" s="13"/>
    </row>
    <row r="7148" spans="12:13">
      <c r="L7148" s="1">
        <v>44676.798611088016</v>
      </c>
      <c r="M7148" s="13"/>
    </row>
    <row r="7149" spans="12:13">
      <c r="L7149" s="1">
        <v>44676.802083310235</v>
      </c>
      <c r="M7149" s="13"/>
    </row>
    <row r="7150" spans="12:13">
      <c r="L7150" s="1">
        <v>44676.805555532454</v>
      </c>
      <c r="M7150" s="13"/>
    </row>
    <row r="7151" spans="12:13">
      <c r="L7151" s="1">
        <v>44676.809027754673</v>
      </c>
      <c r="M7151" s="13"/>
    </row>
    <row r="7152" spans="12:13">
      <c r="L7152" s="1">
        <v>44676.812499976892</v>
      </c>
      <c r="M7152" s="13"/>
    </row>
    <row r="7153" spans="12:13">
      <c r="L7153" s="1">
        <v>44676.815972199111</v>
      </c>
      <c r="M7153" s="13"/>
    </row>
    <row r="7154" spans="12:13">
      <c r="L7154" s="1">
        <v>44676.81944442133</v>
      </c>
      <c r="M7154" s="13"/>
    </row>
    <row r="7155" spans="12:13">
      <c r="L7155" s="1">
        <v>44676.822916643549</v>
      </c>
      <c r="M7155" s="13"/>
    </row>
    <row r="7156" spans="12:13">
      <c r="L7156" s="1">
        <v>44676.826388865768</v>
      </c>
      <c r="M7156" s="13"/>
    </row>
    <row r="7157" spans="12:13">
      <c r="L7157" s="1">
        <v>44676.829861087987</v>
      </c>
      <c r="M7157" s="13"/>
    </row>
    <row r="7158" spans="12:13">
      <c r="L7158" s="1">
        <v>44676.833333310205</v>
      </c>
      <c r="M7158" s="13"/>
    </row>
    <row r="7159" spans="12:13">
      <c r="L7159" s="1">
        <v>44676.836805532424</v>
      </c>
      <c r="M7159" s="13"/>
    </row>
    <row r="7160" spans="12:13">
      <c r="L7160" s="1">
        <v>44676.840277754643</v>
      </c>
      <c r="M7160" s="13"/>
    </row>
    <row r="7161" spans="12:13">
      <c r="L7161" s="1">
        <v>44676.843749976862</v>
      </c>
      <c r="M7161" s="13"/>
    </row>
    <row r="7162" spans="12:13">
      <c r="L7162" s="1">
        <v>44676.847222199081</v>
      </c>
      <c r="M7162" s="13"/>
    </row>
    <row r="7163" spans="12:13">
      <c r="L7163" s="1">
        <v>44676.8506944213</v>
      </c>
      <c r="M7163" s="13"/>
    </row>
    <row r="7164" spans="12:13">
      <c r="L7164" s="1">
        <v>44676.854166643519</v>
      </c>
      <c r="M7164" s="13"/>
    </row>
    <row r="7165" spans="12:13">
      <c r="L7165" s="1">
        <v>44676.857638865738</v>
      </c>
      <c r="M7165" s="13"/>
    </row>
    <row r="7166" spans="12:13">
      <c r="L7166" s="1">
        <v>44676.861111087957</v>
      </c>
      <c r="M7166" s="13"/>
    </row>
    <row r="7167" spans="12:13">
      <c r="L7167" s="1">
        <v>44676.864583310176</v>
      </c>
      <c r="M7167" s="13"/>
    </row>
    <row r="7168" spans="12:13">
      <c r="L7168" s="1">
        <v>44676.868055532395</v>
      </c>
      <c r="M7168" s="13"/>
    </row>
    <row r="7169" spans="12:13">
      <c r="L7169" s="1">
        <v>44676.871527754614</v>
      </c>
      <c r="M7169" s="13"/>
    </row>
    <row r="7170" spans="12:13">
      <c r="L7170" s="1">
        <v>44676.874999976833</v>
      </c>
      <c r="M7170" s="13"/>
    </row>
    <row r="7171" spans="12:13">
      <c r="L7171" s="1">
        <v>44676.878472199052</v>
      </c>
      <c r="M7171" s="13"/>
    </row>
    <row r="7172" spans="12:13">
      <c r="L7172" s="1">
        <v>44676.881944421271</v>
      </c>
      <c r="M7172" s="13"/>
    </row>
    <row r="7173" spans="12:13">
      <c r="L7173" s="1">
        <v>44676.88541664349</v>
      </c>
      <c r="M7173" s="13"/>
    </row>
    <row r="7174" spans="12:13">
      <c r="L7174" s="1">
        <v>44676.888888865709</v>
      </c>
      <c r="M7174" s="13"/>
    </row>
    <row r="7175" spans="12:13">
      <c r="L7175" s="1">
        <v>44676.892361087928</v>
      </c>
      <c r="M7175" s="13"/>
    </row>
    <row r="7176" spans="12:13">
      <c r="L7176" s="1">
        <v>44676.895833310147</v>
      </c>
      <c r="M7176" s="13"/>
    </row>
    <row r="7177" spans="12:13">
      <c r="L7177" s="1">
        <v>44676.899305532366</v>
      </c>
      <c r="M7177" s="13"/>
    </row>
    <row r="7178" spans="12:13">
      <c r="L7178" s="1">
        <v>44676.902777754585</v>
      </c>
      <c r="M7178" s="13"/>
    </row>
    <row r="7179" spans="12:13">
      <c r="L7179" s="1">
        <v>44676.906249976804</v>
      </c>
      <c r="M7179" s="13"/>
    </row>
    <row r="7180" spans="12:13">
      <c r="L7180" s="1">
        <v>44676.909722199023</v>
      </c>
      <c r="M7180" s="13"/>
    </row>
    <row r="7181" spans="12:13">
      <c r="L7181" s="1">
        <v>44676.913194421242</v>
      </c>
      <c r="M7181" s="13"/>
    </row>
    <row r="7182" spans="12:13">
      <c r="L7182" s="1">
        <v>44676.916666643461</v>
      </c>
      <c r="M7182" s="13"/>
    </row>
    <row r="7183" spans="12:13">
      <c r="L7183" s="1">
        <v>44676.92013886568</v>
      </c>
      <c r="M7183" s="13"/>
    </row>
    <row r="7184" spans="12:13">
      <c r="L7184" s="1">
        <v>44676.923611087899</v>
      </c>
      <c r="M7184" s="13"/>
    </row>
    <row r="7185" spans="12:13">
      <c r="L7185" s="1">
        <v>44676.927083310118</v>
      </c>
      <c r="M7185" s="13"/>
    </row>
    <row r="7186" spans="12:13">
      <c r="L7186" s="1">
        <v>44676.930555532337</v>
      </c>
      <c r="M7186" s="13"/>
    </row>
    <row r="7187" spans="12:13">
      <c r="L7187" s="1">
        <v>44676.934027754556</v>
      </c>
      <c r="M7187" s="13"/>
    </row>
    <row r="7188" spans="12:13">
      <c r="L7188" s="1">
        <v>44676.937499976775</v>
      </c>
      <c r="M7188" s="13"/>
    </row>
    <row r="7189" spans="12:13">
      <c r="L7189" s="1">
        <v>44676.940972198994</v>
      </c>
      <c r="M7189" s="13"/>
    </row>
    <row r="7190" spans="12:13">
      <c r="L7190" s="1">
        <v>44676.944444421213</v>
      </c>
      <c r="M7190" s="13"/>
    </row>
    <row r="7191" spans="12:13">
      <c r="L7191" s="1">
        <v>44676.947916643432</v>
      </c>
      <c r="M7191" s="13"/>
    </row>
    <row r="7192" spans="12:13">
      <c r="L7192" s="1">
        <v>44676.951388865651</v>
      </c>
      <c r="M7192" s="13"/>
    </row>
    <row r="7193" spans="12:13">
      <c r="L7193" s="1">
        <v>44676.95486108787</v>
      </c>
      <c r="M7193" s="13"/>
    </row>
    <row r="7194" spans="12:13">
      <c r="L7194" s="1">
        <v>44676.958333310089</v>
      </c>
      <c r="M7194" s="13"/>
    </row>
    <row r="7195" spans="12:13">
      <c r="L7195" s="1">
        <v>44676.961805532308</v>
      </c>
      <c r="M7195" s="13"/>
    </row>
    <row r="7196" spans="12:13">
      <c r="L7196" s="1">
        <v>44676.965277754527</v>
      </c>
      <c r="M7196" s="13"/>
    </row>
    <row r="7197" spans="12:13">
      <c r="L7197" s="1">
        <v>44676.968749976746</v>
      </c>
      <c r="M7197" s="13"/>
    </row>
    <row r="7198" spans="12:13">
      <c r="L7198" s="1">
        <v>44676.972222198965</v>
      </c>
      <c r="M7198" s="13"/>
    </row>
    <row r="7199" spans="12:13">
      <c r="L7199" s="1">
        <v>44676.975694421184</v>
      </c>
      <c r="M7199" s="13"/>
    </row>
    <row r="7200" spans="12:13">
      <c r="L7200" s="1">
        <v>44676.979166643403</v>
      </c>
      <c r="M7200" s="13"/>
    </row>
    <row r="7201" spans="12:13">
      <c r="L7201" s="1">
        <v>44676.982638865622</v>
      </c>
      <c r="M7201" s="13"/>
    </row>
    <row r="7202" spans="12:13">
      <c r="L7202" s="1">
        <v>44676.986111087841</v>
      </c>
      <c r="M7202" s="13"/>
    </row>
    <row r="7203" spans="12:13">
      <c r="L7203" s="1">
        <v>44676.98958331006</v>
      </c>
      <c r="M7203" s="13"/>
    </row>
    <row r="7204" spans="12:13">
      <c r="L7204" s="1">
        <v>44676.993055532279</v>
      </c>
      <c r="M7204" s="13"/>
    </row>
    <row r="7205" spans="12:13">
      <c r="L7205" s="1">
        <v>44676.996527754498</v>
      </c>
      <c r="M7205" s="13"/>
    </row>
    <row r="7206" spans="12:13">
      <c r="L7206" s="1">
        <v>44676.999999976717</v>
      </c>
      <c r="M7206" s="13"/>
    </row>
    <row r="7207" spans="12:13">
      <c r="L7207" s="1">
        <v>44677.003472198936</v>
      </c>
      <c r="M7207" s="13"/>
    </row>
    <row r="7208" spans="12:13">
      <c r="L7208" s="1">
        <v>44677.006944421155</v>
      </c>
      <c r="M7208" s="13"/>
    </row>
    <row r="7209" spans="12:13">
      <c r="L7209" s="1">
        <v>44677.010416643374</v>
      </c>
      <c r="M7209" s="13"/>
    </row>
    <row r="7210" spans="12:13">
      <c r="L7210" s="1">
        <v>44677.013888865593</v>
      </c>
      <c r="M7210" s="13"/>
    </row>
    <row r="7211" spans="12:13">
      <c r="L7211" s="1">
        <v>44677.017361087812</v>
      </c>
      <c r="M7211" s="13"/>
    </row>
    <row r="7212" spans="12:13">
      <c r="L7212" s="1">
        <v>44677.020833310031</v>
      </c>
      <c r="M7212" s="13"/>
    </row>
    <row r="7213" spans="12:13">
      <c r="L7213" s="1">
        <v>44677.02430553225</v>
      </c>
      <c r="M7213" s="13"/>
    </row>
    <row r="7214" spans="12:13">
      <c r="L7214" s="1">
        <v>44677.027777754469</v>
      </c>
      <c r="M7214" s="13"/>
    </row>
    <row r="7215" spans="12:13">
      <c r="L7215" s="1">
        <v>44677.031249976688</v>
      </c>
      <c r="M7215" s="13"/>
    </row>
    <row r="7216" spans="12:13">
      <c r="L7216" s="1">
        <v>44677.034722198907</v>
      </c>
      <c r="M7216" s="13"/>
    </row>
    <row r="7217" spans="12:13">
      <c r="L7217" s="1">
        <v>44677.038194421126</v>
      </c>
      <c r="M7217" s="13"/>
    </row>
    <row r="7218" spans="12:13">
      <c r="L7218" s="1">
        <v>44677.041666643345</v>
      </c>
      <c r="M7218" s="13"/>
    </row>
    <row r="7219" spans="12:13">
      <c r="L7219" s="1">
        <v>44677.045138865564</v>
      </c>
      <c r="M7219" s="13"/>
    </row>
    <row r="7220" spans="12:13">
      <c r="L7220" s="1">
        <v>44677.048611087783</v>
      </c>
      <c r="M7220" s="13"/>
    </row>
    <row r="7221" spans="12:13">
      <c r="L7221" s="1">
        <v>44677.052083310002</v>
      </c>
      <c r="M7221" s="13"/>
    </row>
    <row r="7222" spans="12:13">
      <c r="L7222" s="1">
        <v>44677.055555532221</v>
      </c>
      <c r="M7222" s="13"/>
    </row>
    <row r="7223" spans="12:13">
      <c r="L7223" s="1">
        <v>44677.05902775444</v>
      </c>
      <c r="M7223" s="13"/>
    </row>
    <row r="7224" spans="12:13">
      <c r="L7224" s="1">
        <v>44677.062499976659</v>
      </c>
      <c r="M7224" s="13"/>
    </row>
    <row r="7225" spans="12:13">
      <c r="L7225" s="1">
        <v>44677.065972198878</v>
      </c>
      <c r="M7225" s="13"/>
    </row>
    <row r="7226" spans="12:13">
      <c r="L7226" s="1">
        <v>44677.069444421097</v>
      </c>
      <c r="M7226" s="13"/>
    </row>
    <row r="7227" spans="12:13">
      <c r="L7227" s="1">
        <v>44677.072916643316</v>
      </c>
      <c r="M7227" s="13"/>
    </row>
    <row r="7228" spans="12:13">
      <c r="L7228" s="1">
        <v>44677.076388865535</v>
      </c>
      <c r="M7228" s="13"/>
    </row>
    <row r="7229" spans="12:13">
      <c r="L7229" s="1">
        <v>44677.079861087754</v>
      </c>
      <c r="M7229" s="13"/>
    </row>
    <row r="7230" spans="12:13">
      <c r="L7230" s="1">
        <v>44677.083333309973</v>
      </c>
      <c r="M7230" s="13"/>
    </row>
    <row r="7231" spans="12:13">
      <c r="L7231" s="1">
        <v>44677.086805532192</v>
      </c>
      <c r="M7231" s="13"/>
    </row>
    <row r="7232" spans="12:13">
      <c r="L7232" s="1">
        <v>44677.090277754411</v>
      </c>
      <c r="M7232" s="13"/>
    </row>
    <row r="7233" spans="12:13">
      <c r="L7233" s="1">
        <v>44677.09374997663</v>
      </c>
      <c r="M7233" s="13"/>
    </row>
    <row r="7234" spans="12:13">
      <c r="L7234" s="1">
        <v>44677.097222198849</v>
      </c>
      <c r="M7234" s="13"/>
    </row>
    <row r="7235" spans="12:13">
      <c r="L7235" s="1">
        <v>44677.100694421068</v>
      </c>
      <c r="M7235" s="13"/>
    </row>
    <row r="7236" spans="12:13">
      <c r="L7236" s="1">
        <v>44677.104166643287</v>
      </c>
      <c r="M7236" s="13"/>
    </row>
    <row r="7237" spans="12:13">
      <c r="L7237" s="1">
        <v>44677.107638865506</v>
      </c>
      <c r="M7237" s="13"/>
    </row>
    <row r="7238" spans="12:13">
      <c r="L7238" s="1">
        <v>44677.111111087725</v>
      </c>
      <c r="M7238" s="13"/>
    </row>
    <row r="7239" spans="12:13">
      <c r="L7239" s="1">
        <v>44677.114583309944</v>
      </c>
      <c r="M7239" s="13"/>
    </row>
    <row r="7240" spans="12:13">
      <c r="L7240" s="1">
        <v>44677.118055532163</v>
      </c>
      <c r="M7240" s="13"/>
    </row>
    <row r="7241" spans="12:13">
      <c r="L7241" s="1">
        <v>44677.121527754382</v>
      </c>
      <c r="M7241" s="13"/>
    </row>
    <row r="7242" spans="12:13">
      <c r="L7242" s="1">
        <v>44677.124999976601</v>
      </c>
      <c r="M7242" s="13"/>
    </row>
    <row r="7243" spans="12:13">
      <c r="L7243" s="1">
        <v>44677.12847219882</v>
      </c>
      <c r="M7243" s="13"/>
    </row>
    <row r="7244" spans="12:13">
      <c r="L7244" s="1">
        <v>44677.131944421038</v>
      </c>
      <c r="M7244" s="13"/>
    </row>
    <row r="7245" spans="12:13">
      <c r="L7245" s="1">
        <v>44677.135416643257</v>
      </c>
      <c r="M7245" s="13"/>
    </row>
    <row r="7246" spans="12:13">
      <c r="L7246" s="1">
        <v>44677.138888865476</v>
      </c>
      <c r="M7246" s="13"/>
    </row>
    <row r="7247" spans="12:13">
      <c r="L7247" s="1">
        <v>44677.142361087695</v>
      </c>
      <c r="M7247" s="13"/>
    </row>
    <row r="7248" spans="12:13">
      <c r="L7248" s="1">
        <v>44677.145833309914</v>
      </c>
      <c r="M7248" s="13"/>
    </row>
    <row r="7249" spans="12:13">
      <c r="L7249" s="1">
        <v>44677.149305532133</v>
      </c>
      <c r="M7249" s="13"/>
    </row>
    <row r="7250" spans="12:13">
      <c r="L7250" s="1">
        <v>44677.152777754352</v>
      </c>
      <c r="M7250" s="13"/>
    </row>
    <row r="7251" spans="12:13">
      <c r="L7251" s="1">
        <v>44677.156249976571</v>
      </c>
      <c r="M7251" s="13"/>
    </row>
    <row r="7252" spans="12:13">
      <c r="L7252" s="1">
        <v>44677.15972219879</v>
      </c>
      <c r="M7252" s="13"/>
    </row>
    <row r="7253" spans="12:13">
      <c r="L7253" s="1">
        <v>44677.163194421009</v>
      </c>
      <c r="M7253" s="13"/>
    </row>
    <row r="7254" spans="12:13">
      <c r="L7254" s="1">
        <v>44677.166666643228</v>
      </c>
      <c r="M7254" s="13"/>
    </row>
    <row r="7255" spans="12:13">
      <c r="L7255" s="1">
        <v>44677.170138865447</v>
      </c>
      <c r="M7255" s="13"/>
    </row>
    <row r="7256" spans="12:13">
      <c r="L7256" s="1">
        <v>44677.173611087666</v>
      </c>
      <c r="M7256" s="13"/>
    </row>
    <row r="7257" spans="12:13">
      <c r="L7257" s="1">
        <v>44677.177083309885</v>
      </c>
      <c r="M7257" s="13"/>
    </row>
    <row r="7258" spans="12:13">
      <c r="L7258" s="1">
        <v>44677.180555532104</v>
      </c>
      <c r="M7258" s="13"/>
    </row>
    <row r="7259" spans="12:13">
      <c r="L7259" s="1">
        <v>44677.184027754323</v>
      </c>
      <c r="M7259" s="13"/>
    </row>
    <row r="7260" spans="12:13">
      <c r="L7260" s="1">
        <v>44677.187499976542</v>
      </c>
      <c r="M7260" s="13"/>
    </row>
    <row r="7261" spans="12:13">
      <c r="L7261" s="1">
        <v>44677.190972198761</v>
      </c>
      <c r="M7261" s="13"/>
    </row>
    <row r="7262" spans="12:13">
      <c r="L7262" s="1">
        <v>44677.19444442098</v>
      </c>
      <c r="M7262" s="13"/>
    </row>
    <row r="7263" spans="12:13">
      <c r="L7263" s="1">
        <v>44677.197916643199</v>
      </c>
      <c r="M7263" s="13"/>
    </row>
    <row r="7264" spans="12:13">
      <c r="L7264" s="1">
        <v>44677.201388865418</v>
      </c>
      <c r="M7264" s="13"/>
    </row>
    <row r="7265" spans="12:13">
      <c r="L7265" s="1">
        <v>44677.204861087637</v>
      </c>
      <c r="M7265" s="13"/>
    </row>
    <row r="7266" spans="12:13">
      <c r="L7266" s="1">
        <v>44677.208333309856</v>
      </c>
      <c r="M7266" s="13"/>
    </row>
    <row r="7267" spans="12:13">
      <c r="L7267" s="1">
        <v>44677.211805532075</v>
      </c>
      <c r="M7267" s="13"/>
    </row>
    <row r="7268" spans="12:13">
      <c r="L7268" s="1">
        <v>44677.215277754294</v>
      </c>
      <c r="M7268" s="13"/>
    </row>
    <row r="7269" spans="12:13">
      <c r="L7269" s="1">
        <v>44677.218749976513</v>
      </c>
      <c r="M7269" s="13"/>
    </row>
    <row r="7270" spans="12:13">
      <c r="L7270" s="1">
        <v>44677.222222198732</v>
      </c>
      <c r="M7270" s="13"/>
    </row>
    <row r="7271" spans="12:13">
      <c r="L7271" s="1">
        <v>44677.225694420951</v>
      </c>
      <c r="M7271" s="13"/>
    </row>
    <row r="7272" spans="12:13">
      <c r="L7272" s="1">
        <v>44677.22916664317</v>
      </c>
      <c r="M7272" s="13"/>
    </row>
    <row r="7273" spans="12:13">
      <c r="L7273" s="1">
        <v>44677.232638865389</v>
      </c>
      <c r="M7273" s="13"/>
    </row>
    <row r="7274" spans="12:13">
      <c r="L7274" s="1">
        <v>44677.236111087608</v>
      </c>
      <c r="M7274" s="13"/>
    </row>
    <row r="7275" spans="12:13">
      <c r="L7275" s="1">
        <v>44677.239583309827</v>
      </c>
      <c r="M7275" s="13"/>
    </row>
    <row r="7276" spans="12:13">
      <c r="L7276" s="1">
        <v>44677.243055532046</v>
      </c>
      <c r="M7276" s="13"/>
    </row>
    <row r="7277" spans="12:13">
      <c r="L7277" s="1">
        <v>44677.246527754265</v>
      </c>
      <c r="M7277" s="13"/>
    </row>
    <row r="7278" spans="12:13">
      <c r="L7278" s="1">
        <v>44677.249999976484</v>
      </c>
      <c r="M7278" s="13"/>
    </row>
    <row r="7279" spans="12:13">
      <c r="L7279" s="1">
        <v>44677.253472198703</v>
      </c>
      <c r="M7279" s="13"/>
    </row>
    <row r="7280" spans="12:13">
      <c r="L7280" s="1">
        <v>44677.256944420922</v>
      </c>
      <c r="M7280" s="13"/>
    </row>
    <row r="7281" spans="12:13">
      <c r="L7281" s="1">
        <v>44677.260416643141</v>
      </c>
      <c r="M7281" s="13"/>
    </row>
    <row r="7282" spans="12:13">
      <c r="L7282" s="1">
        <v>44677.26388886536</v>
      </c>
      <c r="M7282" s="13"/>
    </row>
    <row r="7283" spans="12:13">
      <c r="L7283" s="1">
        <v>44677.267361087579</v>
      </c>
      <c r="M7283" s="13"/>
    </row>
    <row r="7284" spans="12:13">
      <c r="L7284" s="1">
        <v>44677.270833309798</v>
      </c>
      <c r="M7284" s="13"/>
    </row>
    <row r="7285" spans="12:13">
      <c r="L7285" s="1">
        <v>44677.274305532017</v>
      </c>
      <c r="M7285" s="13"/>
    </row>
    <row r="7286" spans="12:13">
      <c r="L7286" s="1">
        <v>44677.277777754236</v>
      </c>
      <c r="M7286" s="13"/>
    </row>
    <row r="7287" spans="12:13">
      <c r="L7287" s="1">
        <v>44677.281249976455</v>
      </c>
      <c r="M7287" s="13"/>
    </row>
    <row r="7288" spans="12:13">
      <c r="L7288" s="1">
        <v>44677.284722198674</v>
      </c>
      <c r="M7288" s="13"/>
    </row>
    <row r="7289" spans="12:13">
      <c r="L7289" s="1">
        <v>44677.288194420893</v>
      </c>
      <c r="M7289" s="13"/>
    </row>
    <row r="7290" spans="12:13">
      <c r="L7290" s="1">
        <v>44677.291666643112</v>
      </c>
      <c r="M7290" s="13"/>
    </row>
    <row r="7291" spans="12:13">
      <c r="L7291" s="1">
        <v>44677.295138865331</v>
      </c>
      <c r="M7291" s="13"/>
    </row>
    <row r="7292" spans="12:13">
      <c r="L7292" s="1">
        <v>44677.29861108755</v>
      </c>
      <c r="M7292" s="13"/>
    </row>
    <row r="7293" spans="12:13">
      <c r="L7293" s="1">
        <v>44677.302083309769</v>
      </c>
      <c r="M7293" s="13"/>
    </row>
    <row r="7294" spans="12:13">
      <c r="L7294" s="1">
        <v>44677.305555531988</v>
      </c>
      <c r="M7294" s="13"/>
    </row>
    <row r="7295" spans="12:13">
      <c r="L7295" s="1">
        <v>44677.309027754207</v>
      </c>
      <c r="M7295" s="13"/>
    </row>
    <row r="7296" spans="12:13">
      <c r="L7296" s="1">
        <v>44677.312499976426</v>
      </c>
      <c r="M7296" s="13"/>
    </row>
    <row r="7297" spans="12:13">
      <c r="L7297" s="1">
        <v>44677.315972198645</v>
      </c>
      <c r="M7297" s="13"/>
    </row>
    <row r="7298" spans="12:13">
      <c r="L7298" s="1">
        <v>44677.319444420864</v>
      </c>
      <c r="M7298" s="13"/>
    </row>
    <row r="7299" spans="12:13">
      <c r="L7299" s="1">
        <v>44677.322916643083</v>
      </c>
      <c r="M7299" s="13"/>
    </row>
    <row r="7300" spans="12:13">
      <c r="L7300" s="1">
        <v>44677.326388865302</v>
      </c>
      <c r="M7300" s="13"/>
    </row>
    <row r="7301" spans="12:13">
      <c r="L7301" s="1">
        <v>44677.329861087521</v>
      </c>
      <c r="M7301" s="13"/>
    </row>
    <row r="7302" spans="12:13">
      <c r="L7302" s="1">
        <v>44677.33333330974</v>
      </c>
      <c r="M7302" s="13"/>
    </row>
    <row r="7303" spans="12:13">
      <c r="L7303" s="1">
        <v>44677.336805531959</v>
      </c>
      <c r="M7303" s="13"/>
    </row>
    <row r="7304" spans="12:13">
      <c r="L7304" s="1">
        <v>44677.340277754178</v>
      </c>
      <c r="M7304" s="13"/>
    </row>
    <row r="7305" spans="12:13">
      <c r="L7305" s="1">
        <v>44677.343749976397</v>
      </c>
      <c r="M7305" s="13"/>
    </row>
    <row r="7306" spans="12:13">
      <c r="L7306" s="1">
        <v>44677.347222198616</v>
      </c>
      <c r="M7306" s="13"/>
    </row>
    <row r="7307" spans="12:13">
      <c r="L7307" s="1">
        <v>44677.350694420835</v>
      </c>
      <c r="M7307" s="13"/>
    </row>
    <row r="7308" spans="12:13">
      <c r="L7308" s="1">
        <v>44677.354166643054</v>
      </c>
      <c r="M7308" s="13"/>
    </row>
    <row r="7309" spans="12:13">
      <c r="L7309" s="1">
        <v>44677.357638865273</v>
      </c>
      <c r="M7309" s="13"/>
    </row>
    <row r="7310" spans="12:13">
      <c r="L7310" s="1">
        <v>44677.361111087492</v>
      </c>
      <c r="M7310" s="13"/>
    </row>
    <row r="7311" spans="12:13">
      <c r="L7311" s="1">
        <v>44677.364583309711</v>
      </c>
      <c r="M7311" s="13"/>
    </row>
    <row r="7312" spans="12:13">
      <c r="L7312" s="1">
        <v>44677.36805553193</v>
      </c>
      <c r="M7312" s="13"/>
    </row>
    <row r="7313" spans="12:13">
      <c r="L7313" s="1">
        <v>44677.371527754149</v>
      </c>
      <c r="M7313" s="13"/>
    </row>
    <row r="7314" spans="12:13">
      <c r="L7314" s="1">
        <v>44677.374999976368</v>
      </c>
      <c r="M7314" s="13"/>
    </row>
    <row r="7315" spans="12:13">
      <c r="L7315" s="1">
        <v>44677.378472198587</v>
      </c>
      <c r="M7315" s="13"/>
    </row>
    <row r="7316" spans="12:13">
      <c r="L7316" s="1">
        <v>44677.381944420806</v>
      </c>
      <c r="M7316" s="13"/>
    </row>
    <row r="7317" spans="12:13">
      <c r="L7317" s="1">
        <v>44677.385416643025</v>
      </c>
      <c r="M7317" s="13"/>
    </row>
    <row r="7318" spans="12:13">
      <c r="L7318" s="1">
        <v>44677.388888865244</v>
      </c>
      <c r="M7318" s="13"/>
    </row>
    <row r="7319" spans="12:13">
      <c r="L7319" s="1">
        <v>44677.392361087463</v>
      </c>
      <c r="M7319" s="13"/>
    </row>
    <row r="7320" spans="12:13">
      <c r="L7320" s="1">
        <v>44677.395833309682</v>
      </c>
      <c r="M7320" s="13"/>
    </row>
    <row r="7321" spans="12:13">
      <c r="L7321" s="1">
        <v>44677.399305531901</v>
      </c>
      <c r="M7321" s="13"/>
    </row>
    <row r="7322" spans="12:13">
      <c r="L7322" s="1">
        <v>44677.40277775412</v>
      </c>
      <c r="M7322" s="13"/>
    </row>
    <row r="7323" spans="12:13">
      <c r="L7323" s="1">
        <v>44677.406249976339</v>
      </c>
      <c r="M7323" s="13"/>
    </row>
    <row r="7324" spans="12:13">
      <c r="L7324" s="1">
        <v>44677.409722198558</v>
      </c>
      <c r="M7324" s="13"/>
    </row>
    <row r="7325" spans="12:13">
      <c r="L7325" s="1">
        <v>44677.413194420777</v>
      </c>
      <c r="M7325" s="13"/>
    </row>
    <row r="7326" spans="12:13">
      <c r="L7326" s="1">
        <v>44677.416666642996</v>
      </c>
      <c r="M7326" s="13"/>
    </row>
    <row r="7327" spans="12:13">
      <c r="L7327" s="1">
        <v>44677.420138865215</v>
      </c>
      <c r="M7327" s="13"/>
    </row>
    <row r="7328" spans="12:13">
      <c r="L7328" s="1">
        <v>44677.423611087434</v>
      </c>
      <c r="M7328" s="13"/>
    </row>
    <row r="7329" spans="12:13">
      <c r="L7329" s="1">
        <v>44677.427083309653</v>
      </c>
      <c r="M7329" s="13"/>
    </row>
    <row r="7330" spans="12:13">
      <c r="L7330" s="1">
        <v>44677.430555531872</v>
      </c>
      <c r="M7330" s="13"/>
    </row>
    <row r="7331" spans="12:13">
      <c r="L7331" s="1">
        <v>44677.43402775409</v>
      </c>
      <c r="M7331" s="13"/>
    </row>
    <row r="7332" spans="12:13">
      <c r="L7332" s="1">
        <v>44677.437499976309</v>
      </c>
      <c r="M7332" s="13"/>
    </row>
    <row r="7333" spans="12:13">
      <c r="L7333" s="1">
        <v>44677.440972198528</v>
      </c>
      <c r="M7333" s="13"/>
    </row>
    <row r="7334" spans="12:13">
      <c r="L7334" s="1">
        <v>44677.444444420747</v>
      </c>
      <c r="M7334" s="13"/>
    </row>
    <row r="7335" spans="12:13">
      <c r="L7335" s="1">
        <v>44677.447916642966</v>
      </c>
      <c r="M7335" s="13"/>
    </row>
    <row r="7336" spans="12:13">
      <c r="L7336" s="1">
        <v>44677.451388865185</v>
      </c>
      <c r="M7336" s="13"/>
    </row>
    <row r="7337" spans="12:13">
      <c r="L7337" s="1">
        <v>44677.454861087404</v>
      </c>
      <c r="M7337" s="13"/>
    </row>
    <row r="7338" spans="12:13">
      <c r="L7338" s="1">
        <v>44677.458333309623</v>
      </c>
      <c r="M7338" s="13"/>
    </row>
    <row r="7339" spans="12:13">
      <c r="L7339" s="1">
        <v>44677.461805531842</v>
      </c>
      <c r="M7339" s="13"/>
    </row>
    <row r="7340" spans="12:13">
      <c r="L7340" s="1">
        <v>44677.465277754061</v>
      </c>
      <c r="M7340" s="13"/>
    </row>
    <row r="7341" spans="12:13">
      <c r="L7341" s="1">
        <v>44677.46874997628</v>
      </c>
      <c r="M7341" s="13"/>
    </row>
    <row r="7342" spans="12:13">
      <c r="L7342" s="1">
        <v>44677.472222198499</v>
      </c>
      <c r="M7342" s="13"/>
    </row>
    <row r="7343" spans="12:13">
      <c r="L7343" s="1">
        <v>44677.475694420718</v>
      </c>
      <c r="M7343" s="13"/>
    </row>
    <row r="7344" spans="12:13">
      <c r="L7344" s="1">
        <v>44677.479166642937</v>
      </c>
      <c r="M7344" s="13"/>
    </row>
    <row r="7345" spans="12:13">
      <c r="L7345" s="1">
        <v>44677.482638865156</v>
      </c>
      <c r="M7345" s="13"/>
    </row>
    <row r="7346" spans="12:13">
      <c r="L7346" s="1">
        <v>44677.486111087375</v>
      </c>
      <c r="M7346" s="13"/>
    </row>
    <row r="7347" spans="12:13">
      <c r="L7347" s="1">
        <v>44677.489583309594</v>
      </c>
      <c r="M7347" s="13"/>
    </row>
    <row r="7348" spans="12:13">
      <c r="L7348" s="1">
        <v>44677.493055531813</v>
      </c>
      <c r="M7348" s="13"/>
    </row>
    <row r="7349" spans="12:13">
      <c r="L7349" s="1">
        <v>44677.496527754032</v>
      </c>
      <c r="M7349" s="13"/>
    </row>
    <row r="7350" spans="12:13">
      <c r="L7350" s="1">
        <v>44677.499999976251</v>
      </c>
      <c r="M7350" s="13"/>
    </row>
    <row r="7351" spans="12:13">
      <c r="L7351" s="1">
        <v>44677.50347219847</v>
      </c>
      <c r="M7351" s="13"/>
    </row>
    <row r="7352" spans="12:13">
      <c r="L7352" s="1">
        <v>44677.506944420689</v>
      </c>
      <c r="M7352" s="13"/>
    </row>
    <row r="7353" spans="12:13">
      <c r="L7353" s="1">
        <v>44677.510416642908</v>
      </c>
      <c r="M7353" s="13"/>
    </row>
    <row r="7354" spans="12:13">
      <c r="L7354" s="1">
        <v>44677.513888865127</v>
      </c>
      <c r="M7354" s="13"/>
    </row>
    <row r="7355" spans="12:13">
      <c r="L7355" s="1">
        <v>44677.517361087346</v>
      </c>
      <c r="M7355" s="13"/>
    </row>
    <row r="7356" spans="12:13">
      <c r="L7356" s="1">
        <v>44677.520833309565</v>
      </c>
      <c r="M7356" s="13"/>
    </row>
    <row r="7357" spans="12:13">
      <c r="L7357" s="1">
        <v>44677.524305531784</v>
      </c>
      <c r="M7357" s="13"/>
    </row>
    <row r="7358" spans="12:13">
      <c r="L7358" s="1">
        <v>44677.527777754003</v>
      </c>
      <c r="M7358" s="13"/>
    </row>
    <row r="7359" spans="12:13">
      <c r="L7359" s="1">
        <v>44677.531249976222</v>
      </c>
      <c r="M7359" s="13"/>
    </row>
    <row r="7360" spans="12:13">
      <c r="L7360" s="1">
        <v>44677.534722198441</v>
      </c>
      <c r="M7360" s="13"/>
    </row>
    <row r="7361" spans="12:13">
      <c r="L7361" s="1">
        <v>44677.53819442066</v>
      </c>
      <c r="M7361" s="13"/>
    </row>
    <row r="7362" spans="12:13">
      <c r="L7362" s="1">
        <v>44677.541666642879</v>
      </c>
      <c r="M7362" s="13"/>
    </row>
    <row r="7363" spans="12:13">
      <c r="L7363" s="1">
        <v>44677.545138865098</v>
      </c>
      <c r="M7363" s="13"/>
    </row>
    <row r="7364" spans="12:13">
      <c r="L7364" s="1">
        <v>44677.548611087317</v>
      </c>
      <c r="M7364" s="13"/>
    </row>
    <row r="7365" spans="12:13">
      <c r="L7365" s="1">
        <v>44677.552083309536</v>
      </c>
      <c r="M7365" s="13"/>
    </row>
    <row r="7366" spans="12:13">
      <c r="L7366" s="1">
        <v>44677.555555531755</v>
      </c>
      <c r="M7366" s="13"/>
    </row>
    <row r="7367" spans="12:13">
      <c r="L7367" s="1">
        <v>44677.559027753974</v>
      </c>
      <c r="M7367" s="13"/>
    </row>
    <row r="7368" spans="12:13">
      <c r="L7368" s="1">
        <v>44677.562499976193</v>
      </c>
      <c r="M7368" s="13"/>
    </row>
    <row r="7369" spans="12:13">
      <c r="L7369" s="1">
        <v>44677.565972198412</v>
      </c>
      <c r="M7369" s="13"/>
    </row>
    <row r="7370" spans="12:13">
      <c r="L7370" s="1">
        <v>44677.569444420631</v>
      </c>
      <c r="M7370" s="13"/>
    </row>
    <row r="7371" spans="12:13">
      <c r="L7371" s="1">
        <v>44677.57291664285</v>
      </c>
      <c r="M7371" s="13"/>
    </row>
    <row r="7372" spans="12:13">
      <c r="L7372" s="1">
        <v>44677.576388865069</v>
      </c>
      <c r="M7372" s="13"/>
    </row>
    <row r="7373" spans="12:13">
      <c r="L7373" s="1">
        <v>44677.579861087288</v>
      </c>
      <c r="M7373" s="13"/>
    </row>
    <row r="7374" spans="12:13">
      <c r="L7374" s="1">
        <v>44677.583333309507</v>
      </c>
      <c r="M7374" s="13"/>
    </row>
    <row r="7375" spans="12:13">
      <c r="L7375" s="1">
        <v>44677.586805531726</v>
      </c>
      <c r="M7375" s="13"/>
    </row>
    <row r="7376" spans="12:13">
      <c r="L7376" s="1">
        <v>44677.590277753945</v>
      </c>
      <c r="M7376" s="13"/>
    </row>
    <row r="7377" spans="12:13">
      <c r="L7377" s="1">
        <v>44677.593749976164</v>
      </c>
      <c r="M7377" s="13"/>
    </row>
    <row r="7378" spans="12:13">
      <c r="L7378" s="1">
        <v>44677.597222198383</v>
      </c>
      <c r="M7378" s="13"/>
    </row>
    <row r="7379" spans="12:13">
      <c r="L7379" s="1">
        <v>44677.600694420602</v>
      </c>
      <c r="M7379" s="13"/>
    </row>
    <row r="7380" spans="12:13">
      <c r="L7380" s="1">
        <v>44677.604166642821</v>
      </c>
      <c r="M7380" s="13"/>
    </row>
    <row r="7381" spans="12:13">
      <c r="L7381" s="1">
        <v>44677.60763886504</v>
      </c>
      <c r="M7381" s="13"/>
    </row>
    <row r="7382" spans="12:13">
      <c r="L7382" s="1">
        <v>44677.611111087259</v>
      </c>
      <c r="M7382" s="13"/>
    </row>
    <row r="7383" spans="12:13">
      <c r="L7383" s="1">
        <v>44677.614583309478</v>
      </c>
      <c r="M7383" s="13"/>
    </row>
    <row r="7384" spans="12:13">
      <c r="L7384" s="1">
        <v>44677.618055531697</v>
      </c>
      <c r="M7384" s="13"/>
    </row>
    <row r="7385" spans="12:13">
      <c r="L7385" s="1">
        <v>44677.621527753916</v>
      </c>
      <c r="M7385" s="13"/>
    </row>
    <row r="7386" spans="12:13">
      <c r="L7386" s="1">
        <v>44677.624999976135</v>
      </c>
      <c r="M7386" s="13"/>
    </row>
    <row r="7387" spans="12:13">
      <c r="L7387" s="1">
        <v>44677.628472198354</v>
      </c>
      <c r="M7387" s="13"/>
    </row>
    <row r="7388" spans="12:13">
      <c r="L7388" s="1">
        <v>44677.631944420573</v>
      </c>
      <c r="M7388" s="13"/>
    </row>
    <row r="7389" spans="12:13">
      <c r="L7389" s="1">
        <v>44677.635416642792</v>
      </c>
      <c r="M7389" s="13"/>
    </row>
    <row r="7390" spans="12:13">
      <c r="L7390" s="1">
        <v>44677.638888865011</v>
      </c>
      <c r="M7390" s="13"/>
    </row>
    <row r="7391" spans="12:13">
      <c r="L7391" s="1">
        <v>44677.64236108723</v>
      </c>
      <c r="M7391" s="13"/>
    </row>
    <row r="7392" spans="12:13">
      <c r="L7392" s="1">
        <v>44677.645833309449</v>
      </c>
      <c r="M7392" s="13"/>
    </row>
    <row r="7393" spans="12:13">
      <c r="L7393" s="1">
        <v>44677.649305531668</v>
      </c>
      <c r="M7393" s="13"/>
    </row>
    <row r="7394" spans="12:13">
      <c r="L7394" s="1">
        <v>44677.652777753887</v>
      </c>
      <c r="M7394" s="13"/>
    </row>
    <row r="7395" spans="12:13">
      <c r="L7395" s="1">
        <v>44677.656249976106</v>
      </c>
      <c r="M7395" s="13"/>
    </row>
    <row r="7396" spans="12:13">
      <c r="L7396" s="1">
        <v>44677.659722198325</v>
      </c>
      <c r="M7396" s="13"/>
    </row>
    <row r="7397" spans="12:13">
      <c r="L7397" s="1">
        <v>44677.663194420544</v>
      </c>
      <c r="M7397" s="13"/>
    </row>
    <row r="7398" spans="12:13">
      <c r="L7398" s="1">
        <v>44677.666666642763</v>
      </c>
      <c r="M7398" s="13"/>
    </row>
    <row r="7399" spans="12:13">
      <c r="L7399" s="1">
        <v>44677.670138864982</v>
      </c>
      <c r="M7399" s="13"/>
    </row>
    <row r="7400" spans="12:13">
      <c r="L7400" s="1">
        <v>44677.673611087201</v>
      </c>
      <c r="M7400" s="13"/>
    </row>
    <row r="7401" spans="12:13">
      <c r="L7401" s="1">
        <v>44677.67708330942</v>
      </c>
      <c r="M7401" s="13"/>
    </row>
    <row r="7402" spans="12:13">
      <c r="L7402" s="1">
        <v>44677.680555531639</v>
      </c>
      <c r="M7402" s="13"/>
    </row>
    <row r="7403" spans="12:13">
      <c r="L7403" s="1">
        <v>44677.684027753858</v>
      </c>
      <c r="M7403" s="13"/>
    </row>
    <row r="7404" spans="12:13">
      <c r="L7404" s="1">
        <v>44677.687499976077</v>
      </c>
      <c r="M7404" s="13"/>
    </row>
    <row r="7405" spans="12:13">
      <c r="L7405" s="1">
        <v>44677.690972198296</v>
      </c>
      <c r="M7405" s="13"/>
    </row>
    <row r="7406" spans="12:13">
      <c r="L7406" s="1">
        <v>44677.694444420515</v>
      </c>
      <c r="M7406" s="13"/>
    </row>
    <row r="7407" spans="12:13">
      <c r="L7407" s="1">
        <v>44677.697916642734</v>
      </c>
      <c r="M7407" s="13"/>
    </row>
    <row r="7408" spans="12:13">
      <c r="L7408" s="1">
        <v>44677.701388864953</v>
      </c>
      <c r="M7408" s="13"/>
    </row>
    <row r="7409" spans="12:13">
      <c r="L7409" s="1">
        <v>44677.704861087172</v>
      </c>
      <c r="M7409" s="13"/>
    </row>
    <row r="7410" spans="12:13">
      <c r="L7410" s="1">
        <v>44677.708333309391</v>
      </c>
      <c r="M7410" s="13"/>
    </row>
    <row r="7411" spans="12:13">
      <c r="L7411" s="1">
        <v>44677.71180553161</v>
      </c>
      <c r="M7411" s="13"/>
    </row>
    <row r="7412" spans="12:13">
      <c r="L7412" s="1">
        <v>44677.715277753829</v>
      </c>
      <c r="M7412" s="13"/>
    </row>
    <row r="7413" spans="12:13">
      <c r="L7413" s="1">
        <v>44677.718749976048</v>
      </c>
      <c r="M7413" s="13"/>
    </row>
    <row r="7414" spans="12:13">
      <c r="L7414" s="1">
        <v>44677.722222198267</v>
      </c>
      <c r="M7414" s="13"/>
    </row>
    <row r="7415" spans="12:13">
      <c r="L7415" s="1">
        <v>44677.725694420486</v>
      </c>
      <c r="M7415" s="13"/>
    </row>
    <row r="7416" spans="12:13">
      <c r="L7416" s="1">
        <v>44677.729166642705</v>
      </c>
      <c r="M7416" s="13"/>
    </row>
    <row r="7417" spans="12:13">
      <c r="L7417" s="1">
        <v>44677.732638864924</v>
      </c>
      <c r="M7417" s="13"/>
    </row>
    <row r="7418" spans="12:13">
      <c r="L7418" s="1">
        <v>44677.736111087142</v>
      </c>
      <c r="M7418" s="13"/>
    </row>
    <row r="7419" spans="12:13">
      <c r="L7419" s="1">
        <v>44677.739583309361</v>
      </c>
      <c r="M7419" s="13"/>
    </row>
    <row r="7420" spans="12:13">
      <c r="L7420" s="1">
        <v>44677.74305553158</v>
      </c>
      <c r="M7420" s="13"/>
    </row>
    <row r="7421" spans="12:13">
      <c r="L7421" s="1">
        <v>44677.746527753799</v>
      </c>
      <c r="M7421" s="13"/>
    </row>
    <row r="7422" spans="12:13">
      <c r="L7422" s="1">
        <v>44677.749999976018</v>
      </c>
      <c r="M7422" s="13"/>
    </row>
    <row r="7423" spans="12:13">
      <c r="L7423" s="1">
        <v>44677.753472198237</v>
      </c>
      <c r="M7423" s="13"/>
    </row>
    <row r="7424" spans="12:13">
      <c r="L7424" s="1">
        <v>44677.756944420456</v>
      </c>
      <c r="M7424" s="13"/>
    </row>
    <row r="7425" spans="12:13">
      <c r="L7425" s="1">
        <v>44677.760416642675</v>
      </c>
      <c r="M7425" s="13"/>
    </row>
    <row r="7426" spans="12:13">
      <c r="L7426" s="1">
        <v>44677.763888864894</v>
      </c>
      <c r="M7426" s="13"/>
    </row>
    <row r="7427" spans="12:13">
      <c r="L7427" s="1">
        <v>44677.767361087113</v>
      </c>
      <c r="M7427" s="13"/>
    </row>
    <row r="7428" spans="12:13">
      <c r="L7428" s="1">
        <v>44677.770833309332</v>
      </c>
      <c r="M7428" s="13"/>
    </row>
    <row r="7429" spans="12:13">
      <c r="L7429" s="1">
        <v>44677.774305531551</v>
      </c>
      <c r="M7429" s="13"/>
    </row>
    <row r="7430" spans="12:13">
      <c r="L7430" s="1">
        <v>44677.77777775377</v>
      </c>
      <c r="M7430" s="13"/>
    </row>
    <row r="7431" spans="12:13">
      <c r="L7431" s="1">
        <v>44677.781249975989</v>
      </c>
      <c r="M7431" s="13"/>
    </row>
    <row r="7432" spans="12:13">
      <c r="L7432" s="1">
        <v>44677.784722198208</v>
      </c>
      <c r="M7432" s="13"/>
    </row>
    <row r="7433" spans="12:13">
      <c r="L7433" s="1">
        <v>44677.788194420427</v>
      </c>
      <c r="M7433" s="13"/>
    </row>
    <row r="7434" spans="12:13">
      <c r="L7434" s="1">
        <v>44677.791666642646</v>
      </c>
      <c r="M7434" s="13"/>
    </row>
    <row r="7435" spans="12:13">
      <c r="L7435" s="1">
        <v>44677.795138864865</v>
      </c>
      <c r="M7435" s="13"/>
    </row>
    <row r="7436" spans="12:13">
      <c r="L7436" s="1">
        <v>44677.798611087084</v>
      </c>
      <c r="M7436" s="13"/>
    </row>
    <row r="7437" spans="12:13">
      <c r="L7437" s="1">
        <v>44677.802083309303</v>
      </c>
      <c r="M7437" s="13"/>
    </row>
    <row r="7438" spans="12:13">
      <c r="L7438" s="1">
        <v>44677.805555531522</v>
      </c>
      <c r="M7438" s="13"/>
    </row>
    <row r="7439" spans="12:13">
      <c r="L7439" s="1">
        <v>44677.809027753741</v>
      </c>
      <c r="M7439" s="13"/>
    </row>
    <row r="7440" spans="12:13">
      <c r="L7440" s="1">
        <v>44677.81249997596</v>
      </c>
      <c r="M7440" s="13"/>
    </row>
    <row r="7441" spans="12:13">
      <c r="L7441" s="1">
        <v>44677.815972198179</v>
      </c>
      <c r="M7441" s="13"/>
    </row>
    <row r="7442" spans="12:13">
      <c r="L7442" s="1">
        <v>44677.819444420398</v>
      </c>
      <c r="M7442" s="13"/>
    </row>
    <row r="7443" spans="12:13">
      <c r="L7443" s="1">
        <v>44677.822916642617</v>
      </c>
      <c r="M7443" s="13"/>
    </row>
    <row r="7444" spans="12:13">
      <c r="L7444" s="1">
        <v>44677.826388864836</v>
      </c>
      <c r="M7444" s="13"/>
    </row>
    <row r="7445" spans="12:13">
      <c r="L7445" s="1">
        <v>44677.829861087055</v>
      </c>
      <c r="M7445" s="13"/>
    </row>
    <row r="7446" spans="12:13">
      <c r="L7446" s="1">
        <v>44677.833333309274</v>
      </c>
      <c r="M7446" s="13"/>
    </row>
    <row r="7447" spans="12:13">
      <c r="L7447" s="1">
        <v>44677.836805531493</v>
      </c>
      <c r="M7447" s="13"/>
    </row>
    <row r="7448" spans="12:13">
      <c r="L7448" s="1">
        <v>44677.840277753712</v>
      </c>
      <c r="M7448" s="13"/>
    </row>
    <row r="7449" spans="12:13">
      <c r="L7449" s="1">
        <v>44677.843749975931</v>
      </c>
      <c r="M7449" s="13"/>
    </row>
    <row r="7450" spans="12:13">
      <c r="L7450" s="1">
        <v>44677.84722219815</v>
      </c>
      <c r="M7450" s="13"/>
    </row>
    <row r="7451" spans="12:13">
      <c r="L7451" s="1">
        <v>44677.850694420369</v>
      </c>
      <c r="M7451" s="13"/>
    </row>
    <row r="7452" spans="12:13">
      <c r="L7452" s="1">
        <v>44677.854166642588</v>
      </c>
      <c r="M7452" s="13"/>
    </row>
    <row r="7453" spans="12:13">
      <c r="L7453" s="1">
        <v>44677.857638864807</v>
      </c>
      <c r="M7453" s="13"/>
    </row>
    <row r="7454" spans="12:13">
      <c r="L7454" s="1">
        <v>44677.861111087026</v>
      </c>
      <c r="M7454" s="13"/>
    </row>
    <row r="7455" spans="12:13">
      <c r="L7455" s="1">
        <v>44677.864583309245</v>
      </c>
      <c r="M7455" s="13"/>
    </row>
    <row r="7456" spans="12:13">
      <c r="L7456" s="1">
        <v>44677.868055531464</v>
      </c>
      <c r="M7456" s="13"/>
    </row>
    <row r="7457" spans="12:13">
      <c r="L7457" s="1">
        <v>44677.871527753683</v>
      </c>
      <c r="M7457" s="13"/>
    </row>
    <row r="7458" spans="12:13">
      <c r="L7458" s="1">
        <v>44677.874999975902</v>
      </c>
      <c r="M7458" s="13"/>
    </row>
    <row r="7459" spans="12:13">
      <c r="L7459" s="1">
        <v>44677.878472198121</v>
      </c>
      <c r="M7459" s="13"/>
    </row>
    <row r="7460" spans="12:13">
      <c r="L7460" s="1">
        <v>44677.88194442034</v>
      </c>
      <c r="M7460" s="13"/>
    </row>
    <row r="7461" spans="12:13">
      <c r="L7461" s="1">
        <v>44677.885416642559</v>
      </c>
      <c r="M7461" s="13"/>
    </row>
    <row r="7462" spans="12:13">
      <c r="L7462" s="1">
        <v>44677.888888864778</v>
      </c>
      <c r="M7462" s="13"/>
    </row>
    <row r="7463" spans="12:13">
      <c r="L7463" s="1">
        <v>44677.892361086997</v>
      </c>
      <c r="M7463" s="13"/>
    </row>
    <row r="7464" spans="12:13">
      <c r="L7464" s="1">
        <v>44677.895833309216</v>
      </c>
      <c r="M7464" s="13"/>
    </row>
    <row r="7465" spans="12:13">
      <c r="L7465" s="1">
        <v>44677.899305531435</v>
      </c>
      <c r="M7465" s="13"/>
    </row>
    <row r="7466" spans="12:13">
      <c r="L7466" s="1">
        <v>44677.902777753654</v>
      </c>
      <c r="M7466" s="13"/>
    </row>
    <row r="7467" spans="12:13">
      <c r="L7467" s="1">
        <v>44677.906249975873</v>
      </c>
      <c r="M7467" s="13"/>
    </row>
    <row r="7468" spans="12:13">
      <c r="L7468" s="1">
        <v>44677.909722198092</v>
      </c>
      <c r="M7468" s="13"/>
    </row>
    <row r="7469" spans="12:13">
      <c r="L7469" s="1">
        <v>44677.913194420311</v>
      </c>
      <c r="M7469" s="13"/>
    </row>
    <row r="7470" spans="12:13">
      <c r="L7470" s="1">
        <v>44677.91666664253</v>
      </c>
      <c r="M7470" s="13"/>
    </row>
    <row r="7471" spans="12:13">
      <c r="L7471" s="1">
        <v>44677.920138864749</v>
      </c>
      <c r="M7471" s="13"/>
    </row>
    <row r="7472" spans="12:13">
      <c r="L7472" s="1">
        <v>44677.923611086968</v>
      </c>
      <c r="M7472" s="13"/>
    </row>
    <row r="7473" spans="12:13">
      <c r="L7473" s="1">
        <v>44677.927083309187</v>
      </c>
      <c r="M7473" s="13"/>
    </row>
    <row r="7474" spans="12:13">
      <c r="L7474" s="1">
        <v>44677.930555531406</v>
      </c>
      <c r="M7474" s="13"/>
    </row>
    <row r="7475" spans="12:13">
      <c r="L7475" s="1">
        <v>44677.934027753625</v>
      </c>
      <c r="M7475" s="13"/>
    </row>
    <row r="7476" spans="12:13">
      <c r="L7476" s="1">
        <v>44677.937499975844</v>
      </c>
      <c r="M7476" s="13"/>
    </row>
    <row r="7477" spans="12:13">
      <c r="L7477" s="1">
        <v>44677.940972198063</v>
      </c>
      <c r="M7477" s="13"/>
    </row>
    <row r="7478" spans="12:13">
      <c r="L7478" s="1">
        <v>44677.944444420282</v>
      </c>
      <c r="M7478" s="13"/>
    </row>
    <row r="7479" spans="12:13">
      <c r="L7479" s="1">
        <v>44677.947916642501</v>
      </c>
      <c r="M7479" s="13"/>
    </row>
    <row r="7480" spans="12:13">
      <c r="L7480" s="1">
        <v>44677.95138886472</v>
      </c>
      <c r="M7480" s="13"/>
    </row>
    <row r="7481" spans="12:13">
      <c r="L7481" s="1">
        <v>44677.954861086939</v>
      </c>
      <c r="M7481" s="13"/>
    </row>
    <row r="7482" spans="12:13">
      <c r="L7482" s="1">
        <v>44677.958333309158</v>
      </c>
      <c r="M7482" s="13"/>
    </row>
    <row r="7483" spans="12:13">
      <c r="L7483" s="1">
        <v>44677.961805531377</v>
      </c>
      <c r="M7483" s="13"/>
    </row>
    <row r="7484" spans="12:13">
      <c r="L7484" s="1">
        <v>44677.965277753596</v>
      </c>
      <c r="M7484" s="13"/>
    </row>
    <row r="7485" spans="12:13">
      <c r="L7485" s="1">
        <v>44677.968749975815</v>
      </c>
      <c r="M7485" s="13"/>
    </row>
    <row r="7486" spans="12:13">
      <c r="L7486" s="1">
        <v>44677.972222198034</v>
      </c>
      <c r="M7486" s="13"/>
    </row>
    <row r="7487" spans="12:13">
      <c r="L7487" s="1">
        <v>44677.975694420253</v>
      </c>
      <c r="M7487" s="13"/>
    </row>
    <row r="7488" spans="12:13">
      <c r="L7488" s="1">
        <v>44677.979166642472</v>
      </c>
      <c r="M7488" s="13"/>
    </row>
    <row r="7489" spans="12:13">
      <c r="L7489" s="1">
        <v>44677.982638864691</v>
      </c>
      <c r="M7489" s="13"/>
    </row>
    <row r="7490" spans="12:13">
      <c r="L7490" s="1">
        <v>44677.98611108691</v>
      </c>
      <c r="M7490" s="13"/>
    </row>
    <row r="7491" spans="12:13">
      <c r="L7491" s="1">
        <v>44677.989583309129</v>
      </c>
      <c r="M7491" s="13"/>
    </row>
    <row r="7492" spans="12:13">
      <c r="L7492" s="1">
        <v>44677.993055531348</v>
      </c>
      <c r="M7492" s="13"/>
    </row>
    <row r="7493" spans="12:13">
      <c r="L7493" s="1">
        <v>44677.996527753567</v>
      </c>
      <c r="M7493" s="13"/>
    </row>
    <row r="7494" spans="12:13">
      <c r="L7494" s="1">
        <v>44677.999999975786</v>
      </c>
      <c r="M7494" s="13"/>
    </row>
    <row r="7495" spans="12:13">
      <c r="L7495" s="1">
        <v>44678.003472198005</v>
      </c>
      <c r="M7495" s="13"/>
    </row>
    <row r="7496" spans="12:13">
      <c r="L7496" s="1">
        <v>44678.006944420224</v>
      </c>
      <c r="M7496" s="13"/>
    </row>
    <row r="7497" spans="12:13">
      <c r="L7497" s="1">
        <v>44678.010416642443</v>
      </c>
      <c r="M7497" s="13"/>
    </row>
    <row r="7498" spans="12:13">
      <c r="L7498" s="1">
        <v>44678.013888864662</v>
      </c>
      <c r="M7498" s="13"/>
    </row>
    <row r="7499" spans="12:13">
      <c r="L7499" s="1">
        <v>44678.017361086881</v>
      </c>
      <c r="M7499" s="13"/>
    </row>
    <row r="7500" spans="12:13">
      <c r="L7500" s="1">
        <v>44678.0208333091</v>
      </c>
      <c r="M7500" s="13"/>
    </row>
    <row r="7501" spans="12:13">
      <c r="L7501" s="1">
        <v>44678.024305531319</v>
      </c>
      <c r="M7501" s="13"/>
    </row>
    <row r="7502" spans="12:13">
      <c r="L7502" s="1">
        <v>44678.027777753538</v>
      </c>
      <c r="M7502" s="13"/>
    </row>
    <row r="7503" spans="12:13">
      <c r="L7503" s="1">
        <v>44678.031249975757</v>
      </c>
      <c r="M7503" s="13"/>
    </row>
    <row r="7504" spans="12:13">
      <c r="L7504" s="1">
        <v>44678.034722197975</v>
      </c>
      <c r="M7504" s="13"/>
    </row>
    <row r="7505" spans="12:13">
      <c r="L7505" s="1">
        <v>44678.038194420194</v>
      </c>
      <c r="M7505" s="13"/>
    </row>
    <row r="7506" spans="12:13">
      <c r="L7506" s="1">
        <v>44678.041666642413</v>
      </c>
      <c r="M7506" s="13"/>
    </row>
    <row r="7507" spans="12:13">
      <c r="L7507" s="1">
        <v>44678.045138864632</v>
      </c>
      <c r="M7507" s="13"/>
    </row>
    <row r="7508" spans="12:13">
      <c r="L7508" s="1">
        <v>44678.048611086851</v>
      </c>
      <c r="M7508" s="13"/>
    </row>
    <row r="7509" spans="12:13">
      <c r="L7509" s="1">
        <v>44678.05208330907</v>
      </c>
      <c r="M7509" s="13"/>
    </row>
    <row r="7510" spans="12:13">
      <c r="L7510" s="1">
        <v>44678.055555531289</v>
      </c>
      <c r="M7510" s="13"/>
    </row>
    <row r="7511" spans="12:13">
      <c r="L7511" s="1">
        <v>44678.059027753508</v>
      </c>
      <c r="M7511" s="13"/>
    </row>
    <row r="7512" spans="12:13">
      <c r="L7512" s="1">
        <v>44678.062499975727</v>
      </c>
      <c r="M7512" s="13"/>
    </row>
    <row r="7513" spans="12:13">
      <c r="L7513" s="1">
        <v>44678.065972197946</v>
      </c>
      <c r="M7513" s="13"/>
    </row>
    <row r="7514" spans="12:13">
      <c r="L7514" s="1">
        <v>44678.069444420165</v>
      </c>
      <c r="M7514" s="13"/>
    </row>
    <row r="7515" spans="12:13">
      <c r="L7515" s="1">
        <v>44678.072916642384</v>
      </c>
      <c r="M7515" s="13"/>
    </row>
    <row r="7516" spans="12:13">
      <c r="L7516" s="1">
        <v>44678.076388864603</v>
      </c>
      <c r="M7516" s="13"/>
    </row>
    <row r="7517" spans="12:13">
      <c r="L7517" s="1">
        <v>44678.079861086822</v>
      </c>
      <c r="M7517" s="13"/>
    </row>
    <row r="7518" spans="12:13">
      <c r="L7518" s="1">
        <v>44678.083333309041</v>
      </c>
      <c r="M7518" s="13"/>
    </row>
    <row r="7519" spans="12:13">
      <c r="L7519" s="1">
        <v>44678.08680553126</v>
      </c>
      <c r="M7519" s="13"/>
    </row>
    <row r="7520" spans="12:13">
      <c r="L7520" s="1">
        <v>44678.090277753479</v>
      </c>
      <c r="M7520" s="13"/>
    </row>
    <row r="7521" spans="12:13">
      <c r="L7521" s="1">
        <v>44678.093749975698</v>
      </c>
      <c r="M7521" s="13"/>
    </row>
    <row r="7522" spans="12:13">
      <c r="L7522" s="1">
        <v>44678.097222197917</v>
      </c>
      <c r="M7522" s="13"/>
    </row>
    <row r="7523" spans="12:13">
      <c r="L7523" s="1">
        <v>44678.100694420136</v>
      </c>
      <c r="M7523" s="13"/>
    </row>
    <row r="7524" spans="12:13">
      <c r="L7524" s="1">
        <v>44678.104166642355</v>
      </c>
      <c r="M7524" s="13"/>
    </row>
    <row r="7525" spans="12:13">
      <c r="L7525" s="1">
        <v>44678.107638864574</v>
      </c>
      <c r="M7525" s="13"/>
    </row>
    <row r="7526" spans="12:13">
      <c r="L7526" s="1">
        <v>44678.111111086793</v>
      </c>
      <c r="M7526" s="13"/>
    </row>
    <row r="7527" spans="12:13">
      <c r="L7527" s="1">
        <v>44678.114583309012</v>
      </c>
      <c r="M7527" s="13"/>
    </row>
    <row r="7528" spans="12:13">
      <c r="L7528" s="1">
        <v>44678.118055531231</v>
      </c>
      <c r="M7528" s="13"/>
    </row>
    <row r="7529" spans="12:13">
      <c r="L7529" s="1">
        <v>44678.12152775345</v>
      </c>
      <c r="M7529" s="13"/>
    </row>
    <row r="7530" spans="12:13">
      <c r="L7530" s="1">
        <v>44678.124999975669</v>
      </c>
      <c r="M7530" s="13"/>
    </row>
    <row r="7531" spans="12:13">
      <c r="L7531" s="1">
        <v>44678.128472197888</v>
      </c>
      <c r="M7531" s="13"/>
    </row>
    <row r="7532" spans="12:13">
      <c r="L7532" s="1">
        <v>44678.131944420107</v>
      </c>
      <c r="M7532" s="13"/>
    </row>
    <row r="7533" spans="12:13">
      <c r="L7533" s="1">
        <v>44678.135416642326</v>
      </c>
      <c r="M7533" s="13"/>
    </row>
    <row r="7534" spans="12:13">
      <c r="L7534" s="1">
        <v>44678.138888864545</v>
      </c>
      <c r="M7534" s="13"/>
    </row>
    <row r="7535" spans="12:13">
      <c r="L7535" s="1">
        <v>44678.142361086764</v>
      </c>
      <c r="M7535" s="13"/>
    </row>
    <row r="7536" spans="12:13">
      <c r="L7536" s="1">
        <v>44678.145833308983</v>
      </c>
      <c r="M7536" s="13"/>
    </row>
    <row r="7537" spans="12:13">
      <c r="L7537" s="1">
        <v>44678.149305531202</v>
      </c>
      <c r="M7537" s="13"/>
    </row>
    <row r="7538" spans="12:13">
      <c r="L7538" s="1">
        <v>44678.152777753421</v>
      </c>
      <c r="M7538" s="13"/>
    </row>
    <row r="7539" spans="12:13">
      <c r="L7539" s="1">
        <v>44678.15624997564</v>
      </c>
      <c r="M7539" s="13"/>
    </row>
    <row r="7540" spans="12:13">
      <c r="L7540" s="1">
        <v>44678.159722197859</v>
      </c>
      <c r="M7540" s="13"/>
    </row>
    <row r="7541" spans="12:13">
      <c r="L7541" s="1">
        <v>44678.163194420078</v>
      </c>
      <c r="M7541" s="13"/>
    </row>
    <row r="7542" spans="12:13">
      <c r="L7542" s="1">
        <v>44678.166666642297</v>
      </c>
      <c r="M7542" s="13"/>
    </row>
    <row r="7543" spans="12:13">
      <c r="L7543" s="1">
        <v>44678.170138864516</v>
      </c>
      <c r="M7543" s="13"/>
    </row>
    <row r="7544" spans="12:13">
      <c r="L7544" s="1">
        <v>44678.173611086735</v>
      </c>
      <c r="M7544" s="13"/>
    </row>
    <row r="7545" spans="12:13">
      <c r="L7545" s="1">
        <v>44678.177083308954</v>
      </c>
      <c r="M7545" s="13"/>
    </row>
    <row r="7546" spans="12:13">
      <c r="L7546" s="1">
        <v>44678.180555531173</v>
      </c>
      <c r="M7546" s="13"/>
    </row>
    <row r="7547" spans="12:13">
      <c r="L7547" s="1">
        <v>44678.184027753392</v>
      </c>
      <c r="M7547" s="13"/>
    </row>
    <row r="7548" spans="12:13">
      <c r="L7548" s="1">
        <v>44678.187499975611</v>
      </c>
      <c r="M7548" s="13"/>
    </row>
    <row r="7549" spans="12:13">
      <c r="L7549" s="1">
        <v>44678.19097219783</v>
      </c>
      <c r="M7549" s="13"/>
    </row>
    <row r="7550" spans="12:13">
      <c r="L7550" s="1">
        <v>44678.194444420049</v>
      </c>
      <c r="M7550" s="13"/>
    </row>
    <row r="7551" spans="12:13">
      <c r="L7551" s="1">
        <v>44678.197916642268</v>
      </c>
      <c r="M7551" s="13"/>
    </row>
    <row r="7552" spans="12:13">
      <c r="L7552" s="1">
        <v>44678.201388864487</v>
      </c>
      <c r="M7552" s="13"/>
    </row>
    <row r="7553" spans="12:13">
      <c r="L7553" s="1">
        <v>44678.204861086706</v>
      </c>
      <c r="M7553" s="13"/>
    </row>
    <row r="7554" spans="12:13">
      <c r="L7554" s="1">
        <v>44678.208333308925</v>
      </c>
      <c r="M7554" s="13"/>
    </row>
    <row r="7555" spans="12:13">
      <c r="L7555" s="1">
        <v>44678.211805531144</v>
      </c>
      <c r="M7555" s="13"/>
    </row>
    <row r="7556" spans="12:13">
      <c r="L7556" s="1">
        <v>44678.215277753363</v>
      </c>
      <c r="M7556" s="13"/>
    </row>
    <row r="7557" spans="12:13">
      <c r="L7557" s="1">
        <v>44678.218749975582</v>
      </c>
      <c r="M7557" s="13"/>
    </row>
    <row r="7558" spans="12:13">
      <c r="L7558" s="1">
        <v>44678.222222197801</v>
      </c>
      <c r="M7558" s="13"/>
    </row>
    <row r="7559" spans="12:13">
      <c r="L7559" s="1">
        <v>44678.22569442002</v>
      </c>
      <c r="M7559" s="13"/>
    </row>
    <row r="7560" spans="12:13">
      <c r="L7560" s="1">
        <v>44678.229166642239</v>
      </c>
      <c r="M7560" s="13"/>
    </row>
    <row r="7561" spans="12:13">
      <c r="L7561" s="1">
        <v>44678.232638864458</v>
      </c>
      <c r="M7561" s="13"/>
    </row>
    <row r="7562" spans="12:13">
      <c r="L7562" s="1">
        <v>44678.236111086677</v>
      </c>
      <c r="M7562" s="13"/>
    </row>
    <row r="7563" spans="12:13">
      <c r="L7563" s="1">
        <v>44678.239583308896</v>
      </c>
      <c r="M7563" s="13"/>
    </row>
    <row r="7564" spans="12:13">
      <c r="L7564" s="1">
        <v>44678.243055531115</v>
      </c>
      <c r="M7564" s="13"/>
    </row>
    <row r="7565" spans="12:13">
      <c r="L7565" s="1">
        <v>44678.246527753334</v>
      </c>
      <c r="M7565" s="13"/>
    </row>
    <row r="7566" spans="12:13">
      <c r="L7566" s="1">
        <v>44678.249999975553</v>
      </c>
      <c r="M7566" s="13"/>
    </row>
    <row r="7567" spans="12:13">
      <c r="L7567" s="1">
        <v>44678.253472197772</v>
      </c>
      <c r="M7567" s="13"/>
    </row>
    <row r="7568" spans="12:13">
      <c r="L7568" s="1">
        <v>44678.256944419991</v>
      </c>
      <c r="M7568" s="13"/>
    </row>
    <row r="7569" spans="12:13">
      <c r="L7569" s="1">
        <v>44678.26041664221</v>
      </c>
      <c r="M7569" s="13"/>
    </row>
    <row r="7570" spans="12:13">
      <c r="L7570" s="1">
        <v>44678.263888864429</v>
      </c>
      <c r="M7570" s="13"/>
    </row>
    <row r="7571" spans="12:13">
      <c r="L7571" s="1">
        <v>44678.267361086648</v>
      </c>
      <c r="M7571" s="13"/>
    </row>
    <row r="7572" spans="12:13">
      <c r="L7572" s="1">
        <v>44678.270833308867</v>
      </c>
      <c r="M7572" s="13"/>
    </row>
    <row r="7573" spans="12:13">
      <c r="L7573" s="1">
        <v>44678.274305531086</v>
      </c>
      <c r="M7573" s="13"/>
    </row>
    <row r="7574" spans="12:13">
      <c r="L7574" s="1">
        <v>44678.277777753305</v>
      </c>
      <c r="M7574" s="13"/>
    </row>
    <row r="7575" spans="12:13">
      <c r="L7575" s="1">
        <v>44678.281249975524</v>
      </c>
      <c r="M7575" s="13"/>
    </row>
    <row r="7576" spans="12:13">
      <c r="L7576" s="1">
        <v>44678.284722197743</v>
      </c>
      <c r="M7576" s="13"/>
    </row>
    <row r="7577" spans="12:13">
      <c r="L7577" s="1">
        <v>44678.288194419962</v>
      </c>
      <c r="M7577" s="13"/>
    </row>
    <row r="7578" spans="12:13">
      <c r="L7578" s="1">
        <v>44678.291666642181</v>
      </c>
      <c r="M7578" s="13"/>
    </row>
    <row r="7579" spans="12:13">
      <c r="L7579" s="1">
        <v>44678.2951388644</v>
      </c>
      <c r="M7579" s="13"/>
    </row>
    <row r="7580" spans="12:13">
      <c r="L7580" s="1">
        <v>44678.298611086619</v>
      </c>
      <c r="M7580" s="13"/>
    </row>
    <row r="7581" spans="12:13">
      <c r="L7581" s="1">
        <v>44678.302083308838</v>
      </c>
      <c r="M7581" s="13"/>
    </row>
    <row r="7582" spans="12:13">
      <c r="L7582" s="1">
        <v>44678.305555531057</v>
      </c>
      <c r="M7582" s="13"/>
    </row>
    <row r="7583" spans="12:13">
      <c r="L7583" s="1">
        <v>44678.309027753276</v>
      </c>
      <c r="M7583" s="13"/>
    </row>
    <row r="7584" spans="12:13">
      <c r="L7584" s="1">
        <v>44678.312499975495</v>
      </c>
      <c r="M7584" s="13"/>
    </row>
    <row r="7585" spans="12:13">
      <c r="L7585" s="1">
        <v>44678.315972197714</v>
      </c>
      <c r="M7585" s="13"/>
    </row>
    <row r="7586" spans="12:13">
      <c r="L7586" s="1">
        <v>44678.319444419933</v>
      </c>
      <c r="M7586" s="13"/>
    </row>
    <row r="7587" spans="12:13">
      <c r="L7587" s="1">
        <v>44678.322916642152</v>
      </c>
      <c r="M7587" s="13"/>
    </row>
    <row r="7588" spans="12:13">
      <c r="L7588" s="1">
        <v>44678.326388864371</v>
      </c>
      <c r="M7588" s="13"/>
    </row>
    <row r="7589" spans="12:13">
      <c r="L7589" s="1">
        <v>44678.32986108659</v>
      </c>
      <c r="M7589" s="13"/>
    </row>
    <row r="7590" spans="12:13">
      <c r="L7590" s="1">
        <v>44678.333333308809</v>
      </c>
      <c r="M7590" s="13"/>
    </row>
    <row r="7591" spans="12:13">
      <c r="L7591" s="1">
        <v>44678.336805531027</v>
      </c>
      <c r="M7591" s="13"/>
    </row>
    <row r="7592" spans="12:13">
      <c r="L7592" s="1">
        <v>44678.340277753246</v>
      </c>
      <c r="M7592" s="13"/>
    </row>
    <row r="7593" spans="12:13">
      <c r="L7593" s="1">
        <v>44678.343749975465</v>
      </c>
      <c r="M7593" s="13"/>
    </row>
    <row r="7594" spans="12:13">
      <c r="L7594" s="1">
        <v>44678.347222197684</v>
      </c>
      <c r="M7594" s="13"/>
    </row>
    <row r="7595" spans="12:13">
      <c r="L7595" s="1">
        <v>44678.350694419903</v>
      </c>
      <c r="M7595" s="13"/>
    </row>
    <row r="7596" spans="12:13">
      <c r="L7596" s="1">
        <v>44678.354166642122</v>
      </c>
      <c r="M7596" s="13"/>
    </row>
    <row r="7597" spans="12:13">
      <c r="L7597" s="1">
        <v>44678.357638864341</v>
      </c>
      <c r="M7597" s="13"/>
    </row>
    <row r="7598" spans="12:13">
      <c r="L7598" s="1">
        <v>44678.36111108656</v>
      </c>
      <c r="M7598" s="13"/>
    </row>
    <row r="7599" spans="12:13">
      <c r="L7599" s="1">
        <v>44678.364583308779</v>
      </c>
      <c r="M7599" s="13"/>
    </row>
    <row r="7600" spans="12:13">
      <c r="L7600" s="1">
        <v>44678.368055530998</v>
      </c>
      <c r="M7600" s="13"/>
    </row>
    <row r="7601" spans="12:13">
      <c r="L7601" s="1">
        <v>44678.371527753217</v>
      </c>
      <c r="M7601" s="13"/>
    </row>
    <row r="7602" spans="12:13">
      <c r="L7602" s="1">
        <v>44678.374999975436</v>
      </c>
      <c r="M7602" s="13"/>
    </row>
    <row r="7603" spans="12:13">
      <c r="L7603" s="1">
        <v>44678.378472197655</v>
      </c>
      <c r="M7603" s="13"/>
    </row>
    <row r="7604" spans="12:13">
      <c r="L7604" s="1">
        <v>44678.381944419874</v>
      </c>
      <c r="M7604" s="13"/>
    </row>
    <row r="7605" spans="12:13">
      <c r="L7605" s="1">
        <v>44678.385416642093</v>
      </c>
      <c r="M7605" s="13"/>
    </row>
    <row r="7606" spans="12:13">
      <c r="L7606" s="1">
        <v>44678.388888864312</v>
      </c>
      <c r="M7606" s="13"/>
    </row>
    <row r="7607" spans="12:13">
      <c r="L7607" s="1">
        <v>44678.392361086531</v>
      </c>
      <c r="M7607" s="13"/>
    </row>
    <row r="7608" spans="12:13">
      <c r="L7608" s="1">
        <v>44678.39583330875</v>
      </c>
      <c r="M7608" s="13"/>
    </row>
    <row r="7609" spans="12:13">
      <c r="L7609" s="1">
        <v>44678.399305530969</v>
      </c>
      <c r="M7609" s="13"/>
    </row>
    <row r="7610" spans="12:13">
      <c r="L7610" s="1">
        <v>44678.402777753188</v>
      </c>
      <c r="M7610" s="13"/>
    </row>
    <row r="7611" spans="12:13">
      <c r="L7611" s="1">
        <v>44678.406249975407</v>
      </c>
      <c r="M7611" s="13"/>
    </row>
    <row r="7612" spans="12:13">
      <c r="L7612" s="1">
        <v>44678.409722197626</v>
      </c>
      <c r="M7612" s="13"/>
    </row>
    <row r="7613" spans="12:13">
      <c r="L7613" s="1">
        <v>44678.413194419845</v>
      </c>
      <c r="M7613" s="13"/>
    </row>
    <row r="7614" spans="12:13">
      <c r="L7614" s="1">
        <v>44678.416666642064</v>
      </c>
      <c r="M7614" s="13"/>
    </row>
    <row r="7615" spans="12:13">
      <c r="L7615" s="1">
        <v>44678.420138864283</v>
      </c>
      <c r="M7615" s="13"/>
    </row>
    <row r="7616" spans="12:13">
      <c r="L7616" s="1">
        <v>44678.423611086502</v>
      </c>
      <c r="M7616" s="13"/>
    </row>
    <row r="7617" spans="12:13">
      <c r="L7617" s="1">
        <v>44678.427083308721</v>
      </c>
      <c r="M7617" s="13"/>
    </row>
    <row r="7618" spans="12:13">
      <c r="L7618" s="1">
        <v>44678.43055553094</v>
      </c>
      <c r="M7618" s="13"/>
    </row>
    <row r="7619" spans="12:13">
      <c r="L7619" s="1">
        <v>44678.434027753159</v>
      </c>
      <c r="M7619" s="13"/>
    </row>
    <row r="7620" spans="12:13">
      <c r="L7620" s="1">
        <v>44678.437499975378</v>
      </c>
      <c r="M7620" s="13"/>
    </row>
    <row r="7621" spans="12:13">
      <c r="L7621" s="1">
        <v>44678.440972197597</v>
      </c>
      <c r="M7621" s="13"/>
    </row>
    <row r="7622" spans="12:13">
      <c r="L7622" s="1">
        <v>44678.444444419816</v>
      </c>
      <c r="M7622" s="13"/>
    </row>
    <row r="7623" spans="12:13">
      <c r="L7623" s="1">
        <v>44678.447916642035</v>
      </c>
      <c r="M7623" s="13"/>
    </row>
    <row r="7624" spans="12:13">
      <c r="L7624" s="1">
        <v>44678.451388864254</v>
      </c>
      <c r="M7624" s="13"/>
    </row>
    <row r="7625" spans="12:13">
      <c r="L7625" s="1">
        <v>44678.454861086473</v>
      </c>
      <c r="M7625" s="13"/>
    </row>
    <row r="7626" spans="12:13">
      <c r="L7626" s="1">
        <v>44678.458333308692</v>
      </c>
      <c r="M7626" s="13"/>
    </row>
    <row r="7627" spans="12:13">
      <c r="L7627" s="1">
        <v>44678.461805530911</v>
      </c>
      <c r="M7627" s="13"/>
    </row>
    <row r="7628" spans="12:13">
      <c r="L7628" s="1">
        <v>44678.46527775313</v>
      </c>
      <c r="M7628" s="13"/>
    </row>
    <row r="7629" spans="12:13">
      <c r="L7629" s="1">
        <v>44678.468749975349</v>
      </c>
      <c r="M7629" s="13"/>
    </row>
    <row r="7630" spans="12:13">
      <c r="L7630" s="1">
        <v>44678.472222197568</v>
      </c>
      <c r="M7630" s="13"/>
    </row>
    <row r="7631" spans="12:13">
      <c r="L7631" s="1">
        <v>44678.475694419787</v>
      </c>
      <c r="M7631" s="13"/>
    </row>
    <row r="7632" spans="12:13">
      <c r="L7632" s="1">
        <v>44678.479166642006</v>
      </c>
      <c r="M7632" s="13"/>
    </row>
    <row r="7633" spans="12:13">
      <c r="L7633" s="1">
        <v>44678.482638864225</v>
      </c>
      <c r="M7633" s="13"/>
    </row>
    <row r="7634" spans="12:13">
      <c r="L7634" s="1">
        <v>44678.486111086444</v>
      </c>
      <c r="M7634" s="13"/>
    </row>
    <row r="7635" spans="12:13">
      <c r="L7635" s="1">
        <v>44678.489583308663</v>
      </c>
      <c r="M7635" s="13"/>
    </row>
    <row r="7636" spans="12:13">
      <c r="L7636" s="1">
        <v>44678.493055530882</v>
      </c>
      <c r="M7636" s="13"/>
    </row>
    <row r="7637" spans="12:13">
      <c r="L7637" s="1">
        <v>44678.496527753101</v>
      </c>
      <c r="M7637" s="13"/>
    </row>
    <row r="7638" spans="12:13">
      <c r="L7638" s="1">
        <v>44678.49999997532</v>
      </c>
      <c r="M7638" s="13"/>
    </row>
    <row r="7639" spans="12:13">
      <c r="L7639" s="1">
        <v>44678.503472197539</v>
      </c>
      <c r="M7639" s="13"/>
    </row>
    <row r="7640" spans="12:13">
      <c r="L7640" s="1">
        <v>44678.506944419758</v>
      </c>
      <c r="M7640" s="13"/>
    </row>
    <row r="7641" spans="12:13">
      <c r="L7641" s="1">
        <v>44678.510416641977</v>
      </c>
      <c r="M7641" s="13"/>
    </row>
    <row r="7642" spans="12:13">
      <c r="L7642" s="1">
        <v>44678.513888864196</v>
      </c>
      <c r="M7642" s="13"/>
    </row>
    <row r="7643" spans="12:13">
      <c r="L7643" s="1">
        <v>44678.517361086415</v>
      </c>
      <c r="M7643" s="13"/>
    </row>
    <row r="7644" spans="12:13">
      <c r="L7644" s="1">
        <v>44678.520833308634</v>
      </c>
      <c r="M7644" s="13"/>
    </row>
    <row r="7645" spans="12:13">
      <c r="L7645" s="1">
        <v>44678.524305530853</v>
      </c>
      <c r="M7645" s="13"/>
    </row>
    <row r="7646" spans="12:13">
      <c r="L7646" s="1">
        <v>44678.527777753072</v>
      </c>
      <c r="M7646" s="13"/>
    </row>
    <row r="7647" spans="12:13">
      <c r="L7647" s="1">
        <v>44678.531249975291</v>
      </c>
      <c r="M7647" s="13"/>
    </row>
    <row r="7648" spans="12:13">
      <c r="L7648" s="1">
        <v>44678.53472219751</v>
      </c>
      <c r="M7648" s="13"/>
    </row>
    <row r="7649" spans="12:13">
      <c r="L7649" s="1">
        <v>44678.538194419729</v>
      </c>
      <c r="M7649" s="13"/>
    </row>
    <row r="7650" spans="12:13">
      <c r="L7650" s="1">
        <v>44678.541666641948</v>
      </c>
      <c r="M7650" s="13"/>
    </row>
    <row r="7651" spans="12:13">
      <c r="L7651" s="1">
        <v>44678.545138864167</v>
      </c>
      <c r="M7651" s="13"/>
    </row>
    <row r="7652" spans="12:13">
      <c r="L7652" s="1">
        <v>44678.548611086386</v>
      </c>
      <c r="M7652" s="13"/>
    </row>
    <row r="7653" spans="12:13">
      <c r="L7653" s="1">
        <v>44678.552083308605</v>
      </c>
      <c r="M7653" s="13"/>
    </row>
    <row r="7654" spans="12:13">
      <c r="L7654" s="1">
        <v>44678.555555530824</v>
      </c>
      <c r="M7654" s="13"/>
    </row>
    <row r="7655" spans="12:13">
      <c r="L7655" s="1">
        <v>44678.559027753043</v>
      </c>
      <c r="M7655" s="13"/>
    </row>
    <row r="7656" spans="12:13">
      <c r="L7656" s="1">
        <v>44678.562499975262</v>
      </c>
      <c r="M7656" s="13"/>
    </row>
    <row r="7657" spans="12:13">
      <c r="L7657" s="1">
        <v>44678.565972197481</v>
      </c>
      <c r="M7657" s="13"/>
    </row>
    <row r="7658" spans="12:13">
      <c r="L7658" s="1">
        <v>44678.5694444197</v>
      </c>
      <c r="M7658" s="13"/>
    </row>
    <row r="7659" spans="12:13">
      <c r="L7659" s="1">
        <v>44678.572916641919</v>
      </c>
      <c r="M7659" s="13"/>
    </row>
    <row r="7660" spans="12:13">
      <c r="L7660" s="1">
        <v>44678.576388864138</v>
      </c>
      <c r="M7660" s="13"/>
    </row>
    <row r="7661" spans="12:13">
      <c r="L7661" s="1">
        <v>44678.579861086357</v>
      </c>
      <c r="M7661" s="13"/>
    </row>
    <row r="7662" spans="12:13">
      <c r="L7662" s="1">
        <v>44678.583333308576</v>
      </c>
      <c r="M7662" s="13"/>
    </row>
    <row r="7663" spans="12:13">
      <c r="L7663" s="1">
        <v>44678.586805530795</v>
      </c>
      <c r="M7663" s="13"/>
    </row>
    <row r="7664" spans="12:13">
      <c r="L7664" s="1">
        <v>44678.590277753014</v>
      </c>
      <c r="M7664" s="13"/>
    </row>
    <row r="7665" spans="12:13">
      <c r="L7665" s="1">
        <v>44678.593749975233</v>
      </c>
      <c r="M7665" s="13"/>
    </row>
    <row r="7666" spans="12:13">
      <c r="L7666" s="1">
        <v>44678.597222197452</v>
      </c>
      <c r="M7666" s="13"/>
    </row>
    <row r="7667" spans="12:13">
      <c r="L7667" s="1">
        <v>44678.600694419671</v>
      </c>
      <c r="M7667" s="13"/>
    </row>
    <row r="7668" spans="12:13">
      <c r="L7668" s="1">
        <v>44678.60416664189</v>
      </c>
      <c r="M7668" s="13"/>
    </row>
    <row r="7669" spans="12:13">
      <c r="L7669" s="1">
        <v>44678.607638864109</v>
      </c>
      <c r="M7669" s="13"/>
    </row>
    <row r="7670" spans="12:13">
      <c r="L7670" s="1">
        <v>44678.611111086328</v>
      </c>
      <c r="M7670" s="13"/>
    </row>
    <row r="7671" spans="12:13">
      <c r="L7671" s="1">
        <v>44678.614583308547</v>
      </c>
      <c r="M7671" s="13"/>
    </row>
    <row r="7672" spans="12:13">
      <c r="L7672" s="1">
        <v>44678.618055530766</v>
      </c>
      <c r="M7672" s="13"/>
    </row>
    <row r="7673" spans="12:13">
      <c r="L7673" s="1">
        <v>44678.621527752985</v>
      </c>
      <c r="M7673" s="13"/>
    </row>
    <row r="7674" spans="12:13">
      <c r="L7674" s="1">
        <v>44678.624999975204</v>
      </c>
      <c r="M7674" s="13"/>
    </row>
    <row r="7675" spans="12:13">
      <c r="L7675" s="1">
        <v>44678.628472197423</v>
      </c>
      <c r="M7675" s="13"/>
    </row>
    <row r="7676" spans="12:13">
      <c r="L7676" s="1">
        <v>44678.631944419642</v>
      </c>
      <c r="M7676" s="13"/>
    </row>
    <row r="7677" spans="12:13">
      <c r="L7677" s="1">
        <v>44678.635416641861</v>
      </c>
      <c r="M7677" s="13"/>
    </row>
    <row r="7678" spans="12:13">
      <c r="L7678" s="1">
        <v>44678.638888864079</v>
      </c>
      <c r="M7678" s="13"/>
    </row>
    <row r="7679" spans="12:13">
      <c r="L7679" s="1">
        <v>44678.642361086298</v>
      </c>
      <c r="M7679" s="13"/>
    </row>
    <row r="7680" spans="12:13">
      <c r="L7680" s="1">
        <v>44678.645833308517</v>
      </c>
      <c r="M7680" s="13"/>
    </row>
    <row r="7681" spans="12:13">
      <c r="L7681" s="1">
        <v>44678.649305530736</v>
      </c>
      <c r="M7681" s="13"/>
    </row>
    <row r="7682" spans="12:13">
      <c r="L7682" s="1">
        <v>44678.652777752955</v>
      </c>
      <c r="M7682" s="13"/>
    </row>
    <row r="7683" spans="12:13">
      <c r="L7683" s="1">
        <v>44678.656249975174</v>
      </c>
      <c r="M7683" s="13"/>
    </row>
    <row r="7684" spans="12:13">
      <c r="L7684" s="1">
        <v>44678.659722197393</v>
      </c>
      <c r="M7684" s="13"/>
    </row>
    <row r="7685" spans="12:13">
      <c r="L7685" s="1">
        <v>44678.663194419612</v>
      </c>
      <c r="M7685" s="13"/>
    </row>
    <row r="7686" spans="12:13">
      <c r="L7686" s="1">
        <v>44678.666666641831</v>
      </c>
      <c r="M7686" s="13"/>
    </row>
    <row r="7687" spans="12:13">
      <c r="L7687" s="1">
        <v>44678.67013886405</v>
      </c>
      <c r="M7687" s="13"/>
    </row>
    <row r="7688" spans="12:13">
      <c r="L7688" s="1">
        <v>44678.673611086269</v>
      </c>
      <c r="M7688" s="13"/>
    </row>
    <row r="7689" spans="12:13">
      <c r="L7689" s="1">
        <v>44678.677083308488</v>
      </c>
      <c r="M7689" s="13"/>
    </row>
    <row r="7690" spans="12:13">
      <c r="L7690" s="1">
        <v>44678.680555530707</v>
      </c>
      <c r="M7690" s="13"/>
    </row>
    <row r="7691" spans="12:13">
      <c r="L7691" s="1">
        <v>44678.684027752926</v>
      </c>
      <c r="M7691" s="13"/>
    </row>
    <row r="7692" spans="12:13">
      <c r="L7692" s="1">
        <v>44678.687499975145</v>
      </c>
      <c r="M7692" s="13"/>
    </row>
    <row r="7693" spans="12:13">
      <c r="L7693" s="1">
        <v>44678.690972197364</v>
      </c>
      <c r="M7693" s="13"/>
    </row>
    <row r="7694" spans="12:13">
      <c r="L7694" s="1">
        <v>44678.694444419583</v>
      </c>
      <c r="M7694" s="13"/>
    </row>
    <row r="7695" spans="12:13">
      <c r="L7695" s="1">
        <v>44678.697916641802</v>
      </c>
      <c r="M7695" s="13"/>
    </row>
    <row r="7696" spans="12:13">
      <c r="L7696" s="1">
        <v>44678.701388864021</v>
      </c>
      <c r="M7696" s="13"/>
    </row>
    <row r="7697" spans="12:13">
      <c r="L7697" s="1">
        <v>44678.70486108624</v>
      </c>
      <c r="M7697" s="13"/>
    </row>
    <row r="7698" spans="12:13">
      <c r="L7698" s="1">
        <v>44678.708333308459</v>
      </c>
      <c r="M7698" s="13"/>
    </row>
    <row r="7699" spans="12:13">
      <c r="L7699" s="1">
        <v>44678.711805530678</v>
      </c>
      <c r="M7699" s="13"/>
    </row>
    <row r="7700" spans="12:13">
      <c r="L7700" s="1">
        <v>44678.715277752897</v>
      </c>
      <c r="M7700" s="13"/>
    </row>
    <row r="7701" spans="12:13">
      <c r="L7701" s="1">
        <v>44678.718749975116</v>
      </c>
      <c r="M7701" s="13"/>
    </row>
    <row r="7702" spans="12:13">
      <c r="L7702" s="1">
        <v>44678.722222197335</v>
      </c>
      <c r="M7702" s="13"/>
    </row>
    <row r="7703" spans="12:13">
      <c r="L7703" s="1">
        <v>44678.725694419554</v>
      </c>
      <c r="M7703" s="13"/>
    </row>
    <row r="7704" spans="12:13">
      <c r="L7704" s="1">
        <v>44678.729166641773</v>
      </c>
      <c r="M7704" s="13"/>
    </row>
    <row r="7705" spans="12:13">
      <c r="L7705" s="1">
        <v>44678.732638863992</v>
      </c>
      <c r="M7705" s="13"/>
    </row>
    <row r="7706" spans="12:13">
      <c r="L7706" s="1">
        <v>44678.736111086211</v>
      </c>
      <c r="M7706" s="13"/>
    </row>
    <row r="7707" spans="12:13">
      <c r="L7707" s="1">
        <v>44678.73958330843</v>
      </c>
      <c r="M7707" s="13"/>
    </row>
    <row r="7708" spans="12:13">
      <c r="L7708" s="1">
        <v>44678.743055530649</v>
      </c>
      <c r="M7708" s="13"/>
    </row>
    <row r="7709" spans="12:13">
      <c r="L7709" s="1">
        <v>44678.746527752868</v>
      </c>
      <c r="M7709" s="13"/>
    </row>
    <row r="7710" spans="12:13">
      <c r="L7710" s="1">
        <v>44678.749999975087</v>
      </c>
      <c r="M7710" s="13"/>
    </row>
    <row r="7711" spans="12:13">
      <c r="L7711" s="1">
        <v>44678.753472197306</v>
      </c>
      <c r="M7711" s="13"/>
    </row>
    <row r="7712" spans="12:13">
      <c r="L7712" s="1">
        <v>44678.756944419525</v>
      </c>
      <c r="M7712" s="13"/>
    </row>
    <row r="7713" spans="12:13">
      <c r="L7713" s="1">
        <v>44678.760416641744</v>
      </c>
      <c r="M7713" s="13"/>
    </row>
    <row r="7714" spans="12:13">
      <c r="L7714" s="1">
        <v>44678.763888863963</v>
      </c>
      <c r="M7714" s="13"/>
    </row>
    <row r="7715" spans="12:13">
      <c r="L7715" s="1">
        <v>44678.767361086182</v>
      </c>
      <c r="M7715" s="13"/>
    </row>
    <row r="7716" spans="12:13">
      <c r="L7716" s="1">
        <v>44678.770833308401</v>
      </c>
      <c r="M7716" s="13"/>
    </row>
    <row r="7717" spans="12:13">
      <c r="L7717" s="1">
        <v>44678.77430553062</v>
      </c>
      <c r="M7717" s="13"/>
    </row>
    <row r="7718" spans="12:13">
      <c r="L7718" s="1">
        <v>44678.777777752839</v>
      </c>
      <c r="M7718" s="13"/>
    </row>
    <row r="7719" spans="12:13">
      <c r="L7719" s="1">
        <v>44678.781249975058</v>
      </c>
      <c r="M7719" s="13"/>
    </row>
    <row r="7720" spans="12:13">
      <c r="L7720" s="1">
        <v>44678.784722197277</v>
      </c>
      <c r="M7720" s="13"/>
    </row>
    <row r="7721" spans="12:13">
      <c r="L7721" s="1">
        <v>44678.788194419496</v>
      </c>
      <c r="M7721" s="13"/>
    </row>
    <row r="7722" spans="12:13">
      <c r="L7722" s="1">
        <v>44678.791666641715</v>
      </c>
      <c r="M7722" s="13"/>
    </row>
    <row r="7723" spans="12:13">
      <c r="L7723" s="1">
        <v>44678.795138863934</v>
      </c>
      <c r="M7723" s="13"/>
    </row>
    <row r="7724" spans="12:13">
      <c r="L7724" s="1">
        <v>44678.798611086153</v>
      </c>
      <c r="M7724" s="13"/>
    </row>
    <row r="7725" spans="12:13">
      <c r="L7725" s="1">
        <v>44678.802083308372</v>
      </c>
      <c r="M7725" s="13"/>
    </row>
    <row r="7726" spans="12:13">
      <c r="L7726" s="1">
        <v>44678.805555530591</v>
      </c>
      <c r="M7726" s="13"/>
    </row>
    <row r="7727" spans="12:13">
      <c r="L7727" s="1">
        <v>44678.80902775281</v>
      </c>
      <c r="M7727" s="13"/>
    </row>
    <row r="7728" spans="12:13">
      <c r="L7728" s="1">
        <v>44678.812499975029</v>
      </c>
      <c r="M7728" s="13"/>
    </row>
    <row r="7729" spans="12:13">
      <c r="L7729" s="1">
        <v>44678.815972197248</v>
      </c>
      <c r="M7729" s="13"/>
    </row>
    <row r="7730" spans="12:13">
      <c r="L7730" s="1">
        <v>44678.819444419467</v>
      </c>
      <c r="M7730" s="13"/>
    </row>
    <row r="7731" spans="12:13">
      <c r="L7731" s="1">
        <v>44678.822916641686</v>
      </c>
      <c r="M7731" s="13"/>
    </row>
    <row r="7732" spans="12:13">
      <c r="L7732" s="1">
        <v>44678.826388863905</v>
      </c>
      <c r="M7732" s="13"/>
    </row>
    <row r="7733" spans="12:13">
      <c r="L7733" s="1">
        <v>44678.829861086124</v>
      </c>
      <c r="M7733" s="13"/>
    </row>
    <row r="7734" spans="12:13">
      <c r="L7734" s="1">
        <v>44678.833333308343</v>
      </c>
      <c r="M7734" s="13"/>
    </row>
    <row r="7735" spans="12:13">
      <c r="L7735" s="1">
        <v>44678.836805530562</v>
      </c>
      <c r="M7735" s="13"/>
    </row>
    <row r="7736" spans="12:13">
      <c r="L7736" s="1">
        <v>44678.840277752781</v>
      </c>
      <c r="M7736" s="13"/>
    </row>
    <row r="7737" spans="12:13">
      <c r="L7737" s="1">
        <v>44678.843749975</v>
      </c>
      <c r="M7737" s="13"/>
    </row>
    <row r="7738" spans="12:13">
      <c r="L7738" s="1">
        <v>44678.847222197219</v>
      </c>
      <c r="M7738" s="13"/>
    </row>
    <row r="7739" spans="12:13">
      <c r="L7739" s="1">
        <v>44678.850694419438</v>
      </c>
      <c r="M7739" s="13"/>
    </row>
    <row r="7740" spans="12:13">
      <c r="L7740" s="1">
        <v>44678.854166641657</v>
      </c>
      <c r="M7740" s="13"/>
    </row>
    <row r="7741" spans="12:13">
      <c r="L7741" s="1">
        <v>44678.857638863876</v>
      </c>
      <c r="M7741" s="13"/>
    </row>
    <row r="7742" spans="12:13">
      <c r="L7742" s="1">
        <v>44678.861111086095</v>
      </c>
      <c r="M7742" s="13"/>
    </row>
    <row r="7743" spans="12:13">
      <c r="L7743" s="1">
        <v>44678.864583308314</v>
      </c>
      <c r="M7743" s="13"/>
    </row>
    <row r="7744" spans="12:13">
      <c r="L7744" s="1">
        <v>44678.868055530533</v>
      </c>
      <c r="M7744" s="13"/>
    </row>
    <row r="7745" spans="12:13">
      <c r="L7745" s="1">
        <v>44678.871527752752</v>
      </c>
      <c r="M7745" s="13"/>
    </row>
    <row r="7746" spans="12:13">
      <c r="L7746" s="1">
        <v>44678.874999974971</v>
      </c>
      <c r="M7746" s="13"/>
    </row>
    <row r="7747" spans="12:13">
      <c r="L7747" s="1">
        <v>44678.87847219719</v>
      </c>
      <c r="M7747" s="13"/>
    </row>
    <row r="7748" spans="12:13">
      <c r="L7748" s="1">
        <v>44678.881944419409</v>
      </c>
      <c r="M7748" s="13"/>
    </row>
    <row r="7749" spans="12:13">
      <c r="L7749" s="1">
        <v>44678.885416641628</v>
      </c>
      <c r="M7749" s="13"/>
    </row>
    <row r="7750" spans="12:13">
      <c r="L7750" s="1">
        <v>44678.888888863847</v>
      </c>
      <c r="M7750" s="13"/>
    </row>
    <row r="7751" spans="12:13">
      <c r="L7751" s="1">
        <v>44678.892361086066</v>
      </c>
      <c r="M7751" s="13"/>
    </row>
    <row r="7752" spans="12:13">
      <c r="L7752" s="1">
        <v>44678.895833308285</v>
      </c>
      <c r="M7752" s="13"/>
    </row>
    <row r="7753" spans="12:13">
      <c r="L7753" s="1">
        <v>44678.899305530504</v>
      </c>
      <c r="M7753" s="13"/>
    </row>
    <row r="7754" spans="12:13">
      <c r="L7754" s="1">
        <v>44678.902777752723</v>
      </c>
      <c r="M7754" s="13"/>
    </row>
    <row r="7755" spans="12:13">
      <c r="L7755" s="1">
        <v>44678.906249974942</v>
      </c>
      <c r="M7755" s="13"/>
    </row>
    <row r="7756" spans="12:13">
      <c r="L7756" s="1">
        <v>44678.909722197161</v>
      </c>
      <c r="M7756" s="13"/>
    </row>
    <row r="7757" spans="12:13">
      <c r="L7757" s="1">
        <v>44678.91319441938</v>
      </c>
      <c r="M7757" s="13"/>
    </row>
    <row r="7758" spans="12:13">
      <c r="L7758" s="1">
        <v>44678.916666641599</v>
      </c>
      <c r="M7758" s="13"/>
    </row>
    <row r="7759" spans="12:13">
      <c r="L7759" s="1">
        <v>44678.920138863818</v>
      </c>
      <c r="M7759" s="13"/>
    </row>
    <row r="7760" spans="12:13">
      <c r="L7760" s="1">
        <v>44678.923611086037</v>
      </c>
      <c r="M7760" s="13"/>
    </row>
    <row r="7761" spans="12:13">
      <c r="L7761" s="1">
        <v>44678.927083308256</v>
      </c>
      <c r="M7761" s="13"/>
    </row>
    <row r="7762" spans="12:13">
      <c r="L7762" s="1">
        <v>44678.930555530475</v>
      </c>
      <c r="M7762" s="13"/>
    </row>
    <row r="7763" spans="12:13">
      <c r="L7763" s="1">
        <v>44678.934027752694</v>
      </c>
      <c r="M7763" s="13"/>
    </row>
    <row r="7764" spans="12:13">
      <c r="L7764" s="1">
        <v>44678.937499974912</v>
      </c>
      <c r="M7764" s="13"/>
    </row>
    <row r="7765" spans="12:13">
      <c r="L7765" s="1">
        <v>44678.940972197131</v>
      </c>
      <c r="M7765" s="13"/>
    </row>
    <row r="7766" spans="12:13">
      <c r="L7766" s="1">
        <v>44678.94444441935</v>
      </c>
      <c r="M7766" s="13"/>
    </row>
    <row r="7767" spans="12:13">
      <c r="L7767" s="1">
        <v>44678.947916641569</v>
      </c>
      <c r="M7767" s="13"/>
    </row>
    <row r="7768" spans="12:13">
      <c r="L7768" s="1">
        <v>44678.951388863788</v>
      </c>
      <c r="M7768" s="13"/>
    </row>
    <row r="7769" spans="12:13">
      <c r="L7769" s="1">
        <v>44678.954861086007</v>
      </c>
      <c r="M7769" s="13"/>
    </row>
    <row r="7770" spans="12:13">
      <c r="L7770" s="1">
        <v>44678.958333308226</v>
      </c>
      <c r="M7770" s="13"/>
    </row>
    <row r="7771" spans="12:13">
      <c r="L7771" s="1">
        <v>44678.961805530445</v>
      </c>
      <c r="M7771" s="13"/>
    </row>
    <row r="7772" spans="12:13">
      <c r="L7772" s="1">
        <v>44678.965277752664</v>
      </c>
      <c r="M7772" s="13"/>
    </row>
    <row r="7773" spans="12:13">
      <c r="L7773" s="1">
        <v>44678.968749974883</v>
      </c>
      <c r="M7773" s="13"/>
    </row>
    <row r="7774" spans="12:13">
      <c r="L7774" s="1">
        <v>44678.972222197102</v>
      </c>
      <c r="M7774" s="13"/>
    </row>
    <row r="7775" spans="12:13">
      <c r="L7775" s="1">
        <v>44678.975694419321</v>
      </c>
      <c r="M7775" s="13"/>
    </row>
    <row r="7776" spans="12:13">
      <c r="L7776" s="1">
        <v>44678.97916664154</v>
      </c>
      <c r="M7776" s="13"/>
    </row>
    <row r="7777" spans="12:13">
      <c r="L7777" s="1">
        <v>44678.982638863759</v>
      </c>
      <c r="M7777" s="13"/>
    </row>
    <row r="7778" spans="12:13">
      <c r="L7778" s="1">
        <v>44678.986111085978</v>
      </c>
      <c r="M7778" s="13"/>
    </row>
    <row r="7779" spans="12:13">
      <c r="L7779" s="1">
        <v>44678.989583308197</v>
      </c>
      <c r="M7779" s="13"/>
    </row>
    <row r="7780" spans="12:13">
      <c r="L7780" s="1">
        <v>44678.993055530416</v>
      </c>
      <c r="M7780" s="13"/>
    </row>
    <row r="7781" spans="12:13">
      <c r="L7781" s="1">
        <v>44678.996527752635</v>
      </c>
      <c r="M7781" s="13"/>
    </row>
    <row r="7782" spans="12:13">
      <c r="L7782" s="1">
        <v>44678.999999974854</v>
      </c>
      <c r="M7782" s="13"/>
    </row>
    <row r="7783" spans="12:13">
      <c r="L7783" s="1">
        <v>44679.003472197073</v>
      </c>
      <c r="M7783" s="13"/>
    </row>
    <row r="7784" spans="12:13">
      <c r="L7784" s="1">
        <v>44679.006944419292</v>
      </c>
      <c r="M7784" s="13"/>
    </row>
    <row r="7785" spans="12:13">
      <c r="L7785" s="1">
        <v>44679.010416641511</v>
      </c>
      <c r="M7785" s="13"/>
    </row>
    <row r="7786" spans="12:13">
      <c r="L7786" s="1">
        <v>44679.01388886373</v>
      </c>
      <c r="M7786" s="13"/>
    </row>
    <row r="7787" spans="12:13">
      <c r="L7787" s="1">
        <v>44679.017361085949</v>
      </c>
      <c r="M7787" s="13"/>
    </row>
    <row r="7788" spans="12:13">
      <c r="L7788" s="1">
        <v>44679.020833308168</v>
      </c>
      <c r="M7788" s="13"/>
    </row>
    <row r="7789" spans="12:13">
      <c r="L7789" s="1">
        <v>44679.024305530387</v>
      </c>
      <c r="M7789" s="13"/>
    </row>
    <row r="7790" spans="12:13">
      <c r="L7790" s="1">
        <v>44679.027777752606</v>
      </c>
      <c r="M7790" s="13"/>
    </row>
    <row r="7791" spans="12:13">
      <c r="L7791" s="1">
        <v>44679.031249974825</v>
      </c>
      <c r="M7791" s="13"/>
    </row>
    <row r="7792" spans="12:13">
      <c r="L7792" s="1">
        <v>44679.034722197044</v>
      </c>
      <c r="M7792" s="13"/>
    </row>
    <row r="7793" spans="12:13">
      <c r="L7793" s="1">
        <v>44679.038194419263</v>
      </c>
      <c r="M7793" s="13"/>
    </row>
    <row r="7794" spans="12:13">
      <c r="L7794" s="1">
        <v>44679.041666641482</v>
      </c>
      <c r="M7794" s="13"/>
    </row>
    <row r="7795" spans="12:13">
      <c r="L7795" s="1">
        <v>44679.045138863701</v>
      </c>
      <c r="M7795" s="13"/>
    </row>
    <row r="7796" spans="12:13">
      <c r="L7796" s="1">
        <v>44679.04861108592</v>
      </c>
      <c r="M7796" s="13"/>
    </row>
    <row r="7797" spans="12:13">
      <c r="L7797" s="1">
        <v>44679.052083308139</v>
      </c>
      <c r="M7797" s="13"/>
    </row>
    <row r="7798" spans="12:13">
      <c r="L7798" s="1">
        <v>44679.055555530358</v>
      </c>
      <c r="M7798" s="13"/>
    </row>
    <row r="7799" spans="12:13">
      <c r="L7799" s="1">
        <v>44679.059027752577</v>
      </c>
      <c r="M7799" s="13"/>
    </row>
    <row r="7800" spans="12:13">
      <c r="L7800" s="1">
        <v>44679.062499974796</v>
      </c>
      <c r="M7800" s="13"/>
    </row>
    <row r="7801" spans="12:13">
      <c r="L7801" s="1">
        <v>44679.065972197015</v>
      </c>
      <c r="M7801" s="13"/>
    </row>
    <row r="7802" spans="12:13">
      <c r="L7802" s="1">
        <v>44679.069444419234</v>
      </c>
      <c r="M7802" s="13"/>
    </row>
    <row r="7803" spans="12:13">
      <c r="L7803" s="1">
        <v>44679.072916641453</v>
      </c>
      <c r="M7803" s="13"/>
    </row>
    <row r="7804" spans="12:13">
      <c r="L7804" s="1">
        <v>44679.076388863672</v>
      </c>
      <c r="M7804" s="13"/>
    </row>
    <row r="7805" spans="12:13">
      <c r="L7805" s="1">
        <v>44679.079861085891</v>
      </c>
      <c r="M7805" s="13"/>
    </row>
    <row r="7806" spans="12:13">
      <c r="L7806" s="1">
        <v>44679.08333330811</v>
      </c>
      <c r="M7806" s="13"/>
    </row>
    <row r="7807" spans="12:13">
      <c r="L7807" s="1">
        <v>44679.086805530329</v>
      </c>
      <c r="M7807" s="13"/>
    </row>
    <row r="7808" spans="12:13">
      <c r="L7808" s="1">
        <v>44679.090277752548</v>
      </c>
      <c r="M7808" s="13"/>
    </row>
    <row r="7809" spans="12:13">
      <c r="L7809" s="1">
        <v>44679.093749974767</v>
      </c>
      <c r="M7809" s="13"/>
    </row>
    <row r="7810" spans="12:13">
      <c r="L7810" s="1">
        <v>44679.097222196986</v>
      </c>
      <c r="M7810" s="13"/>
    </row>
    <row r="7811" spans="12:13">
      <c r="L7811" s="1">
        <v>44679.100694419205</v>
      </c>
      <c r="M7811" s="13"/>
    </row>
    <row r="7812" spans="12:13">
      <c r="L7812" s="1">
        <v>44679.104166641424</v>
      </c>
      <c r="M7812" s="13"/>
    </row>
    <row r="7813" spans="12:13">
      <c r="L7813" s="1">
        <v>44679.107638863643</v>
      </c>
      <c r="M7813" s="13"/>
    </row>
    <row r="7814" spans="12:13">
      <c r="L7814" s="1">
        <v>44679.111111085862</v>
      </c>
      <c r="M7814" s="13"/>
    </row>
    <row r="7815" spans="12:13">
      <c r="L7815" s="1">
        <v>44679.114583308081</v>
      </c>
      <c r="M7815" s="13"/>
    </row>
    <row r="7816" spans="12:13">
      <c r="L7816" s="1">
        <v>44679.1180555303</v>
      </c>
      <c r="M7816" s="13"/>
    </row>
    <row r="7817" spans="12:13">
      <c r="L7817" s="1">
        <v>44679.121527752519</v>
      </c>
      <c r="M7817" s="13"/>
    </row>
    <row r="7818" spans="12:13">
      <c r="L7818" s="1">
        <v>44679.124999974738</v>
      </c>
      <c r="M7818" s="13"/>
    </row>
    <row r="7819" spans="12:13">
      <c r="L7819" s="1">
        <v>44679.128472196957</v>
      </c>
      <c r="M7819" s="13"/>
    </row>
    <row r="7820" spans="12:13">
      <c r="L7820" s="1">
        <v>44679.131944419176</v>
      </c>
      <c r="M7820" s="13"/>
    </row>
    <row r="7821" spans="12:13">
      <c r="L7821" s="1">
        <v>44679.135416641395</v>
      </c>
      <c r="M7821" s="13"/>
    </row>
    <row r="7822" spans="12:13">
      <c r="L7822" s="1">
        <v>44679.138888863614</v>
      </c>
      <c r="M7822" s="13"/>
    </row>
    <row r="7823" spans="12:13">
      <c r="L7823" s="1">
        <v>44679.142361085833</v>
      </c>
      <c r="M7823" s="13"/>
    </row>
    <row r="7824" spans="12:13">
      <c r="L7824" s="1">
        <v>44679.145833308052</v>
      </c>
      <c r="M7824" s="13"/>
    </row>
    <row r="7825" spans="12:13">
      <c r="L7825" s="1">
        <v>44679.149305530271</v>
      </c>
      <c r="M7825" s="13"/>
    </row>
    <row r="7826" spans="12:13">
      <c r="L7826" s="1">
        <v>44679.15277775249</v>
      </c>
      <c r="M7826" s="13"/>
    </row>
    <row r="7827" spans="12:13">
      <c r="L7827" s="1">
        <v>44679.156249974709</v>
      </c>
      <c r="M7827" s="13"/>
    </row>
    <row r="7828" spans="12:13">
      <c r="L7828" s="1">
        <v>44679.159722196928</v>
      </c>
      <c r="M7828" s="13"/>
    </row>
    <row r="7829" spans="12:13">
      <c r="L7829" s="1">
        <v>44679.163194419147</v>
      </c>
      <c r="M7829" s="13"/>
    </row>
    <row r="7830" spans="12:13">
      <c r="L7830" s="1">
        <v>44679.166666641366</v>
      </c>
      <c r="M7830" s="13"/>
    </row>
    <row r="7831" spans="12:13">
      <c r="L7831" s="1">
        <v>44679.170138863585</v>
      </c>
      <c r="M7831" s="13"/>
    </row>
    <row r="7832" spans="12:13">
      <c r="L7832" s="1">
        <v>44679.173611085804</v>
      </c>
      <c r="M7832" s="13"/>
    </row>
    <row r="7833" spans="12:13">
      <c r="L7833" s="1">
        <v>44679.177083308023</v>
      </c>
      <c r="M7833" s="13"/>
    </row>
    <row r="7834" spans="12:13">
      <c r="L7834" s="1">
        <v>44679.180555530242</v>
      </c>
      <c r="M7834" s="13"/>
    </row>
    <row r="7835" spans="12:13">
      <c r="L7835" s="1">
        <v>44679.184027752461</v>
      </c>
      <c r="M7835" s="13"/>
    </row>
    <row r="7836" spans="12:13">
      <c r="L7836" s="1">
        <v>44679.18749997468</v>
      </c>
      <c r="M7836" s="13"/>
    </row>
    <row r="7837" spans="12:13">
      <c r="L7837" s="1">
        <v>44679.190972196899</v>
      </c>
      <c r="M7837" s="13"/>
    </row>
    <row r="7838" spans="12:13">
      <c r="L7838" s="1">
        <v>44679.194444419118</v>
      </c>
      <c r="M7838" s="13"/>
    </row>
    <row r="7839" spans="12:13">
      <c r="L7839" s="1">
        <v>44679.197916641337</v>
      </c>
      <c r="M7839" s="13"/>
    </row>
    <row r="7840" spans="12:13">
      <c r="L7840" s="1">
        <v>44679.201388863556</v>
      </c>
      <c r="M7840" s="13"/>
    </row>
    <row r="7841" spans="12:13">
      <c r="L7841" s="1">
        <v>44679.204861085775</v>
      </c>
      <c r="M7841" s="13"/>
    </row>
    <row r="7842" spans="12:13">
      <c r="L7842" s="1">
        <v>44679.208333307994</v>
      </c>
      <c r="M7842" s="13"/>
    </row>
    <row r="7843" spans="12:13">
      <c r="L7843" s="1">
        <v>44679.211805530213</v>
      </c>
      <c r="M7843" s="13"/>
    </row>
    <row r="7844" spans="12:13">
      <c r="L7844" s="1">
        <v>44679.215277752432</v>
      </c>
      <c r="M7844" s="13"/>
    </row>
    <row r="7845" spans="12:13">
      <c r="L7845" s="1">
        <v>44679.218749974651</v>
      </c>
      <c r="M7845" s="13"/>
    </row>
    <row r="7846" spans="12:13">
      <c r="L7846" s="1">
        <v>44679.22222219687</v>
      </c>
      <c r="M7846" s="13"/>
    </row>
    <row r="7847" spans="12:13">
      <c r="L7847" s="1">
        <v>44679.225694419089</v>
      </c>
      <c r="M7847" s="13"/>
    </row>
    <row r="7848" spans="12:13">
      <c r="L7848" s="1">
        <v>44679.229166641308</v>
      </c>
      <c r="M7848" s="13"/>
    </row>
    <row r="7849" spans="12:13">
      <c r="L7849" s="1">
        <v>44679.232638863527</v>
      </c>
      <c r="M7849" s="13"/>
    </row>
    <row r="7850" spans="12:13">
      <c r="L7850" s="1">
        <v>44679.236111085746</v>
      </c>
      <c r="M7850" s="13"/>
    </row>
    <row r="7851" spans="12:13">
      <c r="L7851" s="1">
        <v>44679.239583307964</v>
      </c>
      <c r="M7851" s="13"/>
    </row>
    <row r="7852" spans="12:13">
      <c r="L7852" s="1">
        <v>44679.243055530183</v>
      </c>
      <c r="M7852" s="13"/>
    </row>
    <row r="7853" spans="12:13">
      <c r="L7853" s="1">
        <v>44679.246527752402</v>
      </c>
      <c r="M7853" s="13"/>
    </row>
    <row r="7854" spans="12:13">
      <c r="L7854" s="1">
        <v>44679.249999974621</v>
      </c>
      <c r="M7854" s="13"/>
    </row>
    <row r="7855" spans="12:13">
      <c r="L7855" s="1">
        <v>44679.25347219684</v>
      </c>
      <c r="M7855" s="13"/>
    </row>
    <row r="7856" spans="12:13">
      <c r="L7856" s="1">
        <v>44679.256944419059</v>
      </c>
      <c r="M7856" s="13"/>
    </row>
    <row r="7857" spans="12:13">
      <c r="L7857" s="1">
        <v>44679.260416641278</v>
      </c>
      <c r="M7857" s="13"/>
    </row>
    <row r="7858" spans="12:13">
      <c r="L7858" s="1">
        <v>44679.263888863497</v>
      </c>
      <c r="M7858" s="13"/>
    </row>
    <row r="7859" spans="12:13">
      <c r="L7859" s="1">
        <v>44679.267361085716</v>
      </c>
      <c r="M7859" s="13"/>
    </row>
    <row r="7860" spans="12:13">
      <c r="L7860" s="1">
        <v>44679.270833307935</v>
      </c>
      <c r="M7860" s="13"/>
    </row>
    <row r="7861" spans="12:13">
      <c r="L7861" s="1">
        <v>44679.274305530154</v>
      </c>
      <c r="M7861" s="13"/>
    </row>
    <row r="7862" spans="12:13">
      <c r="L7862" s="1">
        <v>44679.277777752373</v>
      </c>
      <c r="M7862" s="13"/>
    </row>
    <row r="7863" spans="12:13">
      <c r="L7863" s="1">
        <v>44679.281249974592</v>
      </c>
      <c r="M7863" s="13"/>
    </row>
    <row r="7864" spans="12:13">
      <c r="L7864" s="1">
        <v>44679.284722196811</v>
      </c>
      <c r="M7864" s="13"/>
    </row>
    <row r="7865" spans="12:13">
      <c r="L7865" s="1">
        <v>44679.28819441903</v>
      </c>
      <c r="M7865" s="13"/>
    </row>
    <row r="7866" spans="12:13">
      <c r="L7866" s="1">
        <v>44679.291666641249</v>
      </c>
      <c r="M7866" s="13"/>
    </row>
    <row r="7867" spans="12:13">
      <c r="L7867" s="1">
        <v>44679.295138863468</v>
      </c>
      <c r="M7867" s="13"/>
    </row>
    <row r="7868" spans="12:13">
      <c r="L7868" s="1">
        <v>44679.298611085687</v>
      </c>
      <c r="M7868" s="13"/>
    </row>
    <row r="7869" spans="12:13">
      <c r="L7869" s="1">
        <v>44679.302083307906</v>
      </c>
      <c r="M7869" s="13"/>
    </row>
    <row r="7870" spans="12:13">
      <c r="L7870" s="1">
        <v>44679.305555530125</v>
      </c>
      <c r="M7870" s="13"/>
    </row>
    <row r="7871" spans="12:13">
      <c r="L7871" s="1">
        <v>44679.309027752344</v>
      </c>
      <c r="M7871" s="13"/>
    </row>
    <row r="7872" spans="12:13">
      <c r="L7872" s="1">
        <v>44679.312499974563</v>
      </c>
      <c r="M7872" s="13"/>
    </row>
    <row r="7873" spans="12:13">
      <c r="L7873" s="1">
        <v>44679.315972196782</v>
      </c>
      <c r="M7873" s="13"/>
    </row>
    <row r="7874" spans="12:13">
      <c r="L7874" s="1">
        <v>44679.319444419001</v>
      </c>
      <c r="M7874" s="13"/>
    </row>
    <row r="7875" spans="12:13">
      <c r="L7875" s="1">
        <v>44679.32291664122</v>
      </c>
      <c r="M7875" s="13"/>
    </row>
    <row r="7876" spans="12:13">
      <c r="L7876" s="1">
        <v>44679.326388863439</v>
      </c>
      <c r="M7876" s="13"/>
    </row>
    <row r="7877" spans="12:13">
      <c r="L7877" s="1">
        <v>44679.329861085658</v>
      </c>
      <c r="M7877" s="13"/>
    </row>
    <row r="7878" spans="12:13">
      <c r="L7878" s="1">
        <v>44679.333333307877</v>
      </c>
      <c r="M7878" s="13"/>
    </row>
    <row r="7879" spans="12:13">
      <c r="L7879" s="1">
        <v>44679.336805530096</v>
      </c>
      <c r="M7879" s="13"/>
    </row>
    <row r="7880" spans="12:13">
      <c r="L7880" s="1">
        <v>44679.340277752315</v>
      </c>
      <c r="M7880" s="13"/>
    </row>
    <row r="7881" spans="12:13">
      <c r="L7881" s="1">
        <v>44679.343749974534</v>
      </c>
      <c r="M7881" s="13"/>
    </row>
    <row r="7882" spans="12:13">
      <c r="L7882" s="1">
        <v>44679.347222196753</v>
      </c>
      <c r="M7882" s="13"/>
    </row>
    <row r="7883" spans="12:13">
      <c r="L7883" s="1">
        <v>44679.350694418972</v>
      </c>
      <c r="M7883" s="13"/>
    </row>
    <row r="7884" spans="12:13">
      <c r="L7884" s="1">
        <v>44679.354166641191</v>
      </c>
      <c r="M7884" s="13"/>
    </row>
    <row r="7885" spans="12:13">
      <c r="L7885" s="1">
        <v>44679.35763886341</v>
      </c>
      <c r="M7885" s="13"/>
    </row>
    <row r="7886" spans="12:13">
      <c r="L7886" s="1">
        <v>44679.361111085629</v>
      </c>
      <c r="M7886" s="13"/>
    </row>
    <row r="7887" spans="12:13">
      <c r="L7887" s="1">
        <v>44679.364583307848</v>
      </c>
      <c r="M7887" s="13"/>
    </row>
    <row r="7888" spans="12:13">
      <c r="L7888" s="1">
        <v>44679.368055530067</v>
      </c>
      <c r="M7888" s="13"/>
    </row>
    <row r="7889" spans="12:13">
      <c r="L7889" s="1">
        <v>44679.371527752286</v>
      </c>
      <c r="M7889" s="13"/>
    </row>
    <row r="7890" spans="12:13">
      <c r="L7890" s="1">
        <v>44679.374999974505</v>
      </c>
      <c r="M7890" s="13"/>
    </row>
    <row r="7891" spans="12:13">
      <c r="L7891" s="1">
        <v>44679.378472196724</v>
      </c>
      <c r="M7891" s="13"/>
    </row>
    <row r="7892" spans="12:13">
      <c r="L7892" s="1">
        <v>44679.381944418943</v>
      </c>
      <c r="M7892" s="13"/>
    </row>
    <row r="7893" spans="12:13">
      <c r="L7893" s="1">
        <v>44679.385416641162</v>
      </c>
      <c r="M7893" s="13"/>
    </row>
    <row r="7894" spans="12:13">
      <c r="L7894" s="1">
        <v>44679.388888863381</v>
      </c>
      <c r="M7894" s="13"/>
    </row>
    <row r="7895" spans="12:13">
      <c r="L7895" s="1">
        <v>44679.3923610856</v>
      </c>
      <c r="M7895" s="13"/>
    </row>
    <row r="7896" spans="12:13">
      <c r="L7896" s="1">
        <v>44679.395833307819</v>
      </c>
      <c r="M7896" s="13"/>
    </row>
    <row r="7897" spans="12:13">
      <c r="L7897" s="1">
        <v>44679.399305530038</v>
      </c>
      <c r="M7897" s="13"/>
    </row>
    <row r="7898" spans="12:13">
      <c r="L7898" s="1">
        <v>44679.402777752257</v>
      </c>
      <c r="M7898" s="13"/>
    </row>
    <row r="7899" spans="12:13">
      <c r="L7899" s="1">
        <v>44679.406249974476</v>
      </c>
      <c r="M7899" s="13"/>
    </row>
    <row r="7900" spans="12:13">
      <c r="L7900" s="1">
        <v>44679.409722196695</v>
      </c>
      <c r="M7900" s="13"/>
    </row>
    <row r="7901" spans="12:13">
      <c r="L7901" s="1">
        <v>44679.413194418914</v>
      </c>
      <c r="M7901" s="13"/>
    </row>
    <row r="7902" spans="12:13">
      <c r="L7902" s="1">
        <v>44679.416666641133</v>
      </c>
      <c r="M7902" s="13"/>
    </row>
    <row r="7903" spans="12:13">
      <c r="L7903" s="1">
        <v>44679.420138863352</v>
      </c>
      <c r="M7903" s="13"/>
    </row>
    <row r="7904" spans="12:13">
      <c r="L7904" s="1">
        <v>44679.423611085571</v>
      </c>
      <c r="M7904" s="13"/>
    </row>
    <row r="7905" spans="12:13">
      <c r="L7905" s="1">
        <v>44679.42708330779</v>
      </c>
      <c r="M7905" s="13"/>
    </row>
    <row r="7906" spans="12:13">
      <c r="L7906" s="1">
        <v>44679.430555530009</v>
      </c>
      <c r="M7906" s="13"/>
    </row>
    <row r="7907" spans="12:13">
      <c r="L7907" s="1">
        <v>44679.434027752228</v>
      </c>
      <c r="M7907" s="13"/>
    </row>
    <row r="7908" spans="12:13">
      <c r="L7908" s="1">
        <v>44679.437499974447</v>
      </c>
      <c r="M7908" s="13"/>
    </row>
    <row r="7909" spans="12:13">
      <c r="L7909" s="1">
        <v>44679.440972196666</v>
      </c>
      <c r="M7909" s="13"/>
    </row>
    <row r="7910" spans="12:13">
      <c r="L7910" s="1">
        <v>44679.444444418885</v>
      </c>
      <c r="M7910" s="13"/>
    </row>
    <row r="7911" spans="12:13">
      <c r="L7911" s="1">
        <v>44679.447916641104</v>
      </c>
      <c r="M7911" s="13"/>
    </row>
    <row r="7912" spans="12:13">
      <c r="L7912" s="1">
        <v>44679.451388863323</v>
      </c>
      <c r="M7912" s="13"/>
    </row>
    <row r="7913" spans="12:13">
      <c r="L7913" s="1">
        <v>44679.454861085542</v>
      </c>
      <c r="M7913" s="13"/>
    </row>
    <row r="7914" spans="12:13">
      <c r="L7914" s="1">
        <v>44679.458333307761</v>
      </c>
      <c r="M7914" s="13"/>
    </row>
    <row r="7915" spans="12:13">
      <c r="L7915" s="1">
        <v>44679.46180552998</v>
      </c>
      <c r="M7915" s="13"/>
    </row>
    <row r="7916" spans="12:13">
      <c r="L7916" s="1">
        <v>44679.465277752199</v>
      </c>
      <c r="M7916" s="13"/>
    </row>
    <row r="7917" spans="12:13">
      <c r="L7917" s="1">
        <v>44679.468749974418</v>
      </c>
      <c r="M7917" s="13"/>
    </row>
    <row r="7918" spans="12:13">
      <c r="L7918" s="1">
        <v>44679.472222196637</v>
      </c>
      <c r="M7918" s="13"/>
    </row>
    <row r="7919" spans="12:13">
      <c r="L7919" s="1">
        <v>44679.475694418856</v>
      </c>
      <c r="M7919" s="13"/>
    </row>
    <row r="7920" spans="12:13">
      <c r="L7920" s="1">
        <v>44679.479166641075</v>
      </c>
      <c r="M7920" s="13"/>
    </row>
    <row r="7921" spans="12:13">
      <c r="L7921" s="1">
        <v>44679.482638863294</v>
      </c>
      <c r="M7921" s="13"/>
    </row>
    <row r="7922" spans="12:13">
      <c r="L7922" s="1">
        <v>44679.486111085513</v>
      </c>
      <c r="M7922" s="13"/>
    </row>
    <row r="7923" spans="12:13">
      <c r="L7923" s="1">
        <v>44679.489583307732</v>
      </c>
      <c r="M7923" s="13"/>
    </row>
    <row r="7924" spans="12:13">
      <c r="L7924" s="1">
        <v>44679.493055529951</v>
      </c>
      <c r="M7924" s="13"/>
    </row>
    <row r="7925" spans="12:13">
      <c r="L7925" s="1">
        <v>44679.49652775217</v>
      </c>
      <c r="M7925" s="13"/>
    </row>
    <row r="7926" spans="12:13">
      <c r="L7926" s="1">
        <v>44679.499999974389</v>
      </c>
      <c r="M7926" s="13"/>
    </row>
    <row r="7927" spans="12:13">
      <c r="L7927" s="1">
        <v>44679.503472196608</v>
      </c>
      <c r="M7927" s="13"/>
    </row>
    <row r="7928" spans="12:13">
      <c r="L7928" s="1">
        <v>44679.506944418827</v>
      </c>
      <c r="M7928" s="13"/>
    </row>
    <row r="7929" spans="12:13">
      <c r="L7929" s="1">
        <v>44679.510416641046</v>
      </c>
      <c r="M7929" s="13"/>
    </row>
    <row r="7930" spans="12:13">
      <c r="L7930" s="1">
        <v>44679.513888863265</v>
      </c>
      <c r="M7930" s="13"/>
    </row>
    <row r="7931" spans="12:13">
      <c r="L7931" s="1">
        <v>44679.517361085484</v>
      </c>
      <c r="M7931" s="13"/>
    </row>
    <row r="7932" spans="12:13">
      <c r="L7932" s="1">
        <v>44679.520833307703</v>
      </c>
      <c r="M7932" s="13"/>
    </row>
    <row r="7933" spans="12:13">
      <c r="L7933" s="1">
        <v>44679.524305529922</v>
      </c>
      <c r="M7933" s="13"/>
    </row>
    <row r="7934" spans="12:13">
      <c r="L7934" s="1">
        <v>44679.527777752141</v>
      </c>
      <c r="M7934" s="13"/>
    </row>
    <row r="7935" spans="12:13">
      <c r="L7935" s="1">
        <v>44679.53124997436</v>
      </c>
      <c r="M7935" s="13"/>
    </row>
    <row r="7936" spans="12:13">
      <c r="L7936" s="1">
        <v>44679.534722196579</v>
      </c>
      <c r="M7936" s="13"/>
    </row>
    <row r="7937" spans="12:13">
      <c r="L7937" s="1">
        <v>44679.538194418798</v>
      </c>
      <c r="M7937" s="13"/>
    </row>
    <row r="7938" spans="12:13">
      <c r="L7938" s="1">
        <v>44679.541666641016</v>
      </c>
      <c r="M7938" s="13"/>
    </row>
    <row r="7939" spans="12:13">
      <c r="L7939" s="1">
        <v>44679.545138863235</v>
      </c>
      <c r="M7939" s="13"/>
    </row>
    <row r="7940" spans="12:13">
      <c r="L7940" s="1">
        <v>44679.548611085454</v>
      </c>
      <c r="M7940" s="13"/>
    </row>
    <row r="7941" spans="12:13">
      <c r="L7941" s="1">
        <v>44679.552083307673</v>
      </c>
      <c r="M7941" s="13"/>
    </row>
    <row r="7942" spans="12:13">
      <c r="L7942" s="1">
        <v>44679.555555529892</v>
      </c>
      <c r="M7942" s="13"/>
    </row>
    <row r="7943" spans="12:13">
      <c r="L7943" s="1">
        <v>44679.559027752111</v>
      </c>
      <c r="M7943" s="13"/>
    </row>
    <row r="7944" spans="12:13">
      <c r="L7944" s="1">
        <v>44679.56249997433</v>
      </c>
      <c r="M7944" s="13"/>
    </row>
    <row r="7945" spans="12:13">
      <c r="L7945" s="1">
        <v>44679.565972196549</v>
      </c>
      <c r="M7945" s="13"/>
    </row>
    <row r="7946" spans="12:13">
      <c r="L7946" s="1">
        <v>44679.569444418768</v>
      </c>
      <c r="M7946" s="13"/>
    </row>
    <row r="7947" spans="12:13">
      <c r="L7947" s="1">
        <v>44679.572916640987</v>
      </c>
      <c r="M7947" s="13"/>
    </row>
    <row r="7948" spans="12:13">
      <c r="L7948" s="1">
        <v>44679.576388863206</v>
      </c>
      <c r="M7948" s="13"/>
    </row>
    <row r="7949" spans="12:13">
      <c r="L7949" s="1">
        <v>44679.579861085425</v>
      </c>
      <c r="M7949" s="13"/>
    </row>
    <row r="7950" spans="12:13">
      <c r="L7950" s="1">
        <v>44679.583333307644</v>
      </c>
      <c r="M7950" s="13"/>
    </row>
    <row r="7951" spans="12:13">
      <c r="L7951" s="1">
        <v>44679.586805529863</v>
      </c>
      <c r="M7951" s="13"/>
    </row>
    <row r="7952" spans="12:13">
      <c r="L7952" s="1">
        <v>44679.590277752082</v>
      </c>
      <c r="M7952" s="13"/>
    </row>
    <row r="7953" spans="12:13">
      <c r="L7953" s="1">
        <v>44679.593749974301</v>
      </c>
      <c r="M7953" s="13"/>
    </row>
    <row r="7954" spans="12:13">
      <c r="L7954" s="1">
        <v>44679.59722219652</v>
      </c>
      <c r="M7954" s="13"/>
    </row>
    <row r="7955" spans="12:13">
      <c r="L7955" s="1">
        <v>44679.600694418739</v>
      </c>
      <c r="M7955" s="13"/>
    </row>
    <row r="7956" spans="12:13">
      <c r="L7956" s="1">
        <v>44679.604166640958</v>
      </c>
      <c r="M7956" s="13"/>
    </row>
    <row r="7957" spans="12:13">
      <c r="L7957" s="1">
        <v>44679.607638863177</v>
      </c>
      <c r="M7957" s="13"/>
    </row>
    <row r="7958" spans="12:13">
      <c r="L7958" s="1">
        <v>44679.611111085396</v>
      </c>
      <c r="M7958" s="13"/>
    </row>
    <row r="7959" spans="12:13">
      <c r="L7959" s="1">
        <v>44679.614583307615</v>
      </c>
      <c r="M7959" s="13"/>
    </row>
    <row r="7960" spans="12:13">
      <c r="L7960" s="1">
        <v>44679.618055529834</v>
      </c>
      <c r="M7960" s="13"/>
    </row>
    <row r="7961" spans="12:13">
      <c r="L7961" s="1">
        <v>44679.621527752053</v>
      </c>
      <c r="M7961" s="13"/>
    </row>
    <row r="7962" spans="12:13">
      <c r="L7962" s="1">
        <v>44679.624999974272</v>
      </c>
      <c r="M7962" s="13"/>
    </row>
    <row r="7963" spans="12:13">
      <c r="L7963" s="1">
        <v>44679.628472196491</v>
      </c>
      <c r="M7963" s="13"/>
    </row>
    <row r="7964" spans="12:13">
      <c r="L7964" s="1">
        <v>44679.63194441871</v>
      </c>
      <c r="M7964" s="13"/>
    </row>
    <row r="7965" spans="12:13">
      <c r="L7965" s="1">
        <v>44679.635416640929</v>
      </c>
      <c r="M7965" s="13"/>
    </row>
    <row r="7966" spans="12:13">
      <c r="L7966" s="1">
        <v>44679.638888863148</v>
      </c>
      <c r="M7966" s="13"/>
    </row>
    <row r="7967" spans="12:13">
      <c r="L7967" s="1">
        <v>44679.642361085367</v>
      </c>
      <c r="M7967" s="13"/>
    </row>
    <row r="7968" spans="12:13">
      <c r="L7968" s="1">
        <v>44679.645833307586</v>
      </c>
      <c r="M7968" s="13"/>
    </row>
    <row r="7969" spans="12:13">
      <c r="L7969" s="1">
        <v>44679.649305529805</v>
      </c>
      <c r="M7969" s="13"/>
    </row>
    <row r="7970" spans="12:13">
      <c r="L7970" s="1">
        <v>44679.652777752024</v>
      </c>
      <c r="M7970" s="13"/>
    </row>
    <row r="7971" spans="12:13">
      <c r="L7971" s="1">
        <v>44679.656249974243</v>
      </c>
      <c r="M7971" s="13"/>
    </row>
    <row r="7972" spans="12:13">
      <c r="L7972" s="1">
        <v>44679.659722196462</v>
      </c>
      <c r="M7972" s="13"/>
    </row>
    <row r="7973" spans="12:13">
      <c r="L7973" s="1">
        <v>44679.663194418681</v>
      </c>
      <c r="M7973" s="13"/>
    </row>
    <row r="7974" spans="12:13">
      <c r="L7974" s="1">
        <v>44679.6666666409</v>
      </c>
      <c r="M7974" s="13"/>
    </row>
    <row r="7975" spans="12:13">
      <c r="L7975" s="1">
        <v>44679.670138863119</v>
      </c>
      <c r="M7975" s="13"/>
    </row>
    <row r="7976" spans="12:13">
      <c r="L7976" s="1">
        <v>44679.673611085338</v>
      </c>
      <c r="M7976" s="13"/>
    </row>
    <row r="7977" spans="12:13">
      <c r="L7977" s="1">
        <v>44679.677083307557</v>
      </c>
      <c r="M7977" s="13"/>
    </row>
    <row r="7978" spans="12:13">
      <c r="L7978" s="1">
        <v>44679.680555529776</v>
      </c>
      <c r="M7978" s="13"/>
    </row>
    <row r="7979" spans="12:13">
      <c r="L7979" s="1">
        <v>44679.684027751995</v>
      </c>
      <c r="M7979" s="13"/>
    </row>
    <row r="7980" spans="12:13">
      <c r="L7980" s="1">
        <v>44679.687499974214</v>
      </c>
      <c r="M7980" s="13"/>
    </row>
    <row r="7981" spans="12:13">
      <c r="L7981" s="1">
        <v>44679.690972196433</v>
      </c>
      <c r="M7981" s="13"/>
    </row>
    <row r="7982" spans="12:13">
      <c r="L7982" s="1">
        <v>44679.694444418652</v>
      </c>
      <c r="M7982" s="13"/>
    </row>
    <row r="7983" spans="12:13">
      <c r="L7983" s="1">
        <v>44679.697916640871</v>
      </c>
      <c r="M7983" s="13"/>
    </row>
    <row r="7984" spans="12:13">
      <c r="L7984" s="1">
        <v>44679.70138886309</v>
      </c>
      <c r="M7984" s="13"/>
    </row>
    <row r="7985" spans="12:13">
      <c r="L7985" s="1">
        <v>44679.704861085309</v>
      </c>
      <c r="M7985" s="13"/>
    </row>
    <row r="7986" spans="12:13">
      <c r="L7986" s="1">
        <v>44679.708333307528</v>
      </c>
      <c r="M7986" s="13"/>
    </row>
    <row r="7987" spans="12:13">
      <c r="L7987" s="1">
        <v>44679.711805529747</v>
      </c>
      <c r="M7987" s="13"/>
    </row>
    <row r="7988" spans="12:13">
      <c r="L7988" s="1">
        <v>44679.715277751966</v>
      </c>
      <c r="M7988" s="13"/>
    </row>
    <row r="7989" spans="12:13">
      <c r="L7989" s="1">
        <v>44679.718749974185</v>
      </c>
      <c r="M7989" s="13"/>
    </row>
    <row r="7990" spans="12:13">
      <c r="L7990" s="1">
        <v>44679.722222196404</v>
      </c>
      <c r="M7990" s="13"/>
    </row>
    <row r="7991" spans="12:13">
      <c r="L7991" s="1">
        <v>44679.725694418623</v>
      </c>
      <c r="M7991" s="13"/>
    </row>
    <row r="7992" spans="12:13">
      <c r="L7992" s="1">
        <v>44679.729166640842</v>
      </c>
      <c r="M7992" s="13"/>
    </row>
    <row r="7993" spans="12:13">
      <c r="L7993" s="1">
        <v>44679.732638863061</v>
      </c>
      <c r="M7993" s="13"/>
    </row>
    <row r="7994" spans="12:13">
      <c r="L7994" s="1">
        <v>44679.73611108528</v>
      </c>
      <c r="M7994" s="13"/>
    </row>
    <row r="7995" spans="12:13">
      <c r="L7995" s="1">
        <v>44679.739583307499</v>
      </c>
      <c r="M7995" s="13"/>
    </row>
    <row r="7996" spans="12:13">
      <c r="L7996" s="1">
        <v>44679.743055529718</v>
      </c>
      <c r="M7996" s="13"/>
    </row>
    <row r="7997" spans="12:13">
      <c r="L7997" s="1">
        <v>44679.746527751937</v>
      </c>
      <c r="M7997" s="13"/>
    </row>
    <row r="7998" spans="12:13">
      <c r="L7998" s="1">
        <v>44679.749999974156</v>
      </c>
      <c r="M7998" s="13"/>
    </row>
    <row r="7999" spans="12:13">
      <c r="L7999" s="1">
        <v>44679.753472196375</v>
      </c>
      <c r="M7999" s="13"/>
    </row>
    <row r="8000" spans="12:13">
      <c r="L8000" s="1">
        <v>44679.756944418594</v>
      </c>
      <c r="M8000" s="13"/>
    </row>
    <row r="8001" spans="12:13">
      <c r="L8001" s="1">
        <v>44679.760416640813</v>
      </c>
      <c r="M8001" s="13"/>
    </row>
    <row r="8002" spans="12:13">
      <c r="L8002" s="1">
        <v>44679.763888863032</v>
      </c>
      <c r="M8002" s="13"/>
    </row>
    <row r="8003" spans="12:13">
      <c r="L8003" s="1">
        <v>44679.767361085251</v>
      </c>
      <c r="M8003" s="13"/>
    </row>
    <row r="8004" spans="12:13">
      <c r="L8004" s="1">
        <v>44679.77083330747</v>
      </c>
      <c r="M8004" s="13"/>
    </row>
    <row r="8005" spans="12:13">
      <c r="L8005" s="1">
        <v>44679.774305529689</v>
      </c>
      <c r="M8005" s="13"/>
    </row>
    <row r="8006" spans="12:13">
      <c r="L8006" s="1">
        <v>44679.777777751908</v>
      </c>
      <c r="M8006" s="13"/>
    </row>
    <row r="8007" spans="12:13">
      <c r="L8007" s="1">
        <v>44679.781249974127</v>
      </c>
      <c r="M8007" s="13"/>
    </row>
    <row r="8008" spans="12:13">
      <c r="L8008" s="1">
        <v>44679.784722196346</v>
      </c>
      <c r="M8008" s="13"/>
    </row>
    <row r="8009" spans="12:13">
      <c r="L8009" s="1">
        <v>44679.788194418565</v>
      </c>
      <c r="M8009" s="13"/>
    </row>
    <row r="8010" spans="12:13">
      <c r="L8010" s="1">
        <v>44679.791666640784</v>
      </c>
      <c r="M8010" s="13"/>
    </row>
    <row r="8011" spans="12:13">
      <c r="L8011" s="1">
        <v>44679.795138863003</v>
      </c>
      <c r="M8011" s="13"/>
    </row>
    <row r="8012" spans="12:13">
      <c r="L8012" s="1">
        <v>44679.798611085222</v>
      </c>
      <c r="M8012" s="13"/>
    </row>
    <row r="8013" spans="12:13">
      <c r="L8013" s="1">
        <v>44679.802083307441</v>
      </c>
      <c r="M8013" s="13"/>
    </row>
    <row r="8014" spans="12:13">
      <c r="L8014" s="1">
        <v>44679.80555552966</v>
      </c>
      <c r="M8014" s="13"/>
    </row>
    <row r="8015" spans="12:13">
      <c r="L8015" s="1">
        <v>44679.809027751879</v>
      </c>
      <c r="M8015" s="13"/>
    </row>
    <row r="8016" spans="12:13">
      <c r="L8016" s="1">
        <v>44679.812499974098</v>
      </c>
      <c r="M8016" s="13"/>
    </row>
    <row r="8017" spans="12:13">
      <c r="L8017" s="1">
        <v>44679.815972196317</v>
      </c>
      <c r="M8017" s="13"/>
    </row>
    <row r="8018" spans="12:13">
      <c r="L8018" s="1">
        <v>44679.819444418536</v>
      </c>
      <c r="M8018" s="13"/>
    </row>
    <row r="8019" spans="12:13">
      <c r="L8019" s="1">
        <v>44679.822916640755</v>
      </c>
      <c r="M8019" s="13"/>
    </row>
    <row r="8020" spans="12:13">
      <c r="L8020" s="1">
        <v>44679.826388862974</v>
      </c>
      <c r="M8020" s="13"/>
    </row>
    <row r="8021" spans="12:13">
      <c r="L8021" s="1">
        <v>44679.829861085193</v>
      </c>
      <c r="M8021" s="13"/>
    </row>
    <row r="8022" spans="12:13">
      <c r="L8022" s="1">
        <v>44679.833333307412</v>
      </c>
      <c r="M8022" s="13"/>
    </row>
    <row r="8023" spans="12:13">
      <c r="L8023" s="1">
        <v>44679.836805529631</v>
      </c>
      <c r="M8023" s="13"/>
    </row>
    <row r="8024" spans="12:13">
      <c r="L8024" s="1">
        <v>44679.840277751849</v>
      </c>
      <c r="M8024" s="13"/>
    </row>
    <row r="8025" spans="12:13">
      <c r="L8025" s="1">
        <v>44679.843749974068</v>
      </c>
      <c r="M8025" s="13"/>
    </row>
    <row r="8026" spans="12:13">
      <c r="L8026" s="1">
        <v>44679.847222196287</v>
      </c>
      <c r="M8026" s="13"/>
    </row>
    <row r="8027" spans="12:13">
      <c r="L8027" s="1">
        <v>44679.850694418506</v>
      </c>
      <c r="M8027" s="13"/>
    </row>
    <row r="8028" spans="12:13">
      <c r="L8028" s="1">
        <v>44679.854166640725</v>
      </c>
      <c r="M8028" s="13"/>
    </row>
    <row r="8029" spans="12:13">
      <c r="L8029" s="1">
        <v>44679.857638862944</v>
      </c>
      <c r="M8029" s="13"/>
    </row>
    <row r="8030" spans="12:13">
      <c r="L8030" s="1">
        <v>44679.861111085163</v>
      </c>
      <c r="M8030" s="13"/>
    </row>
    <row r="8031" spans="12:13">
      <c r="L8031" s="1">
        <v>44679.864583307382</v>
      </c>
      <c r="M8031" s="13"/>
    </row>
    <row r="8032" spans="12:13">
      <c r="L8032" s="1">
        <v>44679.868055529601</v>
      </c>
      <c r="M8032" s="13"/>
    </row>
    <row r="8033" spans="12:13">
      <c r="L8033" s="1">
        <v>44679.87152775182</v>
      </c>
      <c r="M8033" s="13"/>
    </row>
    <row r="8034" spans="12:13">
      <c r="L8034" s="1">
        <v>44679.874999974039</v>
      </c>
      <c r="M8034" s="13"/>
    </row>
    <row r="8035" spans="12:13">
      <c r="L8035" s="1">
        <v>44679.878472196258</v>
      </c>
      <c r="M8035" s="13"/>
    </row>
    <row r="8036" spans="12:13">
      <c r="L8036" s="1">
        <v>44679.881944418477</v>
      </c>
      <c r="M8036" s="13"/>
    </row>
    <row r="8037" spans="12:13">
      <c r="L8037" s="1">
        <v>44679.885416640696</v>
      </c>
      <c r="M8037" s="13"/>
    </row>
    <row r="8038" spans="12:13">
      <c r="L8038" s="1">
        <v>44679.888888862915</v>
      </c>
      <c r="M8038" s="13"/>
    </row>
    <row r="8039" spans="12:13">
      <c r="L8039" s="1">
        <v>44679.892361085134</v>
      </c>
      <c r="M8039" s="13"/>
    </row>
    <row r="8040" spans="12:13">
      <c r="L8040" s="1">
        <v>44679.895833307353</v>
      </c>
      <c r="M8040" s="13"/>
    </row>
    <row r="8041" spans="12:13">
      <c r="L8041" s="1">
        <v>44679.899305529572</v>
      </c>
      <c r="M8041" s="13"/>
    </row>
    <row r="8042" spans="12:13">
      <c r="L8042" s="1">
        <v>44679.902777751791</v>
      </c>
      <c r="M8042" s="13"/>
    </row>
    <row r="8043" spans="12:13">
      <c r="L8043" s="1">
        <v>44679.90624997401</v>
      </c>
      <c r="M8043" s="13"/>
    </row>
    <row r="8044" spans="12:13">
      <c r="L8044" s="1">
        <v>44679.909722196229</v>
      </c>
      <c r="M8044" s="13"/>
    </row>
    <row r="8045" spans="12:13">
      <c r="L8045" s="1">
        <v>44679.913194418448</v>
      </c>
      <c r="M8045" s="13"/>
    </row>
    <row r="8046" spans="12:13">
      <c r="L8046" s="1">
        <v>44679.916666640667</v>
      </c>
      <c r="M8046" s="13"/>
    </row>
    <row r="8047" spans="12:13">
      <c r="L8047" s="1">
        <v>44679.920138862886</v>
      </c>
      <c r="M8047" s="13"/>
    </row>
    <row r="8048" spans="12:13">
      <c r="L8048" s="1">
        <v>44679.923611085105</v>
      </c>
      <c r="M8048" s="13"/>
    </row>
    <row r="8049" spans="12:13">
      <c r="L8049" s="1">
        <v>44679.927083307324</v>
      </c>
      <c r="M8049" s="13"/>
    </row>
    <row r="8050" spans="12:13">
      <c r="L8050" s="1">
        <v>44679.930555529543</v>
      </c>
      <c r="M8050" s="13"/>
    </row>
    <row r="8051" spans="12:13">
      <c r="L8051" s="1">
        <v>44679.934027751762</v>
      </c>
      <c r="M8051" s="13"/>
    </row>
    <row r="8052" spans="12:13">
      <c r="L8052" s="1">
        <v>44679.937499973981</v>
      </c>
      <c r="M8052" s="13"/>
    </row>
    <row r="8053" spans="12:13">
      <c r="L8053" s="1">
        <v>44679.9409721962</v>
      </c>
      <c r="M8053" s="13"/>
    </row>
    <row r="8054" spans="12:13">
      <c r="L8054" s="1">
        <v>44679.944444418419</v>
      </c>
      <c r="M8054" s="13"/>
    </row>
    <row r="8055" spans="12:13">
      <c r="L8055" s="1">
        <v>44679.947916640638</v>
      </c>
      <c r="M8055" s="13"/>
    </row>
    <row r="8056" spans="12:13">
      <c r="L8056" s="1">
        <v>44679.951388862857</v>
      </c>
      <c r="M8056" s="13"/>
    </row>
    <row r="8057" spans="12:13">
      <c r="L8057" s="1">
        <v>44679.954861085076</v>
      </c>
      <c r="M8057" s="13"/>
    </row>
    <row r="8058" spans="12:13">
      <c r="L8058" s="1">
        <v>44679.958333307295</v>
      </c>
      <c r="M8058" s="13"/>
    </row>
    <row r="8059" spans="12:13">
      <c r="L8059" s="1">
        <v>44679.961805529514</v>
      </c>
      <c r="M8059" s="13"/>
    </row>
    <row r="8060" spans="12:13">
      <c r="L8060" s="1">
        <v>44679.965277751733</v>
      </c>
      <c r="M8060" s="13"/>
    </row>
    <row r="8061" spans="12:13">
      <c r="L8061" s="1">
        <v>44679.968749973952</v>
      </c>
      <c r="M8061" s="13"/>
    </row>
    <row r="8062" spans="12:13">
      <c r="L8062" s="1">
        <v>44679.972222196171</v>
      </c>
      <c r="M8062" s="13"/>
    </row>
    <row r="8063" spans="12:13">
      <c r="L8063" s="1">
        <v>44679.97569441839</v>
      </c>
      <c r="M8063" s="13"/>
    </row>
    <row r="8064" spans="12:13">
      <c r="L8064" s="1">
        <v>44679.979166640609</v>
      </c>
      <c r="M8064" s="13"/>
    </row>
    <row r="8065" spans="12:13">
      <c r="L8065" s="1">
        <v>44679.982638862828</v>
      </c>
      <c r="M8065" s="13"/>
    </row>
    <row r="8066" spans="12:13">
      <c r="L8066" s="1">
        <v>44679.986111085047</v>
      </c>
      <c r="M8066" s="13"/>
    </row>
    <row r="8067" spans="12:13">
      <c r="L8067" s="1">
        <v>44679.989583307266</v>
      </c>
      <c r="M8067" s="13"/>
    </row>
    <row r="8068" spans="12:13">
      <c r="L8068" s="1">
        <v>44679.993055529485</v>
      </c>
      <c r="M8068" s="13"/>
    </row>
    <row r="8069" spans="12:13">
      <c r="L8069" s="1">
        <v>44679.996527751704</v>
      </c>
      <c r="M8069" s="13"/>
    </row>
    <row r="8070" spans="12:13">
      <c r="L8070" s="1">
        <v>44679.999999973923</v>
      </c>
      <c r="M8070" s="13"/>
    </row>
    <row r="8071" spans="12:13">
      <c r="L8071" s="1">
        <v>44680.003472196142</v>
      </c>
      <c r="M8071" s="13"/>
    </row>
    <row r="8072" spans="12:13">
      <c r="L8072" s="1">
        <v>44680.006944418361</v>
      </c>
      <c r="M8072" s="13"/>
    </row>
    <row r="8073" spans="12:13">
      <c r="L8073" s="1">
        <v>44680.01041664058</v>
      </c>
      <c r="M8073" s="13"/>
    </row>
    <row r="8074" spans="12:13">
      <c r="L8074" s="1">
        <v>44680.013888862799</v>
      </c>
      <c r="M8074" s="13"/>
    </row>
    <row r="8075" spans="12:13">
      <c r="L8075" s="1">
        <v>44680.017361085018</v>
      </c>
      <c r="M8075" s="13"/>
    </row>
    <row r="8076" spans="12:13">
      <c r="L8076" s="1">
        <v>44680.020833307237</v>
      </c>
      <c r="M8076" s="13"/>
    </row>
    <row r="8077" spans="12:13">
      <c r="L8077" s="1">
        <v>44680.024305529456</v>
      </c>
      <c r="M8077" s="13"/>
    </row>
    <row r="8078" spans="12:13">
      <c r="L8078" s="1">
        <v>44680.027777751675</v>
      </c>
      <c r="M8078" s="13"/>
    </row>
    <row r="8079" spans="12:13">
      <c r="L8079" s="1">
        <v>44680.031249973894</v>
      </c>
      <c r="M8079" s="13"/>
    </row>
    <row r="8080" spans="12:13">
      <c r="L8080" s="1">
        <v>44680.034722196113</v>
      </c>
      <c r="M8080" s="13"/>
    </row>
    <row r="8081" spans="12:13">
      <c r="L8081" s="1">
        <v>44680.038194418332</v>
      </c>
      <c r="M8081" s="13"/>
    </row>
    <row r="8082" spans="12:13">
      <c r="L8082" s="1">
        <v>44680.041666640551</v>
      </c>
      <c r="M8082" s="13"/>
    </row>
    <row r="8083" spans="12:13">
      <c r="L8083" s="1">
        <v>44680.04513886277</v>
      </c>
      <c r="M8083" s="13"/>
    </row>
    <row r="8084" spans="12:13">
      <c r="L8084" s="1">
        <v>44680.048611084989</v>
      </c>
      <c r="M8084" s="13"/>
    </row>
    <row r="8085" spans="12:13">
      <c r="L8085" s="1">
        <v>44680.052083307208</v>
      </c>
      <c r="M8085" s="13"/>
    </row>
    <row r="8086" spans="12:13">
      <c r="L8086" s="1">
        <v>44680.055555529427</v>
      </c>
      <c r="M8086" s="13"/>
    </row>
    <row r="8087" spans="12:13">
      <c r="L8087" s="1">
        <v>44680.059027751646</v>
      </c>
      <c r="M8087" s="13"/>
    </row>
    <row r="8088" spans="12:13">
      <c r="L8088" s="1">
        <v>44680.062499973865</v>
      </c>
      <c r="M8088" s="13"/>
    </row>
    <row r="8089" spans="12:13">
      <c r="L8089" s="1">
        <v>44680.065972196084</v>
      </c>
      <c r="M8089" s="13"/>
    </row>
    <row r="8090" spans="12:13">
      <c r="L8090" s="1">
        <v>44680.069444418303</v>
      </c>
      <c r="M8090" s="13"/>
    </row>
    <row r="8091" spans="12:13">
      <c r="L8091" s="1">
        <v>44680.072916640522</v>
      </c>
      <c r="M8091" s="13"/>
    </row>
    <row r="8092" spans="12:13">
      <c r="L8092" s="1">
        <v>44680.076388862741</v>
      </c>
      <c r="M8092" s="13"/>
    </row>
    <row r="8093" spans="12:13">
      <c r="L8093" s="1">
        <v>44680.07986108496</v>
      </c>
      <c r="M8093" s="13"/>
    </row>
    <row r="8094" spans="12:13">
      <c r="L8094" s="1">
        <v>44680.083333307179</v>
      </c>
      <c r="M8094" s="13"/>
    </row>
    <row r="8095" spans="12:13">
      <c r="L8095" s="1">
        <v>44680.086805529398</v>
      </c>
      <c r="M8095" s="13"/>
    </row>
    <row r="8096" spans="12:13">
      <c r="L8096" s="1">
        <v>44680.090277751617</v>
      </c>
      <c r="M8096" s="13"/>
    </row>
    <row r="8097" spans="12:13">
      <c r="L8097" s="1">
        <v>44680.093749973836</v>
      </c>
      <c r="M8097" s="13"/>
    </row>
    <row r="8098" spans="12:13">
      <c r="L8098" s="1">
        <v>44680.097222196055</v>
      </c>
      <c r="M8098" s="13"/>
    </row>
    <row r="8099" spans="12:13">
      <c r="L8099" s="1">
        <v>44680.100694418274</v>
      </c>
      <c r="M8099" s="13"/>
    </row>
    <row r="8100" spans="12:13">
      <c r="L8100" s="1">
        <v>44680.104166640493</v>
      </c>
      <c r="M8100" s="13"/>
    </row>
    <row r="8101" spans="12:13">
      <c r="L8101" s="1">
        <v>44680.107638862712</v>
      </c>
      <c r="M8101" s="13"/>
    </row>
    <row r="8102" spans="12:13">
      <c r="L8102" s="1">
        <v>44680.111111084931</v>
      </c>
      <c r="M8102" s="13"/>
    </row>
    <row r="8103" spans="12:13">
      <c r="L8103" s="1">
        <v>44680.11458330715</v>
      </c>
      <c r="M8103" s="13"/>
    </row>
    <row r="8104" spans="12:13">
      <c r="L8104" s="1">
        <v>44680.118055529369</v>
      </c>
      <c r="M8104" s="13"/>
    </row>
    <row r="8105" spans="12:13">
      <c r="L8105" s="1">
        <v>44680.121527751588</v>
      </c>
      <c r="M8105" s="13"/>
    </row>
    <row r="8106" spans="12:13">
      <c r="L8106" s="1">
        <v>44680.124999973807</v>
      </c>
      <c r="M8106" s="13"/>
    </row>
    <row r="8107" spans="12:13">
      <c r="L8107" s="1">
        <v>44680.128472196026</v>
      </c>
      <c r="M8107" s="13"/>
    </row>
    <row r="8108" spans="12:13">
      <c r="L8108" s="1">
        <v>44680.131944418245</v>
      </c>
      <c r="M8108" s="13"/>
    </row>
    <row r="8109" spans="12:13">
      <c r="L8109" s="1">
        <v>44680.135416640464</v>
      </c>
      <c r="M8109" s="13"/>
    </row>
    <row r="8110" spans="12:13">
      <c r="L8110" s="1">
        <v>44680.138888862683</v>
      </c>
      <c r="M8110" s="13"/>
    </row>
    <row r="8111" spans="12:13">
      <c r="L8111" s="1">
        <v>44680.142361084901</v>
      </c>
      <c r="M8111" s="13"/>
    </row>
    <row r="8112" spans="12:13">
      <c r="L8112" s="1">
        <v>44680.14583330712</v>
      </c>
      <c r="M8112" s="13"/>
    </row>
    <row r="8113" spans="12:13">
      <c r="L8113" s="1">
        <v>44680.149305529339</v>
      </c>
      <c r="M8113" s="13"/>
    </row>
    <row r="8114" spans="12:13">
      <c r="L8114" s="1">
        <v>44680.152777751558</v>
      </c>
      <c r="M8114" s="13"/>
    </row>
    <row r="8115" spans="12:13">
      <c r="L8115" s="1">
        <v>44680.156249973777</v>
      </c>
      <c r="M8115" s="13"/>
    </row>
    <row r="8116" spans="12:13">
      <c r="L8116" s="1">
        <v>44680.159722195996</v>
      </c>
      <c r="M8116" s="13"/>
    </row>
    <row r="8117" spans="12:13">
      <c r="L8117" s="1">
        <v>44680.163194418215</v>
      </c>
      <c r="M8117" s="13"/>
    </row>
    <row r="8118" spans="12:13">
      <c r="L8118" s="1">
        <v>44680.166666640434</v>
      </c>
      <c r="M8118" s="13"/>
    </row>
    <row r="8119" spans="12:13">
      <c r="L8119" s="1">
        <v>44680.170138862653</v>
      </c>
      <c r="M8119" s="13"/>
    </row>
    <row r="8120" spans="12:13">
      <c r="L8120" s="1">
        <v>44680.173611084872</v>
      </c>
      <c r="M8120" s="13"/>
    </row>
    <row r="8121" spans="12:13">
      <c r="L8121" s="1">
        <v>44680.177083307091</v>
      </c>
      <c r="M8121" s="13"/>
    </row>
    <row r="8122" spans="12:13">
      <c r="L8122" s="1">
        <v>44680.18055552931</v>
      </c>
      <c r="M8122" s="13"/>
    </row>
    <row r="8123" spans="12:13">
      <c r="L8123" s="1">
        <v>44680.184027751529</v>
      </c>
      <c r="M8123" s="13"/>
    </row>
    <row r="8124" spans="12:13">
      <c r="L8124" s="1">
        <v>44680.187499973748</v>
      </c>
      <c r="M8124" s="13"/>
    </row>
    <row r="8125" spans="12:13">
      <c r="L8125" s="1">
        <v>44680.190972195967</v>
      </c>
      <c r="M8125" s="13"/>
    </row>
    <row r="8126" spans="12:13">
      <c r="L8126" s="1">
        <v>44680.194444418186</v>
      </c>
      <c r="M8126" s="13"/>
    </row>
    <row r="8127" spans="12:13">
      <c r="L8127" s="1">
        <v>44680.197916640405</v>
      </c>
      <c r="M8127" s="13"/>
    </row>
    <row r="8128" spans="12:13">
      <c r="L8128" s="1">
        <v>44680.201388862624</v>
      </c>
      <c r="M8128" s="13"/>
    </row>
    <row r="8129" spans="12:13">
      <c r="L8129" s="1">
        <v>44680.204861084843</v>
      </c>
      <c r="M8129" s="13"/>
    </row>
    <row r="8130" spans="12:13">
      <c r="L8130" s="1">
        <v>44680.208333307062</v>
      </c>
      <c r="M8130" s="13"/>
    </row>
    <row r="8131" spans="12:13">
      <c r="L8131" s="1">
        <v>44680.211805529281</v>
      </c>
      <c r="M8131" s="13"/>
    </row>
    <row r="8132" spans="12:13">
      <c r="L8132" s="1">
        <v>44680.2152777515</v>
      </c>
      <c r="M8132" s="13"/>
    </row>
    <row r="8133" spans="12:13">
      <c r="L8133" s="1">
        <v>44680.218749973719</v>
      </c>
      <c r="M8133" s="13"/>
    </row>
    <row r="8134" spans="12:13">
      <c r="L8134" s="1">
        <v>44680.222222195938</v>
      </c>
      <c r="M8134" s="13"/>
    </row>
    <row r="8135" spans="12:13">
      <c r="L8135" s="1">
        <v>44680.225694418157</v>
      </c>
      <c r="M8135" s="13"/>
    </row>
    <row r="8136" spans="12:13">
      <c r="L8136" s="1">
        <v>44680.229166640376</v>
      </c>
      <c r="M8136" s="13"/>
    </row>
    <row r="8137" spans="12:13">
      <c r="L8137" s="1">
        <v>44680.232638862595</v>
      </c>
      <c r="M8137" s="13"/>
    </row>
    <row r="8138" spans="12:13">
      <c r="L8138" s="1">
        <v>44680.236111084814</v>
      </c>
      <c r="M8138" s="13"/>
    </row>
    <row r="8139" spans="12:13">
      <c r="L8139" s="1">
        <v>44680.239583307033</v>
      </c>
      <c r="M8139" s="13"/>
    </row>
    <row r="8140" spans="12:13">
      <c r="L8140" s="1">
        <v>44680.243055529252</v>
      </c>
      <c r="M8140" s="13"/>
    </row>
    <row r="8141" spans="12:13">
      <c r="L8141" s="1">
        <v>44680.246527751471</v>
      </c>
      <c r="M8141" s="13"/>
    </row>
    <row r="8142" spans="12:13">
      <c r="L8142" s="1">
        <v>44680.24999997369</v>
      </c>
      <c r="M8142" s="13"/>
    </row>
    <row r="8143" spans="12:13">
      <c r="L8143" s="1">
        <v>44680.253472195909</v>
      </c>
      <c r="M8143" s="13"/>
    </row>
    <row r="8144" spans="12:13">
      <c r="L8144" s="1">
        <v>44680.256944418128</v>
      </c>
      <c r="M8144" s="13"/>
    </row>
    <row r="8145" spans="12:13">
      <c r="L8145" s="1">
        <v>44680.260416640347</v>
      </c>
      <c r="M8145" s="13"/>
    </row>
    <row r="8146" spans="12:13">
      <c r="L8146" s="1">
        <v>44680.263888862566</v>
      </c>
      <c r="M8146" s="13"/>
    </row>
    <row r="8147" spans="12:13">
      <c r="L8147" s="1">
        <v>44680.267361084785</v>
      </c>
      <c r="M8147" s="13"/>
    </row>
    <row r="8148" spans="12:13">
      <c r="L8148" s="1">
        <v>44680.270833307004</v>
      </c>
      <c r="M8148" s="13"/>
    </row>
    <row r="8149" spans="12:13">
      <c r="L8149" s="1">
        <v>44680.274305529223</v>
      </c>
      <c r="M8149" s="13"/>
    </row>
    <row r="8150" spans="12:13">
      <c r="L8150" s="1">
        <v>44680.277777751442</v>
      </c>
      <c r="M8150" s="13"/>
    </row>
    <row r="8151" spans="12:13">
      <c r="L8151" s="1">
        <v>44680.281249973661</v>
      </c>
      <c r="M8151" s="13"/>
    </row>
    <row r="8152" spans="12:13">
      <c r="L8152" s="1">
        <v>44680.28472219588</v>
      </c>
      <c r="M8152" s="13"/>
    </row>
    <row r="8153" spans="12:13">
      <c r="L8153" s="1">
        <v>44680.288194418099</v>
      </c>
      <c r="M8153" s="13"/>
    </row>
    <row r="8154" spans="12:13">
      <c r="L8154" s="1">
        <v>44680.291666640318</v>
      </c>
      <c r="M8154" s="13"/>
    </row>
    <row r="8155" spans="12:13">
      <c r="L8155" s="1">
        <v>44680.295138862537</v>
      </c>
      <c r="M8155" s="13"/>
    </row>
    <row r="8156" spans="12:13">
      <c r="L8156" s="1">
        <v>44680.298611084756</v>
      </c>
      <c r="M8156" s="13"/>
    </row>
    <row r="8157" spans="12:13">
      <c r="L8157" s="1">
        <v>44680.302083306975</v>
      </c>
      <c r="M8157" s="13"/>
    </row>
    <row r="8158" spans="12:13">
      <c r="L8158" s="1">
        <v>44680.305555529194</v>
      </c>
      <c r="M8158" s="13"/>
    </row>
    <row r="8159" spans="12:13">
      <c r="L8159" s="1">
        <v>44680.309027751413</v>
      </c>
      <c r="M8159" s="13"/>
    </row>
    <row r="8160" spans="12:13">
      <c r="L8160" s="1">
        <v>44680.312499973632</v>
      </c>
      <c r="M8160" s="13"/>
    </row>
    <row r="8161" spans="12:13">
      <c r="L8161" s="1">
        <v>44680.315972195851</v>
      </c>
      <c r="M8161" s="13"/>
    </row>
    <row r="8162" spans="12:13">
      <c r="L8162" s="1">
        <v>44680.31944441807</v>
      </c>
      <c r="M8162" s="13"/>
    </row>
    <row r="8163" spans="12:13">
      <c r="L8163" s="1">
        <v>44680.322916640289</v>
      </c>
      <c r="M8163" s="13"/>
    </row>
    <row r="8164" spans="12:13">
      <c r="L8164" s="1">
        <v>44680.326388862508</v>
      </c>
      <c r="M8164" s="13"/>
    </row>
    <row r="8165" spans="12:13">
      <c r="L8165" s="1">
        <v>44680.329861084727</v>
      </c>
      <c r="M8165" s="13"/>
    </row>
    <row r="8166" spans="12:13">
      <c r="L8166" s="1">
        <v>44680.333333306946</v>
      </c>
      <c r="M8166" s="13"/>
    </row>
    <row r="8167" spans="12:13">
      <c r="L8167" s="1">
        <v>44680.336805529165</v>
      </c>
      <c r="M8167" s="13"/>
    </row>
    <row r="8168" spans="12:13">
      <c r="L8168" s="1">
        <v>44680.340277751384</v>
      </c>
      <c r="M8168" s="13"/>
    </row>
    <row r="8169" spans="12:13">
      <c r="L8169" s="1">
        <v>44680.343749973603</v>
      </c>
      <c r="M8169" s="13"/>
    </row>
    <row r="8170" spans="12:13">
      <c r="L8170" s="1">
        <v>44680.347222195822</v>
      </c>
      <c r="M8170" s="13"/>
    </row>
    <row r="8171" spans="12:13">
      <c r="L8171" s="1">
        <v>44680.350694418041</v>
      </c>
      <c r="M8171" s="13"/>
    </row>
    <row r="8172" spans="12:13">
      <c r="L8172" s="1">
        <v>44680.35416664026</v>
      </c>
      <c r="M8172" s="13"/>
    </row>
    <row r="8173" spans="12:13">
      <c r="L8173" s="1">
        <v>44680.357638862479</v>
      </c>
      <c r="M8173" s="13"/>
    </row>
    <row r="8174" spans="12:13">
      <c r="L8174" s="1">
        <v>44680.361111084698</v>
      </c>
      <c r="M8174" s="13"/>
    </row>
    <row r="8175" spans="12:13">
      <c r="L8175" s="1">
        <v>44680.364583306917</v>
      </c>
      <c r="M8175" s="13"/>
    </row>
    <row r="8176" spans="12:13">
      <c r="L8176" s="1">
        <v>44680.368055529136</v>
      </c>
      <c r="M8176" s="13"/>
    </row>
    <row r="8177" spans="12:13">
      <c r="L8177" s="1">
        <v>44680.371527751355</v>
      </c>
      <c r="M8177" s="13"/>
    </row>
    <row r="8178" spans="12:13">
      <c r="L8178" s="1">
        <v>44680.374999973574</v>
      </c>
      <c r="M8178" s="13"/>
    </row>
    <row r="8179" spans="12:13">
      <c r="L8179" s="1">
        <v>44680.378472195793</v>
      </c>
      <c r="M8179" s="13"/>
    </row>
    <row r="8180" spans="12:13">
      <c r="L8180" s="1">
        <v>44680.381944418012</v>
      </c>
      <c r="M8180" s="13"/>
    </row>
    <row r="8181" spans="12:13">
      <c r="L8181" s="1">
        <v>44680.385416640231</v>
      </c>
      <c r="M8181" s="13"/>
    </row>
    <row r="8182" spans="12:13">
      <c r="L8182" s="1">
        <v>44680.38888886245</v>
      </c>
      <c r="M8182" s="13"/>
    </row>
    <row r="8183" spans="12:13">
      <c r="L8183" s="1">
        <v>44680.392361084669</v>
      </c>
      <c r="M8183" s="13"/>
    </row>
    <row r="8184" spans="12:13">
      <c r="L8184" s="1">
        <v>44680.395833306888</v>
      </c>
      <c r="M8184" s="13"/>
    </row>
    <row r="8185" spans="12:13">
      <c r="L8185" s="1">
        <v>44680.399305529107</v>
      </c>
      <c r="M8185" s="13"/>
    </row>
    <row r="8186" spans="12:13">
      <c r="L8186" s="1">
        <v>44680.402777751326</v>
      </c>
      <c r="M8186" s="13"/>
    </row>
    <row r="8187" spans="12:13">
      <c r="L8187" s="1">
        <v>44680.406249973545</v>
      </c>
      <c r="M8187" s="13"/>
    </row>
    <row r="8188" spans="12:13">
      <c r="L8188" s="1">
        <v>44680.409722195764</v>
      </c>
      <c r="M8188" s="13"/>
    </row>
    <row r="8189" spans="12:13">
      <c r="L8189" s="1">
        <v>44680.413194417983</v>
      </c>
      <c r="M8189" s="13"/>
    </row>
    <row r="8190" spans="12:13">
      <c r="L8190" s="1">
        <v>44680.416666640202</v>
      </c>
      <c r="M8190" s="13"/>
    </row>
    <row r="8191" spans="12:13">
      <c r="L8191" s="1">
        <v>44680.420138862421</v>
      </c>
      <c r="M8191" s="13"/>
    </row>
    <row r="8192" spans="12:13">
      <c r="L8192" s="1">
        <v>44680.42361108464</v>
      </c>
      <c r="M8192" s="13"/>
    </row>
    <row r="8193" spans="12:13">
      <c r="L8193" s="1">
        <v>44680.427083306859</v>
      </c>
      <c r="M8193" s="13"/>
    </row>
    <row r="8194" spans="12:13">
      <c r="L8194" s="1">
        <v>44680.430555529078</v>
      </c>
      <c r="M8194" s="13"/>
    </row>
    <row r="8195" spans="12:13">
      <c r="L8195" s="1">
        <v>44680.434027751297</v>
      </c>
      <c r="M8195" s="13"/>
    </row>
    <row r="8196" spans="12:13">
      <c r="L8196" s="1">
        <v>44680.437499973516</v>
      </c>
      <c r="M8196" s="13"/>
    </row>
    <row r="8197" spans="12:13">
      <c r="L8197" s="1">
        <v>44680.440972195735</v>
      </c>
      <c r="M8197" s="13"/>
    </row>
    <row r="8198" spans="12:13">
      <c r="L8198" s="1">
        <v>44680.444444417953</v>
      </c>
      <c r="M8198" s="13"/>
    </row>
    <row r="8199" spans="12:13">
      <c r="L8199" s="1">
        <v>44680.447916640172</v>
      </c>
      <c r="M8199" s="13"/>
    </row>
    <row r="8200" spans="12:13">
      <c r="L8200" s="1">
        <v>44680.451388862391</v>
      </c>
      <c r="M8200" s="13"/>
    </row>
    <row r="8201" spans="12:13">
      <c r="L8201" s="1">
        <v>44680.45486108461</v>
      </c>
      <c r="M8201" s="13"/>
    </row>
    <row r="8202" spans="12:13">
      <c r="L8202" s="1">
        <v>44680.458333306829</v>
      </c>
      <c r="M8202" s="13"/>
    </row>
    <row r="8203" spans="12:13">
      <c r="L8203" s="1">
        <v>44680.461805529048</v>
      </c>
      <c r="M8203" s="13"/>
    </row>
    <row r="8204" spans="12:13">
      <c r="L8204" s="1">
        <v>44680.465277751267</v>
      </c>
      <c r="M8204" s="13"/>
    </row>
    <row r="8205" spans="12:13">
      <c r="L8205" s="1">
        <v>44680.468749973486</v>
      </c>
      <c r="M8205" s="13"/>
    </row>
    <row r="8206" spans="12:13">
      <c r="L8206" s="1">
        <v>44680.472222195705</v>
      </c>
      <c r="M8206" s="13"/>
    </row>
    <row r="8207" spans="12:13">
      <c r="L8207" s="1">
        <v>44680.475694417924</v>
      </c>
      <c r="M8207" s="13"/>
    </row>
    <row r="8208" spans="12:13">
      <c r="L8208" s="1">
        <v>44680.479166640143</v>
      </c>
      <c r="M8208" s="13"/>
    </row>
    <row r="8209" spans="12:13">
      <c r="L8209" s="1">
        <v>44680.482638862362</v>
      </c>
      <c r="M8209" s="13"/>
    </row>
    <row r="8210" spans="12:13">
      <c r="L8210" s="1">
        <v>44680.486111084581</v>
      </c>
      <c r="M8210" s="13"/>
    </row>
    <row r="8211" spans="12:13">
      <c r="L8211" s="1">
        <v>44680.4895833068</v>
      </c>
      <c r="M8211" s="13"/>
    </row>
    <row r="8212" spans="12:13">
      <c r="L8212" s="1">
        <v>44680.493055529019</v>
      </c>
      <c r="M8212" s="13"/>
    </row>
    <row r="8213" spans="12:13">
      <c r="L8213" s="1">
        <v>44680.496527751238</v>
      </c>
      <c r="M8213" s="13"/>
    </row>
    <row r="8214" spans="12:13">
      <c r="L8214" s="1">
        <v>44680.499999973457</v>
      </c>
      <c r="M8214" s="13"/>
    </row>
    <row r="8215" spans="12:13">
      <c r="L8215" s="1">
        <v>44680.503472195676</v>
      </c>
      <c r="M8215" s="13"/>
    </row>
    <row r="8216" spans="12:13">
      <c r="L8216" s="1">
        <v>44680.506944417895</v>
      </c>
      <c r="M8216" s="13"/>
    </row>
    <row r="8217" spans="12:13">
      <c r="L8217" s="1">
        <v>44680.510416640114</v>
      </c>
      <c r="M8217" s="13"/>
    </row>
    <row r="8218" spans="12:13">
      <c r="L8218" s="1">
        <v>44680.513888862333</v>
      </c>
      <c r="M8218" s="13"/>
    </row>
    <row r="8219" spans="12:13">
      <c r="L8219" s="1">
        <v>44680.517361084552</v>
      </c>
      <c r="M8219" s="13"/>
    </row>
    <row r="8220" spans="12:13">
      <c r="L8220" s="1">
        <v>44680.520833306771</v>
      </c>
      <c r="M8220" s="13"/>
    </row>
    <row r="8221" spans="12:13">
      <c r="L8221" s="1">
        <v>44680.52430552899</v>
      </c>
      <c r="M8221" s="13"/>
    </row>
    <row r="8222" spans="12:13">
      <c r="L8222" s="1">
        <v>44680.527777751209</v>
      </c>
      <c r="M8222" s="13"/>
    </row>
    <row r="8223" spans="12:13">
      <c r="L8223" s="1">
        <v>44680.531249973428</v>
      </c>
      <c r="M8223" s="13"/>
    </row>
    <row r="8224" spans="12:13">
      <c r="L8224" s="1">
        <v>44680.534722195647</v>
      </c>
      <c r="M8224" s="13"/>
    </row>
    <row r="8225" spans="12:13">
      <c r="L8225" s="1">
        <v>44680.538194417866</v>
      </c>
      <c r="M8225" s="13"/>
    </row>
    <row r="8226" spans="12:13">
      <c r="L8226" s="1">
        <v>44680.541666640085</v>
      </c>
      <c r="M8226" s="13"/>
    </row>
    <row r="8227" spans="12:13">
      <c r="L8227" s="1">
        <v>44680.545138862304</v>
      </c>
      <c r="M8227" s="13"/>
    </row>
    <row r="8228" spans="12:13">
      <c r="L8228" s="1">
        <v>44680.548611084523</v>
      </c>
      <c r="M8228" s="13"/>
    </row>
    <row r="8229" spans="12:13">
      <c r="L8229" s="1">
        <v>44680.552083306742</v>
      </c>
      <c r="M8229" s="13"/>
    </row>
    <row r="8230" spans="12:13">
      <c r="L8230" s="1">
        <v>44680.555555528961</v>
      </c>
      <c r="M8230" s="13"/>
    </row>
    <row r="8231" spans="12:13">
      <c r="L8231" s="1">
        <v>44680.55902775118</v>
      </c>
      <c r="M8231" s="13"/>
    </row>
    <row r="8232" spans="12:13">
      <c r="L8232" s="1">
        <v>44680.562499973399</v>
      </c>
      <c r="M8232" s="13"/>
    </row>
    <row r="8233" spans="12:13">
      <c r="L8233" s="1">
        <v>44680.565972195618</v>
      </c>
      <c r="M8233" s="13"/>
    </row>
    <row r="8234" spans="12:13">
      <c r="L8234" s="1">
        <v>44680.569444417837</v>
      </c>
      <c r="M8234" s="13"/>
    </row>
    <row r="8235" spans="12:13">
      <c r="L8235" s="1">
        <v>44680.572916640056</v>
      </c>
      <c r="M8235" s="13"/>
    </row>
    <row r="8236" spans="12:13">
      <c r="L8236" s="1">
        <v>44680.576388862275</v>
      </c>
      <c r="M8236" s="13"/>
    </row>
    <row r="8237" spans="12:13">
      <c r="L8237" s="1">
        <v>44680.579861084494</v>
      </c>
      <c r="M8237" s="13"/>
    </row>
    <row r="8238" spans="12:13">
      <c r="L8238" s="1">
        <v>44680.583333306713</v>
      </c>
      <c r="M8238" s="13"/>
    </row>
    <row r="8239" spans="12:13">
      <c r="L8239" s="1">
        <v>44680.586805528932</v>
      </c>
      <c r="M8239" s="13"/>
    </row>
    <row r="8240" spans="12:13">
      <c r="L8240" s="1">
        <v>44680.590277751151</v>
      </c>
      <c r="M8240" s="13"/>
    </row>
    <row r="8241" spans="12:13">
      <c r="L8241" s="1">
        <v>44680.59374997337</v>
      </c>
      <c r="M8241" s="13"/>
    </row>
    <row r="8242" spans="12:13">
      <c r="L8242" s="1">
        <v>44680.597222195589</v>
      </c>
      <c r="M8242" s="13"/>
    </row>
    <row r="8243" spans="12:13">
      <c r="L8243" s="1">
        <v>44680.600694417808</v>
      </c>
      <c r="M8243" s="13"/>
    </row>
    <row r="8244" spans="12:13">
      <c r="L8244" s="1">
        <v>44680.604166640027</v>
      </c>
      <c r="M8244" s="13"/>
    </row>
    <row r="8245" spans="12:13">
      <c r="L8245" s="1">
        <v>44680.607638862246</v>
      </c>
      <c r="M8245" s="13"/>
    </row>
    <row r="8246" spans="12:13">
      <c r="L8246" s="1">
        <v>44680.611111084465</v>
      </c>
      <c r="M8246" s="13"/>
    </row>
    <row r="8247" spans="12:13">
      <c r="L8247" s="1">
        <v>44680.614583306684</v>
      </c>
      <c r="M8247" s="13"/>
    </row>
    <row r="8248" spans="12:13">
      <c r="L8248" s="1">
        <v>44680.618055528903</v>
      </c>
      <c r="M8248" s="13"/>
    </row>
    <row r="8249" spans="12:13">
      <c r="L8249" s="1">
        <v>44680.621527751122</v>
      </c>
      <c r="M8249" s="13"/>
    </row>
    <row r="8250" spans="12:13">
      <c r="L8250" s="1">
        <v>44680.624999973341</v>
      </c>
      <c r="M8250" s="13"/>
    </row>
    <row r="8251" spans="12:13">
      <c r="L8251" s="1">
        <v>44680.62847219556</v>
      </c>
      <c r="M8251" s="13"/>
    </row>
    <row r="8252" spans="12:13">
      <c r="L8252" s="1">
        <v>44680.631944417779</v>
      </c>
      <c r="M8252" s="13"/>
    </row>
    <row r="8253" spans="12:13">
      <c r="L8253" s="1">
        <v>44680.635416639998</v>
      </c>
      <c r="M8253" s="13"/>
    </row>
    <row r="8254" spans="12:13">
      <c r="L8254" s="1">
        <v>44680.638888862217</v>
      </c>
      <c r="M8254" s="13"/>
    </row>
    <row r="8255" spans="12:13">
      <c r="L8255" s="1">
        <v>44680.642361084436</v>
      </c>
      <c r="M8255" s="13"/>
    </row>
    <row r="8256" spans="12:13">
      <c r="L8256" s="1">
        <v>44680.645833306655</v>
      </c>
      <c r="M8256" s="13"/>
    </row>
    <row r="8257" spans="12:13">
      <c r="L8257" s="1">
        <v>44680.649305528874</v>
      </c>
      <c r="M8257" s="13"/>
    </row>
    <row r="8258" spans="12:13">
      <c r="L8258" s="1">
        <v>44680.652777751093</v>
      </c>
      <c r="M8258" s="13"/>
    </row>
    <row r="8259" spans="12:13">
      <c r="L8259" s="1">
        <v>44680.656249973312</v>
      </c>
      <c r="M8259" s="13"/>
    </row>
    <row r="8260" spans="12:13">
      <c r="L8260" s="1">
        <v>44680.659722195531</v>
      </c>
      <c r="M8260" s="13"/>
    </row>
    <row r="8261" spans="12:13">
      <c r="L8261" s="1">
        <v>44680.66319441775</v>
      </c>
      <c r="M8261" s="13"/>
    </row>
    <row r="8262" spans="12:13">
      <c r="L8262" s="1">
        <v>44680.666666639969</v>
      </c>
      <c r="M8262" s="13"/>
    </row>
    <row r="8263" spans="12:13">
      <c r="L8263" s="1">
        <v>44680.670138862188</v>
      </c>
      <c r="M8263" s="13"/>
    </row>
    <row r="8264" spans="12:13">
      <c r="L8264" s="1">
        <v>44680.673611084407</v>
      </c>
      <c r="M8264" s="13"/>
    </row>
    <row r="8265" spans="12:13">
      <c r="L8265" s="1">
        <v>44680.677083306626</v>
      </c>
      <c r="M8265" s="13"/>
    </row>
    <row r="8266" spans="12:13">
      <c r="L8266" s="1">
        <v>44680.680555528845</v>
      </c>
      <c r="M8266" s="13"/>
    </row>
    <row r="8267" spans="12:13">
      <c r="L8267" s="1">
        <v>44680.684027751064</v>
      </c>
      <c r="M8267" s="13"/>
    </row>
    <row r="8268" spans="12:13">
      <c r="L8268" s="1">
        <v>44680.687499973283</v>
      </c>
      <c r="M8268" s="13"/>
    </row>
    <row r="8269" spans="12:13">
      <c r="L8269" s="1">
        <v>44680.690972195502</v>
      </c>
      <c r="M8269" s="13"/>
    </row>
    <row r="8270" spans="12:13">
      <c r="L8270" s="1">
        <v>44680.694444417721</v>
      </c>
      <c r="M8270" s="13"/>
    </row>
    <row r="8271" spans="12:13">
      <c r="L8271" s="1">
        <v>44680.69791663994</v>
      </c>
      <c r="M8271" s="13"/>
    </row>
    <row r="8272" spans="12:13">
      <c r="L8272" s="1">
        <v>44680.701388862159</v>
      </c>
      <c r="M8272" s="13"/>
    </row>
    <row r="8273" spans="12:13">
      <c r="L8273" s="1">
        <v>44680.704861084378</v>
      </c>
      <c r="M8273" s="13"/>
    </row>
    <row r="8274" spans="12:13">
      <c r="L8274" s="1">
        <v>44680.708333306597</v>
      </c>
      <c r="M8274" s="13"/>
    </row>
    <row r="8275" spans="12:13">
      <c r="L8275" s="1">
        <v>44680.711805528816</v>
      </c>
      <c r="M8275" s="13"/>
    </row>
    <row r="8276" spans="12:13">
      <c r="L8276" s="1">
        <v>44680.715277751035</v>
      </c>
      <c r="M8276" s="13"/>
    </row>
    <row r="8277" spans="12:13">
      <c r="L8277" s="1">
        <v>44680.718749973254</v>
      </c>
      <c r="M8277" s="13"/>
    </row>
    <row r="8278" spans="12:13">
      <c r="L8278" s="1">
        <v>44680.722222195473</v>
      </c>
      <c r="M8278" s="13"/>
    </row>
    <row r="8279" spans="12:13">
      <c r="L8279" s="1">
        <v>44680.725694417692</v>
      </c>
      <c r="M8279" s="13"/>
    </row>
    <row r="8280" spans="12:13">
      <c r="L8280" s="1">
        <v>44680.729166639911</v>
      </c>
      <c r="M8280" s="13"/>
    </row>
    <row r="8281" spans="12:13">
      <c r="L8281" s="1">
        <v>44680.73263886213</v>
      </c>
      <c r="M8281" s="13"/>
    </row>
    <row r="8282" spans="12:13">
      <c r="L8282" s="1">
        <v>44680.736111084349</v>
      </c>
      <c r="M8282" s="13"/>
    </row>
    <row r="8283" spans="12:13">
      <c r="L8283" s="1">
        <v>44680.739583306568</v>
      </c>
      <c r="M8283" s="13"/>
    </row>
    <row r="8284" spans="12:13">
      <c r="L8284" s="1">
        <v>44680.743055528786</v>
      </c>
      <c r="M8284" s="13"/>
    </row>
    <row r="8285" spans="12:13">
      <c r="L8285" s="1">
        <v>44680.746527751005</v>
      </c>
      <c r="M8285" s="13"/>
    </row>
    <row r="8286" spans="12:13">
      <c r="L8286" s="1">
        <v>44680.749999973224</v>
      </c>
      <c r="M8286" s="13"/>
    </row>
    <row r="8287" spans="12:13">
      <c r="L8287" s="1">
        <v>44680.753472195443</v>
      </c>
      <c r="M8287" s="13"/>
    </row>
    <row r="8288" spans="12:13">
      <c r="L8288" s="1">
        <v>44680.756944417662</v>
      </c>
      <c r="M8288" s="13"/>
    </row>
    <row r="8289" spans="12:13">
      <c r="L8289" s="1">
        <v>44680.760416639881</v>
      </c>
      <c r="M8289" s="13"/>
    </row>
    <row r="8290" spans="12:13">
      <c r="L8290" s="1">
        <v>44680.7638888621</v>
      </c>
      <c r="M8290" s="13"/>
    </row>
    <row r="8291" spans="12:13">
      <c r="L8291" s="1">
        <v>44680.767361084319</v>
      </c>
      <c r="M8291" s="13"/>
    </row>
    <row r="8292" spans="12:13">
      <c r="L8292" s="1">
        <v>44680.770833306538</v>
      </c>
      <c r="M8292" s="13"/>
    </row>
    <row r="8293" spans="12:13">
      <c r="L8293" s="1">
        <v>44680.774305528757</v>
      </c>
      <c r="M8293" s="13"/>
    </row>
    <row r="8294" spans="12:13">
      <c r="L8294" s="1">
        <v>44680.777777750976</v>
      </c>
      <c r="M8294" s="13"/>
    </row>
    <row r="8295" spans="12:13">
      <c r="L8295" s="1">
        <v>44680.781249973195</v>
      </c>
      <c r="M8295" s="13"/>
    </row>
    <row r="8296" spans="12:13">
      <c r="L8296" s="1">
        <v>44680.784722195414</v>
      </c>
      <c r="M8296" s="13"/>
    </row>
    <row r="8297" spans="12:13">
      <c r="L8297" s="1">
        <v>44680.788194417633</v>
      </c>
      <c r="M8297" s="13"/>
    </row>
    <row r="8298" spans="12:13">
      <c r="L8298" s="1">
        <v>44680.791666639852</v>
      </c>
      <c r="M8298" s="13"/>
    </row>
    <row r="8299" spans="12:13">
      <c r="L8299" s="1">
        <v>44680.795138862071</v>
      </c>
      <c r="M8299" s="13"/>
    </row>
    <row r="8300" spans="12:13">
      <c r="L8300" s="1">
        <v>44680.79861108429</v>
      </c>
      <c r="M8300" s="13"/>
    </row>
    <row r="8301" spans="12:13">
      <c r="L8301" s="1">
        <v>44680.802083306509</v>
      </c>
      <c r="M8301" s="13"/>
    </row>
    <row r="8302" spans="12:13">
      <c r="L8302" s="1">
        <v>44680.805555528728</v>
      </c>
      <c r="M8302" s="13"/>
    </row>
    <row r="8303" spans="12:13">
      <c r="L8303" s="1">
        <v>44680.809027750947</v>
      </c>
      <c r="M8303" s="13"/>
    </row>
    <row r="8304" spans="12:13">
      <c r="L8304" s="1">
        <v>44680.812499973166</v>
      </c>
      <c r="M8304" s="13"/>
    </row>
    <row r="8305" spans="12:13">
      <c r="L8305" s="1">
        <v>44680.815972195385</v>
      </c>
      <c r="M8305" s="13"/>
    </row>
    <row r="8306" spans="12:13">
      <c r="L8306" s="1">
        <v>44680.819444417604</v>
      </c>
      <c r="M8306" s="13"/>
    </row>
    <row r="8307" spans="12:13">
      <c r="L8307" s="1">
        <v>44680.822916639823</v>
      </c>
      <c r="M8307" s="13"/>
    </row>
    <row r="8308" spans="12:13">
      <c r="L8308" s="1">
        <v>44680.826388862042</v>
      </c>
      <c r="M8308" s="13"/>
    </row>
    <row r="8309" spans="12:13">
      <c r="L8309" s="1">
        <v>44680.829861084261</v>
      </c>
      <c r="M8309" s="13"/>
    </row>
    <row r="8310" spans="12:13">
      <c r="L8310" s="1">
        <v>44680.83333330648</v>
      </c>
      <c r="M8310" s="13"/>
    </row>
    <row r="8311" spans="12:13">
      <c r="L8311" s="1">
        <v>44680.836805528699</v>
      </c>
      <c r="M8311" s="13"/>
    </row>
    <row r="8312" spans="12:13">
      <c r="L8312" s="1">
        <v>44680.840277750918</v>
      </c>
      <c r="M8312" s="13"/>
    </row>
    <row r="8313" spans="12:13">
      <c r="L8313" s="1">
        <v>44680.843749973137</v>
      </c>
      <c r="M8313" s="13"/>
    </row>
    <row r="8314" spans="12:13">
      <c r="L8314" s="1">
        <v>44680.847222195356</v>
      </c>
      <c r="M8314" s="13"/>
    </row>
    <row r="8315" spans="12:13">
      <c r="L8315" s="1">
        <v>44680.850694417575</v>
      </c>
      <c r="M8315" s="13"/>
    </row>
    <row r="8316" spans="12:13">
      <c r="L8316" s="1">
        <v>44680.854166639794</v>
      </c>
      <c r="M8316" s="13"/>
    </row>
    <row r="8317" spans="12:13">
      <c r="L8317" s="1">
        <v>44680.857638862013</v>
      </c>
      <c r="M8317" s="13"/>
    </row>
    <row r="8318" spans="12:13">
      <c r="L8318" s="1">
        <v>44680.861111084232</v>
      </c>
      <c r="M8318" s="13"/>
    </row>
    <row r="8319" spans="12:13">
      <c r="L8319" s="1">
        <v>44680.864583306451</v>
      </c>
      <c r="M8319" s="13"/>
    </row>
    <row r="8320" spans="12:13">
      <c r="L8320" s="1">
        <v>44680.86805552867</v>
      </c>
      <c r="M8320" s="13"/>
    </row>
    <row r="8321" spans="12:13">
      <c r="L8321" s="1">
        <v>44680.871527750889</v>
      </c>
      <c r="M8321" s="13"/>
    </row>
    <row r="8322" spans="12:13">
      <c r="L8322" s="1">
        <v>44680.874999973108</v>
      </c>
      <c r="M8322" s="13"/>
    </row>
    <row r="8323" spans="12:13">
      <c r="L8323" s="1">
        <v>44680.878472195327</v>
      </c>
      <c r="M8323" s="13"/>
    </row>
    <row r="8324" spans="12:13">
      <c r="L8324" s="1">
        <v>44680.881944417546</v>
      </c>
      <c r="M8324" s="13"/>
    </row>
    <row r="8325" spans="12:13">
      <c r="L8325" s="1">
        <v>44680.885416639765</v>
      </c>
      <c r="M8325" s="13"/>
    </row>
    <row r="8326" spans="12:13">
      <c r="L8326" s="1">
        <v>44680.888888861984</v>
      </c>
      <c r="M8326" s="13"/>
    </row>
    <row r="8327" spans="12:13">
      <c r="L8327" s="1">
        <v>44680.892361084203</v>
      </c>
      <c r="M8327" s="13"/>
    </row>
    <row r="8328" spans="12:13">
      <c r="L8328" s="1">
        <v>44680.895833306422</v>
      </c>
      <c r="M8328" s="13"/>
    </row>
    <row r="8329" spans="12:13">
      <c r="L8329" s="1">
        <v>44680.899305528641</v>
      </c>
      <c r="M8329" s="13"/>
    </row>
    <row r="8330" spans="12:13">
      <c r="L8330" s="1">
        <v>44680.90277775086</v>
      </c>
      <c r="M8330" s="13"/>
    </row>
    <row r="8331" spans="12:13">
      <c r="L8331" s="1">
        <v>44680.906249973079</v>
      </c>
      <c r="M8331" s="13"/>
    </row>
    <row r="8332" spans="12:13">
      <c r="L8332" s="1">
        <v>44680.909722195298</v>
      </c>
      <c r="M8332" s="13"/>
    </row>
    <row r="8333" spans="12:13">
      <c r="L8333" s="1">
        <v>44680.913194417517</v>
      </c>
      <c r="M8333" s="13"/>
    </row>
    <row r="8334" spans="12:13">
      <c r="L8334" s="1">
        <v>44680.916666639736</v>
      </c>
      <c r="M8334" s="13"/>
    </row>
    <row r="8335" spans="12:13">
      <c r="L8335" s="1">
        <v>44680.920138861955</v>
      </c>
      <c r="M8335" s="13"/>
    </row>
    <row r="8336" spans="12:13">
      <c r="L8336" s="1">
        <v>44680.923611084174</v>
      </c>
      <c r="M8336" s="13"/>
    </row>
    <row r="8337" spans="12:13">
      <c r="L8337" s="1">
        <v>44680.927083306393</v>
      </c>
      <c r="M8337" s="13"/>
    </row>
    <row r="8338" spans="12:13">
      <c r="L8338" s="1">
        <v>44680.930555528612</v>
      </c>
      <c r="M8338" s="13"/>
    </row>
    <row r="8339" spans="12:13">
      <c r="L8339" s="1">
        <v>44680.934027750831</v>
      </c>
      <c r="M8339" s="13"/>
    </row>
    <row r="8340" spans="12:13">
      <c r="L8340" s="1">
        <v>44680.93749997305</v>
      </c>
      <c r="M8340" s="13"/>
    </row>
    <row r="8341" spans="12:13">
      <c r="L8341" s="1">
        <v>44680.940972195269</v>
      </c>
      <c r="M8341" s="13"/>
    </row>
    <row r="8342" spans="12:13">
      <c r="L8342" s="1">
        <v>44680.944444417488</v>
      </c>
      <c r="M8342" s="13"/>
    </row>
    <row r="8343" spans="12:13">
      <c r="L8343" s="1">
        <v>44680.947916639707</v>
      </c>
      <c r="M8343" s="13"/>
    </row>
    <row r="8344" spans="12:13">
      <c r="L8344" s="1">
        <v>44680.951388861926</v>
      </c>
      <c r="M8344" s="13"/>
    </row>
    <row r="8345" spans="12:13">
      <c r="L8345" s="1">
        <v>44680.954861084145</v>
      </c>
      <c r="M8345" s="13"/>
    </row>
    <row r="8346" spans="12:13">
      <c r="L8346" s="1">
        <v>44680.958333306364</v>
      </c>
      <c r="M8346" s="13"/>
    </row>
    <row r="8347" spans="12:13">
      <c r="L8347" s="1">
        <v>44680.961805528583</v>
      </c>
      <c r="M8347" s="13"/>
    </row>
    <row r="8348" spans="12:13">
      <c r="L8348" s="1">
        <v>44680.965277750802</v>
      </c>
      <c r="M8348" s="13"/>
    </row>
    <row r="8349" spans="12:13">
      <c r="L8349" s="1">
        <v>44680.968749973021</v>
      </c>
      <c r="M8349" s="13"/>
    </row>
    <row r="8350" spans="12:13">
      <c r="L8350" s="1">
        <v>44680.97222219524</v>
      </c>
      <c r="M8350" s="13"/>
    </row>
    <row r="8351" spans="12:13">
      <c r="L8351" s="1">
        <v>44680.975694417459</v>
      </c>
      <c r="M8351" s="13"/>
    </row>
    <row r="8352" spans="12:13">
      <c r="L8352" s="1">
        <v>44680.979166639678</v>
      </c>
      <c r="M8352" s="13"/>
    </row>
    <row r="8353" spans="12:13">
      <c r="L8353" s="1">
        <v>44680.982638861897</v>
      </c>
      <c r="M8353" s="13"/>
    </row>
    <row r="8354" spans="12:13">
      <c r="L8354" s="1">
        <v>44680.986111084116</v>
      </c>
      <c r="M8354" s="13"/>
    </row>
    <row r="8355" spans="12:13">
      <c r="L8355" s="1">
        <v>44680.989583306335</v>
      </c>
      <c r="M8355" s="13"/>
    </row>
    <row r="8356" spans="12:13">
      <c r="L8356" s="1">
        <v>44680.993055528554</v>
      </c>
      <c r="M8356" s="13"/>
    </row>
    <row r="8357" spans="12:13">
      <c r="L8357" s="1">
        <v>44680.996527750773</v>
      </c>
      <c r="M8357" s="13"/>
    </row>
    <row r="8358" spans="12:13">
      <c r="L8358" s="1">
        <v>44680.999999972992</v>
      </c>
      <c r="M8358" s="13"/>
    </row>
    <row r="8359" spans="12:13">
      <c r="L8359" s="1">
        <v>44681.003472195211</v>
      </c>
      <c r="M8359" s="13"/>
    </row>
    <row r="8360" spans="12:13">
      <c r="L8360" s="1">
        <v>44681.00694441743</v>
      </c>
      <c r="M8360" s="13"/>
    </row>
    <row r="8361" spans="12:13">
      <c r="L8361" s="1">
        <v>44681.010416639649</v>
      </c>
      <c r="M8361" s="13"/>
    </row>
    <row r="8362" spans="12:13">
      <c r="L8362" s="1">
        <v>44681.013888861868</v>
      </c>
      <c r="M8362" s="13"/>
    </row>
    <row r="8363" spans="12:13">
      <c r="L8363" s="1">
        <v>44681.017361084087</v>
      </c>
      <c r="M8363" s="13"/>
    </row>
    <row r="8364" spans="12:13">
      <c r="L8364" s="1">
        <v>44681.020833306306</v>
      </c>
      <c r="M8364" s="13"/>
    </row>
    <row r="8365" spans="12:13">
      <c r="L8365" s="1">
        <v>44681.024305528525</v>
      </c>
      <c r="M8365" s="13"/>
    </row>
    <row r="8366" spans="12:13">
      <c r="L8366" s="1">
        <v>44681.027777750744</v>
      </c>
      <c r="M8366" s="13"/>
    </row>
    <row r="8367" spans="12:13">
      <c r="L8367" s="1">
        <v>44681.031249972963</v>
      </c>
      <c r="M8367" s="13"/>
    </row>
    <row r="8368" spans="12:13">
      <c r="L8368" s="1">
        <v>44681.034722195182</v>
      </c>
      <c r="M8368" s="13"/>
    </row>
    <row r="8369" spans="12:13">
      <c r="L8369" s="1">
        <v>44681.038194417401</v>
      </c>
      <c r="M8369" s="13"/>
    </row>
    <row r="8370" spans="12:13">
      <c r="L8370" s="1">
        <v>44681.04166663962</v>
      </c>
      <c r="M8370" s="13"/>
    </row>
    <row r="8371" spans="12:13">
      <c r="L8371" s="1">
        <v>44681.045138861838</v>
      </c>
      <c r="M8371" s="13"/>
    </row>
    <row r="8372" spans="12:13">
      <c r="L8372" s="1">
        <v>44681.048611084057</v>
      </c>
      <c r="M8372" s="13"/>
    </row>
    <row r="8373" spans="12:13">
      <c r="L8373" s="1">
        <v>44681.052083306276</v>
      </c>
      <c r="M8373" s="13"/>
    </row>
    <row r="8374" spans="12:13">
      <c r="L8374" s="1">
        <v>44681.055555528495</v>
      </c>
      <c r="M8374" s="13"/>
    </row>
    <row r="8375" spans="12:13">
      <c r="L8375" s="1">
        <v>44681.059027750714</v>
      </c>
      <c r="M8375" s="13"/>
    </row>
    <row r="8376" spans="12:13">
      <c r="L8376" s="1">
        <v>44681.062499972933</v>
      </c>
      <c r="M8376" s="13"/>
    </row>
    <row r="8377" spans="12:13">
      <c r="L8377" s="1">
        <v>44681.065972195152</v>
      </c>
      <c r="M8377" s="13"/>
    </row>
    <row r="8378" spans="12:13">
      <c r="L8378" s="1">
        <v>44681.069444417371</v>
      </c>
      <c r="M8378" s="13"/>
    </row>
    <row r="8379" spans="12:13">
      <c r="L8379" s="1">
        <v>44681.07291663959</v>
      </c>
      <c r="M8379" s="13"/>
    </row>
    <row r="8380" spans="12:13">
      <c r="L8380" s="1">
        <v>44681.076388861809</v>
      </c>
      <c r="M8380" s="13"/>
    </row>
    <row r="8381" spans="12:13">
      <c r="L8381" s="1">
        <v>44681.079861084028</v>
      </c>
      <c r="M8381" s="13"/>
    </row>
    <row r="8382" spans="12:13">
      <c r="L8382" s="1">
        <v>44681.083333306247</v>
      </c>
      <c r="M8382" s="13"/>
    </row>
    <row r="8383" spans="12:13">
      <c r="L8383" s="1">
        <v>44681.086805528466</v>
      </c>
      <c r="M8383" s="13"/>
    </row>
    <row r="8384" spans="12:13">
      <c r="L8384" s="1">
        <v>44681.090277750685</v>
      </c>
      <c r="M8384" s="13"/>
    </row>
    <row r="8385" spans="12:13">
      <c r="L8385" s="1">
        <v>44681.093749972904</v>
      </c>
      <c r="M8385" s="13"/>
    </row>
    <row r="8386" spans="12:13">
      <c r="L8386" s="1">
        <v>44681.097222195123</v>
      </c>
      <c r="M8386" s="13"/>
    </row>
    <row r="8387" spans="12:13">
      <c r="L8387" s="1">
        <v>44681.100694417342</v>
      </c>
      <c r="M8387" s="13"/>
    </row>
    <row r="8388" spans="12:13">
      <c r="L8388" s="1">
        <v>44681.104166639561</v>
      </c>
      <c r="M8388" s="13"/>
    </row>
    <row r="8389" spans="12:13">
      <c r="L8389" s="1">
        <v>44681.10763886178</v>
      </c>
      <c r="M8389" s="13"/>
    </row>
    <row r="8390" spans="12:13">
      <c r="L8390" s="1">
        <v>44681.111111083999</v>
      </c>
      <c r="M8390" s="13"/>
    </row>
    <row r="8391" spans="12:13">
      <c r="L8391" s="1">
        <v>44681.114583306218</v>
      </c>
      <c r="M8391" s="13"/>
    </row>
    <row r="8392" spans="12:13">
      <c r="L8392" s="1">
        <v>44681.118055528437</v>
      </c>
      <c r="M8392" s="13"/>
    </row>
    <row r="8393" spans="12:13">
      <c r="L8393" s="1">
        <v>44681.121527750656</v>
      </c>
      <c r="M8393" s="13"/>
    </row>
    <row r="8394" spans="12:13">
      <c r="L8394" s="1">
        <v>44681.124999972875</v>
      </c>
      <c r="M8394" s="13"/>
    </row>
    <row r="8395" spans="12:13">
      <c r="L8395" s="1">
        <v>44681.128472195094</v>
      </c>
      <c r="M8395" s="13"/>
    </row>
    <row r="8396" spans="12:13">
      <c r="L8396" s="1">
        <v>44681.131944417313</v>
      </c>
      <c r="M8396" s="13"/>
    </row>
    <row r="8397" spans="12:13">
      <c r="L8397" s="1">
        <v>44681.135416639532</v>
      </c>
      <c r="M8397" s="13"/>
    </row>
    <row r="8398" spans="12:13">
      <c r="L8398" s="1">
        <v>44681.138888861751</v>
      </c>
      <c r="M8398" s="13"/>
    </row>
    <row r="8399" spans="12:13">
      <c r="L8399" s="1">
        <v>44681.14236108397</v>
      </c>
      <c r="M8399" s="13"/>
    </row>
    <row r="8400" spans="12:13">
      <c r="L8400" s="1">
        <v>44681.145833306189</v>
      </c>
      <c r="M8400" s="13"/>
    </row>
    <row r="8401" spans="12:13">
      <c r="L8401" s="1">
        <v>44681.149305528408</v>
      </c>
      <c r="M8401" s="13"/>
    </row>
    <row r="8402" spans="12:13">
      <c r="L8402" s="1">
        <v>44681.152777750627</v>
      </c>
      <c r="M8402" s="13"/>
    </row>
    <row r="8403" spans="12:13">
      <c r="L8403" s="1">
        <v>44681.156249972846</v>
      </c>
      <c r="M8403" s="13"/>
    </row>
    <row r="8404" spans="12:13">
      <c r="L8404" s="1">
        <v>44681.159722195065</v>
      </c>
      <c r="M8404" s="13"/>
    </row>
    <row r="8405" spans="12:13">
      <c r="L8405" s="1">
        <v>44681.163194417284</v>
      </c>
      <c r="M8405" s="13"/>
    </row>
    <row r="8406" spans="12:13">
      <c r="L8406" s="1">
        <v>44681.166666639503</v>
      </c>
      <c r="M8406" s="13"/>
    </row>
    <row r="8407" spans="12:13">
      <c r="L8407" s="1">
        <v>44681.170138861722</v>
      </c>
      <c r="M8407" s="13"/>
    </row>
    <row r="8408" spans="12:13">
      <c r="L8408" s="1">
        <v>44681.173611083941</v>
      </c>
      <c r="M8408" s="13"/>
    </row>
    <row r="8409" spans="12:13">
      <c r="L8409" s="1">
        <v>44681.17708330616</v>
      </c>
      <c r="M8409" s="13"/>
    </row>
    <row r="8410" spans="12:13">
      <c r="L8410" s="1">
        <v>44681.180555528379</v>
      </c>
      <c r="M8410" s="13"/>
    </row>
    <row r="8411" spans="12:13">
      <c r="L8411" s="1">
        <v>44681.184027750598</v>
      </c>
      <c r="M8411" s="13"/>
    </row>
    <row r="8412" spans="12:13">
      <c r="L8412" s="1">
        <v>44681.187499972817</v>
      </c>
      <c r="M8412" s="13"/>
    </row>
    <row r="8413" spans="12:13">
      <c r="L8413" s="1">
        <v>44681.190972195036</v>
      </c>
      <c r="M8413" s="13"/>
    </row>
    <row r="8414" spans="12:13">
      <c r="L8414" s="1">
        <v>44681.194444417255</v>
      </c>
      <c r="M8414" s="13"/>
    </row>
    <row r="8415" spans="12:13">
      <c r="L8415" s="1">
        <v>44681.197916639474</v>
      </c>
      <c r="M8415" s="13"/>
    </row>
    <row r="8416" spans="12:13">
      <c r="L8416" s="1">
        <v>44681.201388861693</v>
      </c>
      <c r="M8416" s="13"/>
    </row>
    <row r="8417" spans="12:13">
      <c r="L8417" s="1">
        <v>44681.204861083912</v>
      </c>
      <c r="M8417" s="13"/>
    </row>
    <row r="8418" spans="12:13">
      <c r="L8418" s="1">
        <v>44681.208333306131</v>
      </c>
      <c r="M8418" s="13"/>
    </row>
    <row r="8419" spans="12:13">
      <c r="L8419" s="1">
        <v>44681.21180552835</v>
      </c>
      <c r="M8419" s="13"/>
    </row>
    <row r="8420" spans="12:13">
      <c r="L8420" s="1">
        <v>44681.215277750569</v>
      </c>
      <c r="M8420" s="13"/>
    </row>
    <row r="8421" spans="12:13">
      <c r="L8421" s="1">
        <v>44681.218749972788</v>
      </c>
      <c r="M8421" s="13"/>
    </row>
    <row r="8422" spans="12:13">
      <c r="L8422" s="1">
        <v>44681.222222195007</v>
      </c>
      <c r="M8422" s="13"/>
    </row>
    <row r="8423" spans="12:13">
      <c r="L8423" s="1">
        <v>44681.225694417226</v>
      </c>
      <c r="M8423" s="13"/>
    </row>
    <row r="8424" spans="12:13">
      <c r="L8424" s="1">
        <v>44681.229166639445</v>
      </c>
      <c r="M8424" s="13"/>
    </row>
    <row r="8425" spans="12:13">
      <c r="L8425" s="1">
        <v>44681.232638861664</v>
      </c>
      <c r="M8425" s="13"/>
    </row>
    <row r="8426" spans="12:13">
      <c r="L8426" s="1">
        <v>44681.236111083883</v>
      </c>
      <c r="M8426" s="13"/>
    </row>
    <row r="8427" spans="12:13">
      <c r="L8427" s="1">
        <v>44681.239583306102</v>
      </c>
      <c r="M8427" s="13"/>
    </row>
    <row r="8428" spans="12:13">
      <c r="L8428" s="1">
        <v>44681.243055528321</v>
      </c>
      <c r="M8428" s="13"/>
    </row>
    <row r="8429" spans="12:13">
      <c r="L8429" s="1">
        <v>44681.24652775054</v>
      </c>
      <c r="M8429" s="13"/>
    </row>
    <row r="8430" spans="12:13">
      <c r="L8430" s="1">
        <v>44681.249999972759</v>
      </c>
      <c r="M8430" s="13"/>
    </row>
    <row r="8431" spans="12:13">
      <c r="L8431" s="1">
        <v>44681.253472194978</v>
      </c>
      <c r="M8431" s="13"/>
    </row>
    <row r="8432" spans="12:13">
      <c r="L8432" s="1">
        <v>44681.256944417197</v>
      </c>
      <c r="M8432" s="13"/>
    </row>
    <row r="8433" spans="12:13">
      <c r="L8433" s="1">
        <v>44681.260416639416</v>
      </c>
      <c r="M8433" s="13"/>
    </row>
    <row r="8434" spans="12:13">
      <c r="L8434" s="1">
        <v>44681.263888861635</v>
      </c>
      <c r="M8434" s="13"/>
    </row>
    <row r="8435" spans="12:13">
      <c r="L8435" s="1">
        <v>44681.267361083854</v>
      </c>
      <c r="M8435" s="13"/>
    </row>
    <row r="8436" spans="12:13">
      <c r="L8436" s="1">
        <v>44681.270833306073</v>
      </c>
      <c r="M8436" s="13"/>
    </row>
    <row r="8437" spans="12:13">
      <c r="L8437" s="1">
        <v>44681.274305528292</v>
      </c>
      <c r="M8437" s="13"/>
    </row>
    <row r="8438" spans="12:13">
      <c r="L8438" s="1">
        <v>44681.277777750511</v>
      </c>
      <c r="M8438" s="13"/>
    </row>
    <row r="8439" spans="12:13">
      <c r="L8439" s="1">
        <v>44681.28124997273</v>
      </c>
      <c r="M8439" s="13"/>
    </row>
    <row r="8440" spans="12:13">
      <c r="L8440" s="1">
        <v>44681.284722194949</v>
      </c>
      <c r="M8440" s="13"/>
    </row>
    <row r="8441" spans="12:13">
      <c r="L8441" s="1">
        <v>44681.288194417168</v>
      </c>
      <c r="M8441" s="13"/>
    </row>
    <row r="8442" spans="12:13">
      <c r="L8442" s="1">
        <v>44681.291666639387</v>
      </c>
      <c r="M8442" s="13"/>
    </row>
    <row r="8443" spans="12:13">
      <c r="L8443" s="1">
        <v>44681.295138861606</v>
      </c>
      <c r="M8443" s="13"/>
    </row>
    <row r="8444" spans="12:13">
      <c r="L8444" s="1">
        <v>44681.298611083825</v>
      </c>
      <c r="M8444" s="13"/>
    </row>
    <row r="8445" spans="12:13">
      <c r="L8445" s="1">
        <v>44681.302083306044</v>
      </c>
      <c r="M8445" s="13"/>
    </row>
    <row r="8446" spans="12:13">
      <c r="L8446" s="1">
        <v>44681.305555528263</v>
      </c>
      <c r="M8446" s="13"/>
    </row>
    <row r="8447" spans="12:13">
      <c r="L8447" s="1">
        <v>44681.309027750482</v>
      </c>
      <c r="M8447" s="13"/>
    </row>
    <row r="8448" spans="12:13">
      <c r="L8448" s="1">
        <v>44681.312499972701</v>
      </c>
      <c r="M8448" s="13"/>
    </row>
    <row r="8449" spans="12:13">
      <c r="L8449" s="1">
        <v>44681.31597219492</v>
      </c>
      <c r="M8449" s="13"/>
    </row>
    <row r="8450" spans="12:13">
      <c r="L8450" s="1">
        <v>44681.319444417139</v>
      </c>
      <c r="M8450" s="13"/>
    </row>
    <row r="8451" spans="12:13">
      <c r="L8451" s="1">
        <v>44681.322916639358</v>
      </c>
      <c r="M8451" s="13"/>
    </row>
    <row r="8452" spans="12:13">
      <c r="L8452" s="1">
        <v>44681.326388861577</v>
      </c>
      <c r="M8452" s="13"/>
    </row>
    <row r="8453" spans="12:13">
      <c r="L8453" s="1">
        <v>44681.329861083796</v>
      </c>
      <c r="M8453" s="13"/>
    </row>
    <row r="8454" spans="12:13">
      <c r="L8454" s="1">
        <v>44681.333333306015</v>
      </c>
      <c r="M8454" s="13"/>
    </row>
    <row r="8455" spans="12:13">
      <c r="L8455" s="1">
        <v>44681.336805528234</v>
      </c>
      <c r="M8455" s="13"/>
    </row>
    <row r="8456" spans="12:13">
      <c r="L8456" s="1">
        <v>44681.340277750453</v>
      </c>
      <c r="M8456" s="13"/>
    </row>
    <row r="8457" spans="12:13">
      <c r="L8457" s="1">
        <v>44681.343749972672</v>
      </c>
      <c r="M8457" s="13"/>
    </row>
    <row r="8458" spans="12:13">
      <c r="L8458" s="1">
        <v>44681.34722219489</v>
      </c>
      <c r="M8458" s="13"/>
    </row>
    <row r="8459" spans="12:13">
      <c r="L8459" s="1">
        <v>44681.350694417109</v>
      </c>
      <c r="M8459" s="13"/>
    </row>
    <row r="8460" spans="12:13">
      <c r="L8460" s="1">
        <v>44681.354166639328</v>
      </c>
      <c r="M8460" s="13"/>
    </row>
    <row r="8461" spans="12:13">
      <c r="L8461" s="1">
        <v>44681.357638861547</v>
      </c>
      <c r="M8461" s="13"/>
    </row>
    <row r="8462" spans="12:13">
      <c r="L8462" s="1">
        <v>44681.361111083766</v>
      </c>
      <c r="M8462" s="13"/>
    </row>
    <row r="8463" spans="12:13">
      <c r="L8463" s="1">
        <v>44681.364583305985</v>
      </c>
      <c r="M8463" s="13"/>
    </row>
    <row r="8464" spans="12:13">
      <c r="L8464" s="1">
        <v>44681.368055528204</v>
      </c>
      <c r="M8464" s="13"/>
    </row>
    <row r="8465" spans="12:13">
      <c r="L8465" s="1">
        <v>44681.371527750423</v>
      </c>
      <c r="M8465" s="13"/>
    </row>
    <row r="8466" spans="12:13">
      <c r="L8466" s="1">
        <v>44681.374999972642</v>
      </c>
      <c r="M8466" s="13"/>
    </row>
    <row r="8467" spans="12:13">
      <c r="L8467" s="1">
        <v>44681.378472194861</v>
      </c>
      <c r="M8467" s="13"/>
    </row>
    <row r="8468" spans="12:13">
      <c r="L8468" s="1">
        <v>44681.38194441708</v>
      </c>
      <c r="M8468" s="13"/>
    </row>
    <row r="8469" spans="12:13">
      <c r="L8469" s="1">
        <v>44681.385416639299</v>
      </c>
      <c r="M8469" s="13"/>
    </row>
    <row r="8470" spans="12:13">
      <c r="L8470" s="1">
        <v>44681.388888861518</v>
      </c>
      <c r="M8470" s="13"/>
    </row>
    <row r="8471" spans="12:13">
      <c r="L8471" s="1">
        <v>44681.392361083737</v>
      </c>
      <c r="M8471" s="13"/>
    </row>
    <row r="8472" spans="12:13">
      <c r="L8472" s="1">
        <v>44681.395833305956</v>
      </c>
      <c r="M8472" s="13"/>
    </row>
    <row r="8473" spans="12:13">
      <c r="L8473" s="1">
        <v>44681.399305528175</v>
      </c>
      <c r="M8473" s="13"/>
    </row>
    <row r="8474" spans="12:13">
      <c r="L8474" s="1">
        <v>44681.402777750394</v>
      </c>
      <c r="M8474" s="13"/>
    </row>
    <row r="8475" spans="12:13">
      <c r="L8475" s="1">
        <v>44681.406249972613</v>
      </c>
      <c r="M8475" s="13"/>
    </row>
    <row r="8476" spans="12:13">
      <c r="L8476" s="1">
        <v>44681.409722194832</v>
      </c>
      <c r="M8476" s="13"/>
    </row>
    <row r="8477" spans="12:13">
      <c r="L8477" s="1">
        <v>44681.413194417051</v>
      </c>
      <c r="M8477" s="13"/>
    </row>
    <row r="8478" spans="12:13">
      <c r="L8478" s="1">
        <v>44681.41666663927</v>
      </c>
      <c r="M8478" s="13"/>
    </row>
    <row r="8479" spans="12:13">
      <c r="L8479" s="1">
        <v>44681.420138861489</v>
      </c>
      <c r="M8479" s="13"/>
    </row>
    <row r="8480" spans="12:13">
      <c r="L8480" s="1">
        <v>44681.423611083708</v>
      </c>
      <c r="M8480" s="13"/>
    </row>
    <row r="8481" spans="12:13">
      <c r="L8481" s="1">
        <v>44681.427083305927</v>
      </c>
      <c r="M8481" s="13"/>
    </row>
    <row r="8482" spans="12:13">
      <c r="L8482" s="1">
        <v>44681.430555528146</v>
      </c>
      <c r="M8482" s="13"/>
    </row>
    <row r="8483" spans="12:13">
      <c r="L8483" s="1">
        <v>44681.434027750365</v>
      </c>
      <c r="M8483" s="13"/>
    </row>
    <row r="8484" spans="12:13">
      <c r="L8484" s="1">
        <v>44681.437499972584</v>
      </c>
      <c r="M8484" s="13"/>
    </row>
    <row r="8485" spans="12:13">
      <c r="L8485" s="1">
        <v>44681.440972194803</v>
      </c>
      <c r="M8485" s="13"/>
    </row>
    <row r="8486" spans="12:13">
      <c r="L8486" s="1">
        <v>44681.444444417022</v>
      </c>
      <c r="M8486" s="13"/>
    </row>
    <row r="8487" spans="12:13">
      <c r="L8487" s="1">
        <v>44681.447916639241</v>
      </c>
      <c r="M8487" s="13"/>
    </row>
    <row r="8488" spans="12:13">
      <c r="L8488" s="1">
        <v>44681.45138886146</v>
      </c>
      <c r="M8488" s="13"/>
    </row>
    <row r="8489" spans="12:13">
      <c r="L8489" s="1">
        <v>44681.454861083679</v>
      </c>
      <c r="M8489" s="13"/>
    </row>
    <row r="8490" spans="12:13">
      <c r="L8490" s="1">
        <v>44681.458333305898</v>
      </c>
      <c r="M8490" s="13"/>
    </row>
    <row r="8491" spans="12:13">
      <c r="L8491" s="1">
        <v>44681.461805528117</v>
      </c>
      <c r="M8491" s="13"/>
    </row>
    <row r="8492" spans="12:13">
      <c r="L8492" s="1">
        <v>44681.465277750336</v>
      </c>
      <c r="M8492" s="13"/>
    </row>
    <row r="8493" spans="12:13">
      <c r="L8493" s="1">
        <v>44681.468749972555</v>
      </c>
      <c r="M8493" s="13"/>
    </row>
    <row r="8494" spans="12:13">
      <c r="L8494" s="1">
        <v>44681.472222194774</v>
      </c>
      <c r="M8494" s="13"/>
    </row>
    <row r="8495" spans="12:13">
      <c r="L8495" s="1">
        <v>44681.475694416993</v>
      </c>
      <c r="M8495" s="13"/>
    </row>
    <row r="8496" spans="12:13">
      <c r="L8496" s="1">
        <v>44681.479166639212</v>
      </c>
      <c r="M8496" s="13"/>
    </row>
    <row r="8497" spans="12:13">
      <c r="L8497" s="1">
        <v>44681.482638861431</v>
      </c>
      <c r="M8497" s="13"/>
    </row>
    <row r="8498" spans="12:13">
      <c r="L8498" s="1">
        <v>44681.48611108365</v>
      </c>
      <c r="M8498" s="13"/>
    </row>
    <row r="8499" spans="12:13">
      <c r="L8499" s="1">
        <v>44681.489583305869</v>
      </c>
      <c r="M8499" s="13"/>
    </row>
    <row r="8500" spans="12:13">
      <c r="L8500" s="1">
        <v>44681.493055528088</v>
      </c>
      <c r="M8500" s="13"/>
    </row>
    <row r="8501" spans="12:13">
      <c r="L8501" s="1">
        <v>44681.496527750307</v>
      </c>
      <c r="M8501" s="13"/>
    </row>
    <row r="8502" spans="12:13">
      <c r="L8502" s="1">
        <v>44681.499999972526</v>
      </c>
      <c r="M8502" s="13"/>
    </row>
    <row r="8503" spans="12:13">
      <c r="L8503" s="1">
        <v>44681.503472194745</v>
      </c>
      <c r="M8503" s="13"/>
    </row>
    <row r="8504" spans="12:13">
      <c r="L8504" s="1">
        <v>44681.506944416964</v>
      </c>
      <c r="M8504" s="13"/>
    </row>
    <row r="8505" spans="12:13">
      <c r="L8505" s="1">
        <v>44681.510416639183</v>
      </c>
      <c r="M8505" s="13"/>
    </row>
    <row r="8506" spans="12:13">
      <c r="L8506" s="1">
        <v>44681.513888861402</v>
      </c>
      <c r="M8506" s="13"/>
    </row>
    <row r="8507" spans="12:13">
      <c r="L8507" s="1">
        <v>44681.517361083621</v>
      </c>
      <c r="M8507" s="13"/>
    </row>
    <row r="8508" spans="12:13">
      <c r="L8508" s="1">
        <v>44681.52083330584</v>
      </c>
      <c r="M8508" s="13"/>
    </row>
    <row r="8509" spans="12:13">
      <c r="L8509" s="1">
        <v>44681.524305528059</v>
      </c>
      <c r="M8509" s="13"/>
    </row>
    <row r="8510" spans="12:13">
      <c r="L8510" s="1">
        <v>44681.527777750278</v>
      </c>
      <c r="M8510" s="13"/>
    </row>
    <row r="8511" spans="12:13">
      <c r="L8511" s="1">
        <v>44681.531249972497</v>
      </c>
      <c r="M8511" s="13"/>
    </row>
    <row r="8512" spans="12:13">
      <c r="L8512" s="1">
        <v>44681.534722194716</v>
      </c>
      <c r="M8512" s="13"/>
    </row>
    <row r="8513" spans="12:13">
      <c r="L8513" s="1">
        <v>44681.538194416935</v>
      </c>
      <c r="M8513" s="13"/>
    </row>
    <row r="8514" spans="12:13">
      <c r="L8514" s="1">
        <v>44681.541666639154</v>
      </c>
      <c r="M8514" s="13"/>
    </row>
    <row r="8515" spans="12:13">
      <c r="L8515" s="1">
        <v>44681.545138861373</v>
      </c>
      <c r="M8515" s="13"/>
    </row>
    <row r="8516" spans="12:13">
      <c r="L8516" s="1">
        <v>44681.548611083592</v>
      </c>
      <c r="M8516" s="13"/>
    </row>
    <row r="8517" spans="12:13">
      <c r="L8517" s="1">
        <v>44681.552083305811</v>
      </c>
      <c r="M8517" s="13"/>
    </row>
    <row r="8518" spans="12:13">
      <c r="L8518" s="1">
        <v>44681.55555552803</v>
      </c>
      <c r="M8518" s="13"/>
    </row>
    <row r="8519" spans="12:13">
      <c r="L8519" s="1">
        <v>44681.559027750249</v>
      </c>
      <c r="M8519" s="13"/>
    </row>
    <row r="8520" spans="12:13">
      <c r="L8520" s="1">
        <v>44681.562499972468</v>
      </c>
      <c r="M8520" s="13"/>
    </row>
    <row r="8521" spans="12:13">
      <c r="L8521" s="1">
        <v>44681.565972194687</v>
      </c>
      <c r="M8521" s="13"/>
    </row>
    <row r="8522" spans="12:13">
      <c r="L8522" s="1">
        <v>44681.569444416906</v>
      </c>
      <c r="M8522" s="13"/>
    </row>
    <row r="8523" spans="12:13">
      <c r="L8523" s="1">
        <v>44681.572916639125</v>
      </c>
      <c r="M8523" s="13"/>
    </row>
    <row r="8524" spans="12:13">
      <c r="L8524" s="1">
        <v>44681.576388861344</v>
      </c>
      <c r="M8524" s="13"/>
    </row>
    <row r="8525" spans="12:13">
      <c r="L8525" s="1">
        <v>44681.579861083563</v>
      </c>
      <c r="M8525" s="13"/>
    </row>
    <row r="8526" spans="12:13">
      <c r="L8526" s="1">
        <v>44681.583333305782</v>
      </c>
      <c r="M8526" s="13"/>
    </row>
    <row r="8527" spans="12:13">
      <c r="L8527" s="1">
        <v>44681.586805528001</v>
      </c>
      <c r="M8527" s="13"/>
    </row>
    <row r="8528" spans="12:13">
      <c r="L8528" s="1">
        <v>44681.59027775022</v>
      </c>
      <c r="M8528" s="13"/>
    </row>
    <row r="8529" spans="12:13">
      <c r="L8529" s="1">
        <v>44681.593749972439</v>
      </c>
      <c r="M8529" s="13"/>
    </row>
    <row r="8530" spans="12:13">
      <c r="L8530" s="1">
        <v>44681.597222194658</v>
      </c>
      <c r="M8530" s="13"/>
    </row>
    <row r="8531" spans="12:13">
      <c r="L8531" s="1">
        <v>44681.600694416877</v>
      </c>
      <c r="M8531" s="13"/>
    </row>
    <row r="8532" spans="12:13">
      <c r="L8532" s="1">
        <v>44681.604166639096</v>
      </c>
      <c r="M8532" s="13"/>
    </row>
    <row r="8533" spans="12:13">
      <c r="L8533" s="1">
        <v>44681.607638861315</v>
      </c>
      <c r="M8533" s="13"/>
    </row>
    <row r="8534" spans="12:13">
      <c r="L8534" s="1">
        <v>44681.611111083534</v>
      </c>
      <c r="M8534" s="13"/>
    </row>
    <row r="8535" spans="12:13">
      <c r="L8535" s="1">
        <v>44681.614583305753</v>
      </c>
      <c r="M8535" s="13"/>
    </row>
    <row r="8536" spans="12:13">
      <c r="L8536" s="1">
        <v>44681.618055527972</v>
      </c>
      <c r="M8536" s="13"/>
    </row>
    <row r="8537" spans="12:13">
      <c r="L8537" s="1">
        <v>44681.621527750191</v>
      </c>
      <c r="M8537" s="13"/>
    </row>
    <row r="8538" spans="12:13">
      <c r="L8538" s="1">
        <v>44681.62499997241</v>
      </c>
      <c r="M8538" s="13"/>
    </row>
    <row r="8539" spans="12:13">
      <c r="L8539" s="1">
        <v>44681.628472194629</v>
      </c>
      <c r="M8539" s="13"/>
    </row>
    <row r="8540" spans="12:13">
      <c r="L8540" s="1">
        <v>44681.631944416848</v>
      </c>
      <c r="M8540" s="13"/>
    </row>
    <row r="8541" spans="12:13">
      <c r="L8541" s="1">
        <v>44681.635416639067</v>
      </c>
      <c r="M8541" s="13"/>
    </row>
    <row r="8542" spans="12:13">
      <c r="L8542" s="1">
        <v>44681.638888861286</v>
      </c>
      <c r="M8542" s="13"/>
    </row>
    <row r="8543" spans="12:13">
      <c r="L8543" s="1">
        <v>44681.642361083505</v>
      </c>
      <c r="M8543" s="13"/>
    </row>
    <row r="8544" spans="12:13">
      <c r="L8544" s="1">
        <v>44681.645833305723</v>
      </c>
      <c r="M8544" s="13"/>
    </row>
    <row r="8545" spans="12:13">
      <c r="L8545" s="1">
        <v>44681.649305527942</v>
      </c>
      <c r="M8545" s="13"/>
    </row>
    <row r="8546" spans="12:13">
      <c r="L8546" s="1">
        <v>44681.652777750161</v>
      </c>
      <c r="M8546" s="13"/>
    </row>
    <row r="8547" spans="12:13">
      <c r="L8547" s="1">
        <v>44681.65624997238</v>
      </c>
      <c r="M8547" s="13"/>
    </row>
    <row r="8548" spans="12:13">
      <c r="L8548" s="1">
        <v>44681.659722194599</v>
      </c>
      <c r="M8548" s="13"/>
    </row>
    <row r="8549" spans="12:13">
      <c r="L8549" s="1">
        <v>44681.663194416818</v>
      </c>
      <c r="M8549" s="13"/>
    </row>
    <row r="8550" spans="12:13">
      <c r="L8550" s="1">
        <v>44681.666666639037</v>
      </c>
      <c r="M8550" s="13"/>
    </row>
    <row r="8551" spans="12:13">
      <c r="L8551" s="1">
        <v>44681.670138861256</v>
      </c>
      <c r="M8551" s="13"/>
    </row>
    <row r="8552" spans="12:13">
      <c r="L8552" s="1">
        <v>44681.673611083475</v>
      </c>
      <c r="M8552" s="13"/>
    </row>
    <row r="8553" spans="12:13">
      <c r="L8553" s="1">
        <v>44681.677083305694</v>
      </c>
      <c r="M8553" s="13"/>
    </row>
    <row r="8554" spans="12:13">
      <c r="L8554" s="1">
        <v>44681.680555527913</v>
      </c>
      <c r="M8554" s="13"/>
    </row>
    <row r="8555" spans="12:13">
      <c r="L8555" s="1">
        <v>44681.684027750132</v>
      </c>
      <c r="M8555" s="13"/>
    </row>
    <row r="8556" spans="12:13">
      <c r="L8556" s="1">
        <v>44681.687499972351</v>
      </c>
      <c r="M8556" s="13"/>
    </row>
    <row r="8557" spans="12:13">
      <c r="L8557" s="1">
        <v>44681.69097219457</v>
      </c>
      <c r="M8557" s="13"/>
    </row>
    <row r="8558" spans="12:13">
      <c r="L8558" s="1">
        <v>44681.694444416789</v>
      </c>
      <c r="M8558" s="13"/>
    </row>
    <row r="8559" spans="12:13">
      <c r="L8559" s="1">
        <v>44681.697916639008</v>
      </c>
      <c r="M8559" s="13"/>
    </row>
    <row r="8560" spans="12:13">
      <c r="L8560" s="1">
        <v>44681.701388861227</v>
      </c>
      <c r="M8560" s="13"/>
    </row>
    <row r="8561" spans="12:13">
      <c r="L8561" s="1">
        <v>44681.704861083446</v>
      </c>
      <c r="M8561" s="13"/>
    </row>
    <row r="8562" spans="12:13">
      <c r="L8562" s="1">
        <v>44681.708333305665</v>
      </c>
      <c r="M8562" s="13"/>
    </row>
    <row r="8563" spans="12:13">
      <c r="L8563" s="1">
        <v>44681.711805527884</v>
      </c>
      <c r="M8563" s="13"/>
    </row>
    <row r="8564" spans="12:13">
      <c r="L8564" s="1">
        <v>44681.715277750103</v>
      </c>
      <c r="M8564" s="13"/>
    </row>
    <row r="8565" spans="12:13">
      <c r="L8565" s="1">
        <v>44681.718749972322</v>
      </c>
      <c r="M8565" s="13"/>
    </row>
    <row r="8566" spans="12:13">
      <c r="L8566" s="1">
        <v>44681.722222194541</v>
      </c>
      <c r="M8566" s="13"/>
    </row>
    <row r="8567" spans="12:13">
      <c r="L8567" s="1">
        <v>44681.72569441676</v>
      </c>
      <c r="M8567" s="13"/>
    </row>
    <row r="8568" spans="12:13">
      <c r="L8568" s="1">
        <v>44681.729166638979</v>
      </c>
      <c r="M8568" s="13"/>
    </row>
    <row r="8569" spans="12:13">
      <c r="L8569" s="1">
        <v>44681.732638861198</v>
      </c>
      <c r="M8569" s="13"/>
    </row>
    <row r="8570" spans="12:13">
      <c r="L8570" s="1">
        <v>44681.736111083417</v>
      </c>
      <c r="M8570" s="13"/>
    </row>
    <row r="8571" spans="12:13">
      <c r="L8571" s="1">
        <v>44681.739583305636</v>
      </c>
      <c r="M8571" s="13"/>
    </row>
    <row r="8572" spans="12:13">
      <c r="L8572" s="1">
        <v>44681.743055527855</v>
      </c>
      <c r="M8572" s="13"/>
    </row>
    <row r="8573" spans="12:13">
      <c r="L8573" s="1">
        <v>44681.746527750074</v>
      </c>
      <c r="M8573" s="13"/>
    </row>
    <row r="8574" spans="12:13">
      <c r="L8574" s="1">
        <v>44681.749999972293</v>
      </c>
      <c r="M8574" s="13"/>
    </row>
    <row r="8575" spans="12:13">
      <c r="L8575" s="1">
        <v>44681.753472194512</v>
      </c>
      <c r="M8575" s="13"/>
    </row>
    <row r="8576" spans="12:13">
      <c r="L8576" s="1">
        <v>44681.756944416731</v>
      </c>
      <c r="M8576" s="13"/>
    </row>
    <row r="8577" spans="12:13">
      <c r="L8577" s="1">
        <v>44681.76041663895</v>
      </c>
      <c r="M8577" s="13"/>
    </row>
    <row r="8578" spans="12:13">
      <c r="L8578" s="1">
        <v>44681.763888861169</v>
      </c>
      <c r="M8578" s="13"/>
    </row>
    <row r="8579" spans="12:13">
      <c r="L8579" s="1">
        <v>44681.767361083388</v>
      </c>
      <c r="M8579" s="13"/>
    </row>
    <row r="8580" spans="12:13">
      <c r="L8580" s="1">
        <v>44681.770833305607</v>
      </c>
      <c r="M8580" s="13"/>
    </row>
    <row r="8581" spans="12:13">
      <c r="L8581" s="1">
        <v>44681.774305527826</v>
      </c>
      <c r="M8581" s="13"/>
    </row>
    <row r="8582" spans="12:13">
      <c r="L8582" s="1">
        <v>44681.777777750045</v>
      </c>
      <c r="M8582" s="13"/>
    </row>
    <row r="8583" spans="12:13">
      <c r="L8583" s="1">
        <v>44681.781249972264</v>
      </c>
      <c r="M8583" s="13"/>
    </row>
    <row r="8584" spans="12:13">
      <c r="L8584" s="1">
        <v>44681.784722194483</v>
      </c>
      <c r="M8584" s="13"/>
    </row>
    <row r="8585" spans="12:13">
      <c r="L8585" s="1">
        <v>44681.788194416702</v>
      </c>
      <c r="M8585" s="13"/>
    </row>
    <row r="8586" spans="12:13">
      <c r="L8586" s="1">
        <v>44681.791666638921</v>
      </c>
      <c r="M8586" s="13"/>
    </row>
    <row r="8587" spans="12:13">
      <c r="L8587" s="1">
        <v>44681.79513886114</v>
      </c>
      <c r="M8587" s="13"/>
    </row>
    <row r="8588" spans="12:13">
      <c r="L8588" s="1">
        <v>44681.798611083359</v>
      </c>
      <c r="M8588" s="13"/>
    </row>
    <row r="8589" spans="12:13">
      <c r="L8589" s="1">
        <v>44681.802083305578</v>
      </c>
      <c r="M8589" s="13"/>
    </row>
    <row r="8590" spans="12:13">
      <c r="L8590" s="1">
        <v>44681.805555527797</v>
      </c>
      <c r="M8590" s="13"/>
    </row>
    <row r="8591" spans="12:13">
      <c r="L8591" s="1">
        <v>44681.809027750016</v>
      </c>
      <c r="M8591" s="13"/>
    </row>
    <row r="8592" spans="12:13">
      <c r="L8592" s="1">
        <v>44681.812499972235</v>
      </c>
      <c r="M8592" s="13"/>
    </row>
    <row r="8593" spans="12:13">
      <c r="L8593" s="1">
        <v>44681.815972194454</v>
      </c>
      <c r="M8593" s="13"/>
    </row>
    <row r="8594" spans="12:13">
      <c r="L8594" s="1">
        <v>44681.819444416673</v>
      </c>
      <c r="M8594" s="13"/>
    </row>
    <row r="8595" spans="12:13">
      <c r="L8595" s="1">
        <v>44681.822916638892</v>
      </c>
      <c r="M8595" s="13"/>
    </row>
    <row r="8596" spans="12:13">
      <c r="L8596" s="1">
        <v>44681.826388861111</v>
      </c>
      <c r="M8596" s="13"/>
    </row>
    <row r="8597" spans="12:13">
      <c r="L8597" s="1">
        <v>44681.82986108333</v>
      </c>
      <c r="M8597" s="13"/>
    </row>
    <row r="8598" spans="12:13">
      <c r="L8598" s="1">
        <v>44681.833333305549</v>
      </c>
      <c r="M8598" s="13"/>
    </row>
    <row r="8599" spans="12:13">
      <c r="L8599" s="1">
        <v>44681.836805527768</v>
      </c>
      <c r="M8599" s="13"/>
    </row>
    <row r="8600" spans="12:13">
      <c r="L8600" s="1">
        <v>44681.840277749987</v>
      </c>
      <c r="M8600" s="13"/>
    </row>
    <row r="8601" spans="12:13">
      <c r="L8601" s="1">
        <v>44681.843749972206</v>
      </c>
      <c r="M8601" s="13"/>
    </row>
    <row r="8602" spans="12:13">
      <c r="L8602" s="1">
        <v>44681.847222194425</v>
      </c>
      <c r="M8602" s="13"/>
    </row>
    <row r="8603" spans="12:13">
      <c r="L8603" s="1">
        <v>44681.850694416644</v>
      </c>
      <c r="M8603" s="13"/>
    </row>
    <row r="8604" spans="12:13">
      <c r="L8604" s="1">
        <v>44681.854166638863</v>
      </c>
      <c r="M8604" s="13"/>
    </row>
    <row r="8605" spans="12:13">
      <c r="L8605" s="1">
        <v>44681.857638861082</v>
      </c>
      <c r="M8605" s="13"/>
    </row>
    <row r="8606" spans="12:13">
      <c r="L8606" s="1">
        <v>44681.861111083301</v>
      </c>
      <c r="M8606" s="13"/>
    </row>
    <row r="8607" spans="12:13">
      <c r="L8607" s="1">
        <v>44681.86458330552</v>
      </c>
      <c r="M8607" s="13"/>
    </row>
    <row r="8608" spans="12:13">
      <c r="L8608" s="1">
        <v>44681.868055527739</v>
      </c>
      <c r="M8608" s="13"/>
    </row>
    <row r="8609" spans="12:13">
      <c r="L8609" s="1">
        <v>44681.871527749958</v>
      </c>
      <c r="M8609" s="13"/>
    </row>
    <row r="8610" spans="12:13">
      <c r="L8610" s="1">
        <v>44681.874999972177</v>
      </c>
      <c r="M8610" s="13"/>
    </row>
    <row r="8611" spans="12:13">
      <c r="L8611" s="1">
        <v>44681.878472194396</v>
      </c>
      <c r="M8611" s="13"/>
    </row>
    <row r="8612" spans="12:13">
      <c r="L8612" s="1">
        <v>44681.881944416615</v>
      </c>
      <c r="M8612" s="13"/>
    </row>
    <row r="8613" spans="12:13">
      <c r="L8613" s="1">
        <v>44681.885416638834</v>
      </c>
      <c r="M8613" s="13"/>
    </row>
    <row r="8614" spans="12:13">
      <c r="L8614" s="1">
        <v>44681.888888861053</v>
      </c>
      <c r="M8614" s="13"/>
    </row>
    <row r="8615" spans="12:13">
      <c r="L8615" s="1">
        <v>44681.892361083272</v>
      </c>
      <c r="M8615" s="13"/>
    </row>
    <row r="8616" spans="12:13">
      <c r="L8616" s="1">
        <v>44681.895833305491</v>
      </c>
      <c r="M8616" s="13"/>
    </row>
    <row r="8617" spans="12:13">
      <c r="L8617" s="1">
        <v>44681.89930552771</v>
      </c>
      <c r="M8617" s="13"/>
    </row>
    <row r="8618" spans="12:13">
      <c r="L8618" s="1">
        <v>44681.902777749929</v>
      </c>
      <c r="M8618" s="13"/>
    </row>
    <row r="8619" spans="12:13">
      <c r="L8619" s="1">
        <v>44681.906249972148</v>
      </c>
      <c r="M8619" s="13"/>
    </row>
    <row r="8620" spans="12:13">
      <c r="L8620" s="1">
        <v>44681.909722194367</v>
      </c>
      <c r="M8620" s="13"/>
    </row>
    <row r="8621" spans="12:13">
      <c r="L8621" s="1">
        <v>44681.913194416586</v>
      </c>
      <c r="M8621" s="13"/>
    </row>
    <row r="8622" spans="12:13">
      <c r="L8622" s="1">
        <v>44681.916666638805</v>
      </c>
      <c r="M8622" s="13"/>
    </row>
    <row r="8623" spans="12:13">
      <c r="L8623" s="1">
        <v>44681.920138861024</v>
      </c>
      <c r="M8623" s="13"/>
    </row>
    <row r="8624" spans="12:13">
      <c r="L8624" s="1">
        <v>44681.923611083243</v>
      </c>
      <c r="M8624" s="13"/>
    </row>
    <row r="8625" spans="12:13">
      <c r="L8625" s="1">
        <v>44681.927083305462</v>
      </c>
      <c r="M8625" s="13"/>
    </row>
    <row r="8626" spans="12:13">
      <c r="L8626" s="1">
        <v>44681.930555527681</v>
      </c>
      <c r="M8626" s="13"/>
    </row>
    <row r="8627" spans="12:13">
      <c r="L8627" s="1">
        <v>44681.9340277499</v>
      </c>
      <c r="M8627" s="13"/>
    </row>
    <row r="8628" spans="12:13">
      <c r="L8628" s="1">
        <v>44681.937499972119</v>
      </c>
      <c r="M8628" s="13"/>
    </row>
    <row r="8629" spans="12:13">
      <c r="L8629" s="1">
        <v>44681.940972194338</v>
      </c>
      <c r="M8629" s="13"/>
    </row>
    <row r="8630" spans="12:13">
      <c r="L8630" s="1">
        <v>44681.944444416557</v>
      </c>
      <c r="M8630" s="13"/>
    </row>
    <row r="8631" spans="12:13">
      <c r="L8631" s="1">
        <v>44681.947916638775</v>
      </c>
      <c r="M8631" s="13"/>
    </row>
    <row r="8632" spans="12:13">
      <c r="L8632" s="1">
        <v>44681.951388860994</v>
      </c>
      <c r="M8632" s="13"/>
    </row>
    <row r="8633" spans="12:13">
      <c r="L8633" s="1">
        <v>44681.954861083213</v>
      </c>
      <c r="M8633" s="13"/>
    </row>
    <row r="8634" spans="12:13">
      <c r="L8634" s="1">
        <v>44681.958333305432</v>
      </c>
      <c r="M8634" s="13"/>
    </row>
    <row r="8635" spans="12:13">
      <c r="L8635" s="1">
        <v>44681.961805527651</v>
      </c>
      <c r="M8635" s="13"/>
    </row>
    <row r="8636" spans="12:13">
      <c r="L8636" s="1">
        <v>44681.96527774987</v>
      </c>
      <c r="M8636" s="13"/>
    </row>
    <row r="8637" spans="12:13">
      <c r="L8637" s="1">
        <v>44681.968749972089</v>
      </c>
      <c r="M8637" s="13"/>
    </row>
    <row r="8638" spans="12:13">
      <c r="L8638" s="1">
        <v>44681.972222194308</v>
      </c>
      <c r="M8638" s="13"/>
    </row>
    <row r="8639" spans="12:13">
      <c r="L8639" s="1">
        <v>44681.975694416527</v>
      </c>
      <c r="M8639" s="13"/>
    </row>
    <row r="8640" spans="12:13">
      <c r="L8640" s="1">
        <v>44681.979166638746</v>
      </c>
      <c r="M8640" s="13"/>
    </row>
    <row r="8641" spans="12:13">
      <c r="L8641" s="1">
        <v>44681.982638860965</v>
      </c>
      <c r="M8641" s="13"/>
    </row>
    <row r="8642" spans="12:13">
      <c r="L8642" s="1">
        <v>44681.986111083184</v>
      </c>
      <c r="M8642" s="13"/>
    </row>
    <row r="8643" spans="12:13">
      <c r="L8643" s="1">
        <v>44681.989583305403</v>
      </c>
      <c r="M8643" s="13"/>
    </row>
    <row r="8644" spans="12:13">
      <c r="L8644" s="1">
        <v>44681.993055527622</v>
      </c>
      <c r="M8644" s="13"/>
    </row>
    <row r="8645" spans="12:13">
      <c r="L8645" s="1">
        <v>44681.996527749841</v>
      </c>
      <c r="M8645" s="13"/>
    </row>
    <row r="8647" spans="12:13">
      <c r="L8647" s="1"/>
    </row>
    <row r="8648" spans="12:13">
      <c r="L8648" s="1"/>
    </row>
    <row r="8649" spans="12:13">
      <c r="L8649" s="1"/>
    </row>
    <row r="8650" spans="12:13">
      <c r="L8650" s="1"/>
    </row>
    <row r="8651" spans="12:13">
      <c r="L8651" s="1"/>
    </row>
    <row r="8652" spans="12:13">
      <c r="L8652" s="1"/>
    </row>
    <row r="8653" spans="12:13">
      <c r="L8653" s="1"/>
    </row>
    <row r="8654" spans="12:13">
      <c r="L8654" s="1"/>
    </row>
    <row r="8655" spans="12:13">
      <c r="L8655" s="1"/>
    </row>
    <row r="8656" spans="12:13">
      <c r="L8656" s="1"/>
    </row>
    <row r="8657" spans="12:12">
      <c r="L8657" s="1"/>
    </row>
    <row r="8658" spans="12:12">
      <c r="L8658" s="1"/>
    </row>
    <row r="8659" spans="12:12">
      <c r="L8659" s="1"/>
    </row>
    <row r="8660" spans="12:12">
      <c r="L8660" s="1"/>
    </row>
    <row r="8661" spans="12:12">
      <c r="L8661" s="1"/>
    </row>
    <row r="8662" spans="12:12">
      <c r="L8662" s="1"/>
    </row>
    <row r="8663" spans="12:12">
      <c r="L8663" s="1"/>
    </row>
    <row r="8664" spans="12:12">
      <c r="L8664" s="1"/>
    </row>
    <row r="8665" spans="12:12">
      <c r="L8665" s="1"/>
    </row>
    <row r="8666" spans="12:12">
      <c r="L8666" s="1"/>
    </row>
    <row r="8667" spans="12:12">
      <c r="L8667" s="1"/>
    </row>
    <row r="8668" spans="12:12">
      <c r="L8668" s="1"/>
    </row>
    <row r="8669" spans="12:12">
      <c r="L8669" s="1"/>
    </row>
    <row r="8670" spans="12:12">
      <c r="L8670" s="1"/>
    </row>
    <row r="8671" spans="12:12">
      <c r="L8671" s="1"/>
    </row>
    <row r="8672" spans="12:12">
      <c r="L8672" s="1"/>
    </row>
    <row r="8673" spans="12:12">
      <c r="L8673" s="1"/>
    </row>
    <row r="8674" spans="12:12">
      <c r="L8674" s="1"/>
    </row>
    <row r="8675" spans="12:12">
      <c r="L8675" s="1"/>
    </row>
    <row r="8676" spans="12:12">
      <c r="L8676" s="1"/>
    </row>
    <row r="8677" spans="12:12">
      <c r="L8677" s="1"/>
    </row>
    <row r="8678" spans="12:12">
      <c r="L8678" s="1"/>
    </row>
    <row r="8679" spans="12:12">
      <c r="L8679" s="1"/>
    </row>
    <row r="8680" spans="12:12">
      <c r="L8680" s="1"/>
    </row>
    <row r="8681" spans="12:12">
      <c r="L8681" s="1"/>
    </row>
    <row r="8682" spans="12:12">
      <c r="L8682" s="1"/>
    </row>
    <row r="8683" spans="12:12">
      <c r="L8683" s="1"/>
    </row>
    <row r="8684" spans="12:12">
      <c r="L8684" s="1"/>
    </row>
    <row r="8685" spans="12:12">
      <c r="L8685" s="1"/>
    </row>
    <row r="8686" spans="12:12">
      <c r="L8686" s="1"/>
    </row>
    <row r="8687" spans="12:12">
      <c r="L8687" s="1"/>
    </row>
    <row r="8688" spans="12:12">
      <c r="L8688" s="1"/>
    </row>
    <row r="8689" spans="12:12">
      <c r="L8689" s="1"/>
    </row>
    <row r="8690" spans="12:12">
      <c r="L8690" s="1"/>
    </row>
    <row r="8691" spans="12:12">
      <c r="L8691" s="1"/>
    </row>
    <row r="8692" spans="12:12">
      <c r="L8692" s="1"/>
    </row>
    <row r="8693" spans="12:12">
      <c r="L8693" s="1"/>
    </row>
    <row r="8694" spans="12:12">
      <c r="L8694" s="1"/>
    </row>
    <row r="8695" spans="12:12">
      <c r="L8695" s="1"/>
    </row>
    <row r="8696" spans="12:12">
      <c r="L8696" s="1"/>
    </row>
    <row r="8697" spans="12:12">
      <c r="L8697" s="1"/>
    </row>
    <row r="8698" spans="12:12">
      <c r="L8698" s="1"/>
    </row>
    <row r="8699" spans="12:12">
      <c r="L8699" s="1"/>
    </row>
    <row r="8700" spans="12:12">
      <c r="L8700" s="1"/>
    </row>
    <row r="8701" spans="12:12">
      <c r="L8701" s="1"/>
    </row>
    <row r="8702" spans="12:12">
      <c r="L8702" s="1"/>
    </row>
    <row r="8703" spans="12:12">
      <c r="L8703" s="1"/>
    </row>
    <row r="8704" spans="12:12">
      <c r="L8704" s="1"/>
    </row>
    <row r="8705" spans="12:12">
      <c r="L8705" s="1"/>
    </row>
    <row r="8706" spans="12:12">
      <c r="L8706" s="1"/>
    </row>
    <row r="8707" spans="12:12">
      <c r="L8707" s="1"/>
    </row>
    <row r="8708" spans="12:12">
      <c r="L8708" s="1"/>
    </row>
    <row r="8709" spans="12:12">
      <c r="L8709" s="1"/>
    </row>
    <row r="8710" spans="12:12">
      <c r="L8710" s="1"/>
    </row>
    <row r="8711" spans="12:12">
      <c r="L8711" s="1"/>
    </row>
    <row r="8712" spans="12:12">
      <c r="L8712" s="1"/>
    </row>
    <row r="8713" spans="12:12">
      <c r="L8713" s="1"/>
    </row>
    <row r="8714" spans="12:12">
      <c r="L8714" s="1"/>
    </row>
    <row r="8715" spans="12:12">
      <c r="L8715" s="1"/>
    </row>
    <row r="8716" spans="12:12">
      <c r="L8716" s="1"/>
    </row>
    <row r="8717" spans="12:12">
      <c r="L8717" s="1"/>
    </row>
    <row r="8718" spans="12:12">
      <c r="L8718" s="1"/>
    </row>
    <row r="8719" spans="12:12">
      <c r="L8719" s="1"/>
    </row>
    <row r="8720" spans="12:12">
      <c r="L8720" s="1"/>
    </row>
    <row r="8721" spans="12:12">
      <c r="L8721" s="1"/>
    </row>
    <row r="8722" spans="12:12">
      <c r="L8722" s="1"/>
    </row>
    <row r="8723" spans="12:12">
      <c r="L8723" s="1"/>
    </row>
    <row r="8724" spans="12:12">
      <c r="L8724" s="1"/>
    </row>
    <row r="8725" spans="12:12">
      <c r="L8725" s="1"/>
    </row>
    <row r="8726" spans="12:12">
      <c r="L8726" s="1"/>
    </row>
    <row r="8727" spans="12:12">
      <c r="L8727" s="1"/>
    </row>
    <row r="8728" spans="12:12">
      <c r="L8728" s="1"/>
    </row>
    <row r="8729" spans="12:12">
      <c r="L8729" s="1"/>
    </row>
    <row r="8730" spans="12:12">
      <c r="L8730" s="1"/>
    </row>
    <row r="8731" spans="12:12">
      <c r="L8731" s="1"/>
    </row>
    <row r="8732" spans="12:12">
      <c r="L8732" s="1"/>
    </row>
    <row r="8733" spans="12:12">
      <c r="L8733" s="1"/>
    </row>
    <row r="8734" spans="12:12">
      <c r="L8734" s="1"/>
    </row>
    <row r="8735" spans="12:12">
      <c r="L8735" s="1"/>
    </row>
    <row r="8736" spans="12:12">
      <c r="L8736" s="1"/>
    </row>
    <row r="8737" spans="12:12">
      <c r="L8737" s="1"/>
    </row>
    <row r="8738" spans="12:12">
      <c r="L8738" s="1"/>
    </row>
    <row r="8739" spans="12:12">
      <c r="L8739" s="1"/>
    </row>
    <row r="8740" spans="12:12">
      <c r="L8740" s="1"/>
    </row>
    <row r="8741" spans="12:12">
      <c r="L8741" s="1"/>
    </row>
    <row r="8742" spans="12:12">
      <c r="L8742" s="1"/>
    </row>
    <row r="8743" spans="12:12">
      <c r="L8743" s="1"/>
    </row>
    <row r="8744" spans="12:12">
      <c r="L8744" s="1"/>
    </row>
    <row r="8745" spans="12:12">
      <c r="L8745" s="1"/>
    </row>
    <row r="8746" spans="12:12">
      <c r="L8746" s="1"/>
    </row>
    <row r="8747" spans="12:12">
      <c r="L8747" s="1"/>
    </row>
    <row r="8748" spans="12:12">
      <c r="L8748" s="1"/>
    </row>
    <row r="8749" spans="12:12">
      <c r="L8749" s="1"/>
    </row>
    <row r="8750" spans="12:12">
      <c r="L8750" s="1"/>
    </row>
    <row r="8751" spans="12:12">
      <c r="L8751" s="1"/>
    </row>
    <row r="8752" spans="12:12">
      <c r="L8752" s="1"/>
    </row>
    <row r="8753" spans="12:12">
      <c r="L8753" s="1"/>
    </row>
    <row r="8754" spans="12:12">
      <c r="L8754" s="1"/>
    </row>
    <row r="8755" spans="12:12">
      <c r="L8755" s="1"/>
    </row>
    <row r="8756" spans="12:12">
      <c r="L8756" s="1"/>
    </row>
    <row r="8757" spans="12:12">
      <c r="L8757" s="1"/>
    </row>
    <row r="8758" spans="12:12">
      <c r="L8758" s="1"/>
    </row>
    <row r="8759" spans="12:12">
      <c r="L8759" s="1"/>
    </row>
    <row r="8760" spans="12:12">
      <c r="L8760" s="1"/>
    </row>
    <row r="8761" spans="12:12">
      <c r="L8761" s="1"/>
    </row>
    <row r="8762" spans="12:12">
      <c r="L8762" s="1"/>
    </row>
    <row r="8763" spans="12:12">
      <c r="L8763" s="1"/>
    </row>
    <row r="8764" spans="12:12">
      <c r="L8764" s="1"/>
    </row>
    <row r="8765" spans="12:12">
      <c r="L8765" s="1"/>
    </row>
    <row r="8766" spans="12:12">
      <c r="L8766" s="1"/>
    </row>
    <row r="8767" spans="12:12">
      <c r="L8767" s="1"/>
    </row>
    <row r="8768" spans="12:12">
      <c r="L8768" s="1"/>
    </row>
    <row r="8769" spans="12:12">
      <c r="L8769" s="1"/>
    </row>
    <row r="8770" spans="12:12">
      <c r="L8770" s="1"/>
    </row>
    <row r="8771" spans="12:12">
      <c r="L8771" s="1"/>
    </row>
    <row r="8772" spans="12:12">
      <c r="L8772" s="1"/>
    </row>
    <row r="8773" spans="12:12">
      <c r="L8773" s="1"/>
    </row>
    <row r="8774" spans="12:12">
      <c r="L8774" s="1"/>
    </row>
    <row r="8775" spans="12:12">
      <c r="L8775" s="1"/>
    </row>
    <row r="8776" spans="12:12">
      <c r="L8776" s="1"/>
    </row>
    <row r="8777" spans="12:12">
      <c r="L8777" s="1"/>
    </row>
    <row r="8778" spans="12:12">
      <c r="L8778" s="1"/>
    </row>
    <row r="8779" spans="12:12">
      <c r="L8779" s="1"/>
    </row>
    <row r="8780" spans="12:12">
      <c r="L8780" s="1"/>
    </row>
    <row r="8781" spans="12:12">
      <c r="L8781" s="1"/>
    </row>
    <row r="8782" spans="12:12">
      <c r="L8782" s="1"/>
    </row>
    <row r="8783" spans="12:12">
      <c r="L8783" s="1"/>
    </row>
    <row r="8784" spans="12:12">
      <c r="L8784" s="1"/>
    </row>
    <row r="8785" spans="12:12">
      <c r="L8785" s="1"/>
    </row>
    <row r="8786" spans="12:12">
      <c r="L8786" s="1"/>
    </row>
    <row r="8787" spans="12:12">
      <c r="L8787" s="1"/>
    </row>
    <row r="8788" spans="12:12">
      <c r="L8788" s="1"/>
    </row>
    <row r="8789" spans="12:12">
      <c r="L8789" s="1"/>
    </row>
    <row r="8790" spans="12:12">
      <c r="L8790" s="1"/>
    </row>
    <row r="8791" spans="12:12">
      <c r="L8791" s="1"/>
    </row>
    <row r="8792" spans="12:12">
      <c r="L8792" s="1"/>
    </row>
    <row r="8793" spans="12:12">
      <c r="L8793" s="1"/>
    </row>
    <row r="8794" spans="12:12">
      <c r="L8794" s="1"/>
    </row>
    <row r="8795" spans="12:12">
      <c r="L8795" s="1"/>
    </row>
    <row r="8796" spans="12:12">
      <c r="L8796" s="1"/>
    </row>
    <row r="8797" spans="12:12">
      <c r="L8797" s="1"/>
    </row>
    <row r="8798" spans="12:12">
      <c r="L8798" s="1"/>
    </row>
    <row r="8799" spans="12:12">
      <c r="L8799" s="1"/>
    </row>
    <row r="8800" spans="12:12">
      <c r="L8800" s="1"/>
    </row>
    <row r="8801" spans="12:12">
      <c r="L8801" s="1"/>
    </row>
    <row r="8802" spans="12:12">
      <c r="L8802" s="1"/>
    </row>
    <row r="8803" spans="12:12">
      <c r="L8803" s="1"/>
    </row>
    <row r="8804" spans="12:12">
      <c r="L8804" s="1"/>
    </row>
    <row r="8805" spans="12:12">
      <c r="L8805" s="1"/>
    </row>
    <row r="8806" spans="12:12">
      <c r="L8806" s="1"/>
    </row>
    <row r="8807" spans="12:12">
      <c r="L8807" s="1"/>
    </row>
    <row r="8808" spans="12:12">
      <c r="L8808" s="1"/>
    </row>
    <row r="8809" spans="12:12">
      <c r="L8809" s="1"/>
    </row>
    <row r="8810" spans="12:12">
      <c r="L8810" s="1"/>
    </row>
    <row r="8811" spans="12:12">
      <c r="L8811" s="1"/>
    </row>
    <row r="8812" spans="12:12">
      <c r="L8812" s="1"/>
    </row>
    <row r="8813" spans="12:12">
      <c r="L8813" s="1"/>
    </row>
    <row r="8814" spans="12:12">
      <c r="L8814" s="1"/>
    </row>
    <row r="8815" spans="12:12">
      <c r="L8815" s="1"/>
    </row>
    <row r="8816" spans="12:12">
      <c r="L8816" s="1"/>
    </row>
    <row r="8817" spans="12:12">
      <c r="L8817" s="1"/>
    </row>
    <row r="8818" spans="12:12">
      <c r="L8818" s="1"/>
    </row>
    <row r="8819" spans="12:12">
      <c r="L8819" s="1"/>
    </row>
    <row r="8820" spans="12:12">
      <c r="L8820" s="1"/>
    </row>
    <row r="8821" spans="12:12">
      <c r="L8821" s="1"/>
    </row>
    <row r="8822" spans="12:12">
      <c r="L8822" s="1"/>
    </row>
    <row r="8823" spans="12:12">
      <c r="L8823" s="1"/>
    </row>
    <row r="8824" spans="12:12">
      <c r="L8824" s="1"/>
    </row>
    <row r="8825" spans="12:12">
      <c r="L8825" s="1"/>
    </row>
    <row r="8826" spans="12:12">
      <c r="L8826" s="1"/>
    </row>
    <row r="8827" spans="12:12">
      <c r="L8827" s="1"/>
    </row>
    <row r="8828" spans="12:12">
      <c r="L8828" s="1"/>
    </row>
    <row r="8829" spans="12:12">
      <c r="L8829" s="1"/>
    </row>
    <row r="8830" spans="12:12">
      <c r="L8830" s="1"/>
    </row>
    <row r="8831" spans="12:12">
      <c r="L8831" s="1"/>
    </row>
    <row r="8832" spans="12:12">
      <c r="L8832" s="1"/>
    </row>
    <row r="8833" spans="12:12">
      <c r="L8833" s="1"/>
    </row>
    <row r="8834" spans="12:12">
      <c r="L8834" s="1"/>
    </row>
    <row r="8835" spans="12:12">
      <c r="L8835" s="1"/>
    </row>
    <row r="8836" spans="12:12">
      <c r="L8836" s="1"/>
    </row>
    <row r="8837" spans="12:12">
      <c r="L8837" s="1"/>
    </row>
    <row r="8838" spans="12:12">
      <c r="L8838" s="1"/>
    </row>
    <row r="8839" spans="12:12">
      <c r="L8839" s="1"/>
    </row>
    <row r="8840" spans="12:12">
      <c r="L8840" s="1"/>
    </row>
    <row r="8841" spans="12:12">
      <c r="L8841" s="1"/>
    </row>
    <row r="8842" spans="12:12">
      <c r="L8842" s="1"/>
    </row>
    <row r="8843" spans="12:12">
      <c r="L8843" s="1"/>
    </row>
    <row r="8844" spans="12:12">
      <c r="L8844" s="1"/>
    </row>
    <row r="8845" spans="12:12">
      <c r="L8845" s="1"/>
    </row>
    <row r="8846" spans="12:12">
      <c r="L8846" s="1"/>
    </row>
    <row r="8847" spans="12:12">
      <c r="L8847" s="1"/>
    </row>
    <row r="8848" spans="12:12">
      <c r="L8848" s="1"/>
    </row>
    <row r="8849" spans="12:12">
      <c r="L8849" s="1"/>
    </row>
    <row r="8850" spans="12:12">
      <c r="L8850" s="1"/>
    </row>
    <row r="8851" spans="12:12">
      <c r="L8851" s="1"/>
    </row>
    <row r="8852" spans="12:12">
      <c r="L8852" s="1"/>
    </row>
    <row r="8853" spans="12:12">
      <c r="L8853" s="1"/>
    </row>
    <row r="8854" spans="12:12">
      <c r="L8854" s="1"/>
    </row>
    <row r="8855" spans="12:12">
      <c r="L8855" s="1"/>
    </row>
    <row r="8856" spans="12:12">
      <c r="L8856" s="1"/>
    </row>
    <row r="8857" spans="12:12">
      <c r="L8857" s="1"/>
    </row>
    <row r="8858" spans="12:12">
      <c r="L8858" s="1"/>
    </row>
    <row r="8859" spans="12:12">
      <c r="L8859" s="1"/>
    </row>
    <row r="8860" spans="12:12">
      <c r="L8860" s="1"/>
    </row>
    <row r="8861" spans="12:12">
      <c r="L8861" s="1"/>
    </row>
    <row r="8862" spans="12:12">
      <c r="L8862" s="1"/>
    </row>
    <row r="8863" spans="12:12">
      <c r="L8863" s="1"/>
    </row>
    <row r="8864" spans="12:12">
      <c r="L8864" s="1"/>
    </row>
    <row r="8865" spans="12:12">
      <c r="L8865" s="1"/>
    </row>
    <row r="8866" spans="12:12">
      <c r="L8866" s="1"/>
    </row>
    <row r="8867" spans="12:12">
      <c r="L8867" s="1"/>
    </row>
    <row r="8868" spans="12:12">
      <c r="L8868" s="1"/>
    </row>
    <row r="8869" spans="12:12">
      <c r="L8869" s="1"/>
    </row>
    <row r="8870" spans="12:12">
      <c r="L8870" s="1"/>
    </row>
    <row r="8871" spans="12:12">
      <c r="L8871" s="1"/>
    </row>
    <row r="8872" spans="12:12">
      <c r="L8872" s="1"/>
    </row>
    <row r="8873" spans="12:12">
      <c r="L8873" s="1"/>
    </row>
    <row r="8874" spans="12:12">
      <c r="L8874" s="1"/>
    </row>
    <row r="8875" spans="12:12">
      <c r="L8875" s="1"/>
    </row>
    <row r="8876" spans="12:12">
      <c r="L8876" s="1"/>
    </row>
    <row r="8877" spans="12:12">
      <c r="L8877" s="1"/>
    </row>
    <row r="8878" spans="12:12">
      <c r="L8878" s="1"/>
    </row>
    <row r="8879" spans="12:12">
      <c r="L8879" s="1"/>
    </row>
    <row r="8880" spans="12:12">
      <c r="L8880" s="1"/>
    </row>
    <row r="8881" spans="12:12">
      <c r="L8881" s="1"/>
    </row>
    <row r="8882" spans="12:12">
      <c r="L8882" s="1"/>
    </row>
    <row r="8883" spans="12:12">
      <c r="L8883" s="1"/>
    </row>
    <row r="8884" spans="12:12">
      <c r="L8884" s="1"/>
    </row>
    <row r="8885" spans="12:12">
      <c r="L8885" s="1"/>
    </row>
    <row r="8886" spans="12:12">
      <c r="L8886" s="1"/>
    </row>
    <row r="8887" spans="12:12">
      <c r="L8887" s="1"/>
    </row>
    <row r="8888" spans="12:12">
      <c r="L8888" s="1"/>
    </row>
    <row r="8889" spans="12:12">
      <c r="L8889" s="1"/>
    </row>
    <row r="8890" spans="12:12">
      <c r="L8890" s="1"/>
    </row>
    <row r="8891" spans="12:12">
      <c r="L8891" s="1"/>
    </row>
    <row r="8892" spans="12:12">
      <c r="L8892" s="1"/>
    </row>
    <row r="8893" spans="12:12">
      <c r="L8893" s="1"/>
    </row>
    <row r="8894" spans="12:12">
      <c r="L8894" s="1"/>
    </row>
    <row r="8895" spans="12:12">
      <c r="L8895" s="1"/>
    </row>
    <row r="8896" spans="12:12">
      <c r="L8896" s="1"/>
    </row>
    <row r="8897" spans="12:12">
      <c r="L8897" s="1"/>
    </row>
    <row r="8898" spans="12:12">
      <c r="L8898" s="1"/>
    </row>
    <row r="8899" spans="12:12">
      <c r="L8899" s="1"/>
    </row>
    <row r="8900" spans="12:12">
      <c r="L8900" s="1"/>
    </row>
    <row r="8901" spans="12:12">
      <c r="L8901" s="1"/>
    </row>
    <row r="8902" spans="12:12">
      <c r="L8902" s="1"/>
    </row>
    <row r="8903" spans="12:12">
      <c r="L8903" s="1"/>
    </row>
    <row r="8904" spans="12:12">
      <c r="L8904" s="1"/>
    </row>
    <row r="8905" spans="12:12">
      <c r="L8905" s="1"/>
    </row>
    <row r="8906" spans="12:12">
      <c r="L8906" s="1"/>
    </row>
    <row r="8907" spans="12:12">
      <c r="L8907" s="1"/>
    </row>
    <row r="8908" spans="12:12">
      <c r="L8908" s="1"/>
    </row>
    <row r="8909" spans="12:12">
      <c r="L8909" s="1"/>
    </row>
    <row r="8910" spans="12:12">
      <c r="L8910" s="1"/>
    </row>
    <row r="8911" spans="12:12">
      <c r="L8911" s="1"/>
    </row>
    <row r="8912" spans="12:12">
      <c r="L8912" s="1"/>
    </row>
    <row r="8913" spans="12:12">
      <c r="L8913" s="1"/>
    </row>
    <row r="8914" spans="12:12">
      <c r="L8914" s="1"/>
    </row>
    <row r="8915" spans="12:12">
      <c r="L8915" s="1"/>
    </row>
    <row r="8916" spans="12:12">
      <c r="L8916" s="1"/>
    </row>
    <row r="8917" spans="12:12">
      <c r="L8917" s="1"/>
    </row>
    <row r="8918" spans="12:12">
      <c r="L8918" s="1"/>
    </row>
    <row r="8919" spans="12:12">
      <c r="L8919" s="1"/>
    </row>
    <row r="8920" spans="12:12">
      <c r="L8920" s="1"/>
    </row>
    <row r="8921" spans="12:12">
      <c r="L8921" s="1"/>
    </row>
    <row r="8922" spans="12:12">
      <c r="L8922" s="1"/>
    </row>
    <row r="8923" spans="12:12">
      <c r="L8923" s="1"/>
    </row>
    <row r="8924" spans="12:12">
      <c r="L8924" s="1"/>
    </row>
    <row r="8925" spans="12:12">
      <c r="L8925" s="1"/>
    </row>
    <row r="8926" spans="12:12">
      <c r="L8926" s="1"/>
    </row>
    <row r="8927" spans="12:12">
      <c r="L8927" s="1"/>
    </row>
    <row r="8928" spans="12:12">
      <c r="L8928" s="1"/>
    </row>
    <row r="8929" spans="12:12">
      <c r="L8929" s="1"/>
    </row>
    <row r="8930" spans="12:12">
      <c r="L8930" s="1"/>
    </row>
    <row r="8931" spans="12:12">
      <c r="L8931" s="1"/>
    </row>
    <row r="8932" spans="12:12">
      <c r="L8932" s="1"/>
    </row>
    <row r="8933" spans="12:12">
      <c r="L8933" s="1"/>
    </row>
    <row r="8934" spans="12:12">
      <c r="L8934" s="1"/>
    </row>
    <row r="8935" spans="12:12">
      <c r="L8935" s="1"/>
    </row>
    <row r="8936" spans="12:12">
      <c r="L8936" s="1"/>
    </row>
    <row r="8937" spans="12:12">
      <c r="L8937" s="1"/>
    </row>
    <row r="8938" spans="12:12">
      <c r="L8938" s="1"/>
    </row>
    <row r="8939" spans="12:12">
      <c r="L8939" s="1"/>
    </row>
    <row r="8940" spans="12:12">
      <c r="L8940" s="1"/>
    </row>
    <row r="8941" spans="12:12">
      <c r="L8941" s="1"/>
    </row>
    <row r="8942" spans="12:12">
      <c r="L8942" s="1"/>
    </row>
    <row r="8943" spans="12:12">
      <c r="L8943" s="1"/>
    </row>
    <row r="8944" spans="12:12">
      <c r="L8944" s="1"/>
    </row>
    <row r="8945" spans="12:12">
      <c r="L8945" s="1"/>
    </row>
    <row r="8946" spans="12:12">
      <c r="L8946" s="1"/>
    </row>
    <row r="8947" spans="12:12">
      <c r="L8947" s="1"/>
    </row>
    <row r="8948" spans="12:12">
      <c r="L8948" s="1"/>
    </row>
    <row r="8949" spans="12:12">
      <c r="L8949" s="1"/>
    </row>
    <row r="8950" spans="12:12">
      <c r="L8950" s="1"/>
    </row>
    <row r="8951" spans="12:12">
      <c r="L8951" s="1"/>
    </row>
    <row r="8952" spans="12:12">
      <c r="L8952" s="1"/>
    </row>
    <row r="8953" spans="12:12">
      <c r="L8953" s="1"/>
    </row>
    <row r="8954" spans="12:12">
      <c r="L8954" s="1"/>
    </row>
    <row r="8955" spans="12:12">
      <c r="L8955" s="1"/>
    </row>
    <row r="8956" spans="12:12">
      <c r="L8956" s="1"/>
    </row>
    <row r="8957" spans="12:12">
      <c r="L8957" s="1"/>
    </row>
    <row r="8958" spans="12:12">
      <c r="L8958" s="1"/>
    </row>
    <row r="8959" spans="12:12">
      <c r="L8959" s="1"/>
    </row>
    <row r="8960" spans="12:12">
      <c r="L8960" s="1"/>
    </row>
    <row r="8961" spans="12:12">
      <c r="L8961" s="1"/>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9" ma:contentTypeDescription="" ma:contentTypeScope="" ma:versionID="3d0c37cc0b8e4eb3c62c9e87ea695ebd">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e80ae563767589d4c4333b5c5c761b03"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ED9885-D68C-4484-9D5F-6636B6F765C1}"/>
</file>

<file path=customXml/itemProps2.xml><?xml version="1.0" encoding="utf-8"?>
<ds:datastoreItem xmlns:ds="http://schemas.openxmlformats.org/officeDocument/2006/customXml" ds:itemID="{76CD2420-738D-42D2-AE1B-BEB036B290C8}"/>
</file>

<file path=customXml/itemProps3.xml><?xml version="1.0" encoding="utf-8"?>
<ds:datastoreItem xmlns:ds="http://schemas.openxmlformats.org/officeDocument/2006/customXml" ds:itemID="{35F3E89B-3C05-4DD4-BC77-D4B764FE5C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
  <cp:revision/>
  <dcterms:created xsi:type="dcterms:W3CDTF">2021-02-16T04:57:07Z</dcterms:created>
  <dcterms:modified xsi:type="dcterms:W3CDTF">2024-10-09T23:57:16Z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